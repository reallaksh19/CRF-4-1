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INRHERT\STRESS REPORT\SYS-177\Documents\SYS-177A\12.0.MISCELLANEOUS CALCULATIONS\"/>
    </mc:Choice>
  </mc:AlternateContent>
  <xr:revisionPtr revIDLastSave="0" documentId="13_ncr:1_{69CEE4E5-A52C-4A81-9679-C373621A4EBE}" xr6:coauthVersionLast="45" xr6:coauthVersionMax="45" xr10:uidLastSave="{00000000-0000-0000-0000-000000000000}"/>
  <bookViews>
    <workbookView xWindow="-120" yWindow="-120" windowWidth="29040" windowHeight="15840" activeTab="2" xr2:uid="{00000000-000D-0000-FFFF-FFFF00000000}"/>
  </bookViews>
  <sheets>
    <sheet name="DESIGN" sheetId="2" r:id="rId1"/>
    <sheet name="OPE" sheetId="6" r:id="rId2"/>
    <sheet name="MDMT" sheetId="7" r:id="rId3"/>
  </sheets>
  <externalReferences>
    <externalReference r:id="rId4"/>
    <externalReference r:id="rId5"/>
    <externalReference r:id="rId6"/>
  </externalReferences>
  <definedNames>
    <definedName name="\0">#REF!</definedName>
    <definedName name="\c">#REF!</definedName>
    <definedName name="\e">#REF!</definedName>
    <definedName name="\f">#REF!</definedName>
    <definedName name="\i">#REF!</definedName>
    <definedName name="\j">#REF!</definedName>
    <definedName name="\m">#REF!</definedName>
    <definedName name="\n">#REF!</definedName>
    <definedName name="\P">#REF!</definedName>
    <definedName name="\s">#REF!</definedName>
    <definedName name="\t">#REF!</definedName>
    <definedName name="\x">#REF!</definedName>
    <definedName name="\z">#REF!</definedName>
    <definedName name="_a5">[0]!Module1.UNITOK</definedName>
    <definedName name="_a6">[0]!UNITOK</definedName>
    <definedName name="_APP1">#REF!</definedName>
    <definedName name="_APP2">#REF!</definedName>
    <definedName name="_APP3">#REF!</definedName>
    <definedName name="_APP4">#REF!</definedName>
    <definedName name="_BYE1">#REF!</definedName>
    <definedName name="_BYE2">#REF!</definedName>
    <definedName name="_BYE3">#REF!</definedName>
    <definedName name="_BYE4">#REF!</definedName>
    <definedName name="_CAL1">#REF!</definedName>
    <definedName name="_CAL2">#REF!</definedName>
    <definedName name="_CAL3">#REF!</definedName>
    <definedName name="_CAL4">#REF!</definedName>
    <definedName name="_CAN2">[0]!_CAN2</definedName>
    <definedName name="_CAN9">[0]!_CAN9</definedName>
    <definedName name="_CHK1">#REF!</definedName>
    <definedName name="_CHK2">#REF!</definedName>
    <definedName name="_CHK3">#REF!</definedName>
    <definedName name="_CHK4">#REF!</definedName>
    <definedName name="_DAT1">#REF!</definedName>
    <definedName name="_DAT2">#REF!</definedName>
    <definedName name="_DAT3">#REF!</definedName>
    <definedName name="_DAT4">#REF!</definedName>
    <definedName name="_DCS1">#REF!</definedName>
    <definedName name="_DCS2">#REF!</definedName>
    <definedName name="_ELP1">#REF!</definedName>
    <definedName name="_ELP2">#REF!</definedName>
    <definedName name="_ELP3">#REF!</definedName>
    <definedName name="_ELP4">#REF!</definedName>
    <definedName name="_FDT1">#REF!</definedName>
    <definedName name="_FDT2">#REF!</definedName>
    <definedName name="_FDT3">#REF!</definedName>
    <definedName name="_FDT4">#REF!</definedName>
    <definedName name="_HMB1">#REF!</definedName>
    <definedName name="_HMB2">#REF!</definedName>
    <definedName name="_IMP1">#REF!</definedName>
    <definedName name="_IMP2">#REF!</definedName>
    <definedName name="_IMP5">#REF!</definedName>
    <definedName name="_LIQ1">#REF!</definedName>
    <definedName name="_LIQ2">#REF!</definedName>
    <definedName name="_LIQ3">#REF!</definedName>
    <definedName name="_LIQ4">#REF!</definedName>
    <definedName name="_ODP1">#REF!</definedName>
    <definedName name="_ODP2">#REF!</definedName>
    <definedName name="_ODP3">#REF!</definedName>
    <definedName name="_ODP4">#REF!</definedName>
    <definedName name="_OPT8">[0]!_OPT8</definedName>
    <definedName name="_OPT9">[0]!_OPT9</definedName>
    <definedName name="_RAT1">#REF!</definedName>
    <definedName name="_RAT2">#REF!</definedName>
    <definedName name="_RAT3">#REF!</definedName>
    <definedName name="_RAT4">#REF!</definedName>
    <definedName name="_REV1">"Texte 161"</definedName>
    <definedName name="_REV2">"Texte 173"</definedName>
    <definedName name="_REV3">"Texte 167"</definedName>
    <definedName name="_REV4">"Texte 179"</definedName>
    <definedName name="_UPP1">#REF!</definedName>
    <definedName name="_UPP2">#REF!</definedName>
    <definedName name="_UPP3">#REF!</definedName>
    <definedName name="_UPP4">#REF!</definedName>
    <definedName name="_VIS1">#REF!</definedName>
    <definedName name="_VIS2">#REF!</definedName>
    <definedName name="_VIS3">#REF!</definedName>
    <definedName name="_VIS4">#REF!</definedName>
    <definedName name="_VP1">#REF!</definedName>
    <definedName name="_VP2">#REF!</definedName>
    <definedName name="_VP3">#REF!</definedName>
    <definedName name="_VP4">#REF!</definedName>
    <definedName name="ABPOW1">#REF!</definedName>
    <definedName name="ABPOW2">#REF!</definedName>
    <definedName name="ABPOW3">#REF!</definedName>
    <definedName name="ABPOW4">#REF!</definedName>
    <definedName name="ABPOWR">#REF!</definedName>
    <definedName name="aff">'[1]LV induction motors'!#REF!</definedName>
    <definedName name="ANPSH1">#REF!</definedName>
    <definedName name="ANPSH2">#REF!</definedName>
    <definedName name="ANPSH3">#REF!</definedName>
    <definedName name="ANPSH4">#REF!</definedName>
    <definedName name="ANPSHR">#REF!</definedName>
    <definedName name="APAGE">#REF!</definedName>
    <definedName name="APPROUVE1">"Texte 166"</definedName>
    <definedName name="APPROUVE2">"Texte 178"</definedName>
    <definedName name="APPROUVE3">"Texte 172"</definedName>
    <definedName name="APPROUVE4">"Texte 184"</definedName>
    <definedName name="AREA">#REF!</definedName>
    <definedName name="AUTRE_REF">"Texte 152"</definedName>
    <definedName name="BLKPAGE">#REF!</definedName>
    <definedName name="BPAGE">#REF!</definedName>
    <definedName name="C_">#REF!</definedName>
    <definedName name="CAL">#REF!</definedName>
    <definedName name="CALC2A">#REF!</definedName>
    <definedName name="CALC2B">#REF!</definedName>
    <definedName name="CALC2C">#REF!</definedName>
    <definedName name="CALC3A">#REF!</definedName>
    <definedName name="CALC3B">#REF!</definedName>
    <definedName name="CALC3C">#REF!</definedName>
    <definedName name="CALC4A">#REF!</definedName>
    <definedName name="CALC4B">#REF!</definedName>
    <definedName name="CALC4C">#REF!</definedName>
    <definedName name="CALCP1">#REF!</definedName>
    <definedName name="CALCP2">#REF!</definedName>
    <definedName name="CALCP3">#REF!</definedName>
    <definedName name="CALCR1">#REF!</definedName>
    <definedName name="CALCR2">#REF!</definedName>
    <definedName name="CASE1D">#REF!</definedName>
    <definedName name="CASE1U">#REF!</definedName>
    <definedName name="CASE2D">#REF!</definedName>
    <definedName name="CASE2U">#REF!</definedName>
    <definedName name="CASE3D">#REF!</definedName>
    <definedName name="CASE3U">#REF!</definedName>
    <definedName name="CASE4D">#REF!</definedName>
    <definedName name="CASE4U">#REF!</definedName>
    <definedName name="CASENO">#REF!</definedName>
    <definedName name="CASENUM">#REF!</definedName>
    <definedName name="CASEQ">#REF!</definedName>
    <definedName name="CHCOPY">#REF!</definedName>
    <definedName name="CHECK">#REF!</definedName>
    <definedName name="CLEANUP">#REF!</definedName>
    <definedName name="CLIENT">#REF!</definedName>
    <definedName name="CLIENT1">"Texte 153"</definedName>
    <definedName name="CLIENT2">"Texte 154"</definedName>
    <definedName name="CNAME1">#REF!</definedName>
    <definedName name="CNAME2">#REF!</definedName>
    <definedName name="CNAME3">#REF!</definedName>
    <definedName name="CNAME4">#REF!</definedName>
    <definedName name="CODP1">#REF!</definedName>
    <definedName name="CODP2">#REF!</definedName>
    <definedName name="CODP3">#REF!</definedName>
    <definedName name="CODP4">#REF!</definedName>
    <definedName name="CODPR">#REF!</definedName>
    <definedName name="CON">#REF!</definedName>
    <definedName name="CORRC">#REF!</definedName>
    <definedName name="CPAGE">#REF!</definedName>
    <definedName name="_xlnm.Criteria">#REF!</definedName>
    <definedName name="CVDP1">#REF!</definedName>
    <definedName name="CVDP2">#REF!</definedName>
    <definedName name="CVDP3">#REF!</definedName>
    <definedName name="CVDP4">#REF!</definedName>
    <definedName name="CVDPR">#REF!</definedName>
    <definedName name="DATA1D">#REF!</definedName>
    <definedName name="DATA1U">#REF!</definedName>
    <definedName name="DATA2D">#REF!</definedName>
    <definedName name="DATA2U">#REF!</definedName>
    <definedName name="DATA3D">#REF!</definedName>
    <definedName name="DATA3U">#REF!</definedName>
    <definedName name="DATA4D">#REF!</definedName>
    <definedName name="DATA4U">#REF!</definedName>
    <definedName name="_xlnm.Database">#REF!</definedName>
    <definedName name="DATE">#REF!</definedName>
    <definedName name="DATE1">"Texte 162"</definedName>
    <definedName name="DATE2">"Texte 174"</definedName>
    <definedName name="DATE3">"Texte 168"</definedName>
    <definedName name="DATE4">"Texte 180"</definedName>
    <definedName name="DCCASE1">#REF!</definedName>
    <definedName name="DCCASE2">#REF!</definedName>
    <definedName name="DCDATA1">#REF!</definedName>
    <definedName name="DCDATA2">#REF!</definedName>
    <definedName name="DCDOWN">#REF!</definedName>
    <definedName name="DCEND">#REF!</definedName>
    <definedName name="DCF">#REF!</definedName>
    <definedName name="DCFILE1">#REF!</definedName>
    <definedName name="DCFILE2">#REF!</definedName>
    <definedName name="DCFNO1">#REF!</definedName>
    <definedName name="DCFNO2">#REF!</definedName>
    <definedName name="DCSNO1">#REF!</definedName>
    <definedName name="DCSNO2">#REF!</definedName>
    <definedName name="DCSTRM1">#REF!</definedName>
    <definedName name="DCSTRM2">#REF!</definedName>
    <definedName name="DCUP">#REF!</definedName>
    <definedName name="DELPS">#REF!</definedName>
    <definedName name="DENS1">#REF!</definedName>
    <definedName name="DENS2">#REF!</definedName>
    <definedName name="DENS3">#REF!</definedName>
    <definedName name="DENS4">#REF!</definedName>
    <definedName name="DENSR">#REF!</definedName>
    <definedName name="DESIGNATION1">"Texte 163"</definedName>
    <definedName name="DESIGNATION2">"Texte 175"</definedName>
    <definedName name="DESIGNATION3">"Texte 169"</definedName>
    <definedName name="DESIGNATION4">"Texte 181"</definedName>
    <definedName name="DFDP1">#REF!</definedName>
    <definedName name="DFDP2">#REF!</definedName>
    <definedName name="DFDP3">#REF!</definedName>
    <definedName name="DFDP4">#REF!</definedName>
    <definedName name="DFDPR">#REF!</definedName>
    <definedName name="DISP1">#REF!</definedName>
    <definedName name="DISP2">#REF!</definedName>
    <definedName name="DISP3">#REF!</definedName>
    <definedName name="DISP4">#REF!</definedName>
    <definedName name="DISPR">#REF!</definedName>
    <definedName name="DOCNO">#REF!</definedName>
    <definedName name="DOWNP1">#REF!</definedName>
    <definedName name="DOWNP2">#REF!</definedName>
    <definedName name="DOWNP3">#REF!</definedName>
    <definedName name="DOWNP4">#REF!</definedName>
    <definedName name="DOWNPR">#REF!</definedName>
    <definedName name="DPAGE">#REF!</definedName>
    <definedName name="DRIVE">#REF!</definedName>
    <definedName name="DRIVER">#REF!</definedName>
    <definedName name="DSTHD">#REF!</definedName>
    <definedName name="DSTHD1">#REF!</definedName>
    <definedName name="DSTHD2">#REF!</definedName>
    <definedName name="DSTHD3">#REF!</definedName>
    <definedName name="DSTHD4">#REF!</definedName>
    <definedName name="DSTHDR">#REF!</definedName>
    <definedName name="DSTITLE">#REF!</definedName>
    <definedName name="ELPR">#REF!</definedName>
    <definedName name="EPAGE">#REF!</definedName>
    <definedName name="EQDP1">#REF!</definedName>
    <definedName name="EQDP2">#REF!</definedName>
    <definedName name="EQDP3">#REF!</definedName>
    <definedName name="EQDP4">#REF!</definedName>
    <definedName name="EQDPR">#REF!</definedName>
    <definedName name="EQUIP1">#REF!</definedName>
    <definedName name="EQUIP2">#REF!</definedName>
    <definedName name="EQUIPMENTLIST">#REF!</definedName>
    <definedName name="EQUIPMENTLISTINDEX">#REF!</definedName>
    <definedName name="EQUIPNO">#REF!</definedName>
    <definedName name="ERASE1">#REF!</definedName>
    <definedName name="ERASE2">#REF!</definedName>
    <definedName name="ERASE3">#REF!</definedName>
    <definedName name="ERASE4">#REF!</definedName>
    <definedName name="ETABLI1">"Texte 164"</definedName>
    <definedName name="ETABLI2">"Texte 176"</definedName>
    <definedName name="ETABLI3">"Texte 170"</definedName>
    <definedName name="ETABLI4">"Texte 182"</definedName>
    <definedName name="EXDP1">#REF!</definedName>
    <definedName name="EXDP2">#REF!</definedName>
    <definedName name="EXDP3">#REF!</definedName>
    <definedName name="EXDP4">#REF!</definedName>
    <definedName name="EXDPR">#REF!</definedName>
    <definedName name="FILENAME">#REF!</definedName>
    <definedName name="fin">"Texte 2,Texte 3,Texte 4,Texte 5,Texte 6,Texte 7,Texte 8,Texte 9,Texte 10,Texte 11,Texte 12,Texte 13,Texte 14,Trait 15,Trait 16,Trait 17,Trait 18,Trait 19,Trait 20,Trait 21,Trait 22,Trait 23,Rectangle 24,Trait 25,Rectangle 26,Texte 1"</definedName>
    <definedName name="FLG_RATING_TEMP">#REF!</definedName>
    <definedName name="FLGMAT150">#REF!</definedName>
    <definedName name="FLGMAT1500">#REF!</definedName>
    <definedName name="FLGMAT2500">#REF!</definedName>
    <definedName name="FLGMAT300">#REF!</definedName>
    <definedName name="FLGMAT400">#REF!</definedName>
    <definedName name="FLGMAT600">#REF!</definedName>
    <definedName name="FLGMAT900">#REF!</definedName>
    <definedName name="FPAGE">#REF!</definedName>
    <definedName name="Ft_Fac">#REF!</definedName>
    <definedName name="fv">#REF!</definedName>
    <definedName name="GETCASE">#REF!</definedName>
    <definedName name="GETCN">#REF!</definedName>
    <definedName name="HEADER">#REF!</definedName>
    <definedName name="HEADINGS">#REF!</definedName>
    <definedName name="Hor_regime">#REF!</definedName>
    <definedName name="HYDP1">#REF!</definedName>
    <definedName name="HYDP2">#REF!</definedName>
    <definedName name="HYDP3">#REF!</definedName>
    <definedName name="HYDP4">#REF!</definedName>
    <definedName name="HYDPR">#REF!</definedName>
    <definedName name="I">"Texte 149"</definedName>
    <definedName name="IMP0">#REF!</definedName>
    <definedName name="IMPC1D">#REF!</definedName>
    <definedName name="IMPC1U">#REF!</definedName>
    <definedName name="IMPC2D">#REF!</definedName>
    <definedName name="IMPC2U">#REF!</definedName>
    <definedName name="IMPC3D">#REF!</definedName>
    <definedName name="IMPC3U">#REF!</definedName>
    <definedName name="IMPC4D">#REF!</definedName>
    <definedName name="IMPC4U">#REF!</definedName>
    <definedName name="IMPEND">#REF!</definedName>
    <definedName name="IMPMENU">#REF!</definedName>
    <definedName name="INDP">#REF!</definedName>
    <definedName name="ITEM">"Texte 185"</definedName>
    <definedName name="JOB">#REF!</definedName>
    <definedName name="Legend">#REF!</definedName>
    <definedName name="LIEU1">"Texte 157"</definedName>
    <definedName name="LIEU2">"Texte 158"</definedName>
    <definedName name="Liq_Crit_Col">#REF!</definedName>
    <definedName name="Liq_Crit_Head">#REF!</definedName>
    <definedName name="Liq_pr_col">#REF!</definedName>
    <definedName name="liq_pr_dr_crit">#REF!</definedName>
    <definedName name="Liq_pr_head">#REF!</definedName>
    <definedName name="Liq_Vel_Crit">#REF!</definedName>
    <definedName name="LIQR">#REF!</definedName>
    <definedName name="Lq._Fr._No.">#REF!</definedName>
    <definedName name="MACRO">#REF!</definedName>
    <definedName name="Macro1">[0]!Macro1</definedName>
    <definedName name="Macro20">[0]!Macro20</definedName>
    <definedName name="MACROS">#REF!</definedName>
    <definedName name="MARGDP1">#REF!</definedName>
    <definedName name="MARGDP2">#REF!</definedName>
    <definedName name="MARGDP3">#REF!</definedName>
    <definedName name="MARGDP4">#REF!</definedName>
    <definedName name="MARGDPR">#REF!</definedName>
    <definedName name="MARGIN1">#REF!</definedName>
    <definedName name="MARGIN2">#REF!</definedName>
    <definedName name="MARGIN3">#REF!</definedName>
    <definedName name="MARGIN4">#REF!</definedName>
    <definedName name="MARGINR">#REF!</definedName>
    <definedName name="MAXDNP">#REF!</definedName>
    <definedName name="MAXDNT">#REF!</definedName>
    <definedName name="MAXSP1">#REF!</definedName>
    <definedName name="MAXSP2">#REF!</definedName>
    <definedName name="MAXSP3">#REF!</definedName>
    <definedName name="MAXSP4">#REF!</definedName>
    <definedName name="MAXSPR">#REF!</definedName>
    <definedName name="MAXUPP">#REF!</definedName>
    <definedName name="MAXUPT">#REF!</definedName>
    <definedName name="MENU1">#REF!</definedName>
    <definedName name="METDP1">#REF!</definedName>
    <definedName name="METDP2">#REF!</definedName>
    <definedName name="METDP3">#REF!</definedName>
    <definedName name="METDP4">#REF!</definedName>
    <definedName name="METDPR">#REF!</definedName>
    <definedName name="MINDNT">#REF!</definedName>
    <definedName name="MINUPT">#REF!</definedName>
    <definedName name="MISDP1">#REF!</definedName>
    <definedName name="MISDP2">#REF!</definedName>
    <definedName name="MISDP3">#REF!</definedName>
    <definedName name="MISDP4">#REF!</definedName>
    <definedName name="MISDPR">#REF!</definedName>
    <definedName name="Module1.NOTES">[0]!Module1.NOTES</definedName>
    <definedName name="Module1.UNITOK">[0]!Module1.UNITOK</definedName>
    <definedName name="motor">#REF!</definedName>
    <definedName name="MP_CLIENTREVISION0">#REF!</definedName>
    <definedName name="MP_CLIENTREVISION1">#REF!</definedName>
    <definedName name="MP_CLIENTREVISION2">#REF!</definedName>
    <definedName name="MP_DOCAPPROVER0">#REF!</definedName>
    <definedName name="MP_DOCAPPROVER1">#REF!</definedName>
    <definedName name="MP_DOCAPPROVER2">#REF!</definedName>
    <definedName name="MP_DOCCHECKER0">#REF!</definedName>
    <definedName name="MP_DOCCHECKER1">#REF!</definedName>
    <definedName name="MP_DOCCHECKER2">#REF!</definedName>
    <definedName name="MP_DOCID">#REF!</definedName>
    <definedName name="MP_DOCISSSTADAT">#REF!</definedName>
    <definedName name="MP_DOCISSSTADAT0">#REF!</definedName>
    <definedName name="MP_DOCISSSTADAT1">#REF!</definedName>
    <definedName name="MP_DOCISSSTADAT2">#REF!</definedName>
    <definedName name="MP_DOCREVDES0">#REF!</definedName>
    <definedName name="MP_DOCREVDES1">#REF!</definedName>
    <definedName name="MP_DOCREVDES2">#REF!</definedName>
    <definedName name="MP_EQ_002">#REF!</definedName>
    <definedName name="MP_EQ_003">#REF!</definedName>
    <definedName name="MP_EQ_004">#REF!</definedName>
    <definedName name="MP_EQ_005">#REF!</definedName>
    <definedName name="MP_EQ_006">#REF!</definedName>
    <definedName name="MP_EQ_007">#REF!</definedName>
    <definedName name="MP_EQ_008">#REF!</definedName>
    <definedName name="MP_EQ_009">#REF!</definedName>
    <definedName name="MP_EQ_010">#REF!</definedName>
    <definedName name="MP_EQ_011">#REF!</definedName>
    <definedName name="MP_EQ_012">#REF!</definedName>
    <definedName name="MP_EQ_013">#REF!</definedName>
    <definedName name="MP_EQ_014">#REF!</definedName>
    <definedName name="MP_EQ_015">#REF!</definedName>
    <definedName name="MP_EQ_016">#REF!</definedName>
    <definedName name="MP_EQ_017">#REF!</definedName>
    <definedName name="MP_EQ_018">#REF!</definedName>
    <definedName name="MP_EQ_019">#REF!</definedName>
    <definedName name="MP_EQ_020">#REF!</definedName>
    <definedName name="MP_EQ_021">#REF!</definedName>
    <definedName name="MP_EQ_022">#REF!</definedName>
    <definedName name="MP_EQ_023">#REF!</definedName>
    <definedName name="MP_EQ_024">#REF!</definedName>
    <definedName name="MP_EQ_025">#REF!</definedName>
    <definedName name="MP_EQ_026">#REF!</definedName>
    <definedName name="MP_EQ_027">#REF!</definedName>
    <definedName name="MP_EQ_028">#REF!</definedName>
    <definedName name="MP_EQ_029">#REF!</definedName>
    <definedName name="MP_EQ_030">#REF!</definedName>
    <definedName name="MP_EQ_031">#REF!</definedName>
    <definedName name="MP_EQ_032">#REF!</definedName>
    <definedName name="MP_EQ_033">#REF!</definedName>
    <definedName name="MP_EQ_034">#REF!</definedName>
    <definedName name="MP_EQ_035">#REF!</definedName>
    <definedName name="MP_EQ_036">#REF!</definedName>
    <definedName name="MP_EQ_037">#REF!</definedName>
    <definedName name="MP_EQ_038">#REF!</definedName>
    <definedName name="MP_EQ_039">#REF!</definedName>
    <definedName name="MP_EQ_040">#REF!</definedName>
    <definedName name="MP_EQ_041">#REF!</definedName>
    <definedName name="MP_EQ_042">#REF!</definedName>
    <definedName name="MP_EQ_043">#REF!</definedName>
    <definedName name="MP_EQ_044">#REF!</definedName>
    <definedName name="MP_EQ_045">#REF!</definedName>
    <definedName name="MP_EQ_046">#REF!</definedName>
    <definedName name="MP_EQ_047">#REF!</definedName>
    <definedName name="MP_EQ_048">#REF!</definedName>
    <definedName name="MP_EQ_049">#REF!</definedName>
    <definedName name="MP_EQ_050">#REF!</definedName>
    <definedName name="MP_EQDESC_002">#REF!</definedName>
    <definedName name="MP_EQDESC_003">#REF!</definedName>
    <definedName name="MP_EQDESC_004">#REF!</definedName>
    <definedName name="MP_EQDESC_005">#REF!</definedName>
    <definedName name="MP_EQDESC_006">#REF!</definedName>
    <definedName name="MP_EQDESC_007">#REF!</definedName>
    <definedName name="MP_EQDESC_008">#REF!</definedName>
    <definedName name="MP_EQDESC_009">#REF!</definedName>
    <definedName name="MP_EQDESC_010">#REF!</definedName>
    <definedName name="MP_EQDESC_011">#REF!</definedName>
    <definedName name="MP_EQDESC_012">#REF!</definedName>
    <definedName name="MP_EQDESC_013">#REF!</definedName>
    <definedName name="MP_EQDESC_014">#REF!</definedName>
    <definedName name="MP_EQDESC_015">#REF!</definedName>
    <definedName name="MP_EQDESC_016">#REF!</definedName>
    <definedName name="MP_EQDESC_017">#REF!</definedName>
    <definedName name="MP_EQDESC_018">#REF!</definedName>
    <definedName name="MP_EQDESC_019">#REF!</definedName>
    <definedName name="MP_EQDESC_020">#REF!</definedName>
    <definedName name="MP_EQDESC_021">#REF!</definedName>
    <definedName name="MP_EQDESC_022">#REF!</definedName>
    <definedName name="MP_EQDESC_023">#REF!</definedName>
    <definedName name="MP_EQDESC_024">#REF!</definedName>
    <definedName name="MP_EQDESC_025">#REF!</definedName>
    <definedName name="MP_EQDESC_026">#REF!</definedName>
    <definedName name="MP_EQDESC_027">#REF!</definedName>
    <definedName name="MP_EQDESC_028">#REF!</definedName>
    <definedName name="MP_EQDESC_029">#REF!</definedName>
    <definedName name="MP_EQDESC_030">#REF!</definedName>
    <definedName name="MP_EQDESC_031">#REF!</definedName>
    <definedName name="MP_EQDESC_032">#REF!</definedName>
    <definedName name="MP_EQDESC_033">#REF!</definedName>
    <definedName name="MP_EQDESC_034">#REF!</definedName>
    <definedName name="MP_EQDESC_035">#REF!</definedName>
    <definedName name="MP_EQDESC_036">#REF!</definedName>
    <definedName name="MP_EQDESC_037">#REF!</definedName>
    <definedName name="MP_EQDESC_038">#REF!</definedName>
    <definedName name="MP_EQDESC_039">#REF!</definedName>
    <definedName name="MP_EQDESC_040">#REF!</definedName>
    <definedName name="MP_EQDESC_041">#REF!</definedName>
    <definedName name="MP_EQDESC_042">#REF!</definedName>
    <definedName name="MP_EQDESC_043">#REF!</definedName>
    <definedName name="MP_EQDESC_044">#REF!</definedName>
    <definedName name="MP_EQDESC_045">#REF!</definedName>
    <definedName name="MP_EQDESC_046">#REF!</definedName>
    <definedName name="MP_EQDESC_047">#REF!</definedName>
    <definedName name="MP_EQDESC_048">#REF!</definedName>
    <definedName name="MP_EQDESC_049">#REF!</definedName>
    <definedName name="MP_EQDESC_050">#REF!</definedName>
    <definedName name="MP_EQUIPDESC">#REF!</definedName>
    <definedName name="MP_EQUIPNR">#REF!</definedName>
    <definedName name="MP_EXTREVISION">#REF!</definedName>
    <definedName name="MP_ORIGIN0">#REF!</definedName>
    <definedName name="MP_ORIGIN1">#REF!</definedName>
    <definedName name="MP_ORIGIN2">#REF!</definedName>
    <definedName name="MP_PROCLIENT">#REF!</definedName>
    <definedName name="MP_PROJECTNAME">#REF!</definedName>
    <definedName name="MP_PROLOCATION">#REF!</definedName>
    <definedName name="MP_PROSHORTNAME">#REF!</definedName>
    <definedName name="MP_REQSUBCNO">#REF!</definedName>
    <definedName name="MP_WRDSENDERGRPCOD">#REF!</definedName>
    <definedName name="naff">[2]Alternator!#REF!</definedName>
    <definedName name="NETP1">#REF!</definedName>
    <definedName name="NETP2">#REF!</definedName>
    <definedName name="NETP3">#REF!</definedName>
    <definedName name="NETP4">#REF!</definedName>
    <definedName name="NETPR">#REF!</definedName>
    <definedName name="NOMDOC">'[1]LV induction motors'!#REF!</definedName>
    <definedName name="NoPlan">"Texte 148"</definedName>
    <definedName name="NOTE">#REF!</definedName>
    <definedName name="NOTE0">#REF!</definedName>
    <definedName name="NOTE1">#REF!</definedName>
    <definedName name="NOTE4">#REF!</definedName>
    <definedName name="NOTESPC">#REF!</definedName>
    <definedName name="NPSHAV1">#REF!</definedName>
    <definedName name="NPSHAV2">#REF!</definedName>
    <definedName name="NPSHAV3">#REF!</definedName>
    <definedName name="NPSHAV4">#REF!</definedName>
    <definedName name="NPSHAVR">#REF!</definedName>
    <definedName name="NTMENU">#REF!</definedName>
    <definedName name="NUMSPEC">[2]Alternator!#REF!</definedName>
    <definedName name="ODPR">#REF!</definedName>
    <definedName name="OUTDP">#REF!</definedName>
    <definedName name="PAGE">"Texte 150"</definedName>
    <definedName name="PAGE1">#REF!</definedName>
    <definedName name="PAGE2">#REF!</definedName>
    <definedName name="PAGE3">#REF!</definedName>
    <definedName name="PAGE4">#REF!</definedName>
    <definedName name="PAGE7">#REF!</definedName>
    <definedName name="PCALCR">#REF!</definedName>
    <definedName name="PEFF1">#REF!</definedName>
    <definedName name="PEFF2">#REF!</definedName>
    <definedName name="PEFF3">#REF!</definedName>
    <definedName name="PEFF4">#REF!</definedName>
    <definedName name="PEFFR">#REF!</definedName>
    <definedName name="PERC1">#REF!</definedName>
    <definedName name="PERC2">#REF!</definedName>
    <definedName name="PERC3">#REF!</definedName>
    <definedName name="PERC4">#REF!</definedName>
    <definedName name="PERCENT">#REF!</definedName>
    <definedName name="PERMES">#REF!</definedName>
    <definedName name="PRCALC1">#REF!</definedName>
    <definedName name="PRCALC2">#REF!</definedName>
    <definedName name="PRCALC3">#REF!</definedName>
    <definedName name="PRCALC4">#REF!</definedName>
    <definedName name="Pressure_Drop_Criteria">#REF!</definedName>
    <definedName name="Pressure_Drop_Size">#REF!</definedName>
    <definedName name="Pressure_Drop_Type">#REF!</definedName>
    <definedName name="_xlnm.Print_Area" localSheetId="0">DESIGN!$A$1:$Q$59</definedName>
    <definedName name="_xlnm.Print_Area" localSheetId="2">MDMT!$A$1:$Q$59</definedName>
    <definedName name="_xlnm.Print_Area" localSheetId="1">OPE!$A$1:$Q$59</definedName>
    <definedName name="Print_Area_MI">#REF!</definedName>
    <definedName name="PRINT1">#REF!</definedName>
    <definedName name="PRINT2">#REF!</definedName>
    <definedName name="PRINT3">#REF!</definedName>
    <definedName name="PRINTD">#REF!</definedName>
    <definedName name="PRNTEND">#REF!</definedName>
    <definedName name="PRNTMSG">#REF!</definedName>
    <definedName name="PRNTSCRN">#REF!</definedName>
    <definedName name="PROJECT">#REF!</definedName>
    <definedName name="PUMPDP1">#REF!</definedName>
    <definedName name="PUMPDP2">#REF!</definedName>
    <definedName name="PUMPDP3">#REF!</definedName>
    <definedName name="PUMPDP4">#REF!</definedName>
    <definedName name="PUMPDPR">#REF!</definedName>
    <definedName name="PUMPHD1">#REF!</definedName>
    <definedName name="PUMPHD2">#REF!</definedName>
    <definedName name="PUMPHD3">#REF!</definedName>
    <definedName name="PUMPHD4">#REF!</definedName>
    <definedName name="PUMPHDR">#REF!</definedName>
    <definedName name="QUIT">#REF!</definedName>
    <definedName name="RATED">#REF!</definedName>
    <definedName name="RATNO1">#REF!</definedName>
    <definedName name="RATNO2">#REF!</definedName>
    <definedName name="REF_CLIENT1">"Texte 155"</definedName>
    <definedName name="REF_CLIENT2">"Texte 156"</definedName>
    <definedName name="RESET">#REF!</definedName>
    <definedName name="REV">#REF!</definedName>
    <definedName name="Révision">#REF!</definedName>
    <definedName name="REVNAME1">#REF!</definedName>
    <definedName name="REVNAME2">#REF!</definedName>
    <definedName name="REVNAME3">#REF!</definedName>
    <definedName name="REVNAME4">#REF!</definedName>
    <definedName name="REVNO">#REF!</definedName>
    <definedName name="RNT">#REF!</definedName>
    <definedName name="RSOFF1">#REF!</definedName>
    <definedName name="RSOFF2">#REF!</definedName>
    <definedName name="RSOFF3">#REF!</definedName>
    <definedName name="RSOFF4">#REF!</definedName>
    <definedName name="RSOFFR">#REF!</definedName>
    <definedName name="RTBRNCH">#REF!</definedName>
    <definedName name="SAVE">#REF!</definedName>
    <definedName name="Schedule">#REF!</definedName>
    <definedName name="sds">#REF!</definedName>
    <definedName name="SERVICE">"Texte 151"</definedName>
    <definedName name="SET">#REF!</definedName>
    <definedName name="SET0">#REF!</definedName>
    <definedName name="SFDP1">#REF!</definedName>
    <definedName name="SFDP2">#REF!</definedName>
    <definedName name="SFDP3">#REF!</definedName>
    <definedName name="SFDP4">#REF!</definedName>
    <definedName name="SFDPR">#REF!</definedName>
    <definedName name="Sheet1">#REF!</definedName>
    <definedName name="Sheet2">'[3]Electrical Load List'!#REF!</definedName>
    <definedName name="Sheet3">'[3]Electrical Load List'!#REF!</definedName>
    <definedName name="Sheet4">'[3]Electrical Load List'!#REF!</definedName>
    <definedName name="Sheet5">'[3]Electrical Load List'!#REF!</definedName>
    <definedName name="Sheet6">'[3]Electrical Load List'!#REF!</definedName>
    <definedName name="SHUTR">#REF!</definedName>
    <definedName name="sigle">'[1]LV induction motors'!#REF!</definedName>
    <definedName name="SKETCH">#REF!</definedName>
    <definedName name="SKTCH1">#REF!</definedName>
    <definedName name="SKTCH2">#REF!</definedName>
    <definedName name="SRCEP1">#REF!</definedName>
    <definedName name="SRCEP2">#REF!</definedName>
    <definedName name="SRCEP3">#REF!</definedName>
    <definedName name="SRCEP4">#REF!</definedName>
    <definedName name="SRCEPR">#REF!</definedName>
    <definedName name="SSTHD">#REF!</definedName>
    <definedName name="SSTHD1">#REF!</definedName>
    <definedName name="SSTHD2">#REF!</definedName>
    <definedName name="SSTHD3">#REF!</definedName>
    <definedName name="SSTHD4">#REF!</definedName>
    <definedName name="SSTHDR">#REF!</definedName>
    <definedName name="STAN">#REF!</definedName>
    <definedName name="STRM1D">#REF!</definedName>
    <definedName name="STRM1U">#REF!</definedName>
    <definedName name="STRM2D">#REF!</definedName>
    <definedName name="STRM2U">#REF!</definedName>
    <definedName name="STRM3D">#REF!</definedName>
    <definedName name="STRM3U">#REF!</definedName>
    <definedName name="STRM4D">#REF!</definedName>
    <definedName name="STRM4U">#REF!</definedName>
    <definedName name="STRMESS">#REF!</definedName>
    <definedName name="STRMNAME">#REF!</definedName>
    <definedName name="SUBHEADER">#REF!</definedName>
    <definedName name="SUCDPR">#REF!</definedName>
    <definedName name="SUCP1">#REF!</definedName>
    <definedName name="SUCP2">#REF!</definedName>
    <definedName name="SUCP3">#REF!</definedName>
    <definedName name="SUCP4">#REF!</definedName>
    <definedName name="SYSTEM">#REF!</definedName>
    <definedName name="TEMP1">#REF!</definedName>
    <definedName name="TEMP2">#REF!</definedName>
    <definedName name="TEMP3">#REF!</definedName>
    <definedName name="TEMP4">#REF!</definedName>
    <definedName name="TEMPR">#REF!</definedName>
    <definedName name="titre1">'[1]LV induction motors'!#REF!</definedName>
    <definedName name="titre2">'[1]LV induction motors'!#REF!</definedName>
    <definedName name="titreb">'[1]LV induction motors'!#REF!</definedName>
    <definedName name="titreb2">[2]Alternator!#REF!</definedName>
    <definedName name="TKW">#REF!</definedName>
    <definedName name="UNITE1">"Texte 159"</definedName>
    <definedName name="UNITE2">"Texte 160"</definedName>
    <definedName name="UNITOK">[0]!UNITOK</definedName>
    <definedName name="UPPR">#REF!</definedName>
    <definedName name="Ver_Regime">#REF!</definedName>
    <definedName name="VERIFIE1">"Texte 165"</definedName>
    <definedName name="VERIFIE2">"Texte 177"</definedName>
    <definedName name="VERIFIE3">"Texte 171"</definedName>
    <definedName name="VERIFIE4">"Texte 183"</definedName>
    <definedName name="VFLOW1">#REF!</definedName>
    <definedName name="VFLOW2">#REF!</definedName>
    <definedName name="VFLOW3">#REF!</definedName>
    <definedName name="VFLOW4">#REF!</definedName>
    <definedName name="VFLOWR">#REF!</definedName>
    <definedName name="VISR">#REF!</definedName>
    <definedName name="VPR">#REF!</definedName>
    <definedName name="WALLTHK" localSheetId="0">#REF!</definedName>
    <definedName name="WALLTHK" localSheetId="2">#REF!</definedName>
    <definedName name="WALLTHK" localSheetId="1">#REF!</definedName>
    <definedName name="WALLTHK">#REF!</definedName>
    <definedName name="WFLOW">#REF!</definedName>
    <definedName name="WFLOW1">#REF!</definedName>
    <definedName name="WFLOW2">#REF!</definedName>
    <definedName name="WFLOW3">#REF!</definedName>
    <definedName name="WFLOW4">#REF!</definedName>
    <definedName name="WFLOWR">#REF!</definedName>
    <definedName name="Zone_impres_M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L99" i="7" l="1"/>
  <c r="AH99" i="7"/>
  <c r="AF99" i="7"/>
  <c r="AD99" i="7"/>
  <c r="AJ99" i="7" s="1"/>
  <c r="AL98" i="7"/>
  <c r="AH98" i="7"/>
  <c r="AF98" i="7"/>
  <c r="AD98" i="7"/>
  <c r="AL97" i="7"/>
  <c r="AH97" i="7"/>
  <c r="AF97" i="7"/>
  <c r="AD97" i="7"/>
  <c r="AJ98" i="7" s="1"/>
  <c r="AL96" i="7"/>
  <c r="AH96" i="7"/>
  <c r="AF96" i="7"/>
  <c r="AD96" i="7"/>
  <c r="AJ97" i="7" s="1"/>
  <c r="AL95" i="7"/>
  <c r="AH95" i="7"/>
  <c r="AF95" i="7"/>
  <c r="AD95" i="7"/>
  <c r="AJ96" i="7" s="1"/>
  <c r="AL94" i="7"/>
  <c r="AH94" i="7"/>
  <c r="AF94" i="7"/>
  <c r="AD94" i="7"/>
  <c r="AJ95" i="7" s="1"/>
  <c r="AL93" i="7"/>
  <c r="AH93" i="7"/>
  <c r="AF93" i="7"/>
  <c r="AD93" i="7"/>
  <c r="AJ94" i="7" s="1"/>
  <c r="AL92" i="7"/>
  <c r="AH92" i="7"/>
  <c r="AF92" i="7"/>
  <c r="AD92" i="7"/>
  <c r="AJ93" i="7" s="1"/>
  <c r="AL91" i="7"/>
  <c r="AH91" i="7"/>
  <c r="AF91" i="7"/>
  <c r="AD91" i="7"/>
  <c r="AJ92" i="7" s="1"/>
  <c r="AL90" i="7"/>
  <c r="AH90" i="7"/>
  <c r="AF90" i="7"/>
  <c r="AD90" i="7"/>
  <c r="AJ91" i="7" s="1"/>
  <c r="AL89" i="7"/>
  <c r="AH89" i="7"/>
  <c r="AF89" i="7"/>
  <c r="AD89" i="7"/>
  <c r="AJ90" i="7" s="1"/>
  <c r="AL88" i="7"/>
  <c r="AH88" i="7"/>
  <c r="AF88" i="7"/>
  <c r="AD88" i="7"/>
  <c r="AJ89" i="7" s="1"/>
  <c r="AL87" i="7"/>
  <c r="AH87" i="7"/>
  <c r="AF87" i="7"/>
  <c r="AD87" i="7"/>
  <c r="AJ88" i="7" s="1"/>
  <c r="AL86" i="7"/>
  <c r="AH86" i="7"/>
  <c r="AF86" i="7"/>
  <c r="AD86" i="7"/>
  <c r="AJ87" i="7" s="1"/>
  <c r="AH85" i="7"/>
  <c r="AF85" i="7"/>
  <c r="AD85" i="7"/>
  <c r="AJ86" i="7" s="1"/>
  <c r="AL84" i="7"/>
  <c r="AH84" i="7"/>
  <c r="AL85" i="7" s="1"/>
  <c r="AF84" i="7"/>
  <c r="AD84" i="7"/>
  <c r="AJ85" i="7" s="1"/>
  <c r="AL83" i="7"/>
  <c r="AH83" i="7"/>
  <c r="AF83" i="7"/>
  <c r="AD83" i="7"/>
  <c r="AJ84" i="7" s="1"/>
  <c r="AL82" i="7"/>
  <c r="AH82" i="7"/>
  <c r="AF82" i="7"/>
  <c r="AD82" i="7"/>
  <c r="AJ83" i="7" s="1"/>
  <c r="AH81" i="7"/>
  <c r="AF81" i="7"/>
  <c r="AD81" i="7"/>
  <c r="AJ82" i="7" s="1"/>
  <c r="AH80" i="7"/>
  <c r="AF80" i="7"/>
  <c r="AD80" i="7"/>
  <c r="AH79" i="7"/>
  <c r="AF79" i="7"/>
  <c r="AD79" i="7"/>
  <c r="AL78" i="7"/>
  <c r="AH78" i="7"/>
  <c r="AF78" i="7"/>
  <c r="AD78" i="7"/>
  <c r="AH77" i="7"/>
  <c r="AF77" i="7"/>
  <c r="AD77" i="7"/>
  <c r="AJ78" i="7" s="1"/>
  <c r="AH76" i="7"/>
  <c r="AF76" i="7"/>
  <c r="AD76" i="7"/>
  <c r="AH75" i="7"/>
  <c r="AF75" i="7"/>
  <c r="AD75" i="7"/>
  <c r="AL74" i="7"/>
  <c r="AH74" i="7"/>
  <c r="AF74" i="7"/>
  <c r="AD74" i="7"/>
  <c r="AH73" i="7"/>
  <c r="AF73" i="7"/>
  <c r="AD73" i="7"/>
  <c r="AJ74" i="7" s="1"/>
  <c r="AH72" i="7"/>
  <c r="AF72" i="7"/>
  <c r="AD72" i="7"/>
  <c r="AH71" i="7"/>
  <c r="AF71" i="7"/>
  <c r="AD71" i="7"/>
  <c r="AL70" i="7"/>
  <c r="AH70" i="7"/>
  <c r="AF70" i="7"/>
  <c r="AD70" i="7"/>
  <c r="AH69" i="7"/>
  <c r="AF69" i="7"/>
  <c r="AD69" i="7"/>
  <c r="AJ70" i="7" s="1"/>
  <c r="AH68" i="7"/>
  <c r="AF68" i="7"/>
  <c r="AD68" i="7"/>
  <c r="B53" i="7"/>
  <c r="K20" i="7"/>
  <c r="K18" i="7"/>
  <c r="K16" i="7"/>
  <c r="D37" i="7" s="1"/>
  <c r="K14" i="7"/>
  <c r="H28" i="7" s="1"/>
  <c r="K12" i="7"/>
  <c r="AL99" i="6"/>
  <c r="AH99" i="6"/>
  <c r="AF99" i="6"/>
  <c r="AD99" i="6"/>
  <c r="AJ99" i="6" s="1"/>
  <c r="AL98" i="6"/>
  <c r="AH98" i="6"/>
  <c r="AF98" i="6"/>
  <c r="AD98" i="6"/>
  <c r="AL97" i="6"/>
  <c r="AH97" i="6"/>
  <c r="AF97" i="6"/>
  <c r="AD97" i="6"/>
  <c r="AJ98" i="6" s="1"/>
  <c r="AL96" i="6"/>
  <c r="AH96" i="6"/>
  <c r="AF96" i="6"/>
  <c r="AD96" i="6"/>
  <c r="AJ97" i="6" s="1"/>
  <c r="AL95" i="6"/>
  <c r="AH95" i="6"/>
  <c r="AF95" i="6"/>
  <c r="AD95" i="6"/>
  <c r="AJ96" i="6" s="1"/>
  <c r="AL94" i="6"/>
  <c r="AH94" i="6"/>
  <c r="AF94" i="6"/>
  <c r="AD94" i="6"/>
  <c r="AJ95" i="6" s="1"/>
  <c r="AL93" i="6"/>
  <c r="AH93" i="6"/>
  <c r="AF93" i="6"/>
  <c r="AD93" i="6"/>
  <c r="AJ94" i="6" s="1"/>
  <c r="AL92" i="6"/>
  <c r="AH92" i="6"/>
  <c r="AF92" i="6"/>
  <c r="AD92" i="6"/>
  <c r="AJ93" i="6" s="1"/>
  <c r="AL91" i="6"/>
  <c r="AH91" i="6"/>
  <c r="AF91" i="6"/>
  <c r="AD91" i="6"/>
  <c r="AJ92" i="6" s="1"/>
  <c r="AL90" i="6"/>
  <c r="AH90" i="6"/>
  <c r="AF90" i="6"/>
  <c r="AD90" i="6"/>
  <c r="AJ91" i="6" s="1"/>
  <c r="AL89" i="6"/>
  <c r="AH89" i="6"/>
  <c r="AF89" i="6"/>
  <c r="AD89" i="6"/>
  <c r="AJ90" i="6" s="1"/>
  <c r="AL88" i="6"/>
  <c r="AH88" i="6"/>
  <c r="AF88" i="6"/>
  <c r="AD88" i="6"/>
  <c r="AJ89" i="6" s="1"/>
  <c r="AL87" i="6"/>
  <c r="AH87" i="6"/>
  <c r="AF87" i="6"/>
  <c r="AD87" i="6"/>
  <c r="AJ88" i="6" s="1"/>
  <c r="AL86" i="6"/>
  <c r="AH86" i="6"/>
  <c r="AF86" i="6"/>
  <c r="AD86" i="6"/>
  <c r="AJ87" i="6" s="1"/>
  <c r="AH85" i="6"/>
  <c r="AF85" i="6"/>
  <c r="AD85" i="6"/>
  <c r="AJ86" i="6" s="1"/>
  <c r="AL84" i="6"/>
  <c r="AH84" i="6"/>
  <c r="AL85" i="6" s="1"/>
  <c r="AF84" i="6"/>
  <c r="AD84" i="6"/>
  <c r="AL83" i="6"/>
  <c r="AH83" i="6"/>
  <c r="AF83" i="6"/>
  <c r="AD83" i="6"/>
  <c r="AJ84" i="6" s="1"/>
  <c r="AH82" i="6"/>
  <c r="AF82" i="6"/>
  <c r="AD82" i="6"/>
  <c r="AJ83" i="6" s="1"/>
  <c r="AJ81" i="6"/>
  <c r="AH81" i="6"/>
  <c r="AF81" i="6"/>
  <c r="AD81" i="6"/>
  <c r="AJ80" i="6"/>
  <c r="AH80" i="6"/>
  <c r="AF80" i="6"/>
  <c r="AD80" i="6"/>
  <c r="AL79" i="6"/>
  <c r="AH79" i="6"/>
  <c r="AF79" i="6"/>
  <c r="AD79" i="6"/>
  <c r="AL80" i="6" s="1"/>
  <c r="AH78" i="6"/>
  <c r="AF78" i="6"/>
  <c r="AD78" i="6"/>
  <c r="AH77" i="6"/>
  <c r="AF77" i="6"/>
  <c r="AD77" i="6"/>
  <c r="AH76" i="6"/>
  <c r="AF76" i="6"/>
  <c r="AD76" i="6"/>
  <c r="AL75" i="6"/>
  <c r="AH75" i="6"/>
  <c r="AF75" i="6"/>
  <c r="AD75" i="6"/>
  <c r="AL76" i="6" s="1"/>
  <c r="AH74" i="6"/>
  <c r="AF74" i="6"/>
  <c r="AD74" i="6"/>
  <c r="AH73" i="6"/>
  <c r="AF73" i="6"/>
  <c r="AD73" i="6"/>
  <c r="AH72" i="6"/>
  <c r="AF72" i="6"/>
  <c r="AD72" i="6"/>
  <c r="AL71" i="6"/>
  <c r="AH71" i="6"/>
  <c r="AF71" i="6"/>
  <c r="AD71" i="6"/>
  <c r="AL72" i="6" s="1"/>
  <c r="AH70" i="6"/>
  <c r="AF70" i="6"/>
  <c r="AD70" i="6"/>
  <c r="AH69" i="6"/>
  <c r="AF69" i="6"/>
  <c r="AD69" i="6"/>
  <c r="AH68" i="6"/>
  <c r="AF68" i="6"/>
  <c r="AD68" i="6"/>
  <c r="B53" i="6"/>
  <c r="K20" i="6"/>
  <c r="K18" i="6"/>
  <c r="K16" i="6"/>
  <c r="K14" i="6"/>
  <c r="H28" i="6" s="1"/>
  <c r="K12" i="6"/>
  <c r="D37" i="6" l="1"/>
  <c r="C149" i="7"/>
  <c r="C145" i="7"/>
  <c r="C141" i="7"/>
  <c r="C137" i="7"/>
  <c r="C133" i="7"/>
  <c r="C129" i="7"/>
  <c r="C125" i="7"/>
  <c r="C121" i="7"/>
  <c r="C117" i="7"/>
  <c r="C113" i="7"/>
  <c r="C109" i="7"/>
  <c r="C105" i="7"/>
  <c r="C101" i="7"/>
  <c r="B152" i="7"/>
  <c r="C148" i="7"/>
  <c r="C144" i="7"/>
  <c r="C140" i="7"/>
  <c r="C136" i="7"/>
  <c r="C132" i="7"/>
  <c r="C128" i="7"/>
  <c r="C124" i="7"/>
  <c r="C120" i="7"/>
  <c r="C116" i="7"/>
  <c r="C112" i="7"/>
  <c r="C108" i="7"/>
  <c r="C104" i="7"/>
  <c r="C100" i="7"/>
  <c r="C99" i="7"/>
  <c r="C98" i="7"/>
  <c r="C97" i="7"/>
  <c r="C96" i="7"/>
  <c r="C95" i="7"/>
  <c r="C94" i="7"/>
  <c r="C93" i="7"/>
  <c r="C92" i="7"/>
  <c r="C91" i="7"/>
  <c r="C90" i="7"/>
  <c r="AL68" i="7"/>
  <c r="AJ72" i="7"/>
  <c r="AJ76" i="7"/>
  <c r="C85" i="7"/>
  <c r="C89" i="7"/>
  <c r="C106" i="7"/>
  <c r="C114" i="7"/>
  <c r="C122" i="7"/>
  <c r="C130" i="7"/>
  <c r="C146" i="7"/>
  <c r="AJ77" i="7"/>
  <c r="AJ81" i="7"/>
  <c r="C84" i="7"/>
  <c r="C88" i="7"/>
  <c r="C107" i="7"/>
  <c r="C115" i="7"/>
  <c r="C123" i="7"/>
  <c r="C131" i="7"/>
  <c r="C139" i="7"/>
  <c r="AL72" i="7"/>
  <c r="AJ71" i="7"/>
  <c r="AL76" i="7"/>
  <c r="AJ75" i="7"/>
  <c r="AL80" i="7"/>
  <c r="AJ79" i="7"/>
  <c r="C83" i="7"/>
  <c r="C87" i="7"/>
  <c r="C102" i="7"/>
  <c r="C110" i="7"/>
  <c r="C118" i="7"/>
  <c r="C126" i="7"/>
  <c r="C134" i="7"/>
  <c r="C142" i="7"/>
  <c r="C150" i="7"/>
  <c r="AJ68" i="7"/>
  <c r="AJ80" i="7"/>
  <c r="C138" i="7"/>
  <c r="AJ69" i="7"/>
  <c r="AJ73" i="7"/>
  <c r="C147" i="7"/>
  <c r="AL69" i="7"/>
  <c r="AL71" i="7"/>
  <c r="AL73" i="7"/>
  <c r="AL75" i="7"/>
  <c r="AL77" i="7"/>
  <c r="AL79" i="7"/>
  <c r="AL81" i="7"/>
  <c r="C86" i="7"/>
  <c r="C103" i="7"/>
  <c r="C111" i="7"/>
  <c r="C119" i="7"/>
  <c r="C127" i="7"/>
  <c r="C135" i="7"/>
  <c r="C143" i="7"/>
  <c r="C151" i="7"/>
  <c r="AJ70" i="6"/>
  <c r="AL70" i="6"/>
  <c r="AJ74" i="6"/>
  <c r="AL74" i="6"/>
  <c r="AJ78" i="6"/>
  <c r="AL78" i="6"/>
  <c r="C149" i="6"/>
  <c r="C145" i="6"/>
  <c r="C141" i="6"/>
  <c r="C137" i="6"/>
  <c r="C133" i="6"/>
  <c r="C129" i="6"/>
  <c r="C125" i="6"/>
  <c r="C121" i="6"/>
  <c r="C117" i="6"/>
  <c r="C113" i="6"/>
  <c r="C109" i="6"/>
  <c r="C105" i="6"/>
  <c r="C101" i="6"/>
  <c r="C89" i="6"/>
  <c r="C85" i="6"/>
  <c r="C83" i="6"/>
  <c r="C151" i="6"/>
  <c r="C143" i="6"/>
  <c r="C139" i="6"/>
  <c r="C135" i="6"/>
  <c r="C131" i="6"/>
  <c r="C127" i="6"/>
  <c r="C119" i="6"/>
  <c r="C115" i="6"/>
  <c r="C107" i="6"/>
  <c r="C146" i="6"/>
  <c r="C106" i="6"/>
  <c r="B152" i="6"/>
  <c r="C148" i="6"/>
  <c r="C144" i="6"/>
  <c r="C140" i="6"/>
  <c r="C136" i="6"/>
  <c r="C132" i="6"/>
  <c r="C128" i="6"/>
  <c r="C124" i="6"/>
  <c r="C120" i="6"/>
  <c r="C116" i="6"/>
  <c r="C112" i="6"/>
  <c r="C108" i="6"/>
  <c r="C104" i="6"/>
  <c r="C100" i="6"/>
  <c r="C99" i="6"/>
  <c r="C98" i="6"/>
  <c r="C97" i="6"/>
  <c r="C96" i="6"/>
  <c r="C95" i="6"/>
  <c r="C94" i="6"/>
  <c r="C93" i="6"/>
  <c r="C92" i="6"/>
  <c r="C91" i="6"/>
  <c r="C90" i="6"/>
  <c r="C88" i="6"/>
  <c r="C87" i="6"/>
  <c r="C86" i="6"/>
  <c r="C84" i="6"/>
  <c r="C147" i="6"/>
  <c r="C123" i="6"/>
  <c r="C111" i="6"/>
  <c r="C103" i="6"/>
  <c r="C150" i="6"/>
  <c r="C142" i="6"/>
  <c r="C138" i="6"/>
  <c r="C134" i="6"/>
  <c r="C130" i="6"/>
  <c r="C126" i="6"/>
  <c r="C122" i="6"/>
  <c r="C118" i="6"/>
  <c r="C114" i="6"/>
  <c r="C110" i="6"/>
  <c r="C102" i="6"/>
  <c r="AJ82" i="6"/>
  <c r="AL82" i="6"/>
  <c r="AJ85" i="6"/>
  <c r="AJ69" i="6"/>
  <c r="AJ73" i="6"/>
  <c r="AJ77" i="6"/>
  <c r="AJ72" i="6"/>
  <c r="AJ76" i="6"/>
  <c r="AL69" i="6"/>
  <c r="AL81" i="6"/>
  <c r="AJ68" i="6"/>
  <c r="AJ71" i="6"/>
  <c r="AL73" i="6"/>
  <c r="AJ75" i="6"/>
  <c r="AL77" i="6"/>
  <c r="AJ79" i="6"/>
  <c r="AL68" i="6"/>
  <c r="B53" i="2"/>
  <c r="AH99" i="2"/>
  <c r="AF99" i="2"/>
  <c r="AD99" i="2"/>
  <c r="AL99" i="2" s="1"/>
  <c r="AH98" i="2"/>
  <c r="AF98" i="2"/>
  <c r="AD98" i="2"/>
  <c r="AH97" i="2"/>
  <c r="AF97" i="2"/>
  <c r="AD97" i="2"/>
  <c r="AH96" i="2"/>
  <c r="AF96" i="2"/>
  <c r="AD96" i="2"/>
  <c r="AH95" i="2"/>
  <c r="AF95" i="2"/>
  <c r="AD95" i="2"/>
  <c r="AH94" i="2"/>
  <c r="AF94" i="2"/>
  <c r="AD94" i="2"/>
  <c r="AH93" i="2"/>
  <c r="AF93" i="2"/>
  <c r="AD93" i="2"/>
  <c r="AH92" i="2"/>
  <c r="AF92" i="2"/>
  <c r="AD92" i="2"/>
  <c r="AH91" i="2"/>
  <c r="AF91" i="2"/>
  <c r="AD91" i="2"/>
  <c r="AH90" i="2"/>
  <c r="AF90" i="2"/>
  <c r="AD90" i="2"/>
  <c r="AH89" i="2"/>
  <c r="AF89" i="2"/>
  <c r="AD89" i="2"/>
  <c r="AH88" i="2"/>
  <c r="AF88" i="2"/>
  <c r="AD88" i="2"/>
  <c r="AH87" i="2"/>
  <c r="AF87" i="2"/>
  <c r="AD87" i="2"/>
  <c r="AH86" i="2"/>
  <c r="AF86" i="2"/>
  <c r="AD86" i="2"/>
  <c r="AH85" i="2"/>
  <c r="AF85" i="2"/>
  <c r="AD85" i="2"/>
  <c r="AH84" i="2"/>
  <c r="AF84" i="2"/>
  <c r="AD84" i="2"/>
  <c r="AH83" i="2"/>
  <c r="AF83" i="2"/>
  <c r="AD83" i="2"/>
  <c r="AH82" i="2"/>
  <c r="AF82" i="2"/>
  <c r="AD82" i="2"/>
  <c r="AH81" i="2"/>
  <c r="AF81" i="2"/>
  <c r="AD81" i="2"/>
  <c r="AH80" i="2"/>
  <c r="AF80" i="2"/>
  <c r="AD80" i="2"/>
  <c r="AH79" i="2"/>
  <c r="AF79" i="2"/>
  <c r="AD79" i="2"/>
  <c r="AH78" i="2"/>
  <c r="AF78" i="2"/>
  <c r="AD78" i="2"/>
  <c r="AH77" i="2"/>
  <c r="AF77" i="2"/>
  <c r="AD77" i="2"/>
  <c r="AH76" i="2"/>
  <c r="AF76" i="2"/>
  <c r="AD76" i="2"/>
  <c r="AH75" i="2"/>
  <c r="AF75" i="2"/>
  <c r="AD75" i="2"/>
  <c r="AH74" i="2"/>
  <c r="AF74" i="2"/>
  <c r="AD74" i="2"/>
  <c r="AH73" i="2"/>
  <c r="AF73" i="2"/>
  <c r="AD73" i="2"/>
  <c r="AH72" i="2"/>
  <c r="AF72" i="2"/>
  <c r="AD72" i="2"/>
  <c r="AH71" i="2"/>
  <c r="AF71" i="2"/>
  <c r="AD71" i="2"/>
  <c r="AH70" i="2"/>
  <c r="AF70" i="2"/>
  <c r="AD70" i="2"/>
  <c r="AH69" i="2"/>
  <c r="AF69" i="2"/>
  <c r="AD69" i="2"/>
  <c r="AH68" i="2"/>
  <c r="AF68" i="2"/>
  <c r="AD68" i="2"/>
  <c r="AJ100" i="7" l="1"/>
  <c r="K49" i="7" s="1"/>
  <c r="C152" i="7"/>
  <c r="D39" i="7" s="1"/>
  <c r="D41" i="7" s="1"/>
  <c r="D43" i="7" s="1"/>
  <c r="D45" i="7" s="1"/>
  <c r="AL100" i="7"/>
  <c r="C152" i="6"/>
  <c r="D39" i="6" s="1"/>
  <c r="D41" i="6" s="1"/>
  <c r="D43" i="6" s="1"/>
  <c r="D45" i="6" s="1"/>
  <c r="AL100" i="6"/>
  <c r="AJ100" i="6"/>
  <c r="K49" i="6" s="1"/>
  <c r="AL72" i="2"/>
  <c r="AL76" i="2"/>
  <c r="AL80" i="2"/>
  <c r="AL84" i="2"/>
  <c r="AL88" i="2"/>
  <c r="AL92" i="2"/>
  <c r="AL96" i="2"/>
  <c r="AL70" i="2"/>
  <c r="AL74" i="2"/>
  <c r="AL78" i="2"/>
  <c r="AL82" i="2"/>
  <c r="AL86" i="2"/>
  <c r="AL90" i="2"/>
  <c r="AL94" i="2"/>
  <c r="AL98" i="2"/>
  <c r="AL69" i="2"/>
  <c r="AL71" i="2"/>
  <c r="AL73" i="2"/>
  <c r="AL75" i="2"/>
  <c r="AL77" i="2"/>
  <c r="AL79" i="2"/>
  <c r="AL81" i="2"/>
  <c r="AL83" i="2"/>
  <c r="AL85" i="2"/>
  <c r="AL87" i="2"/>
  <c r="AL89" i="2"/>
  <c r="AL91" i="2"/>
  <c r="AL93" i="2"/>
  <c r="AL95" i="2"/>
  <c r="AL97" i="2"/>
  <c r="AJ68" i="2"/>
  <c r="AJ70" i="2"/>
  <c r="AJ72" i="2"/>
  <c r="AJ74" i="2"/>
  <c r="AJ76" i="2"/>
  <c r="AJ78" i="2"/>
  <c r="AJ80" i="2"/>
  <c r="AJ82" i="2"/>
  <c r="AJ84" i="2"/>
  <c r="AJ86" i="2"/>
  <c r="AJ88" i="2"/>
  <c r="AJ90" i="2"/>
  <c r="AJ92" i="2"/>
  <c r="AJ94" i="2"/>
  <c r="AJ96" i="2"/>
  <c r="AJ98" i="2"/>
  <c r="AL68" i="2"/>
  <c r="AJ69" i="2"/>
  <c r="AJ71" i="2"/>
  <c r="AJ73" i="2"/>
  <c r="AJ75" i="2"/>
  <c r="AJ77" i="2"/>
  <c r="AJ79" i="2"/>
  <c r="AJ81" i="2"/>
  <c r="AJ83" i="2"/>
  <c r="AJ85" i="2"/>
  <c r="AJ87" i="2"/>
  <c r="AJ89" i="2"/>
  <c r="AJ91" i="2"/>
  <c r="AJ93" i="2"/>
  <c r="AJ95" i="2"/>
  <c r="AJ97" i="2"/>
  <c r="AJ99" i="2"/>
  <c r="AI99" i="7" l="1"/>
  <c r="AI98" i="7"/>
  <c r="AI97" i="7"/>
  <c r="AI96" i="7"/>
  <c r="AI95" i="7"/>
  <c r="AI94" i="7"/>
  <c r="AI93" i="7"/>
  <c r="AI92" i="7"/>
  <c r="AI91" i="7"/>
  <c r="AI90" i="7"/>
  <c r="AI89" i="7"/>
  <c r="AK96" i="7"/>
  <c r="AK92" i="7"/>
  <c r="AK87" i="7"/>
  <c r="AI86" i="7"/>
  <c r="AK83" i="7"/>
  <c r="AI68" i="7"/>
  <c r="AK94" i="7"/>
  <c r="AK90" i="7"/>
  <c r="AI84" i="7"/>
  <c r="AK72" i="7"/>
  <c r="AI71" i="7"/>
  <c r="AK68" i="7"/>
  <c r="AK97" i="7"/>
  <c r="AK93" i="7"/>
  <c r="AK89" i="7"/>
  <c r="AK86" i="7"/>
  <c r="AK78" i="7"/>
  <c r="AK99" i="7"/>
  <c r="AK95" i="7"/>
  <c r="AK91" i="7"/>
  <c r="AK88" i="7"/>
  <c r="AI87" i="7"/>
  <c r="AK84" i="7"/>
  <c r="AI83" i="7"/>
  <c r="AK98" i="7"/>
  <c r="AI88" i="7"/>
  <c r="AK85" i="7"/>
  <c r="AK80" i="7"/>
  <c r="AI79" i="7"/>
  <c r="AK76" i="7"/>
  <c r="AI75" i="7"/>
  <c r="AI85" i="7"/>
  <c r="AK82" i="7"/>
  <c r="AK74" i="7"/>
  <c r="AK70" i="7"/>
  <c r="AK73" i="7"/>
  <c r="AK69" i="7"/>
  <c r="AK75" i="7"/>
  <c r="AI69" i="7"/>
  <c r="AK81" i="7"/>
  <c r="AI73" i="7"/>
  <c r="AI80" i="7"/>
  <c r="AK77" i="7"/>
  <c r="AI77" i="7"/>
  <c r="AI70" i="7"/>
  <c r="AI74" i="7"/>
  <c r="AI78" i="7"/>
  <c r="AI82" i="7"/>
  <c r="AK71" i="7"/>
  <c r="AK79" i="7"/>
  <c r="AI81" i="7"/>
  <c r="AI72" i="7"/>
  <c r="AI76" i="7"/>
  <c r="AK68" i="6"/>
  <c r="AK99" i="6"/>
  <c r="AK98" i="6"/>
  <c r="AK97" i="6"/>
  <c r="AK96" i="6"/>
  <c r="AI99" i="6"/>
  <c r="AI98" i="6"/>
  <c r="AI97" i="6"/>
  <c r="AI96" i="6"/>
  <c r="AI95" i="6"/>
  <c r="AI94" i="6"/>
  <c r="AI93" i="6"/>
  <c r="AI92" i="6"/>
  <c r="AI91" i="6"/>
  <c r="AI90" i="6"/>
  <c r="AI89" i="6"/>
  <c r="AI88" i="6"/>
  <c r="AI87" i="6"/>
  <c r="AI86" i="6"/>
  <c r="AI85" i="6"/>
  <c r="AI84" i="6"/>
  <c r="AI83" i="6"/>
  <c r="AI79" i="6"/>
  <c r="AI75" i="6"/>
  <c r="AI71" i="6"/>
  <c r="AK95" i="6"/>
  <c r="AK91" i="6"/>
  <c r="AK87" i="6"/>
  <c r="AI80" i="6"/>
  <c r="AI76" i="6"/>
  <c r="AI72" i="6"/>
  <c r="AI68" i="6"/>
  <c r="AK94" i="6"/>
  <c r="AK90" i="6"/>
  <c r="AK86" i="6"/>
  <c r="AK85" i="6"/>
  <c r="AK93" i="6"/>
  <c r="AK89" i="6"/>
  <c r="AK84" i="6"/>
  <c r="AK92" i="6"/>
  <c r="AK88" i="6"/>
  <c r="AK83" i="6"/>
  <c r="AK82" i="6"/>
  <c r="AI73" i="6"/>
  <c r="AK75" i="6"/>
  <c r="AK74" i="6"/>
  <c r="AK81" i="6"/>
  <c r="AK72" i="6"/>
  <c r="AK77" i="6"/>
  <c r="AI70" i="6"/>
  <c r="AI77" i="6"/>
  <c r="AK79" i="6"/>
  <c r="AK73" i="6"/>
  <c r="AK71" i="6"/>
  <c r="AI78" i="6"/>
  <c r="AI74" i="6"/>
  <c r="AI81" i="6"/>
  <c r="AI82" i="6"/>
  <c r="AK70" i="6"/>
  <c r="AK78" i="6"/>
  <c r="AK76" i="6"/>
  <c r="AK69" i="6"/>
  <c r="AI69" i="6"/>
  <c r="AK80" i="6"/>
  <c r="AL100" i="2"/>
  <c r="AJ100" i="2"/>
  <c r="K49" i="2" s="1"/>
  <c r="AK100" i="7" l="1"/>
  <c r="AI100" i="7"/>
  <c r="K47" i="7" s="1"/>
  <c r="K51" i="7" s="1"/>
  <c r="K53" i="7" s="1"/>
  <c r="AI100" i="6"/>
  <c r="K47" i="6" s="1"/>
  <c r="K51" i="6" s="1"/>
  <c r="K53" i="6" s="1"/>
  <c r="AK100" i="6"/>
  <c r="K20" i="2"/>
  <c r="K18" i="2"/>
  <c r="K16" i="2"/>
  <c r="K14" i="2"/>
  <c r="K12" i="2"/>
  <c r="H28" i="2" l="1"/>
  <c r="D37" i="2"/>
  <c r="C151" i="2" s="1"/>
  <c r="B152" i="2" l="1"/>
  <c r="C83" i="2"/>
  <c r="C149" i="2"/>
  <c r="C147" i="2"/>
  <c r="C145" i="2"/>
  <c r="C143" i="2"/>
  <c r="C141" i="2"/>
  <c r="C139" i="2"/>
  <c r="C137" i="2"/>
  <c r="C135" i="2"/>
  <c r="C133" i="2"/>
  <c r="C131" i="2"/>
  <c r="C129" i="2"/>
  <c r="C127" i="2"/>
  <c r="C125" i="2"/>
  <c r="C123" i="2"/>
  <c r="C121" i="2"/>
  <c r="C119" i="2"/>
  <c r="C117" i="2"/>
  <c r="C115" i="2"/>
  <c r="C113" i="2"/>
  <c r="C111" i="2"/>
  <c r="C109" i="2"/>
  <c r="C107" i="2"/>
  <c r="C105" i="2"/>
  <c r="C103" i="2"/>
  <c r="C101" i="2"/>
  <c r="C99" i="2"/>
  <c r="C97" i="2"/>
  <c r="C95" i="2"/>
  <c r="C93" i="2"/>
  <c r="C91" i="2"/>
  <c r="C89" i="2"/>
  <c r="C87" i="2"/>
  <c r="C85" i="2"/>
  <c r="C150" i="2"/>
  <c r="C148" i="2"/>
  <c r="C146" i="2"/>
  <c r="C144" i="2"/>
  <c r="C142" i="2"/>
  <c r="C140" i="2"/>
  <c r="C138" i="2"/>
  <c r="C136" i="2"/>
  <c r="C134" i="2"/>
  <c r="C132" i="2"/>
  <c r="C130" i="2"/>
  <c r="C128" i="2"/>
  <c r="C126" i="2"/>
  <c r="C124" i="2"/>
  <c r="C122" i="2"/>
  <c r="C120" i="2"/>
  <c r="C118" i="2"/>
  <c r="C116" i="2"/>
  <c r="C114" i="2"/>
  <c r="C112" i="2"/>
  <c r="C110" i="2"/>
  <c r="C108" i="2"/>
  <c r="C106" i="2"/>
  <c r="C104" i="2"/>
  <c r="C102" i="2"/>
  <c r="C100" i="2"/>
  <c r="C98" i="2"/>
  <c r="C96" i="2"/>
  <c r="C94" i="2"/>
  <c r="C92" i="2"/>
  <c r="C90" i="2"/>
  <c r="C88" i="2"/>
  <c r="C86" i="2"/>
  <c r="C84" i="2"/>
  <c r="C152" i="2" l="1"/>
  <c r="D39" i="2" s="1"/>
  <c r="D41" i="2" s="1"/>
  <c r="D43" i="2" l="1"/>
  <c r="D45" i="2" s="1"/>
  <c r="AI68" i="2" l="1"/>
  <c r="AK99" i="2"/>
  <c r="AK95" i="2"/>
  <c r="AK91" i="2"/>
  <c r="AK87" i="2"/>
  <c r="AK83" i="2"/>
  <c r="AK79" i="2"/>
  <c r="AK75" i="2"/>
  <c r="AK71" i="2"/>
  <c r="AI99" i="2"/>
  <c r="AI95" i="2"/>
  <c r="AI91" i="2"/>
  <c r="AI87" i="2"/>
  <c r="AI83" i="2"/>
  <c r="AI79" i="2"/>
  <c r="AI75" i="2"/>
  <c r="AI71" i="2"/>
  <c r="AK98" i="2"/>
  <c r="AK94" i="2"/>
  <c r="AK90" i="2"/>
  <c r="AK86" i="2"/>
  <c r="AK82" i="2"/>
  <c r="AK78" i="2"/>
  <c r="AK74" i="2"/>
  <c r="AK70" i="2"/>
  <c r="AI98" i="2"/>
  <c r="AI94" i="2"/>
  <c r="AI90" i="2"/>
  <c r="AI86" i="2"/>
  <c r="AI82" i="2"/>
  <c r="AI78" i="2"/>
  <c r="AI74" i="2"/>
  <c r="AI70" i="2"/>
  <c r="AK97" i="2"/>
  <c r="AK93" i="2"/>
  <c r="AK89" i="2"/>
  <c r="AK85" i="2"/>
  <c r="AK81" i="2"/>
  <c r="AK77" i="2"/>
  <c r="AK73" i="2"/>
  <c r="AK69" i="2"/>
  <c r="AI97" i="2"/>
  <c r="AI93" i="2"/>
  <c r="AI89" i="2"/>
  <c r="AI85" i="2"/>
  <c r="AI81" i="2"/>
  <c r="AI77" i="2"/>
  <c r="AI73" i="2"/>
  <c r="AI69" i="2"/>
  <c r="AK96" i="2"/>
  <c r="AK92" i="2"/>
  <c r="AK88" i="2"/>
  <c r="AK84" i="2"/>
  <c r="AK80" i="2"/>
  <c r="AK76" i="2"/>
  <c r="AK72" i="2"/>
  <c r="AK68" i="2"/>
  <c r="AI96" i="2"/>
  <c r="AI92" i="2"/>
  <c r="AI88" i="2"/>
  <c r="AI84" i="2"/>
  <c r="AI80" i="2"/>
  <c r="AI76" i="2"/>
  <c r="AI72" i="2"/>
  <c r="AI100" i="2" l="1"/>
  <c r="AK100" i="2"/>
  <c r="K47" i="2" l="1"/>
  <c r="K51" i="2" s="1"/>
  <c r="K53" i="2" s="1"/>
</calcChain>
</file>

<file path=xl/sharedStrings.xml><?xml version="1.0" encoding="utf-8"?>
<sst xmlns="http://schemas.openxmlformats.org/spreadsheetml/2006/main" count="258" uniqueCount="75">
  <si>
    <t>Project:</t>
  </si>
  <si>
    <t>Rev.</t>
  </si>
  <si>
    <t>Client:</t>
  </si>
  <si>
    <t>Date :</t>
  </si>
  <si>
    <t>Job No:</t>
  </si>
  <si>
    <t>Prep. By:</t>
  </si>
  <si>
    <t>Doc No:</t>
  </si>
  <si>
    <t>Chkd. By:</t>
  </si>
  <si>
    <t>The Temperature used for calculating skirt expansion are taken from the equation below:</t>
  </si>
  <si>
    <t>Where</t>
  </si>
  <si>
    <t>[mm]</t>
  </si>
  <si>
    <t>TEMPERATURE PROFILE - VESSEL SKIRT</t>
  </si>
  <si>
    <t>Skirt wall thickness "t" [mm]</t>
  </si>
  <si>
    <t>Skirt Height "h" [mm]</t>
  </si>
  <si>
    <t>K</t>
  </si>
  <si>
    <t>CS</t>
  </si>
  <si>
    <t>SS</t>
  </si>
  <si>
    <t>INPUT DATA :</t>
  </si>
  <si>
    <t>STRESS SYSTEM NO:</t>
  </si>
  <si>
    <t>AREA:</t>
  </si>
  <si>
    <t>Temperature
[°C]</t>
  </si>
  <si>
    <t>SKIRT TOP NODE NO:</t>
  </si>
  <si>
    <t>Temperature
[°F]</t>
  </si>
  <si>
    <t>[mm/mm]</t>
  </si>
  <si>
    <t xml:space="preserve">F = </t>
  </si>
  <si>
    <t xml:space="preserve">Insulation Constant "K"     </t>
  </si>
  <si>
    <t xml:space="preserve"> Total Linear Thermal Expansion Between 70°F (21.11°C) and Indicated Temperature of CS
 "e" [in/100ft]</t>
  </si>
  <si>
    <t xml:space="preserve"> Total Linear Thermal Expansion Between 70°F (21.11°C) and Indicated Temperature of CS
 "e" [mm/mm]</t>
  </si>
  <si>
    <t xml:space="preserve"> Total Linear Thermal Expansion Between 70°F (21.11°C) and Indicated Temperature of SS
 "e" [in/100ft]</t>
  </si>
  <si>
    <t xml:space="preserve"> Total Linear Thermal Expansion Between 70°F (21.11°C) and Indicated Temperature of SS
 "e" [mm/mm]</t>
  </si>
  <si>
    <t>EQUIPMENT NO:</t>
  </si>
  <si>
    <t xml:space="preserve"> [ft]</t>
  </si>
  <si>
    <t xml:space="preserve"> [in]</t>
  </si>
  <si>
    <r>
      <t>T - T</t>
    </r>
    <r>
      <rPr>
        <vertAlign val="subscript"/>
        <sz val="14"/>
        <rFont val="Trebuchet MS"/>
        <family val="2"/>
      </rPr>
      <t>a</t>
    </r>
  </si>
  <si>
    <t>F ( ∆T )</t>
  </si>
  <si>
    <t>TYPE</t>
  </si>
  <si>
    <t>SKIRT FULLY INSULATED</t>
  </si>
  <si>
    <t>SKIRT FIREBACK INSULATED</t>
  </si>
  <si>
    <t>SKIRT NOT INSULATED</t>
  </si>
  <si>
    <t>MATERIAL</t>
  </si>
  <si>
    <r>
      <t>Inetrpolation for "CS" Material @ T</t>
    </r>
    <r>
      <rPr>
        <b/>
        <vertAlign val="subscript"/>
        <sz val="10"/>
        <rFont val="Trebuchet MS"/>
        <family val="2"/>
      </rPr>
      <t>a</t>
    </r>
    <r>
      <rPr>
        <b/>
        <sz val="10"/>
        <rFont val="Trebuchet MS"/>
        <family val="2"/>
      </rPr>
      <t xml:space="preserve"> </t>
    </r>
  </si>
  <si>
    <r>
      <t>Inetrpolation for "SS" Material @ T</t>
    </r>
    <r>
      <rPr>
        <b/>
        <vertAlign val="subscript"/>
        <sz val="10"/>
        <rFont val="Trebuchet MS"/>
        <family val="2"/>
      </rPr>
      <t>a</t>
    </r>
    <r>
      <rPr>
        <b/>
        <sz val="10"/>
        <rFont val="Trebuchet MS"/>
        <family val="2"/>
      </rPr>
      <t xml:space="preserve"> </t>
    </r>
  </si>
  <si>
    <t>F</t>
  </si>
  <si>
    <t>INTERPOLATED "F"</t>
  </si>
  <si>
    <r>
      <t>KH/(T)^</t>
    </r>
    <r>
      <rPr>
        <b/>
        <vertAlign val="superscript"/>
        <sz val="10"/>
        <rFont val="Arial"/>
        <family val="2"/>
      </rPr>
      <t>.5</t>
    </r>
  </si>
  <si>
    <r>
      <t>Kh/t</t>
    </r>
    <r>
      <rPr>
        <vertAlign val="superscript"/>
        <sz val="14"/>
        <rFont val="Trebuchet MS"/>
        <family val="2"/>
      </rPr>
      <t>0.5</t>
    </r>
    <r>
      <rPr>
        <sz val="14"/>
        <rFont val="Trebuchet MS"/>
        <family val="2"/>
      </rPr>
      <t xml:space="preserve"> =  </t>
    </r>
  </si>
  <si>
    <t>∆T=</t>
  </si>
  <si>
    <r>
      <t>[</t>
    </r>
    <r>
      <rPr>
        <vertAlign val="superscript"/>
        <sz val="14"/>
        <rFont val="Trebuchet MS"/>
        <family val="2"/>
      </rPr>
      <t>O</t>
    </r>
    <r>
      <rPr>
        <sz val="14"/>
        <rFont val="Trebuchet MS"/>
        <family val="2"/>
      </rPr>
      <t>F]</t>
    </r>
  </si>
  <si>
    <r>
      <t>Temperature at Top of skirt "</t>
    </r>
    <r>
      <rPr>
        <sz val="14"/>
        <color theme="1"/>
        <rFont val="Trebuchet MS"/>
        <family val="2"/>
      </rPr>
      <t>T" [</t>
    </r>
    <r>
      <rPr>
        <vertAlign val="superscript"/>
        <sz val="14"/>
        <color theme="1"/>
        <rFont val="Trebuchet MS"/>
        <family val="2"/>
      </rPr>
      <t>O</t>
    </r>
    <r>
      <rPr>
        <sz val="14"/>
        <color theme="1"/>
        <rFont val="Trebuchet MS"/>
        <family val="2"/>
      </rPr>
      <t>C] 
{Input Equipment Design Temperature}</t>
    </r>
  </si>
  <si>
    <t xml:space="preserve">Skirt Material </t>
  </si>
  <si>
    <r>
      <t>[</t>
    </r>
    <r>
      <rPr>
        <vertAlign val="superscript"/>
        <sz val="14"/>
        <rFont val="CG Times"/>
        <family val="1"/>
      </rPr>
      <t>O</t>
    </r>
    <r>
      <rPr>
        <sz val="14"/>
        <rFont val="CG Times"/>
        <family val="1"/>
      </rPr>
      <t>C]</t>
    </r>
  </si>
  <si>
    <r>
      <t>Ambient/Installation Temperature "</t>
    </r>
    <r>
      <rPr>
        <sz val="14"/>
        <color theme="1"/>
        <rFont val="Trebuchet MS"/>
        <family val="2"/>
      </rPr>
      <t>T</t>
    </r>
    <r>
      <rPr>
        <vertAlign val="subscript"/>
        <sz val="14"/>
        <color theme="1"/>
        <rFont val="Trebuchet MS"/>
        <family val="2"/>
      </rPr>
      <t>a</t>
    </r>
    <r>
      <rPr>
        <sz val="14"/>
        <color theme="1"/>
        <rFont val="Trebuchet MS"/>
        <family val="2"/>
      </rPr>
      <t>" [</t>
    </r>
    <r>
      <rPr>
        <vertAlign val="superscript"/>
        <sz val="14"/>
        <color theme="1"/>
        <rFont val="Trebuchet MS"/>
        <family val="2"/>
      </rPr>
      <t>O</t>
    </r>
    <r>
      <rPr>
        <sz val="14"/>
        <color theme="1"/>
        <rFont val="Trebuchet MS"/>
        <family val="2"/>
      </rPr>
      <t>C]</t>
    </r>
  </si>
  <si>
    <r>
      <t>Linear Thermal Expansion at Temp. T</t>
    </r>
    <r>
      <rPr>
        <vertAlign val="subscript"/>
        <sz val="14"/>
        <rFont val="Trebuchet MS"/>
        <family val="2"/>
      </rPr>
      <t xml:space="preserve">a </t>
    </r>
    <r>
      <rPr>
        <sz val="14"/>
        <rFont val="Trebuchet MS"/>
        <family val="2"/>
      </rPr>
      <t>(</t>
    </r>
    <r>
      <rPr>
        <vertAlign val="superscript"/>
        <sz val="14"/>
        <rFont val="Trebuchet MS"/>
        <family val="2"/>
      </rPr>
      <t>O</t>
    </r>
    <r>
      <rPr>
        <sz val="14"/>
        <rFont val="Trebuchet MS"/>
        <family val="2"/>
      </rPr>
      <t>C), e</t>
    </r>
    <r>
      <rPr>
        <vertAlign val="subscript"/>
        <sz val="14"/>
        <rFont val="Trebuchet MS"/>
        <family val="2"/>
      </rPr>
      <t>Ta</t>
    </r>
    <r>
      <rPr>
        <sz val="14"/>
        <rFont val="Trebuchet MS"/>
        <family val="2"/>
      </rPr>
      <t xml:space="preserve">= </t>
    </r>
  </si>
  <si>
    <t>INETRPOLATED VALUE</t>
  </si>
  <si>
    <t>REFERENCE:</t>
  </si>
  <si>
    <t xml:space="preserve">The formula used for Vessel Skirt Expansion calculation is as per "Piping &amp; Pipeline Assessment Guide" by Keith Escoe </t>
  </si>
  <si>
    <r>
      <t>Average Skirt Temperature,T'  [</t>
    </r>
    <r>
      <rPr>
        <vertAlign val="superscript"/>
        <sz val="14"/>
        <rFont val="Trebuchet MS"/>
        <family val="2"/>
      </rPr>
      <t>O</t>
    </r>
    <r>
      <rPr>
        <sz val="14"/>
        <rFont val="Trebuchet MS"/>
        <family val="2"/>
      </rPr>
      <t xml:space="preserve">F] =   </t>
    </r>
  </si>
  <si>
    <t>∆T'=</t>
  </si>
  <si>
    <t>T'=</t>
  </si>
  <si>
    <r>
      <t>Linear Thermal Expansion at Temp. T'</t>
    </r>
    <r>
      <rPr>
        <vertAlign val="subscript"/>
        <sz val="14"/>
        <rFont val="Trebuchet MS"/>
        <family val="2"/>
      </rPr>
      <t xml:space="preserve"> </t>
    </r>
    <r>
      <rPr>
        <sz val="14"/>
        <rFont val="Trebuchet MS"/>
        <family val="2"/>
      </rPr>
      <t>(</t>
    </r>
    <r>
      <rPr>
        <vertAlign val="superscript"/>
        <sz val="14"/>
        <rFont val="Trebuchet MS"/>
        <family val="2"/>
      </rPr>
      <t>O</t>
    </r>
    <r>
      <rPr>
        <sz val="14"/>
        <rFont val="Trebuchet MS"/>
        <family val="2"/>
      </rPr>
      <t>C), e</t>
    </r>
    <r>
      <rPr>
        <vertAlign val="subscript"/>
        <sz val="14"/>
        <rFont val="Trebuchet MS"/>
        <family val="2"/>
      </rPr>
      <t>T'</t>
    </r>
    <r>
      <rPr>
        <sz val="14"/>
        <rFont val="Trebuchet MS"/>
        <family val="2"/>
      </rPr>
      <t xml:space="preserve">= </t>
    </r>
  </si>
  <si>
    <r>
      <t>Total Linear Thermal Expansion e</t>
    </r>
    <r>
      <rPr>
        <vertAlign val="subscript"/>
        <sz val="14"/>
        <rFont val="Trebuchet MS"/>
        <family val="2"/>
      </rPr>
      <t>T'</t>
    </r>
    <r>
      <rPr>
        <sz val="14"/>
        <rFont val="Trebuchet MS"/>
        <family val="2"/>
      </rPr>
      <t>-e</t>
    </r>
    <r>
      <rPr>
        <vertAlign val="subscript"/>
        <sz val="14"/>
        <rFont val="Trebuchet MS"/>
        <family val="2"/>
      </rPr>
      <t>Ta</t>
    </r>
    <r>
      <rPr>
        <sz val="14"/>
        <rFont val="Trebuchet MS"/>
        <family val="2"/>
      </rPr>
      <t xml:space="preserve">= </t>
    </r>
  </si>
  <si>
    <r>
      <t>∆T' +</t>
    </r>
    <r>
      <rPr>
        <vertAlign val="subscript"/>
        <sz val="14"/>
        <rFont val="Trebuchet MS"/>
        <family val="2"/>
      </rPr>
      <t xml:space="preserve"> </t>
    </r>
    <r>
      <rPr>
        <sz val="14"/>
        <rFont val="Trebuchet MS"/>
        <family val="2"/>
      </rPr>
      <t>T</t>
    </r>
    <r>
      <rPr>
        <vertAlign val="subscript"/>
        <sz val="14"/>
        <rFont val="Trebuchet MS"/>
        <family val="2"/>
      </rPr>
      <t>a</t>
    </r>
  </si>
  <si>
    <t>Inetrpolation for "CS" Material @ T'</t>
  </si>
  <si>
    <t>Inetrpolation for "SS" Material @ T'</t>
  </si>
  <si>
    <t>Temperature Correction Factor (Considered as per Attached Graph)</t>
  </si>
  <si>
    <t>UK</t>
  </si>
  <si>
    <t>JI-2043</t>
  </si>
  <si>
    <t>SONATRACH</t>
  </si>
  <si>
    <t>TINRHERT</t>
  </si>
  <si>
    <t>ERS</t>
  </si>
  <si>
    <t>V-307C</t>
  </si>
  <si>
    <t>Future Compressor</t>
  </si>
  <si>
    <t>Attachment to                                   08572-TRHT-RT-PI-00-OO-313</t>
  </si>
  <si>
    <t>17/06/2020</t>
  </si>
  <si>
    <t>SYS-177A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</si>
</sst>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&quot;£&quot;#,##0;[Red]\-&quot;£&quot;#,##0"/>
    <numFmt numFmtId="165" formatCode="&quot;£&quot;#,##0.00;[Red]\-&quot;£&quot;#,##0.00"/>
    <numFmt numFmtId="166" formatCode="_-* #,##0_-;\-* #,##0_-;_-* &quot;-&quot;_-;_-@_-"/>
    <numFmt numFmtId="167" formatCode="_-* #,##0.00_-;\-* #,##0.00_-;_-* &quot;-&quot;??_-;_-@_-"/>
    <numFmt numFmtId="168" formatCode="0.0"/>
    <numFmt numFmtId="169" formatCode="0.00_)"/>
    <numFmt numFmtId="170" formatCode="&quot;$&quot;#,##0;\-&quot;$&quot;#,##0"/>
    <numFmt numFmtId="171" formatCode="#,##0.0_);\(#,##0.0\)"/>
    <numFmt numFmtId="172" formatCode="mm/dd/yy"/>
    <numFmt numFmtId="173" formatCode="&quot;$&quot;#,##0.0000_);\(&quot;$&quot;#,##0.0000\)"/>
    <numFmt numFmtId="174" formatCode="_-* #,##0\ &quot;F&quot;_-;\-* #,##0\ &quot;F&quot;_-;_-* &quot;-&quot;\ &quot;F&quot;_-;_-@_-"/>
    <numFmt numFmtId="175" formatCode="_-* #,##0\ _F_-;\-* #,##0\ _F_-;_-* &quot;-&quot;\ _F_-;_-@_-"/>
    <numFmt numFmtId="176" formatCode="_-* #,##0.00\ &quot;F&quot;_-;\-* #,##0.00\ &quot;F&quot;_-;_-* &quot;-&quot;??\ &quot;F&quot;_-;_-@_-"/>
    <numFmt numFmtId="177" formatCode="_-* #,##0.00\ _F_-;\-* #,##0.00\ _F_-;_-* &quot;-&quot;??\ _F_-;_-@_-"/>
    <numFmt numFmtId="178" formatCode="0.000000"/>
    <numFmt numFmtId="179" formatCode="0.000"/>
  </numFmts>
  <fonts count="50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Trebuchet MS"/>
      <family val="2"/>
    </font>
    <font>
      <sz val="11"/>
      <name val="Trebuchet MS"/>
      <family val="2"/>
    </font>
    <font>
      <b/>
      <sz val="11"/>
      <name val="Trebuchet MS"/>
      <family val="2"/>
    </font>
    <font>
      <sz val="10"/>
      <name val="Arial"/>
      <family val="2"/>
    </font>
    <font>
      <sz val="8"/>
      <name val="Times New Roman"/>
      <family val="1"/>
    </font>
    <font>
      <sz val="10"/>
      <name val="MS Serif"/>
      <family val="1"/>
    </font>
    <font>
      <sz val="10"/>
      <name val="Courier"/>
      <family val="3"/>
    </font>
    <font>
      <sz val="10"/>
      <color indexed="16"/>
      <name val="MS Serif"/>
      <family val="1"/>
    </font>
    <font>
      <sz val="10"/>
      <name val="Times New Roman"/>
      <family val="1"/>
    </font>
    <font>
      <sz val="8"/>
      <name val="Arial"/>
      <family val="2"/>
    </font>
    <font>
      <b/>
      <sz val="12"/>
      <name val="Arial"/>
      <family val="2"/>
    </font>
    <font>
      <sz val="10"/>
      <color indexed="12"/>
      <name val="Arial"/>
      <family val="2"/>
    </font>
    <font>
      <sz val="12"/>
      <name val="Helv"/>
    </font>
    <font>
      <sz val="12"/>
      <color indexed="9"/>
      <name val="Helv"/>
    </font>
    <font>
      <b/>
      <i/>
      <sz val="16"/>
      <name val="Helv"/>
    </font>
    <font>
      <sz val="10"/>
      <name val="Tms Rmn"/>
    </font>
    <font>
      <sz val="10"/>
      <name val="MS Sans Serif"/>
      <family val="2"/>
    </font>
    <font>
      <sz val="8"/>
      <name val="Helv"/>
    </font>
    <font>
      <sz val="8"/>
      <name val="Arial MT"/>
    </font>
    <font>
      <b/>
      <sz val="8"/>
      <color indexed="8"/>
      <name val="Helv"/>
    </font>
    <font>
      <i/>
      <sz val="10"/>
      <color indexed="39"/>
      <name val="Times New Roman"/>
      <family val="1"/>
    </font>
    <font>
      <i/>
      <sz val="12"/>
      <name val="Trebuchet MS"/>
      <family val="2"/>
    </font>
    <font>
      <sz val="12"/>
      <name val="CG Times"/>
      <family val="1"/>
    </font>
    <font>
      <sz val="12"/>
      <name val="Trebuchet MS"/>
      <family val="2"/>
    </font>
    <font>
      <b/>
      <u/>
      <sz val="12"/>
      <name val="Trebuchet MS"/>
      <family val="2"/>
    </font>
    <font>
      <sz val="8"/>
      <name val="Arial Narrow"/>
      <family val="2"/>
    </font>
    <font>
      <b/>
      <sz val="14"/>
      <name val="Times New Roman"/>
      <family val="1"/>
    </font>
    <font>
      <b/>
      <sz val="14"/>
      <name val="Trebuchet MS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sz val="14"/>
      <name val="Trebuchet MS"/>
      <family val="2"/>
    </font>
    <font>
      <vertAlign val="superscript"/>
      <sz val="14"/>
      <name val="Trebuchet MS"/>
      <family val="2"/>
    </font>
    <font>
      <sz val="14"/>
      <color theme="1"/>
      <name val="Trebuchet MS"/>
      <family val="2"/>
    </font>
    <font>
      <sz val="12"/>
      <name val="Arial"/>
      <family val="2"/>
    </font>
    <font>
      <vertAlign val="subscript"/>
      <sz val="14"/>
      <name val="Trebuchet MS"/>
      <family val="2"/>
    </font>
    <font>
      <sz val="14"/>
      <name val="CG Times"/>
      <family val="1"/>
    </font>
    <font>
      <sz val="14"/>
      <name val="Arial"/>
      <family val="2"/>
    </font>
    <font>
      <sz val="14"/>
      <name val="Times New Roman"/>
      <family val="1"/>
    </font>
    <font>
      <b/>
      <u/>
      <sz val="14"/>
      <name val="Trebuchet MS"/>
      <family val="2"/>
    </font>
    <font>
      <sz val="10"/>
      <name val="Calibri"/>
      <family val="2"/>
    </font>
    <font>
      <b/>
      <sz val="11"/>
      <color theme="1"/>
      <name val="Calibri"/>
      <family val="2"/>
      <scheme val="minor"/>
    </font>
    <font>
      <b/>
      <vertAlign val="subscript"/>
      <sz val="10"/>
      <name val="Trebuchet MS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vertAlign val="superscript"/>
      <sz val="14"/>
      <color theme="1"/>
      <name val="Trebuchet MS"/>
      <family val="2"/>
    </font>
    <font>
      <vertAlign val="superscript"/>
      <sz val="14"/>
      <name val="CG Times"/>
      <family val="1"/>
    </font>
    <font>
      <vertAlign val="subscript"/>
      <sz val="14"/>
      <color theme="1"/>
      <name val="Trebuchet MS"/>
      <family val="2"/>
    </font>
    <font>
      <sz val="10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C000"/>
        <bgColor indexed="64"/>
      </patternFill>
    </fill>
  </fills>
  <borders count="27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1" fillId="0" borderId="0"/>
    <xf numFmtId="0" fontId="6" fillId="0" borderId="0">
      <alignment horizontal="center" wrapText="1"/>
      <protection locked="0"/>
    </xf>
    <xf numFmtId="0" fontId="5" fillId="0" borderId="0" applyFill="0" applyBorder="0">
      <alignment vertical="center"/>
    </xf>
    <xf numFmtId="173" fontId="5" fillId="0" borderId="0" applyFill="0" applyBorder="0" applyAlignment="0"/>
    <xf numFmtId="0" fontId="7" fillId="0" borderId="0" applyNumberFormat="0" applyAlignment="0">
      <alignment horizontal="left"/>
    </xf>
    <xf numFmtId="0" fontId="8" fillId="0" borderId="0" applyNumberFormat="0" applyAlignment="0"/>
    <xf numFmtId="165" fontId="5" fillId="0" borderId="0" applyFill="0" applyBorder="0" applyAlignment="0" applyProtection="0"/>
    <xf numFmtId="164" fontId="5" fillId="0" borderId="0" applyFill="0" applyBorder="0" applyAlignment="0" applyProtection="0"/>
    <xf numFmtId="0" fontId="9" fillId="0" borderId="0" applyNumberFormat="0" applyAlignment="0">
      <alignment horizontal="left"/>
    </xf>
    <xf numFmtId="0" fontId="10" fillId="0" borderId="1" applyNumberFormat="0" applyFill="0" applyBorder="0" applyAlignment="0" applyProtection="0">
      <protection locked="0"/>
    </xf>
    <xf numFmtId="38" fontId="11" fillId="2" borderId="0" applyNumberFormat="0" applyBorder="0" applyAlignment="0" applyProtection="0"/>
    <xf numFmtId="0" fontId="12" fillId="0" borderId="2" applyNumberFormat="0" applyAlignment="0" applyProtection="0">
      <alignment horizontal="left" vertical="center"/>
    </xf>
    <xf numFmtId="0" fontId="12" fillId="0" borderId="3">
      <alignment horizontal="left" vertical="center"/>
    </xf>
    <xf numFmtId="0" fontId="12" fillId="0" borderId="0"/>
    <xf numFmtId="10" fontId="11" fillId="3" borderId="4" applyNumberFormat="0" applyBorder="0" applyAlignment="0" applyProtection="0"/>
    <xf numFmtId="0" fontId="13" fillId="0" borderId="0">
      <alignment horizontal="center"/>
    </xf>
    <xf numFmtId="171" fontId="14" fillId="4" borderId="0"/>
    <xf numFmtId="171" fontId="15" fillId="5" borderId="0"/>
    <xf numFmtId="175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69" fontId="16" fillId="0" borderId="0"/>
    <xf numFmtId="0" fontId="5" fillId="0" borderId="0"/>
    <xf numFmtId="168" fontId="13" fillId="0" borderId="0">
      <alignment horizontal="center"/>
    </xf>
    <xf numFmtId="167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4" fontId="6" fillId="0" borderId="0">
      <alignment horizontal="center" wrapText="1"/>
      <protection locked="0"/>
    </xf>
    <xf numFmtId="10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70" fontId="17" fillId="0" borderId="0"/>
    <xf numFmtId="0" fontId="18" fillId="0" borderId="0" applyNumberFormat="0" applyFont="0" applyFill="0" applyBorder="0" applyAlignment="0" applyProtection="0">
      <alignment horizontal="left"/>
    </xf>
    <xf numFmtId="172" fontId="19" fillId="0" borderId="0" applyNumberFormat="0" applyFill="0" applyBorder="0" applyAlignment="0" applyProtection="0">
      <alignment horizontal="left"/>
    </xf>
    <xf numFmtId="0" fontId="20" fillId="0" borderId="5" applyAlignment="0">
      <alignment horizontal="left"/>
    </xf>
    <xf numFmtId="40" fontId="21" fillId="0" borderId="0" applyBorder="0">
      <alignment horizontal="right"/>
    </xf>
    <xf numFmtId="168" fontId="22" fillId="0" borderId="0" applyNumberFormat="0" applyFont="0" applyFill="0" applyAlignment="0"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24" fillId="0" borderId="0"/>
    <xf numFmtId="0" fontId="5" fillId="0" borderId="0"/>
    <xf numFmtId="0" fontId="30" fillId="0" borderId="23" applyFill="0" applyBorder="0"/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</cellStyleXfs>
  <cellXfs count="223">
    <xf numFmtId="0" fontId="0" fillId="0" borderId="0" xfId="0"/>
    <xf numFmtId="0" fontId="23" fillId="0" borderId="12" xfId="44" applyFont="1" applyBorder="1" applyAlignment="1" applyProtection="1">
      <alignment horizontal="right" vertical="center"/>
      <protection hidden="1"/>
    </xf>
    <xf numFmtId="0" fontId="23" fillId="0" borderId="17" xfId="44" applyFont="1" applyBorder="1" applyAlignment="1" applyProtection="1">
      <alignment horizontal="right" vertical="center"/>
      <protection hidden="1"/>
    </xf>
    <xf numFmtId="0" fontId="23" fillId="0" borderId="18" xfId="44" applyFont="1" applyBorder="1" applyAlignment="1" applyProtection="1">
      <alignment horizontal="right" vertical="center"/>
      <protection hidden="1"/>
    </xf>
    <xf numFmtId="2" fontId="25" fillId="8" borderId="4" xfId="0" applyNumberFormat="1" applyFont="1" applyFill="1" applyBorder="1" applyAlignment="1" applyProtection="1">
      <alignment horizontal="center" vertical="center"/>
      <protection hidden="1"/>
    </xf>
    <xf numFmtId="178" fontId="25" fillId="8" borderId="4" xfId="0" applyNumberFormat="1" applyFont="1" applyFill="1" applyBorder="1" applyAlignment="1" applyProtection="1">
      <alignment horizontal="center" vertical="center"/>
      <protection hidden="1"/>
    </xf>
    <xf numFmtId="0" fontId="32" fillId="7" borderId="4" xfId="45" applyFont="1" applyFill="1" applyBorder="1" applyAlignment="1" applyProtection="1">
      <alignment horizontal="right" vertical="center"/>
      <protection hidden="1"/>
    </xf>
    <xf numFmtId="0" fontId="5" fillId="0" borderId="0" xfId="46" applyProtection="1">
      <protection hidden="1"/>
    </xf>
    <xf numFmtId="0" fontId="5" fillId="0" borderId="17" xfId="45" applyFont="1" applyBorder="1" applyProtection="1">
      <protection hidden="1"/>
    </xf>
    <xf numFmtId="0" fontId="5" fillId="0" borderId="0" xfId="45" applyFont="1" applyProtection="1">
      <protection hidden="1"/>
    </xf>
    <xf numFmtId="0" fontId="24" fillId="0" borderId="0" xfId="45" applyBorder="1" applyProtection="1">
      <protection hidden="1"/>
    </xf>
    <xf numFmtId="0" fontId="24" fillId="0" borderId="1" xfId="45" applyBorder="1" applyProtection="1">
      <protection hidden="1"/>
    </xf>
    <xf numFmtId="0" fontId="28" fillId="0" borderId="24" xfId="45" applyFont="1" applyBorder="1" applyProtection="1">
      <protection hidden="1"/>
    </xf>
    <xf numFmtId="0" fontId="28" fillId="0" borderId="0" xfId="45" applyFont="1" applyBorder="1" applyProtection="1">
      <protection hidden="1"/>
    </xf>
    <xf numFmtId="0" fontId="28" fillId="0" borderId="17" xfId="45" applyFont="1" applyBorder="1" applyProtection="1">
      <protection hidden="1"/>
    </xf>
    <xf numFmtId="0" fontId="5" fillId="0" borderId="0" xfId="45" applyFont="1" applyAlignment="1" applyProtection="1">
      <alignment horizontal="center"/>
      <protection hidden="1"/>
    </xf>
    <xf numFmtId="0" fontId="40" fillId="0" borderId="24" xfId="45" applyFont="1" applyBorder="1" applyProtection="1">
      <protection hidden="1"/>
    </xf>
    <xf numFmtId="0" fontId="24" fillId="0" borderId="0" xfId="45" applyBorder="1" applyAlignment="1" applyProtection="1">
      <alignment horizontal="center"/>
      <protection hidden="1"/>
    </xf>
    <xf numFmtId="0" fontId="5" fillId="0" borderId="24" xfId="45" applyFont="1" applyBorder="1" applyProtection="1">
      <protection hidden="1"/>
    </xf>
    <xf numFmtId="0" fontId="37" fillId="0" borderId="0" xfId="45" applyFont="1" applyBorder="1" applyAlignment="1" applyProtection="1">
      <alignment horizontal="center"/>
      <protection hidden="1"/>
    </xf>
    <xf numFmtId="0" fontId="37" fillId="0" borderId="24" xfId="45" applyFont="1" applyBorder="1" applyAlignment="1" applyProtection="1">
      <protection hidden="1"/>
    </xf>
    <xf numFmtId="0" fontId="37" fillId="0" borderId="0" xfId="45" applyFont="1" applyBorder="1" applyAlignment="1" applyProtection="1">
      <protection hidden="1"/>
    </xf>
    <xf numFmtId="0" fontId="37" fillId="0" borderId="0" xfId="45" applyFont="1" applyBorder="1" applyProtection="1">
      <protection hidden="1"/>
    </xf>
    <xf numFmtId="0" fontId="37" fillId="0" borderId="0" xfId="45" applyFont="1" applyBorder="1" applyAlignment="1" applyProtection="1">
      <alignment horizontal="center" vertical="center"/>
      <protection hidden="1"/>
    </xf>
    <xf numFmtId="0" fontId="24" fillId="0" borderId="0" xfId="45" quotePrefix="1" applyBorder="1" applyProtection="1">
      <protection hidden="1"/>
    </xf>
    <xf numFmtId="168" fontId="24" fillId="0" borderId="0" xfId="45" applyNumberFormat="1" applyBorder="1" applyProtection="1">
      <protection hidden="1"/>
    </xf>
    <xf numFmtId="0" fontId="29" fillId="0" borderId="24" xfId="45" applyFont="1" applyBorder="1" applyProtection="1">
      <protection hidden="1"/>
    </xf>
    <xf numFmtId="0" fontId="28" fillId="0" borderId="0" xfId="45" applyFont="1" applyBorder="1" applyAlignment="1" applyProtection="1">
      <alignment horizontal="center"/>
      <protection hidden="1"/>
    </xf>
    <xf numFmtId="0" fontId="24" fillId="0" borderId="0" xfId="45" applyFont="1" applyBorder="1" applyProtection="1">
      <protection hidden="1"/>
    </xf>
    <xf numFmtId="0" fontId="32" fillId="0" borderId="0" xfId="45" applyFont="1" applyBorder="1" applyAlignment="1" applyProtection="1">
      <protection hidden="1"/>
    </xf>
    <xf numFmtId="0" fontId="32" fillId="0" borderId="0" xfId="45" applyFont="1" applyBorder="1" applyAlignment="1" applyProtection="1">
      <alignment vertical="center"/>
      <protection hidden="1"/>
    </xf>
    <xf numFmtId="0" fontId="32" fillId="0" borderId="0" xfId="45" applyFont="1" applyBorder="1" applyProtection="1">
      <protection hidden="1"/>
    </xf>
    <xf numFmtId="0" fontId="32" fillId="0" borderId="0" xfId="45" applyFont="1" applyBorder="1" applyAlignment="1" applyProtection="1">
      <alignment horizontal="right"/>
      <protection hidden="1"/>
    </xf>
    <xf numFmtId="0" fontId="38" fillId="0" borderId="0" xfId="45" applyFont="1" applyBorder="1" applyProtection="1">
      <protection hidden="1"/>
    </xf>
    <xf numFmtId="0" fontId="39" fillId="0" borderId="24" xfId="45" applyFont="1" applyBorder="1" applyAlignment="1" applyProtection="1">
      <alignment vertical="center" wrapText="1"/>
      <protection hidden="1"/>
    </xf>
    <xf numFmtId="0" fontId="5" fillId="0" borderId="0" xfId="45" applyFont="1" applyBorder="1" applyProtection="1">
      <protection hidden="1"/>
    </xf>
    <xf numFmtId="0" fontId="5" fillId="0" borderId="1" xfId="45" applyFont="1" applyBorder="1" applyProtection="1">
      <protection hidden="1"/>
    </xf>
    <xf numFmtId="0" fontId="39" fillId="0" borderId="0" xfId="45" applyFont="1" applyFill="1" applyBorder="1" applyAlignment="1" applyProtection="1">
      <alignment vertical="center" wrapText="1"/>
      <protection hidden="1"/>
    </xf>
    <xf numFmtId="0" fontId="38" fillId="0" borderId="0" xfId="45" applyFont="1" applyBorder="1" applyAlignment="1" applyProtection="1">
      <alignment horizontal="center"/>
      <protection hidden="1"/>
    </xf>
    <xf numFmtId="0" fontId="35" fillId="0" borderId="0" xfId="45" applyFont="1" applyBorder="1" applyProtection="1">
      <protection hidden="1"/>
    </xf>
    <xf numFmtId="0" fontId="37" fillId="0" borderId="0" xfId="45" applyFont="1" applyBorder="1" applyAlignment="1" applyProtection="1">
      <alignment horizontal="center" vertical="center" wrapText="1"/>
      <protection hidden="1"/>
    </xf>
    <xf numFmtId="0" fontId="32" fillId="0" borderId="24" xfId="45" applyFont="1" applyBorder="1" applyAlignment="1" applyProtection="1">
      <alignment horizontal="right"/>
      <protection hidden="1"/>
    </xf>
    <xf numFmtId="0" fontId="32" fillId="0" borderId="0" xfId="45" applyFont="1" applyBorder="1" applyAlignment="1" applyProtection="1">
      <alignment vertical="center" wrapText="1"/>
      <protection hidden="1"/>
    </xf>
    <xf numFmtId="0" fontId="5" fillId="0" borderId="0" xfId="45" applyFont="1" applyBorder="1" applyAlignment="1" applyProtection="1">
      <alignment horizontal="center"/>
      <protection hidden="1"/>
    </xf>
    <xf numFmtId="0" fontId="5" fillId="0" borderId="25" xfId="45" applyFont="1" applyBorder="1" applyProtection="1">
      <protection hidden="1"/>
    </xf>
    <xf numFmtId="0" fontId="5" fillId="0" borderId="19" xfId="45" applyFont="1" applyBorder="1" applyAlignment="1" applyProtection="1">
      <alignment horizontal="center"/>
      <protection hidden="1"/>
    </xf>
    <xf numFmtId="0" fontId="5" fillId="0" borderId="19" xfId="45" applyFont="1" applyBorder="1" applyProtection="1">
      <protection hidden="1"/>
    </xf>
    <xf numFmtId="0" fontId="5" fillId="0" borderId="22" xfId="45" applyFont="1" applyBorder="1" applyProtection="1">
      <protection hidden="1"/>
    </xf>
    <xf numFmtId="0" fontId="32" fillId="0" borderId="0" xfId="45" applyFont="1" applyFill="1" applyBorder="1" applyAlignment="1" applyProtection="1">
      <alignment vertical="center" wrapText="1"/>
      <protection hidden="1"/>
    </xf>
    <xf numFmtId="0" fontId="39" fillId="0" borderId="0" xfId="45" applyFont="1" applyFill="1" applyBorder="1" applyAlignment="1" applyProtection="1">
      <alignment horizontal="right"/>
      <protection hidden="1"/>
    </xf>
    <xf numFmtId="0" fontId="1" fillId="0" borderId="0" xfId="45" applyFont="1" applyAlignment="1" applyProtection="1">
      <alignment horizontal="center"/>
      <protection hidden="1"/>
    </xf>
    <xf numFmtId="0" fontId="1" fillId="0" borderId="0" xfId="45" applyFont="1" applyAlignment="1" applyProtection="1">
      <alignment horizontal="right"/>
      <protection hidden="1"/>
    </xf>
    <xf numFmtId="178" fontId="1" fillId="0" borderId="0" xfId="45" applyNumberFormat="1" applyFont="1" applyAlignment="1" applyProtection="1">
      <protection hidden="1"/>
    </xf>
    <xf numFmtId="0" fontId="1" fillId="0" borderId="0" xfId="45" applyFont="1" applyProtection="1">
      <protection hidden="1"/>
    </xf>
    <xf numFmtId="178" fontId="5" fillId="0" borderId="0" xfId="45" applyNumberFormat="1" applyFont="1" applyProtection="1">
      <protection hidden="1"/>
    </xf>
    <xf numFmtId="0" fontId="29" fillId="0" borderId="0" xfId="45" applyFont="1" applyProtection="1">
      <protection hidden="1"/>
    </xf>
    <xf numFmtId="178" fontId="5" fillId="0" borderId="0" xfId="45" applyNumberFormat="1" applyFont="1" applyAlignment="1" applyProtection="1">
      <protection hidden="1"/>
    </xf>
    <xf numFmtId="0" fontId="5" fillId="0" borderId="0" xfId="45" applyFont="1" applyAlignment="1" applyProtection="1">
      <alignment horizontal="center" vertical="center"/>
      <protection hidden="1"/>
    </xf>
    <xf numFmtId="0" fontId="32" fillId="0" borderId="0" xfId="45" applyFont="1" applyBorder="1" applyAlignment="1" applyProtection="1">
      <alignment horizontal="right" vertical="center"/>
      <protection hidden="1"/>
    </xf>
    <xf numFmtId="0" fontId="41" fillId="0" borderId="0" xfId="45" applyFont="1" applyProtection="1">
      <protection hidden="1"/>
    </xf>
    <xf numFmtId="0" fontId="32" fillId="0" borderId="0" xfId="45" applyFont="1" applyBorder="1" applyAlignment="1" applyProtection="1">
      <alignment horizontal="center"/>
      <protection hidden="1"/>
    </xf>
    <xf numFmtId="0" fontId="32" fillId="0" borderId="0" xfId="45" applyFont="1" applyFill="1" applyBorder="1" applyAlignment="1" applyProtection="1">
      <alignment horizontal="center" vertical="center"/>
      <protection hidden="1"/>
    </xf>
    <xf numFmtId="0" fontId="4" fillId="0" borderId="4" xfId="45" applyFont="1" applyBorder="1" applyAlignment="1" applyProtection="1">
      <alignment horizontal="center" vertical="center"/>
      <protection hidden="1"/>
    </xf>
    <xf numFmtId="168" fontId="3" fillId="0" borderId="4" xfId="45" applyNumberFormat="1" applyFont="1" applyBorder="1" applyAlignment="1" applyProtection="1">
      <alignment horizontal="center" vertical="center"/>
      <protection hidden="1"/>
    </xf>
    <xf numFmtId="168" fontId="3" fillId="0" borderId="4" xfId="45" applyNumberFormat="1" applyFont="1" applyBorder="1" applyAlignment="1" applyProtection="1">
      <alignment horizontal="left" vertical="center"/>
      <protection hidden="1"/>
    </xf>
    <xf numFmtId="0" fontId="3" fillId="0" borderId="4" xfId="45" applyFont="1" applyBorder="1" applyAlignment="1" applyProtection="1">
      <alignment horizontal="center" vertical="center"/>
      <protection hidden="1"/>
    </xf>
    <xf numFmtId="0" fontId="4" fillId="0" borderId="4" xfId="45" applyFont="1" applyBorder="1" applyAlignment="1" applyProtection="1">
      <alignment horizontal="center"/>
      <protection hidden="1"/>
    </xf>
    <xf numFmtId="0" fontId="32" fillId="0" borderId="10" xfId="45" applyFont="1" applyFill="1" applyBorder="1" applyAlignment="1" applyProtection="1">
      <alignment horizontal="center" vertical="center"/>
      <protection hidden="1"/>
    </xf>
    <xf numFmtId="0" fontId="32" fillId="0" borderId="0" xfId="40" applyFont="1" applyBorder="1" applyAlignment="1" applyProtection="1">
      <alignment horizontal="center" vertical="center"/>
      <protection hidden="1"/>
    </xf>
    <xf numFmtId="2" fontId="25" fillId="0" borderId="0" xfId="0" applyNumberFormat="1" applyFont="1" applyFill="1" applyBorder="1" applyAlignment="1" applyProtection="1">
      <alignment horizontal="center" vertical="center"/>
      <protection hidden="1"/>
    </xf>
    <xf numFmtId="178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32" fillId="0" borderId="4" xfId="40" applyFont="1" applyBorder="1" applyAlignment="1" applyProtection="1">
      <alignment horizontal="right" vertical="center"/>
      <protection hidden="1"/>
    </xf>
    <xf numFmtId="0" fontId="32" fillId="0" borderId="4" xfId="45" applyFont="1" applyBorder="1" applyAlignment="1" applyProtection="1">
      <alignment horizontal="right" vertical="center" wrapText="1"/>
      <protection hidden="1"/>
    </xf>
    <xf numFmtId="0" fontId="39" fillId="0" borderId="24" xfId="45" applyFont="1" applyFill="1" applyBorder="1" applyAlignment="1" applyProtection="1">
      <alignment vertical="center" wrapText="1"/>
      <protection hidden="1"/>
    </xf>
    <xf numFmtId="0" fontId="37" fillId="0" borderId="0" xfId="45" applyFont="1" applyFill="1" applyBorder="1" applyAlignment="1" applyProtection="1">
      <alignment horizontal="center" vertical="center" wrapText="1"/>
      <protection hidden="1"/>
    </xf>
    <xf numFmtId="0" fontId="32" fillId="0" borderId="0" xfId="45" applyFont="1" applyFill="1" applyBorder="1" applyAlignment="1" applyProtection="1">
      <alignment horizontal="right" vertical="center" wrapText="1"/>
      <protection hidden="1"/>
    </xf>
    <xf numFmtId="179" fontId="32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38" fillId="0" borderId="0" xfId="45" applyFont="1" applyFill="1" applyBorder="1" applyProtection="1">
      <protection hidden="1"/>
    </xf>
    <xf numFmtId="0" fontId="38" fillId="0" borderId="0" xfId="45" applyFont="1" applyFill="1" applyBorder="1" applyAlignment="1" applyProtection="1">
      <alignment horizontal="center"/>
      <protection hidden="1"/>
    </xf>
    <xf numFmtId="0" fontId="35" fillId="0" borderId="0" xfId="45" applyFont="1" applyFill="1" applyBorder="1" applyProtection="1">
      <protection hidden="1"/>
    </xf>
    <xf numFmtId="0" fontId="5" fillId="0" borderId="0" xfId="45" applyFont="1" applyFill="1" applyBorder="1" applyProtection="1">
      <protection hidden="1"/>
    </xf>
    <xf numFmtId="0" fontId="5" fillId="0" borderId="1" xfId="45" applyFont="1" applyFill="1" applyBorder="1" applyProtection="1">
      <protection hidden="1"/>
    </xf>
    <xf numFmtId="0" fontId="5" fillId="0" borderId="0" xfId="45" applyFont="1" applyFill="1" applyProtection="1">
      <protection hidden="1"/>
    </xf>
    <xf numFmtId="0" fontId="32" fillId="0" borderId="0" xfId="40" applyFont="1" applyBorder="1" applyAlignment="1" applyProtection="1">
      <alignment horizontal="right" vertical="center" wrapText="1"/>
      <protection hidden="1"/>
    </xf>
    <xf numFmtId="0" fontId="32" fillId="0" borderId="0" xfId="40" applyFont="1" applyBorder="1" applyAlignment="1" applyProtection="1">
      <alignment wrapText="1"/>
      <protection hidden="1"/>
    </xf>
    <xf numFmtId="0" fontId="32" fillId="0" borderId="0" xfId="45" applyFont="1" applyFill="1" applyBorder="1" applyAlignment="1" applyProtection="1">
      <alignment vertical="center"/>
      <protection hidden="1"/>
    </xf>
    <xf numFmtId="1" fontId="32" fillId="0" borderId="3" xfId="0" applyNumberFormat="1" applyFont="1" applyFill="1" applyBorder="1" applyAlignment="1" applyProtection="1">
      <alignment horizontal="right" vertical="center" wrapText="1"/>
      <protection hidden="1"/>
    </xf>
    <xf numFmtId="178" fontId="32" fillId="0" borderId="3" xfId="0" applyNumberFormat="1" applyFont="1" applyFill="1" applyBorder="1" applyAlignment="1" applyProtection="1">
      <alignment horizontal="left" vertical="center"/>
      <protection hidden="1"/>
    </xf>
    <xf numFmtId="0" fontId="44" fillId="0" borderId="4" xfId="45" applyFont="1" applyBorder="1" applyProtection="1">
      <protection hidden="1"/>
    </xf>
    <xf numFmtId="178" fontId="44" fillId="0" borderId="4" xfId="45" applyNumberFormat="1" applyFont="1" applyBorder="1" applyProtection="1">
      <protection hidden="1"/>
    </xf>
    <xf numFmtId="0" fontId="1" fillId="0" borderId="0" xfId="45" applyFont="1" applyBorder="1" applyAlignment="1" applyProtection="1">
      <alignment horizontal="center"/>
      <protection hidden="1"/>
    </xf>
    <xf numFmtId="178" fontId="5" fillId="0" borderId="0" xfId="45" applyNumberFormat="1" applyFont="1" applyBorder="1" applyAlignment="1" applyProtection="1">
      <protection hidden="1"/>
    </xf>
    <xf numFmtId="0" fontId="49" fillId="0" borderId="0" xfId="45" applyFont="1" applyBorder="1" applyProtection="1">
      <protection hidden="1"/>
    </xf>
    <xf numFmtId="0" fontId="2" fillId="0" borderId="0" xfId="45" applyFont="1" applyFill="1" applyBorder="1" applyAlignment="1" applyProtection="1">
      <alignment horizontal="center" vertical="center"/>
      <protection hidden="1"/>
    </xf>
    <xf numFmtId="2" fontId="2" fillId="0" borderId="0" xfId="45" applyNumberFormat="1" applyFont="1" applyFill="1" applyBorder="1" applyAlignment="1" applyProtection="1">
      <alignment horizontal="center" vertical="center" wrapText="1"/>
      <protection hidden="1"/>
    </xf>
    <xf numFmtId="2" fontId="2" fillId="0" borderId="0" xfId="45" applyNumberFormat="1" applyFont="1" applyFill="1" applyBorder="1" applyAlignment="1" applyProtection="1">
      <alignment horizontal="center" vertical="center"/>
      <protection hidden="1"/>
    </xf>
    <xf numFmtId="178" fontId="2" fillId="0" borderId="0" xfId="45" applyNumberFormat="1" applyFont="1" applyFill="1" applyBorder="1" applyAlignment="1" applyProtection="1">
      <alignment horizontal="center" vertical="center" wrapText="1"/>
      <protection hidden="1"/>
    </xf>
    <xf numFmtId="0" fontId="2" fillId="0" borderId="0" xfId="45" applyFont="1" applyFill="1" applyBorder="1" applyAlignment="1" applyProtection="1">
      <alignment horizontal="center" vertical="center" wrapText="1"/>
      <protection hidden="1"/>
    </xf>
    <xf numFmtId="0" fontId="25" fillId="0" borderId="0" xfId="45" applyFont="1" applyFill="1" applyBorder="1" applyAlignment="1" applyProtection="1">
      <alignment horizontal="center" vertical="center"/>
      <protection hidden="1"/>
    </xf>
    <xf numFmtId="2" fontId="25" fillId="0" borderId="0" xfId="45" applyNumberFormat="1" applyFont="1" applyFill="1" applyBorder="1" applyAlignment="1" applyProtection="1">
      <alignment horizontal="center" vertical="center"/>
      <protection hidden="1"/>
    </xf>
    <xf numFmtId="0" fontId="2" fillId="9" borderId="4" xfId="45" applyFont="1" applyFill="1" applyBorder="1" applyAlignment="1" applyProtection="1">
      <alignment horizontal="center" vertical="center" wrapText="1"/>
      <protection hidden="1"/>
    </xf>
    <xf numFmtId="2" fontId="2" fillId="9" borderId="4" xfId="45" applyNumberFormat="1" applyFont="1" applyFill="1" applyBorder="1" applyAlignment="1" applyProtection="1">
      <alignment horizontal="center" vertical="center" wrapText="1"/>
      <protection hidden="1"/>
    </xf>
    <xf numFmtId="178" fontId="2" fillId="9" borderId="4" xfId="45" applyNumberFormat="1" applyFont="1" applyFill="1" applyBorder="1" applyAlignment="1" applyProtection="1">
      <alignment horizontal="center" vertical="center" wrapText="1"/>
      <protection hidden="1"/>
    </xf>
    <xf numFmtId="0" fontId="25" fillId="6" borderId="4" xfId="45" applyFont="1" applyFill="1" applyBorder="1" applyAlignment="1" applyProtection="1">
      <alignment horizontal="center" vertical="center"/>
      <protection hidden="1"/>
    </xf>
    <xf numFmtId="178" fontId="0" fillId="0" borderId="4" xfId="0" applyNumberFormat="1" applyBorder="1" applyProtection="1">
      <protection hidden="1"/>
    </xf>
    <xf numFmtId="0" fontId="42" fillId="0" borderId="4" xfId="0" applyFont="1" applyBorder="1" applyAlignment="1" applyProtection="1">
      <alignment horizontal="center" vertical="center"/>
      <protection hidden="1"/>
    </xf>
    <xf numFmtId="0" fontId="42" fillId="0" borderId="4" xfId="0" applyFont="1" applyBorder="1" applyAlignment="1" applyProtection="1">
      <alignment horizontal="center" vertical="center" wrapText="1"/>
      <protection hidden="1"/>
    </xf>
    <xf numFmtId="0" fontId="0" fillId="0" borderId="26" xfId="0" applyBorder="1" applyProtection="1">
      <protection hidden="1"/>
    </xf>
    <xf numFmtId="179" fontId="0" fillId="0" borderId="9" xfId="0" applyNumberFormat="1" applyBorder="1" applyAlignment="1" applyProtection="1">
      <alignment horizontal="center" vertical="center"/>
      <protection hidden="1"/>
    </xf>
    <xf numFmtId="179" fontId="0" fillId="0" borderId="26" xfId="0" applyNumberFormat="1" applyBorder="1" applyAlignment="1" applyProtection="1">
      <alignment horizontal="center" vertical="center"/>
      <protection hidden="1"/>
    </xf>
    <xf numFmtId="0" fontId="0" fillId="0" borderId="0" xfId="0" applyBorder="1" applyAlignment="1" applyProtection="1">
      <alignment horizontal="center" vertical="center"/>
      <protection hidden="1"/>
    </xf>
    <xf numFmtId="0" fontId="0" fillId="0" borderId="4" xfId="0" applyBorder="1" applyProtection="1">
      <protection hidden="1"/>
    </xf>
    <xf numFmtId="179" fontId="0" fillId="0" borderId="11" xfId="0" applyNumberFormat="1" applyBorder="1" applyAlignment="1" applyProtection="1">
      <alignment horizontal="center" vertical="center"/>
      <protection hidden="1"/>
    </xf>
    <xf numFmtId="179" fontId="0" fillId="0" borderId="4" xfId="0" applyNumberFormat="1" applyBorder="1" applyAlignment="1" applyProtection="1">
      <alignment horizontal="center" vertical="center"/>
      <protection hidden="1"/>
    </xf>
    <xf numFmtId="178" fontId="0" fillId="0" borderId="4" xfId="0" applyNumberFormat="1" applyFill="1" applyBorder="1" applyProtection="1">
      <protection hidden="1"/>
    </xf>
    <xf numFmtId="2" fontId="25" fillId="6" borderId="4" xfId="45" applyNumberFormat="1" applyFont="1" applyFill="1" applyBorder="1" applyAlignment="1" applyProtection="1">
      <alignment horizontal="center" vertical="center"/>
      <protection hidden="1"/>
    </xf>
    <xf numFmtId="179" fontId="0" fillId="0" borderId="0" xfId="0" applyNumberFormat="1" applyBorder="1" applyAlignment="1" applyProtection="1">
      <alignment horizontal="center" vertical="center"/>
      <protection hidden="1"/>
    </xf>
    <xf numFmtId="2" fontId="0" fillId="0" borderId="0" xfId="0" applyNumberFormat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4" fontId="44" fillId="0" borderId="4" xfId="0" applyNumberFormat="1" applyFont="1" applyBorder="1" applyAlignment="1" applyProtection="1">
      <alignment horizontal="center" vertical="center"/>
      <protection hidden="1"/>
    </xf>
    <xf numFmtId="179" fontId="44" fillId="0" borderId="4" xfId="0" applyNumberFormat="1" applyFont="1" applyBorder="1" applyAlignment="1" applyProtection="1">
      <alignment horizontal="center" vertical="center"/>
      <protection hidden="1"/>
    </xf>
    <xf numFmtId="0" fontId="25" fillId="6" borderId="15" xfId="45" applyFont="1" applyFill="1" applyBorder="1" applyAlignment="1" applyProtection="1">
      <alignment vertical="center" wrapText="1"/>
      <protection locked="0"/>
    </xf>
    <xf numFmtId="0" fontId="25" fillId="6" borderId="6" xfId="45" applyFont="1" applyFill="1" applyBorder="1" applyAlignment="1" applyProtection="1">
      <alignment vertical="center" wrapText="1"/>
      <protection locked="0"/>
    </xf>
    <xf numFmtId="0" fontId="25" fillId="6" borderId="21" xfId="45" applyFont="1" applyFill="1" applyBorder="1" applyAlignment="1" applyProtection="1">
      <alignment vertical="center" wrapText="1"/>
      <protection locked="0"/>
    </xf>
    <xf numFmtId="0" fontId="32" fillId="0" borderId="0" xfId="40" applyFont="1" applyBorder="1" applyAlignment="1" applyProtection="1">
      <alignment horizontal="left" vertical="center" wrapText="1"/>
      <protection hidden="1"/>
    </xf>
    <xf numFmtId="0" fontId="32" fillId="0" borderId="0" xfId="45" applyFont="1" applyBorder="1" applyAlignment="1" applyProtection="1">
      <alignment horizontal="center" vertical="center"/>
      <protection hidden="1"/>
    </xf>
    <xf numFmtId="0" fontId="32" fillId="0" borderId="24" xfId="40" applyFont="1" applyBorder="1" applyAlignment="1" applyProtection="1">
      <alignment wrapText="1"/>
      <protection hidden="1"/>
    </xf>
    <xf numFmtId="0" fontId="32" fillId="0" borderId="0" xfId="45" applyFont="1" applyBorder="1" applyAlignment="1" applyProtection="1">
      <alignment horizontal="left" vertical="center"/>
      <protection hidden="1"/>
    </xf>
    <xf numFmtId="0" fontId="32" fillId="0" borderId="0" xfId="45" applyFont="1" applyBorder="1" applyAlignment="1" applyProtection="1">
      <alignment horizontal="left" vertical="center" wrapText="1"/>
      <protection hidden="1"/>
    </xf>
    <xf numFmtId="0" fontId="32" fillId="0" borderId="24" xfId="45" applyFont="1" applyFill="1" applyBorder="1" applyAlignment="1" applyProtection="1">
      <alignment horizontal="right"/>
      <protection hidden="1"/>
    </xf>
    <xf numFmtId="0" fontId="44" fillId="0" borderId="24" xfId="0" applyFont="1" applyBorder="1" applyProtection="1">
      <protection hidden="1"/>
    </xf>
    <xf numFmtId="0" fontId="1" fillId="0" borderId="0" xfId="0" applyFont="1" applyBorder="1" applyProtection="1">
      <protection hidden="1"/>
    </xf>
    <xf numFmtId="0" fontId="0" fillId="0" borderId="0" xfId="0" applyBorder="1" applyProtection="1">
      <protection hidden="1"/>
    </xf>
    <xf numFmtId="0" fontId="1" fillId="0" borderId="24" xfId="0" applyFont="1" applyBorder="1" applyProtection="1">
      <protection hidden="1"/>
    </xf>
    <xf numFmtId="0" fontId="32" fillId="0" borderId="0" xfId="45" applyFont="1" applyBorder="1" applyAlignment="1" applyProtection="1">
      <alignment horizontal="center" vertical="center"/>
      <protection hidden="1"/>
    </xf>
    <xf numFmtId="0" fontId="32" fillId="0" borderId="0" xfId="40" applyFont="1" applyBorder="1" applyAlignment="1" applyProtection="1">
      <alignment horizontal="left" vertical="center" wrapText="1"/>
      <protection hidden="1"/>
    </xf>
    <xf numFmtId="0" fontId="32" fillId="0" borderId="0" xfId="45" applyFont="1" applyBorder="1" applyAlignment="1" applyProtection="1">
      <alignment horizontal="left" vertical="center" wrapText="1"/>
      <protection hidden="1"/>
    </xf>
    <xf numFmtId="0" fontId="26" fillId="0" borderId="15" xfId="46" applyFont="1" applyBorder="1" applyAlignment="1" applyProtection="1">
      <alignment horizontal="center" vertical="center" wrapText="1"/>
      <protection hidden="1"/>
    </xf>
    <xf numFmtId="0" fontId="26" fillId="0" borderId="13" xfId="46" applyFont="1" applyBorder="1" applyAlignment="1" applyProtection="1">
      <alignment horizontal="center" vertical="center" wrapText="1"/>
      <protection hidden="1"/>
    </xf>
    <xf numFmtId="0" fontId="26" fillId="0" borderId="6" xfId="46" applyFont="1" applyBorder="1" applyAlignment="1" applyProtection="1">
      <alignment horizontal="center" vertical="center" wrapText="1"/>
      <protection hidden="1"/>
    </xf>
    <xf numFmtId="0" fontId="26" fillId="0" borderId="0" xfId="46" applyFont="1" applyBorder="1" applyAlignment="1" applyProtection="1">
      <alignment horizontal="center" vertical="center" wrapText="1"/>
      <protection hidden="1"/>
    </xf>
    <xf numFmtId="0" fontId="26" fillId="0" borderId="21" xfId="46" applyFont="1" applyBorder="1" applyAlignment="1" applyProtection="1">
      <alignment horizontal="center" vertical="center" wrapText="1"/>
      <protection hidden="1"/>
    </xf>
    <xf numFmtId="0" fontId="26" fillId="0" borderId="19" xfId="46" applyFont="1" applyBorder="1" applyAlignment="1" applyProtection="1">
      <alignment horizontal="center" vertical="center" wrapText="1"/>
      <protection hidden="1"/>
    </xf>
    <xf numFmtId="0" fontId="5" fillId="0" borderId="15" xfId="46" applyBorder="1" applyAlignment="1" applyProtection="1">
      <alignment horizontal="center"/>
      <protection hidden="1"/>
    </xf>
    <xf numFmtId="0" fontId="5" fillId="0" borderId="13" xfId="46" applyBorder="1" applyAlignment="1" applyProtection="1">
      <alignment horizontal="center"/>
      <protection hidden="1"/>
    </xf>
    <xf numFmtId="0" fontId="5" fillId="0" borderId="16" xfId="46" applyBorder="1" applyAlignment="1" applyProtection="1">
      <alignment horizontal="center"/>
      <protection hidden="1"/>
    </xf>
    <xf numFmtId="0" fontId="5" fillId="0" borderId="6" xfId="46" applyBorder="1" applyAlignment="1" applyProtection="1">
      <alignment horizontal="center"/>
      <protection hidden="1"/>
    </xf>
    <xf numFmtId="0" fontId="5" fillId="0" borderId="0" xfId="46" applyBorder="1" applyAlignment="1" applyProtection="1">
      <alignment horizontal="center"/>
      <protection hidden="1"/>
    </xf>
    <xf numFmtId="0" fontId="5" fillId="0" borderId="1" xfId="46" applyBorder="1" applyAlignment="1" applyProtection="1">
      <alignment horizontal="center"/>
      <protection hidden="1"/>
    </xf>
    <xf numFmtId="0" fontId="5" fillId="0" borderId="21" xfId="46" applyBorder="1" applyAlignment="1" applyProtection="1">
      <alignment horizontal="center"/>
      <protection hidden="1"/>
    </xf>
    <xf numFmtId="0" fontId="5" fillId="0" borderId="19" xfId="46" applyBorder="1" applyAlignment="1" applyProtection="1">
      <alignment horizontal="center"/>
      <protection hidden="1"/>
    </xf>
    <xf numFmtId="0" fontId="5" fillId="0" borderId="22" xfId="46" applyBorder="1" applyAlignment="1" applyProtection="1">
      <alignment horizontal="center"/>
      <protection hidden="1"/>
    </xf>
    <xf numFmtId="0" fontId="32" fillId="6" borderId="11" xfId="45" applyFont="1" applyFill="1" applyBorder="1" applyAlignment="1" applyProtection="1">
      <alignment horizontal="center" vertical="center"/>
      <protection locked="0"/>
    </xf>
    <xf numFmtId="0" fontId="32" fillId="6" borderId="8" xfId="45" applyFont="1" applyFill="1" applyBorder="1" applyAlignment="1" applyProtection="1">
      <alignment horizontal="center" vertical="center"/>
      <protection locked="0"/>
    </xf>
    <xf numFmtId="0" fontId="32" fillId="6" borderId="3" xfId="45" applyFont="1" applyFill="1" applyBorder="1" applyAlignment="1" applyProtection="1">
      <alignment horizontal="center" vertical="center"/>
      <protection locked="0"/>
    </xf>
    <xf numFmtId="0" fontId="27" fillId="0" borderId="23" xfId="46" applyFont="1" applyBorder="1" applyAlignment="1" applyProtection="1">
      <alignment horizontal="left" vertical="center" wrapText="1"/>
      <protection hidden="1"/>
    </xf>
    <xf numFmtId="0" fontId="24" fillId="0" borderId="13" xfId="45" applyBorder="1" applyAlignment="1" applyProtection="1">
      <alignment vertical="center"/>
      <protection hidden="1"/>
    </xf>
    <xf numFmtId="0" fontId="24" fillId="0" borderId="16" xfId="45" applyBorder="1" applyAlignment="1" applyProtection="1">
      <alignment vertical="center"/>
      <protection hidden="1"/>
    </xf>
    <xf numFmtId="0" fontId="23" fillId="0" borderId="15" xfId="46" applyFont="1" applyBorder="1" applyAlignment="1" applyProtection="1">
      <alignment horizontal="right" vertical="center"/>
      <protection hidden="1"/>
    </xf>
    <xf numFmtId="0" fontId="23" fillId="0" borderId="14" xfId="46" applyFont="1" applyBorder="1" applyAlignment="1" applyProtection="1">
      <alignment horizontal="right" vertical="center"/>
      <protection hidden="1"/>
    </xf>
    <xf numFmtId="0" fontId="23" fillId="0" borderId="6" xfId="46" applyFont="1" applyBorder="1" applyAlignment="1" applyProtection="1">
      <alignment horizontal="right" vertical="center"/>
      <protection hidden="1"/>
    </xf>
    <xf numFmtId="0" fontId="23" fillId="0" borderId="7" xfId="46" applyFont="1" applyBorder="1" applyAlignment="1" applyProtection="1">
      <alignment horizontal="right" vertical="center"/>
      <protection hidden="1"/>
    </xf>
    <xf numFmtId="0" fontId="23" fillId="0" borderId="6" xfId="45" applyFont="1" applyBorder="1" applyAlignment="1" applyProtection="1">
      <alignment horizontal="right" vertical="center"/>
      <protection hidden="1"/>
    </xf>
    <xf numFmtId="0" fontId="23" fillId="0" borderId="7" xfId="45" applyFont="1" applyBorder="1" applyAlignment="1" applyProtection="1">
      <alignment horizontal="right" vertical="center"/>
      <protection hidden="1"/>
    </xf>
    <xf numFmtId="0" fontId="23" fillId="0" borderId="21" xfId="45" applyFont="1" applyBorder="1" applyAlignment="1" applyProtection="1">
      <alignment horizontal="right" vertical="center"/>
      <protection hidden="1"/>
    </xf>
    <xf numFmtId="0" fontId="23" fillId="0" borderId="20" xfId="45" applyFont="1" applyBorder="1" applyAlignment="1" applyProtection="1">
      <alignment horizontal="right" vertical="center"/>
      <protection hidden="1"/>
    </xf>
    <xf numFmtId="0" fontId="25" fillId="6" borderId="15" xfId="46" applyFont="1" applyFill="1" applyBorder="1" applyAlignment="1" applyProtection="1">
      <alignment horizontal="center" vertical="center"/>
      <protection locked="0"/>
    </xf>
    <xf numFmtId="0" fontId="25" fillId="6" borderId="14" xfId="46" applyFont="1" applyFill="1" applyBorder="1" applyAlignment="1" applyProtection="1">
      <alignment horizontal="center" vertical="center"/>
      <protection locked="0"/>
    </xf>
    <xf numFmtId="14" fontId="25" fillId="6" borderId="6" xfId="46" applyNumberFormat="1" applyFont="1" applyFill="1" applyBorder="1" applyAlignment="1" applyProtection="1">
      <alignment horizontal="center" vertical="center"/>
      <protection locked="0"/>
    </xf>
    <xf numFmtId="0" fontId="25" fillId="6" borderId="7" xfId="46" applyFont="1" applyFill="1" applyBorder="1" applyAlignment="1" applyProtection="1">
      <alignment horizontal="center" vertical="center"/>
      <protection locked="0"/>
    </xf>
    <xf numFmtId="0" fontId="32" fillId="7" borderId="11" xfId="0" applyFont="1" applyFill="1" applyBorder="1" applyAlignment="1" applyProtection="1">
      <alignment horizontal="right" vertical="center" wrapText="1"/>
      <protection hidden="1"/>
    </xf>
    <xf numFmtId="0" fontId="32" fillId="7" borderId="3" xfId="0" applyFont="1" applyFill="1" applyBorder="1" applyAlignment="1" applyProtection="1">
      <alignment horizontal="right" vertical="center" wrapText="1"/>
      <protection hidden="1"/>
    </xf>
    <xf numFmtId="0" fontId="32" fillId="7" borderId="8" xfId="0" applyFont="1" applyFill="1" applyBorder="1" applyAlignment="1" applyProtection="1">
      <alignment horizontal="right" vertical="center" wrapText="1"/>
      <protection hidden="1"/>
    </xf>
    <xf numFmtId="178" fontId="5" fillId="0" borderId="0" xfId="45" applyNumberFormat="1" applyFont="1" applyAlignment="1" applyProtection="1">
      <alignment horizontal="center"/>
      <protection hidden="1"/>
    </xf>
    <xf numFmtId="2" fontId="32" fillId="8" borderId="11" xfId="0" applyNumberFormat="1" applyFont="1" applyFill="1" applyBorder="1" applyAlignment="1" applyProtection="1">
      <alignment horizontal="left" vertical="center"/>
      <protection hidden="1"/>
    </xf>
    <xf numFmtId="2" fontId="32" fillId="8" borderId="8" xfId="0" applyNumberFormat="1" applyFont="1" applyFill="1" applyBorder="1" applyAlignment="1" applyProtection="1">
      <alignment horizontal="left" vertical="center"/>
      <protection hidden="1"/>
    </xf>
    <xf numFmtId="0" fontId="25" fillId="6" borderId="6" xfId="46" applyFont="1" applyFill="1" applyBorder="1" applyAlignment="1" applyProtection="1">
      <alignment horizontal="center" vertical="center"/>
      <protection locked="0"/>
    </xf>
    <xf numFmtId="0" fontId="25" fillId="6" borderId="21" xfId="46" applyFont="1" applyFill="1" applyBorder="1" applyAlignment="1" applyProtection="1">
      <alignment horizontal="center" vertical="center"/>
      <protection locked="0"/>
    </xf>
    <xf numFmtId="0" fontId="25" fillId="6" borderId="20" xfId="46" applyFont="1" applyFill="1" applyBorder="1" applyAlignment="1" applyProtection="1">
      <alignment horizontal="center" vertical="center"/>
      <protection locked="0"/>
    </xf>
    <xf numFmtId="168" fontId="32" fillId="8" borderId="11" xfId="0" applyNumberFormat="1" applyFont="1" applyFill="1" applyBorder="1" applyAlignment="1" applyProtection="1">
      <alignment horizontal="center" vertical="center"/>
      <protection hidden="1"/>
    </xf>
    <xf numFmtId="168" fontId="32" fillId="8" borderId="8" xfId="0" applyNumberFormat="1" applyFont="1" applyFill="1" applyBorder="1" applyAlignment="1" applyProtection="1">
      <alignment horizontal="center" vertical="center"/>
      <protection hidden="1"/>
    </xf>
    <xf numFmtId="2" fontId="32" fillId="8" borderId="11" xfId="0" applyNumberFormat="1" applyFont="1" applyFill="1" applyBorder="1" applyAlignment="1" applyProtection="1">
      <alignment horizontal="center" vertical="center"/>
      <protection hidden="1"/>
    </xf>
    <xf numFmtId="2" fontId="32" fillId="8" borderId="8" xfId="0" applyNumberFormat="1" applyFont="1" applyFill="1" applyBorder="1" applyAlignment="1" applyProtection="1">
      <alignment horizontal="center" vertical="center"/>
      <protection hidden="1"/>
    </xf>
    <xf numFmtId="179" fontId="32" fillId="8" borderId="11" xfId="0" applyNumberFormat="1" applyFont="1" applyFill="1" applyBorder="1" applyAlignment="1" applyProtection="1">
      <alignment horizontal="center" vertical="center"/>
      <protection hidden="1"/>
    </xf>
    <xf numFmtId="179" fontId="32" fillId="8" borderId="8" xfId="0" applyNumberFormat="1" applyFont="1" applyFill="1" applyBorder="1" applyAlignment="1" applyProtection="1">
      <alignment horizontal="center" vertical="center"/>
      <protection hidden="1"/>
    </xf>
    <xf numFmtId="178" fontId="32" fillId="8" borderId="11" xfId="0" applyNumberFormat="1" applyFont="1" applyFill="1" applyBorder="1" applyAlignment="1" applyProtection="1">
      <alignment horizontal="left" vertical="center"/>
      <protection hidden="1"/>
    </xf>
    <xf numFmtId="178" fontId="32" fillId="8" borderId="8" xfId="0" applyNumberFormat="1" applyFont="1" applyFill="1" applyBorder="1" applyAlignment="1" applyProtection="1">
      <alignment horizontal="left" vertical="center"/>
      <protection hidden="1"/>
    </xf>
    <xf numFmtId="0" fontId="32" fillId="0" borderId="4" xfId="45" applyFont="1" applyBorder="1" applyAlignment="1" applyProtection="1">
      <alignment horizontal="center" vertical="center" wrapText="1"/>
      <protection hidden="1"/>
    </xf>
    <xf numFmtId="1" fontId="32" fillId="0" borderId="4" xfId="0" applyNumberFormat="1" applyFont="1" applyFill="1" applyBorder="1" applyAlignment="1" applyProtection="1">
      <alignment horizontal="right" vertical="center" wrapText="1"/>
      <protection hidden="1"/>
    </xf>
    <xf numFmtId="0" fontId="35" fillId="0" borderId="0" xfId="0" applyFont="1" applyBorder="1" applyAlignment="1" applyProtection="1">
      <alignment horizontal="left" vertical="center" wrapText="1"/>
      <protection hidden="1"/>
    </xf>
    <xf numFmtId="0" fontId="35" fillId="0" borderId="1" xfId="0" applyFont="1" applyBorder="1" applyAlignment="1" applyProtection="1">
      <alignment horizontal="left" vertical="center" wrapText="1"/>
      <protection hidden="1"/>
    </xf>
    <xf numFmtId="0" fontId="32" fillId="0" borderId="4" xfId="45" applyFont="1" applyFill="1" applyBorder="1" applyAlignment="1" applyProtection="1">
      <alignment horizontal="right" vertical="center" wrapText="1"/>
      <protection hidden="1"/>
    </xf>
    <xf numFmtId="178" fontId="32" fillId="8" borderId="11" xfId="0" applyNumberFormat="1" applyFont="1" applyFill="1" applyBorder="1" applyAlignment="1" applyProtection="1">
      <alignment horizontal="left" vertical="center" wrapText="1"/>
      <protection hidden="1"/>
    </xf>
    <xf numFmtId="178" fontId="32" fillId="8" borderId="8" xfId="0" applyNumberFormat="1" applyFont="1" applyFill="1" applyBorder="1" applyAlignment="1" applyProtection="1">
      <alignment horizontal="left" vertical="center" wrapText="1"/>
      <protection hidden="1"/>
    </xf>
    <xf numFmtId="2" fontId="32" fillId="8" borderId="11" xfId="0" applyNumberFormat="1" applyFont="1" applyFill="1" applyBorder="1" applyAlignment="1" applyProtection="1">
      <alignment horizontal="center" vertical="center" wrapText="1"/>
      <protection hidden="1"/>
    </xf>
    <xf numFmtId="2" fontId="32" fillId="8" borderId="8" xfId="0" applyNumberFormat="1" applyFont="1" applyFill="1" applyBorder="1" applyAlignment="1" applyProtection="1">
      <alignment horizontal="center" vertical="center" wrapText="1"/>
      <protection hidden="1"/>
    </xf>
    <xf numFmtId="0" fontId="32" fillId="0" borderId="0" xfId="40" applyFont="1" applyBorder="1" applyAlignment="1" applyProtection="1">
      <alignment horizontal="left" vertical="center" wrapText="1"/>
      <protection hidden="1"/>
    </xf>
    <xf numFmtId="0" fontId="32" fillId="0" borderId="11" xfId="45" applyFont="1" applyBorder="1" applyAlignment="1" applyProtection="1">
      <alignment horizontal="center" vertical="center"/>
      <protection hidden="1"/>
    </xf>
    <xf numFmtId="0" fontId="32" fillId="0" borderId="8" xfId="45" applyFont="1" applyBorder="1" applyAlignment="1" applyProtection="1">
      <alignment horizontal="center" vertical="center"/>
      <protection hidden="1"/>
    </xf>
    <xf numFmtId="168" fontId="32" fillId="6" borderId="11" xfId="45" applyNumberFormat="1" applyFont="1" applyFill="1" applyBorder="1" applyAlignment="1" applyProtection="1">
      <alignment horizontal="center" vertical="center"/>
      <protection locked="0"/>
    </xf>
    <xf numFmtId="168" fontId="32" fillId="6" borderId="8" xfId="45" applyNumberFormat="1" applyFont="1" applyFill="1" applyBorder="1" applyAlignment="1" applyProtection="1">
      <alignment horizontal="center" vertical="center"/>
      <protection locked="0"/>
    </xf>
    <xf numFmtId="2" fontId="32" fillId="6" borderId="11" xfId="45" applyNumberFormat="1" applyFont="1" applyFill="1" applyBorder="1" applyAlignment="1" applyProtection="1">
      <alignment horizontal="center" vertical="center"/>
      <protection locked="0"/>
    </xf>
    <xf numFmtId="2" fontId="32" fillId="6" borderId="8" xfId="45" applyNumberFormat="1" applyFont="1" applyFill="1" applyBorder="1" applyAlignment="1" applyProtection="1">
      <alignment horizontal="center" vertical="center"/>
      <protection locked="0"/>
    </xf>
    <xf numFmtId="0" fontId="32" fillId="0" borderId="11" xfId="45" applyFont="1" applyBorder="1" applyAlignment="1" applyProtection="1">
      <alignment horizontal="right" vertical="center" wrapText="1"/>
      <protection hidden="1"/>
    </xf>
    <xf numFmtId="0" fontId="32" fillId="0" borderId="3" xfId="45" applyFont="1" applyBorder="1" applyAlignment="1" applyProtection="1">
      <alignment horizontal="right" vertical="center" wrapText="1"/>
      <protection hidden="1"/>
    </xf>
    <xf numFmtId="0" fontId="32" fillId="0" borderId="8" xfId="45" applyFont="1" applyBorder="1" applyAlignment="1" applyProtection="1">
      <alignment horizontal="right" vertical="center" wrapText="1"/>
      <protection hidden="1"/>
    </xf>
    <xf numFmtId="0" fontId="32" fillId="0" borderId="24" xfId="45" applyFont="1" applyBorder="1" applyAlignment="1" applyProtection="1">
      <alignment horizontal="left" vertical="center" wrapText="1"/>
      <protection hidden="1"/>
    </xf>
    <xf numFmtId="0" fontId="32" fillId="0" borderId="0" xfId="45" applyFont="1" applyBorder="1" applyAlignment="1" applyProtection="1">
      <alignment horizontal="left" vertical="center" wrapText="1"/>
      <protection hidden="1"/>
    </xf>
    <xf numFmtId="0" fontId="32" fillId="0" borderId="1" xfId="45" applyFont="1" applyBorder="1" applyAlignment="1" applyProtection="1">
      <alignment horizontal="left" vertical="center" wrapText="1"/>
      <protection hidden="1"/>
    </xf>
    <xf numFmtId="0" fontId="32" fillId="0" borderId="11" xfId="40" applyFont="1" applyBorder="1" applyAlignment="1" applyProtection="1">
      <alignment horizontal="right" vertical="center" wrapText="1"/>
      <protection hidden="1"/>
    </xf>
    <xf numFmtId="0" fontId="32" fillId="0" borderId="3" xfId="40" applyFont="1" applyBorder="1" applyAlignment="1" applyProtection="1">
      <alignment horizontal="right" vertical="center" wrapText="1"/>
      <protection hidden="1"/>
    </xf>
    <xf numFmtId="0" fontId="32" fillId="0" borderId="8" xfId="40" applyFont="1" applyBorder="1" applyAlignment="1" applyProtection="1">
      <alignment horizontal="right" vertical="center" wrapText="1"/>
      <protection hidden="1"/>
    </xf>
    <xf numFmtId="0" fontId="32" fillId="0" borderId="4" xfId="40" applyFont="1" applyBorder="1" applyAlignment="1" applyProtection="1">
      <alignment horizontal="right" vertical="center" wrapText="1"/>
      <protection hidden="1"/>
    </xf>
    <xf numFmtId="0" fontId="32" fillId="0" borderId="4" xfId="45" applyFont="1" applyBorder="1" applyAlignment="1" applyProtection="1">
      <alignment horizontal="right" wrapText="1"/>
      <protection hidden="1"/>
    </xf>
    <xf numFmtId="179" fontId="32" fillId="8" borderId="11" xfId="0" applyNumberFormat="1" applyFont="1" applyFill="1" applyBorder="1" applyAlignment="1" applyProtection="1">
      <alignment horizontal="center" vertical="center" wrapText="1"/>
      <protection hidden="1"/>
    </xf>
    <xf numFmtId="179" fontId="32" fillId="8" borderId="8" xfId="0" applyNumberFormat="1" applyFont="1" applyFill="1" applyBorder="1" applyAlignment="1" applyProtection="1">
      <alignment horizontal="center" vertical="center" wrapText="1"/>
      <protection hidden="1"/>
    </xf>
    <xf numFmtId="0" fontId="32" fillId="0" borderId="0" xfId="45" applyFont="1" applyBorder="1" applyAlignment="1" applyProtection="1">
      <alignment horizontal="center" vertical="center"/>
      <protection hidden="1"/>
    </xf>
    <xf numFmtId="0" fontId="28" fillId="0" borderId="11" xfId="45" applyFont="1" applyBorder="1" applyAlignment="1" applyProtection="1">
      <alignment horizontal="right" vertical="center"/>
      <protection hidden="1"/>
    </xf>
    <xf numFmtId="0" fontId="28" fillId="0" borderId="8" xfId="45" applyFont="1" applyBorder="1" applyAlignment="1" applyProtection="1">
      <alignment horizontal="right" vertical="center"/>
      <protection hidden="1"/>
    </xf>
    <xf numFmtId="0" fontId="32" fillId="0" borderId="11" xfId="45" applyFont="1" applyBorder="1" applyAlignment="1" applyProtection="1">
      <alignment horizontal="center" vertical="center" wrapText="1"/>
      <protection hidden="1"/>
    </xf>
    <xf numFmtId="0" fontId="32" fillId="0" borderId="3" xfId="45" applyFont="1" applyBorder="1" applyAlignment="1" applyProtection="1">
      <alignment horizontal="center" vertical="center" wrapText="1"/>
      <protection hidden="1"/>
    </xf>
    <xf numFmtId="0" fontId="32" fillId="0" borderId="8" xfId="45" applyFont="1" applyBorder="1" applyAlignment="1" applyProtection="1">
      <alignment horizontal="center" vertical="center" wrapText="1"/>
      <protection hidden="1"/>
    </xf>
    <xf numFmtId="0" fontId="28" fillId="0" borderId="10" xfId="45" applyFont="1" applyBorder="1" applyAlignment="1" applyProtection="1">
      <alignment horizontal="center" vertical="center"/>
      <protection hidden="1"/>
    </xf>
  </cellXfs>
  <cellStyles count="50">
    <cellStyle name="args.style" xfId="2" xr:uid="{00000000-0005-0000-0000-000000000000}"/>
    <cellStyle name="ARIAL" xfId="47" xr:uid="{00000000-0005-0000-0000-000001000000}"/>
    <cellStyle name="Arial10" xfId="3" xr:uid="{00000000-0005-0000-0000-000002000000}"/>
    <cellStyle name="Calc Currency (0)" xfId="4" xr:uid="{00000000-0005-0000-0000-000003000000}"/>
    <cellStyle name="Copied" xfId="5" xr:uid="{00000000-0005-0000-0000-000004000000}"/>
    <cellStyle name="COST1" xfId="6" xr:uid="{00000000-0005-0000-0000-000005000000}"/>
    <cellStyle name="Dollars" xfId="7" xr:uid="{00000000-0005-0000-0000-000006000000}"/>
    <cellStyle name="Dollars(0)" xfId="8" xr:uid="{00000000-0005-0000-0000-000007000000}"/>
    <cellStyle name="Entered" xfId="9" xr:uid="{00000000-0005-0000-0000-000008000000}"/>
    <cellStyle name="FORM" xfId="10" xr:uid="{00000000-0005-0000-0000-000009000000}"/>
    <cellStyle name="Grey" xfId="11" xr:uid="{00000000-0005-0000-0000-00000A000000}"/>
    <cellStyle name="Header1" xfId="12" xr:uid="{00000000-0005-0000-0000-00000B000000}"/>
    <cellStyle name="Header2" xfId="13" xr:uid="{00000000-0005-0000-0000-00000C000000}"/>
    <cellStyle name="header3" xfId="14" xr:uid="{00000000-0005-0000-0000-00000D000000}"/>
    <cellStyle name="Hyperlink 2" xfId="48" xr:uid="{00000000-0005-0000-0000-00000F000000}"/>
    <cellStyle name="Hyperlink 2 2" xfId="49" xr:uid="{00000000-0005-0000-0000-000010000000}"/>
    <cellStyle name="Input [yellow]" xfId="15" xr:uid="{00000000-0005-0000-0000-000011000000}"/>
    <cellStyle name="Input Cell" xfId="16" xr:uid="{00000000-0005-0000-0000-000012000000}"/>
    <cellStyle name="Input Cells" xfId="17" xr:uid="{00000000-0005-0000-0000-000013000000}"/>
    <cellStyle name="Linked Cells" xfId="18" xr:uid="{00000000-0005-0000-0000-000014000000}"/>
    <cellStyle name="Milliers [0]_!!!GO" xfId="19" xr:uid="{00000000-0005-0000-0000-000015000000}"/>
    <cellStyle name="Milliers_!!!GO" xfId="20" xr:uid="{00000000-0005-0000-0000-000016000000}"/>
    <cellStyle name="Monétaire [0]_!!!GO" xfId="21" xr:uid="{00000000-0005-0000-0000-000017000000}"/>
    <cellStyle name="Monétaire_!!!GO" xfId="22" xr:uid="{00000000-0005-0000-0000-000018000000}"/>
    <cellStyle name="Normal" xfId="0" builtinId="0"/>
    <cellStyle name="Normal - Style1" xfId="23" xr:uid="{00000000-0005-0000-0000-00001A000000}"/>
    <cellStyle name="Normal 10" xfId="40" xr:uid="{00000000-0005-0000-0000-00001B000000}"/>
    <cellStyle name="Normal 11" xfId="45" xr:uid="{00000000-0005-0000-0000-00001C000000}"/>
    <cellStyle name="Normal 2" xfId="24" xr:uid="{00000000-0005-0000-0000-00001D000000}"/>
    <cellStyle name="Normal 3" xfId="1" xr:uid="{00000000-0005-0000-0000-00001E000000}"/>
    <cellStyle name="Normal 4" xfId="37" xr:uid="{00000000-0005-0000-0000-00001F000000}"/>
    <cellStyle name="Normal 5" xfId="39" xr:uid="{00000000-0005-0000-0000-000020000000}"/>
    <cellStyle name="Normal 6" xfId="41" xr:uid="{00000000-0005-0000-0000-000021000000}"/>
    <cellStyle name="Normal 7" xfId="38" xr:uid="{00000000-0005-0000-0000-000022000000}"/>
    <cellStyle name="Normal 8" xfId="42" xr:uid="{00000000-0005-0000-0000-000023000000}"/>
    <cellStyle name="Normal 9" xfId="43" xr:uid="{00000000-0005-0000-0000-000024000000}"/>
    <cellStyle name="Normal Input" xfId="25" xr:uid="{00000000-0005-0000-0000-000025000000}"/>
    <cellStyle name="Normal_CALCULATION LOG 2" xfId="46" xr:uid="{00000000-0005-0000-0000-000026000000}"/>
    <cellStyle name="Normal_SHJ-BMS-EN-VSS-L-2654 2" xfId="44" xr:uid="{00000000-0005-0000-0000-000027000000}"/>
    <cellStyle name="Œ…‹æØ‚è [0.00]_Region Orders (2)" xfId="26" xr:uid="{00000000-0005-0000-0000-000028000000}"/>
    <cellStyle name="Œ…‹æØ‚è_Region Orders (2)" xfId="27" xr:uid="{00000000-0005-0000-0000-000029000000}"/>
    <cellStyle name="per.style" xfId="28" xr:uid="{00000000-0005-0000-0000-00002A000000}"/>
    <cellStyle name="Percent [2]" xfId="29" xr:uid="{00000000-0005-0000-0000-00002B000000}"/>
    <cellStyle name="Percent 2" xfId="30" xr:uid="{00000000-0005-0000-0000-00002C000000}"/>
    <cellStyle name="pricing" xfId="31" xr:uid="{00000000-0005-0000-0000-00002D000000}"/>
    <cellStyle name="PSChar" xfId="32" xr:uid="{00000000-0005-0000-0000-00002E000000}"/>
    <cellStyle name="RevList" xfId="33" xr:uid="{00000000-0005-0000-0000-00002F000000}"/>
    <cellStyle name="STANDARD" xfId="34" xr:uid="{00000000-0005-0000-0000-000030000000}"/>
    <cellStyle name="Subtotal" xfId="35" xr:uid="{00000000-0005-0000-0000-000031000000}"/>
    <cellStyle name="Unprotected" xfId="36" xr:uid="{00000000-0005-0000-0000-000032000000}"/>
  </cellStyles>
  <dxfs count="1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33619</xdr:colOff>
      <xdr:row>1</xdr:row>
      <xdr:rowOff>81044</xdr:rowOff>
    </xdr:from>
    <xdr:to>
      <xdr:col>16</xdr:col>
      <xdr:colOff>156260</xdr:colOff>
      <xdr:row>3</xdr:row>
      <xdr:rowOff>107259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9766" y="305162"/>
          <a:ext cx="1445558" cy="474450"/>
        </a:xfrm>
        <a:prstGeom prst="rect">
          <a:avLst/>
        </a:prstGeom>
      </xdr:spPr>
    </xdr:pic>
    <xdr:clientData/>
  </xdr:twoCellAnchor>
  <xdr:twoCellAnchor editAs="oneCell">
    <xdr:from>
      <xdr:col>6</xdr:col>
      <xdr:colOff>84667</xdr:colOff>
      <xdr:row>35</xdr:row>
      <xdr:rowOff>17951</xdr:rowOff>
    </xdr:from>
    <xdr:to>
      <xdr:col>13</xdr:col>
      <xdr:colOff>234500</xdr:colOff>
      <xdr:row>45</xdr:row>
      <xdr:rowOff>72237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57750" y="8907951"/>
          <a:ext cx="3600000" cy="2594286"/>
        </a:xfrm>
        <a:prstGeom prst="rect">
          <a:avLst/>
        </a:prstGeom>
        <a:ln w="12700">
          <a:solidFill>
            <a:schemeClr val="accent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33619</xdr:colOff>
      <xdr:row>1</xdr:row>
      <xdr:rowOff>81044</xdr:rowOff>
    </xdr:from>
    <xdr:to>
      <xdr:col>16</xdr:col>
      <xdr:colOff>156260</xdr:colOff>
      <xdr:row>3</xdr:row>
      <xdr:rowOff>107259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6D20B7-7907-4174-81DA-C6A597A7E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4644" y="300119"/>
          <a:ext cx="1446616" cy="483415"/>
        </a:xfrm>
        <a:prstGeom prst="rect">
          <a:avLst/>
        </a:prstGeom>
      </xdr:spPr>
    </xdr:pic>
    <xdr:clientData/>
  </xdr:twoCellAnchor>
  <xdr:twoCellAnchor editAs="oneCell">
    <xdr:from>
      <xdr:col>6</xdr:col>
      <xdr:colOff>84667</xdr:colOff>
      <xdr:row>35</xdr:row>
      <xdr:rowOff>17951</xdr:rowOff>
    </xdr:from>
    <xdr:to>
      <xdr:col>13</xdr:col>
      <xdr:colOff>234500</xdr:colOff>
      <xdr:row>45</xdr:row>
      <xdr:rowOff>72237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535279-5A9D-4FD2-965C-874DBF3B8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47167" y="8933351"/>
          <a:ext cx="3588358" cy="2559361"/>
        </a:xfrm>
        <a:prstGeom prst="rect">
          <a:avLst/>
        </a:prstGeom>
        <a:ln w="12700">
          <a:solidFill>
            <a:schemeClr val="accent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33619</xdr:colOff>
      <xdr:row>1</xdr:row>
      <xdr:rowOff>81044</xdr:rowOff>
    </xdr:from>
    <xdr:to>
      <xdr:col>16</xdr:col>
      <xdr:colOff>156260</xdr:colOff>
      <xdr:row>3</xdr:row>
      <xdr:rowOff>107259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FFB405-A263-47E6-B176-8C159A98F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4644" y="300119"/>
          <a:ext cx="1446616" cy="483415"/>
        </a:xfrm>
        <a:prstGeom prst="rect">
          <a:avLst/>
        </a:prstGeom>
      </xdr:spPr>
    </xdr:pic>
    <xdr:clientData/>
  </xdr:twoCellAnchor>
  <xdr:twoCellAnchor editAs="oneCell">
    <xdr:from>
      <xdr:col>6</xdr:col>
      <xdr:colOff>84667</xdr:colOff>
      <xdr:row>35</xdr:row>
      <xdr:rowOff>17951</xdr:rowOff>
    </xdr:from>
    <xdr:to>
      <xdr:col>13</xdr:col>
      <xdr:colOff>234500</xdr:colOff>
      <xdr:row>45</xdr:row>
      <xdr:rowOff>72237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5FE944-3D3D-45A8-990E-6A0FE675F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47167" y="8933351"/>
          <a:ext cx="3588358" cy="2559361"/>
        </a:xfrm>
        <a:prstGeom prst="rect">
          <a:avLst/>
        </a:prstGeom>
        <a:ln w="12700">
          <a:solidFill>
            <a:schemeClr val="accent1"/>
          </a:solidFill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vek\vivek_common\JI-163\ELECTRICAL\1490B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vek\vivek_common\JI-163\ELECTRICAL\1483B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RNE\ENG\MEC\ENQUIRY\MC22AVFU\DATA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page 2"/>
      <sheetName val="LV induction motors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page 2"/>
      <sheetName val="Alternator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cess Data"/>
      <sheetName val="Electrical Load List"/>
      <sheetName val="Air Cooler-E"/>
      <sheetName val="Sheet No-7 Electrical Consumer "/>
      <sheetName val="Sheet No-6 Measurement list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L164"/>
  <sheetViews>
    <sheetView zoomScale="70" zoomScaleNormal="70" zoomScaleSheetLayoutView="85" workbookViewId="0">
      <selection activeCell="O6" sqref="O6:P6"/>
    </sheetView>
  </sheetViews>
  <sheetFormatPr defaultRowHeight="12.75"/>
  <cols>
    <col min="1" max="1" width="12.5703125" style="9" customWidth="1"/>
    <col min="2" max="2" width="28.140625" style="15" bestFit="1" customWidth="1"/>
    <col min="3" max="3" width="13.5703125" style="15" customWidth="1"/>
    <col min="4" max="4" width="4.7109375" style="15" customWidth="1"/>
    <col min="5" max="5" width="6.140625" style="15" customWidth="1"/>
    <col min="6" max="6" width="6.28515625" style="9" customWidth="1"/>
    <col min="7" max="8" width="4.7109375" style="9" customWidth="1"/>
    <col min="9" max="9" width="7.7109375" style="9" customWidth="1"/>
    <col min="10" max="10" width="6" style="15" customWidth="1"/>
    <col min="11" max="11" width="8.28515625" style="15" customWidth="1"/>
    <col min="12" max="12" width="11.85546875" style="9" customWidth="1"/>
    <col min="13" max="13" width="8.28515625" style="9" customWidth="1"/>
    <col min="14" max="14" width="5.7109375" style="9" customWidth="1"/>
    <col min="15" max="15" width="8.42578125" style="9" customWidth="1"/>
    <col min="16" max="17" width="5.7109375" style="9" customWidth="1"/>
    <col min="18" max="18" width="3.140625" style="9" customWidth="1"/>
    <col min="19" max="19" width="12.42578125" style="9" bestFit="1" customWidth="1"/>
    <col min="20" max="28" width="9.140625" style="9"/>
    <col min="29" max="29" width="17.28515625" style="9" bestFit="1" customWidth="1"/>
    <col min="30" max="30" width="9.140625" style="9"/>
    <col min="31" max="31" width="19" style="9" customWidth="1"/>
    <col min="32" max="32" width="24.42578125" style="9" customWidth="1"/>
    <col min="33" max="33" width="21.7109375" style="9" customWidth="1"/>
    <col min="34" max="34" width="21.28515625" style="9" customWidth="1"/>
    <col min="35" max="35" width="21.7109375" style="9" customWidth="1"/>
    <col min="36" max="36" width="17.85546875" style="9" customWidth="1"/>
    <col min="37" max="37" width="18.7109375" style="9" customWidth="1"/>
    <col min="38" max="38" width="14.140625" style="9" customWidth="1"/>
    <col min="39" max="260" width="9.140625" style="9"/>
    <col min="261" max="261" width="12.5703125" style="9" customWidth="1"/>
    <col min="262" max="262" width="15.5703125" style="9" customWidth="1"/>
    <col min="263" max="263" width="10.28515625" style="9" customWidth="1"/>
    <col min="264" max="264" width="8.5703125" style="9" customWidth="1"/>
    <col min="265" max="265" width="7.140625" style="9" customWidth="1"/>
    <col min="266" max="266" width="8.5703125" style="9" customWidth="1"/>
    <col min="267" max="267" width="10.42578125" style="9" customWidth="1"/>
    <col min="268" max="268" width="9.140625" style="9" customWidth="1"/>
    <col min="269" max="269" width="7.42578125" style="9" customWidth="1"/>
    <col min="270" max="270" width="11.28515625" style="9" customWidth="1"/>
    <col min="271" max="271" width="15.85546875" style="9" customWidth="1"/>
    <col min="272" max="272" width="11.28515625" style="9" customWidth="1"/>
    <col min="273" max="273" width="12.140625" style="9" customWidth="1"/>
    <col min="274" max="516" width="9.140625" style="9"/>
    <col min="517" max="517" width="12.5703125" style="9" customWidth="1"/>
    <col min="518" max="518" width="15.5703125" style="9" customWidth="1"/>
    <col min="519" max="519" width="10.28515625" style="9" customWidth="1"/>
    <col min="520" max="520" width="8.5703125" style="9" customWidth="1"/>
    <col min="521" max="521" width="7.140625" style="9" customWidth="1"/>
    <col min="522" max="522" width="8.5703125" style="9" customWidth="1"/>
    <col min="523" max="523" width="10.42578125" style="9" customWidth="1"/>
    <col min="524" max="524" width="9.140625" style="9" customWidth="1"/>
    <col min="525" max="525" width="7.42578125" style="9" customWidth="1"/>
    <col min="526" max="526" width="11.28515625" style="9" customWidth="1"/>
    <col min="527" max="527" width="15.85546875" style="9" customWidth="1"/>
    <col min="528" max="528" width="11.28515625" style="9" customWidth="1"/>
    <col min="529" max="529" width="12.140625" style="9" customWidth="1"/>
    <col min="530" max="772" width="9.140625" style="9"/>
    <col min="773" max="773" width="12.5703125" style="9" customWidth="1"/>
    <col min="774" max="774" width="15.5703125" style="9" customWidth="1"/>
    <col min="775" max="775" width="10.28515625" style="9" customWidth="1"/>
    <col min="776" max="776" width="8.5703125" style="9" customWidth="1"/>
    <col min="777" max="777" width="7.140625" style="9" customWidth="1"/>
    <col min="778" max="778" width="8.5703125" style="9" customWidth="1"/>
    <col min="779" max="779" width="10.42578125" style="9" customWidth="1"/>
    <col min="780" max="780" width="9.140625" style="9" customWidth="1"/>
    <col min="781" max="781" width="7.42578125" style="9" customWidth="1"/>
    <col min="782" max="782" width="11.28515625" style="9" customWidth="1"/>
    <col min="783" max="783" width="15.85546875" style="9" customWidth="1"/>
    <col min="784" max="784" width="11.28515625" style="9" customWidth="1"/>
    <col min="785" max="785" width="12.140625" style="9" customWidth="1"/>
    <col min="786" max="1028" width="9.140625" style="9"/>
    <col min="1029" max="1029" width="12.5703125" style="9" customWidth="1"/>
    <col min="1030" max="1030" width="15.5703125" style="9" customWidth="1"/>
    <col min="1031" max="1031" width="10.28515625" style="9" customWidth="1"/>
    <col min="1032" max="1032" width="8.5703125" style="9" customWidth="1"/>
    <col min="1033" max="1033" width="7.140625" style="9" customWidth="1"/>
    <col min="1034" max="1034" width="8.5703125" style="9" customWidth="1"/>
    <col min="1035" max="1035" width="10.42578125" style="9" customWidth="1"/>
    <col min="1036" max="1036" width="9.140625" style="9" customWidth="1"/>
    <col min="1037" max="1037" width="7.42578125" style="9" customWidth="1"/>
    <col min="1038" max="1038" width="11.28515625" style="9" customWidth="1"/>
    <col min="1039" max="1039" width="15.85546875" style="9" customWidth="1"/>
    <col min="1040" max="1040" width="11.28515625" style="9" customWidth="1"/>
    <col min="1041" max="1041" width="12.140625" style="9" customWidth="1"/>
    <col min="1042" max="1284" width="9.140625" style="9"/>
    <col min="1285" max="1285" width="12.5703125" style="9" customWidth="1"/>
    <col min="1286" max="1286" width="15.5703125" style="9" customWidth="1"/>
    <col min="1287" max="1287" width="10.28515625" style="9" customWidth="1"/>
    <col min="1288" max="1288" width="8.5703125" style="9" customWidth="1"/>
    <col min="1289" max="1289" width="7.140625" style="9" customWidth="1"/>
    <col min="1290" max="1290" width="8.5703125" style="9" customWidth="1"/>
    <col min="1291" max="1291" width="10.42578125" style="9" customWidth="1"/>
    <col min="1292" max="1292" width="9.140625" style="9" customWidth="1"/>
    <col min="1293" max="1293" width="7.42578125" style="9" customWidth="1"/>
    <col min="1294" max="1294" width="11.28515625" style="9" customWidth="1"/>
    <col min="1295" max="1295" width="15.85546875" style="9" customWidth="1"/>
    <col min="1296" max="1296" width="11.28515625" style="9" customWidth="1"/>
    <col min="1297" max="1297" width="12.140625" style="9" customWidth="1"/>
    <col min="1298" max="1540" width="9.140625" style="9"/>
    <col min="1541" max="1541" width="12.5703125" style="9" customWidth="1"/>
    <col min="1542" max="1542" width="15.5703125" style="9" customWidth="1"/>
    <col min="1543" max="1543" width="10.28515625" style="9" customWidth="1"/>
    <col min="1544" max="1544" width="8.5703125" style="9" customWidth="1"/>
    <col min="1545" max="1545" width="7.140625" style="9" customWidth="1"/>
    <col min="1546" max="1546" width="8.5703125" style="9" customWidth="1"/>
    <col min="1547" max="1547" width="10.42578125" style="9" customWidth="1"/>
    <col min="1548" max="1548" width="9.140625" style="9" customWidth="1"/>
    <col min="1549" max="1549" width="7.42578125" style="9" customWidth="1"/>
    <col min="1550" max="1550" width="11.28515625" style="9" customWidth="1"/>
    <col min="1551" max="1551" width="15.85546875" style="9" customWidth="1"/>
    <col min="1552" max="1552" width="11.28515625" style="9" customWidth="1"/>
    <col min="1553" max="1553" width="12.140625" style="9" customWidth="1"/>
    <col min="1554" max="1796" width="9.140625" style="9"/>
    <col min="1797" max="1797" width="12.5703125" style="9" customWidth="1"/>
    <col min="1798" max="1798" width="15.5703125" style="9" customWidth="1"/>
    <col min="1799" max="1799" width="10.28515625" style="9" customWidth="1"/>
    <col min="1800" max="1800" width="8.5703125" style="9" customWidth="1"/>
    <col min="1801" max="1801" width="7.140625" style="9" customWidth="1"/>
    <col min="1802" max="1802" width="8.5703125" style="9" customWidth="1"/>
    <col min="1803" max="1803" width="10.42578125" style="9" customWidth="1"/>
    <col min="1804" max="1804" width="9.140625" style="9" customWidth="1"/>
    <col min="1805" max="1805" width="7.42578125" style="9" customWidth="1"/>
    <col min="1806" max="1806" width="11.28515625" style="9" customWidth="1"/>
    <col min="1807" max="1807" width="15.85546875" style="9" customWidth="1"/>
    <col min="1808" max="1808" width="11.28515625" style="9" customWidth="1"/>
    <col min="1809" max="1809" width="12.140625" style="9" customWidth="1"/>
    <col min="1810" max="2052" width="9.140625" style="9"/>
    <col min="2053" max="2053" width="12.5703125" style="9" customWidth="1"/>
    <col min="2054" max="2054" width="15.5703125" style="9" customWidth="1"/>
    <col min="2055" max="2055" width="10.28515625" style="9" customWidth="1"/>
    <col min="2056" max="2056" width="8.5703125" style="9" customWidth="1"/>
    <col min="2057" max="2057" width="7.140625" style="9" customWidth="1"/>
    <col min="2058" max="2058" width="8.5703125" style="9" customWidth="1"/>
    <col min="2059" max="2059" width="10.42578125" style="9" customWidth="1"/>
    <col min="2060" max="2060" width="9.140625" style="9" customWidth="1"/>
    <col min="2061" max="2061" width="7.42578125" style="9" customWidth="1"/>
    <col min="2062" max="2062" width="11.28515625" style="9" customWidth="1"/>
    <col min="2063" max="2063" width="15.85546875" style="9" customWidth="1"/>
    <col min="2064" max="2064" width="11.28515625" style="9" customWidth="1"/>
    <col min="2065" max="2065" width="12.140625" style="9" customWidth="1"/>
    <col min="2066" max="2308" width="9.140625" style="9"/>
    <col min="2309" max="2309" width="12.5703125" style="9" customWidth="1"/>
    <col min="2310" max="2310" width="15.5703125" style="9" customWidth="1"/>
    <col min="2311" max="2311" width="10.28515625" style="9" customWidth="1"/>
    <col min="2312" max="2312" width="8.5703125" style="9" customWidth="1"/>
    <col min="2313" max="2313" width="7.140625" style="9" customWidth="1"/>
    <col min="2314" max="2314" width="8.5703125" style="9" customWidth="1"/>
    <col min="2315" max="2315" width="10.42578125" style="9" customWidth="1"/>
    <col min="2316" max="2316" width="9.140625" style="9" customWidth="1"/>
    <col min="2317" max="2317" width="7.42578125" style="9" customWidth="1"/>
    <col min="2318" max="2318" width="11.28515625" style="9" customWidth="1"/>
    <col min="2319" max="2319" width="15.85546875" style="9" customWidth="1"/>
    <col min="2320" max="2320" width="11.28515625" style="9" customWidth="1"/>
    <col min="2321" max="2321" width="12.140625" style="9" customWidth="1"/>
    <col min="2322" max="2564" width="9.140625" style="9"/>
    <col min="2565" max="2565" width="12.5703125" style="9" customWidth="1"/>
    <col min="2566" max="2566" width="15.5703125" style="9" customWidth="1"/>
    <col min="2567" max="2567" width="10.28515625" style="9" customWidth="1"/>
    <col min="2568" max="2568" width="8.5703125" style="9" customWidth="1"/>
    <col min="2569" max="2569" width="7.140625" style="9" customWidth="1"/>
    <col min="2570" max="2570" width="8.5703125" style="9" customWidth="1"/>
    <col min="2571" max="2571" width="10.42578125" style="9" customWidth="1"/>
    <col min="2572" max="2572" width="9.140625" style="9" customWidth="1"/>
    <col min="2573" max="2573" width="7.42578125" style="9" customWidth="1"/>
    <col min="2574" max="2574" width="11.28515625" style="9" customWidth="1"/>
    <col min="2575" max="2575" width="15.85546875" style="9" customWidth="1"/>
    <col min="2576" max="2576" width="11.28515625" style="9" customWidth="1"/>
    <col min="2577" max="2577" width="12.140625" style="9" customWidth="1"/>
    <col min="2578" max="2820" width="9.140625" style="9"/>
    <col min="2821" max="2821" width="12.5703125" style="9" customWidth="1"/>
    <col min="2822" max="2822" width="15.5703125" style="9" customWidth="1"/>
    <col min="2823" max="2823" width="10.28515625" style="9" customWidth="1"/>
    <col min="2824" max="2824" width="8.5703125" style="9" customWidth="1"/>
    <col min="2825" max="2825" width="7.140625" style="9" customWidth="1"/>
    <col min="2826" max="2826" width="8.5703125" style="9" customWidth="1"/>
    <col min="2827" max="2827" width="10.42578125" style="9" customWidth="1"/>
    <col min="2828" max="2828" width="9.140625" style="9" customWidth="1"/>
    <col min="2829" max="2829" width="7.42578125" style="9" customWidth="1"/>
    <col min="2830" max="2830" width="11.28515625" style="9" customWidth="1"/>
    <col min="2831" max="2831" width="15.85546875" style="9" customWidth="1"/>
    <col min="2832" max="2832" width="11.28515625" style="9" customWidth="1"/>
    <col min="2833" max="2833" width="12.140625" style="9" customWidth="1"/>
    <col min="2834" max="3076" width="9.140625" style="9"/>
    <col min="3077" max="3077" width="12.5703125" style="9" customWidth="1"/>
    <col min="3078" max="3078" width="15.5703125" style="9" customWidth="1"/>
    <col min="3079" max="3079" width="10.28515625" style="9" customWidth="1"/>
    <col min="3080" max="3080" width="8.5703125" style="9" customWidth="1"/>
    <col min="3081" max="3081" width="7.140625" style="9" customWidth="1"/>
    <col min="3082" max="3082" width="8.5703125" style="9" customWidth="1"/>
    <col min="3083" max="3083" width="10.42578125" style="9" customWidth="1"/>
    <col min="3084" max="3084" width="9.140625" style="9" customWidth="1"/>
    <col min="3085" max="3085" width="7.42578125" style="9" customWidth="1"/>
    <col min="3086" max="3086" width="11.28515625" style="9" customWidth="1"/>
    <col min="3087" max="3087" width="15.85546875" style="9" customWidth="1"/>
    <col min="3088" max="3088" width="11.28515625" style="9" customWidth="1"/>
    <col min="3089" max="3089" width="12.140625" style="9" customWidth="1"/>
    <col min="3090" max="3332" width="9.140625" style="9"/>
    <col min="3333" max="3333" width="12.5703125" style="9" customWidth="1"/>
    <col min="3334" max="3334" width="15.5703125" style="9" customWidth="1"/>
    <col min="3335" max="3335" width="10.28515625" style="9" customWidth="1"/>
    <col min="3336" max="3336" width="8.5703125" style="9" customWidth="1"/>
    <col min="3337" max="3337" width="7.140625" style="9" customWidth="1"/>
    <col min="3338" max="3338" width="8.5703125" style="9" customWidth="1"/>
    <col min="3339" max="3339" width="10.42578125" style="9" customWidth="1"/>
    <col min="3340" max="3340" width="9.140625" style="9" customWidth="1"/>
    <col min="3341" max="3341" width="7.42578125" style="9" customWidth="1"/>
    <col min="3342" max="3342" width="11.28515625" style="9" customWidth="1"/>
    <col min="3343" max="3343" width="15.85546875" style="9" customWidth="1"/>
    <col min="3344" max="3344" width="11.28515625" style="9" customWidth="1"/>
    <col min="3345" max="3345" width="12.140625" style="9" customWidth="1"/>
    <col min="3346" max="3588" width="9.140625" style="9"/>
    <col min="3589" max="3589" width="12.5703125" style="9" customWidth="1"/>
    <col min="3590" max="3590" width="15.5703125" style="9" customWidth="1"/>
    <col min="3591" max="3591" width="10.28515625" style="9" customWidth="1"/>
    <col min="3592" max="3592" width="8.5703125" style="9" customWidth="1"/>
    <col min="3593" max="3593" width="7.140625" style="9" customWidth="1"/>
    <col min="3594" max="3594" width="8.5703125" style="9" customWidth="1"/>
    <col min="3595" max="3595" width="10.42578125" style="9" customWidth="1"/>
    <col min="3596" max="3596" width="9.140625" style="9" customWidth="1"/>
    <col min="3597" max="3597" width="7.42578125" style="9" customWidth="1"/>
    <col min="3598" max="3598" width="11.28515625" style="9" customWidth="1"/>
    <col min="3599" max="3599" width="15.85546875" style="9" customWidth="1"/>
    <col min="3600" max="3600" width="11.28515625" style="9" customWidth="1"/>
    <col min="3601" max="3601" width="12.140625" style="9" customWidth="1"/>
    <col min="3602" max="3844" width="9.140625" style="9"/>
    <col min="3845" max="3845" width="12.5703125" style="9" customWidth="1"/>
    <col min="3846" max="3846" width="15.5703125" style="9" customWidth="1"/>
    <col min="3847" max="3847" width="10.28515625" style="9" customWidth="1"/>
    <col min="3848" max="3848" width="8.5703125" style="9" customWidth="1"/>
    <col min="3849" max="3849" width="7.140625" style="9" customWidth="1"/>
    <col min="3850" max="3850" width="8.5703125" style="9" customWidth="1"/>
    <col min="3851" max="3851" width="10.42578125" style="9" customWidth="1"/>
    <col min="3852" max="3852" width="9.140625" style="9" customWidth="1"/>
    <col min="3853" max="3853" width="7.42578125" style="9" customWidth="1"/>
    <col min="3854" max="3854" width="11.28515625" style="9" customWidth="1"/>
    <col min="3855" max="3855" width="15.85546875" style="9" customWidth="1"/>
    <col min="3856" max="3856" width="11.28515625" style="9" customWidth="1"/>
    <col min="3857" max="3857" width="12.140625" style="9" customWidth="1"/>
    <col min="3858" max="4100" width="9.140625" style="9"/>
    <col min="4101" max="4101" width="12.5703125" style="9" customWidth="1"/>
    <col min="4102" max="4102" width="15.5703125" style="9" customWidth="1"/>
    <col min="4103" max="4103" width="10.28515625" style="9" customWidth="1"/>
    <col min="4104" max="4104" width="8.5703125" style="9" customWidth="1"/>
    <col min="4105" max="4105" width="7.140625" style="9" customWidth="1"/>
    <col min="4106" max="4106" width="8.5703125" style="9" customWidth="1"/>
    <col min="4107" max="4107" width="10.42578125" style="9" customWidth="1"/>
    <col min="4108" max="4108" width="9.140625" style="9" customWidth="1"/>
    <col min="4109" max="4109" width="7.42578125" style="9" customWidth="1"/>
    <col min="4110" max="4110" width="11.28515625" style="9" customWidth="1"/>
    <col min="4111" max="4111" width="15.85546875" style="9" customWidth="1"/>
    <col min="4112" max="4112" width="11.28515625" style="9" customWidth="1"/>
    <col min="4113" max="4113" width="12.140625" style="9" customWidth="1"/>
    <col min="4114" max="4356" width="9.140625" style="9"/>
    <col min="4357" max="4357" width="12.5703125" style="9" customWidth="1"/>
    <col min="4358" max="4358" width="15.5703125" style="9" customWidth="1"/>
    <col min="4359" max="4359" width="10.28515625" style="9" customWidth="1"/>
    <col min="4360" max="4360" width="8.5703125" style="9" customWidth="1"/>
    <col min="4361" max="4361" width="7.140625" style="9" customWidth="1"/>
    <col min="4362" max="4362" width="8.5703125" style="9" customWidth="1"/>
    <col min="4363" max="4363" width="10.42578125" style="9" customWidth="1"/>
    <col min="4364" max="4364" width="9.140625" style="9" customWidth="1"/>
    <col min="4365" max="4365" width="7.42578125" style="9" customWidth="1"/>
    <col min="4366" max="4366" width="11.28515625" style="9" customWidth="1"/>
    <col min="4367" max="4367" width="15.85546875" style="9" customWidth="1"/>
    <col min="4368" max="4368" width="11.28515625" style="9" customWidth="1"/>
    <col min="4369" max="4369" width="12.140625" style="9" customWidth="1"/>
    <col min="4370" max="4612" width="9.140625" style="9"/>
    <col min="4613" max="4613" width="12.5703125" style="9" customWidth="1"/>
    <col min="4614" max="4614" width="15.5703125" style="9" customWidth="1"/>
    <col min="4615" max="4615" width="10.28515625" style="9" customWidth="1"/>
    <col min="4616" max="4616" width="8.5703125" style="9" customWidth="1"/>
    <col min="4617" max="4617" width="7.140625" style="9" customWidth="1"/>
    <col min="4618" max="4618" width="8.5703125" style="9" customWidth="1"/>
    <col min="4619" max="4619" width="10.42578125" style="9" customWidth="1"/>
    <col min="4620" max="4620" width="9.140625" style="9" customWidth="1"/>
    <col min="4621" max="4621" width="7.42578125" style="9" customWidth="1"/>
    <col min="4622" max="4622" width="11.28515625" style="9" customWidth="1"/>
    <col min="4623" max="4623" width="15.85546875" style="9" customWidth="1"/>
    <col min="4624" max="4624" width="11.28515625" style="9" customWidth="1"/>
    <col min="4625" max="4625" width="12.140625" style="9" customWidth="1"/>
    <col min="4626" max="4868" width="9.140625" style="9"/>
    <col min="4869" max="4869" width="12.5703125" style="9" customWidth="1"/>
    <col min="4870" max="4870" width="15.5703125" style="9" customWidth="1"/>
    <col min="4871" max="4871" width="10.28515625" style="9" customWidth="1"/>
    <col min="4872" max="4872" width="8.5703125" style="9" customWidth="1"/>
    <col min="4873" max="4873" width="7.140625" style="9" customWidth="1"/>
    <col min="4874" max="4874" width="8.5703125" style="9" customWidth="1"/>
    <col min="4875" max="4875" width="10.42578125" style="9" customWidth="1"/>
    <col min="4876" max="4876" width="9.140625" style="9" customWidth="1"/>
    <col min="4877" max="4877" width="7.42578125" style="9" customWidth="1"/>
    <col min="4878" max="4878" width="11.28515625" style="9" customWidth="1"/>
    <col min="4879" max="4879" width="15.85546875" style="9" customWidth="1"/>
    <col min="4880" max="4880" width="11.28515625" style="9" customWidth="1"/>
    <col min="4881" max="4881" width="12.140625" style="9" customWidth="1"/>
    <col min="4882" max="5124" width="9.140625" style="9"/>
    <col min="5125" max="5125" width="12.5703125" style="9" customWidth="1"/>
    <col min="5126" max="5126" width="15.5703125" style="9" customWidth="1"/>
    <col min="5127" max="5127" width="10.28515625" style="9" customWidth="1"/>
    <col min="5128" max="5128" width="8.5703125" style="9" customWidth="1"/>
    <col min="5129" max="5129" width="7.140625" style="9" customWidth="1"/>
    <col min="5130" max="5130" width="8.5703125" style="9" customWidth="1"/>
    <col min="5131" max="5131" width="10.42578125" style="9" customWidth="1"/>
    <col min="5132" max="5132" width="9.140625" style="9" customWidth="1"/>
    <col min="5133" max="5133" width="7.42578125" style="9" customWidth="1"/>
    <col min="5134" max="5134" width="11.28515625" style="9" customWidth="1"/>
    <col min="5135" max="5135" width="15.85546875" style="9" customWidth="1"/>
    <col min="5136" max="5136" width="11.28515625" style="9" customWidth="1"/>
    <col min="5137" max="5137" width="12.140625" style="9" customWidth="1"/>
    <col min="5138" max="5380" width="9.140625" style="9"/>
    <col min="5381" max="5381" width="12.5703125" style="9" customWidth="1"/>
    <col min="5382" max="5382" width="15.5703125" style="9" customWidth="1"/>
    <col min="5383" max="5383" width="10.28515625" style="9" customWidth="1"/>
    <col min="5384" max="5384" width="8.5703125" style="9" customWidth="1"/>
    <col min="5385" max="5385" width="7.140625" style="9" customWidth="1"/>
    <col min="5386" max="5386" width="8.5703125" style="9" customWidth="1"/>
    <col min="5387" max="5387" width="10.42578125" style="9" customWidth="1"/>
    <col min="5388" max="5388" width="9.140625" style="9" customWidth="1"/>
    <col min="5389" max="5389" width="7.42578125" style="9" customWidth="1"/>
    <col min="5390" max="5390" width="11.28515625" style="9" customWidth="1"/>
    <col min="5391" max="5391" width="15.85546875" style="9" customWidth="1"/>
    <col min="5392" max="5392" width="11.28515625" style="9" customWidth="1"/>
    <col min="5393" max="5393" width="12.140625" style="9" customWidth="1"/>
    <col min="5394" max="5636" width="9.140625" style="9"/>
    <col min="5637" max="5637" width="12.5703125" style="9" customWidth="1"/>
    <col min="5638" max="5638" width="15.5703125" style="9" customWidth="1"/>
    <col min="5639" max="5639" width="10.28515625" style="9" customWidth="1"/>
    <col min="5640" max="5640" width="8.5703125" style="9" customWidth="1"/>
    <col min="5641" max="5641" width="7.140625" style="9" customWidth="1"/>
    <col min="5642" max="5642" width="8.5703125" style="9" customWidth="1"/>
    <col min="5643" max="5643" width="10.42578125" style="9" customWidth="1"/>
    <col min="5644" max="5644" width="9.140625" style="9" customWidth="1"/>
    <col min="5645" max="5645" width="7.42578125" style="9" customWidth="1"/>
    <col min="5646" max="5646" width="11.28515625" style="9" customWidth="1"/>
    <col min="5647" max="5647" width="15.85546875" style="9" customWidth="1"/>
    <col min="5648" max="5648" width="11.28515625" style="9" customWidth="1"/>
    <col min="5649" max="5649" width="12.140625" style="9" customWidth="1"/>
    <col min="5650" max="5892" width="9.140625" style="9"/>
    <col min="5893" max="5893" width="12.5703125" style="9" customWidth="1"/>
    <col min="5894" max="5894" width="15.5703125" style="9" customWidth="1"/>
    <col min="5895" max="5895" width="10.28515625" style="9" customWidth="1"/>
    <col min="5896" max="5896" width="8.5703125" style="9" customWidth="1"/>
    <col min="5897" max="5897" width="7.140625" style="9" customWidth="1"/>
    <col min="5898" max="5898" width="8.5703125" style="9" customWidth="1"/>
    <col min="5899" max="5899" width="10.42578125" style="9" customWidth="1"/>
    <col min="5900" max="5900" width="9.140625" style="9" customWidth="1"/>
    <col min="5901" max="5901" width="7.42578125" style="9" customWidth="1"/>
    <col min="5902" max="5902" width="11.28515625" style="9" customWidth="1"/>
    <col min="5903" max="5903" width="15.85546875" style="9" customWidth="1"/>
    <col min="5904" max="5904" width="11.28515625" style="9" customWidth="1"/>
    <col min="5905" max="5905" width="12.140625" style="9" customWidth="1"/>
    <col min="5906" max="6148" width="9.140625" style="9"/>
    <col min="6149" max="6149" width="12.5703125" style="9" customWidth="1"/>
    <col min="6150" max="6150" width="15.5703125" style="9" customWidth="1"/>
    <col min="6151" max="6151" width="10.28515625" style="9" customWidth="1"/>
    <col min="6152" max="6152" width="8.5703125" style="9" customWidth="1"/>
    <col min="6153" max="6153" width="7.140625" style="9" customWidth="1"/>
    <col min="6154" max="6154" width="8.5703125" style="9" customWidth="1"/>
    <col min="6155" max="6155" width="10.42578125" style="9" customWidth="1"/>
    <col min="6156" max="6156" width="9.140625" style="9" customWidth="1"/>
    <col min="6157" max="6157" width="7.42578125" style="9" customWidth="1"/>
    <col min="6158" max="6158" width="11.28515625" style="9" customWidth="1"/>
    <col min="6159" max="6159" width="15.85546875" style="9" customWidth="1"/>
    <col min="6160" max="6160" width="11.28515625" style="9" customWidth="1"/>
    <col min="6161" max="6161" width="12.140625" style="9" customWidth="1"/>
    <col min="6162" max="6404" width="9.140625" style="9"/>
    <col min="6405" max="6405" width="12.5703125" style="9" customWidth="1"/>
    <col min="6406" max="6406" width="15.5703125" style="9" customWidth="1"/>
    <col min="6407" max="6407" width="10.28515625" style="9" customWidth="1"/>
    <col min="6408" max="6408" width="8.5703125" style="9" customWidth="1"/>
    <col min="6409" max="6409" width="7.140625" style="9" customWidth="1"/>
    <col min="6410" max="6410" width="8.5703125" style="9" customWidth="1"/>
    <col min="6411" max="6411" width="10.42578125" style="9" customWidth="1"/>
    <col min="6412" max="6412" width="9.140625" style="9" customWidth="1"/>
    <col min="6413" max="6413" width="7.42578125" style="9" customWidth="1"/>
    <col min="6414" max="6414" width="11.28515625" style="9" customWidth="1"/>
    <col min="6415" max="6415" width="15.85546875" style="9" customWidth="1"/>
    <col min="6416" max="6416" width="11.28515625" style="9" customWidth="1"/>
    <col min="6417" max="6417" width="12.140625" style="9" customWidth="1"/>
    <col min="6418" max="6660" width="9.140625" style="9"/>
    <col min="6661" max="6661" width="12.5703125" style="9" customWidth="1"/>
    <col min="6662" max="6662" width="15.5703125" style="9" customWidth="1"/>
    <col min="6663" max="6663" width="10.28515625" style="9" customWidth="1"/>
    <col min="6664" max="6664" width="8.5703125" style="9" customWidth="1"/>
    <col min="6665" max="6665" width="7.140625" style="9" customWidth="1"/>
    <col min="6666" max="6666" width="8.5703125" style="9" customWidth="1"/>
    <col min="6667" max="6667" width="10.42578125" style="9" customWidth="1"/>
    <col min="6668" max="6668" width="9.140625" style="9" customWidth="1"/>
    <col min="6669" max="6669" width="7.42578125" style="9" customWidth="1"/>
    <col min="6670" max="6670" width="11.28515625" style="9" customWidth="1"/>
    <col min="6671" max="6671" width="15.85546875" style="9" customWidth="1"/>
    <col min="6672" max="6672" width="11.28515625" style="9" customWidth="1"/>
    <col min="6673" max="6673" width="12.140625" style="9" customWidth="1"/>
    <col min="6674" max="6916" width="9.140625" style="9"/>
    <col min="6917" max="6917" width="12.5703125" style="9" customWidth="1"/>
    <col min="6918" max="6918" width="15.5703125" style="9" customWidth="1"/>
    <col min="6919" max="6919" width="10.28515625" style="9" customWidth="1"/>
    <col min="6920" max="6920" width="8.5703125" style="9" customWidth="1"/>
    <col min="6921" max="6921" width="7.140625" style="9" customWidth="1"/>
    <col min="6922" max="6922" width="8.5703125" style="9" customWidth="1"/>
    <col min="6923" max="6923" width="10.42578125" style="9" customWidth="1"/>
    <col min="6924" max="6924" width="9.140625" style="9" customWidth="1"/>
    <col min="6925" max="6925" width="7.42578125" style="9" customWidth="1"/>
    <col min="6926" max="6926" width="11.28515625" style="9" customWidth="1"/>
    <col min="6927" max="6927" width="15.85546875" style="9" customWidth="1"/>
    <col min="6928" max="6928" width="11.28515625" style="9" customWidth="1"/>
    <col min="6929" max="6929" width="12.140625" style="9" customWidth="1"/>
    <col min="6930" max="7172" width="9.140625" style="9"/>
    <col min="7173" max="7173" width="12.5703125" style="9" customWidth="1"/>
    <col min="7174" max="7174" width="15.5703125" style="9" customWidth="1"/>
    <col min="7175" max="7175" width="10.28515625" style="9" customWidth="1"/>
    <col min="7176" max="7176" width="8.5703125" style="9" customWidth="1"/>
    <col min="7177" max="7177" width="7.140625" style="9" customWidth="1"/>
    <col min="7178" max="7178" width="8.5703125" style="9" customWidth="1"/>
    <col min="7179" max="7179" width="10.42578125" style="9" customWidth="1"/>
    <col min="7180" max="7180" width="9.140625" style="9" customWidth="1"/>
    <col min="7181" max="7181" width="7.42578125" style="9" customWidth="1"/>
    <col min="7182" max="7182" width="11.28515625" style="9" customWidth="1"/>
    <col min="7183" max="7183" width="15.85546875" style="9" customWidth="1"/>
    <col min="7184" max="7184" width="11.28515625" style="9" customWidth="1"/>
    <col min="7185" max="7185" width="12.140625" style="9" customWidth="1"/>
    <col min="7186" max="7428" width="9.140625" style="9"/>
    <col min="7429" max="7429" width="12.5703125" style="9" customWidth="1"/>
    <col min="7430" max="7430" width="15.5703125" style="9" customWidth="1"/>
    <col min="7431" max="7431" width="10.28515625" style="9" customWidth="1"/>
    <col min="7432" max="7432" width="8.5703125" style="9" customWidth="1"/>
    <col min="7433" max="7433" width="7.140625" style="9" customWidth="1"/>
    <col min="7434" max="7434" width="8.5703125" style="9" customWidth="1"/>
    <col min="7435" max="7435" width="10.42578125" style="9" customWidth="1"/>
    <col min="7436" max="7436" width="9.140625" style="9" customWidth="1"/>
    <col min="7437" max="7437" width="7.42578125" style="9" customWidth="1"/>
    <col min="7438" max="7438" width="11.28515625" style="9" customWidth="1"/>
    <col min="7439" max="7439" width="15.85546875" style="9" customWidth="1"/>
    <col min="7440" max="7440" width="11.28515625" style="9" customWidth="1"/>
    <col min="7441" max="7441" width="12.140625" style="9" customWidth="1"/>
    <col min="7442" max="7684" width="9.140625" style="9"/>
    <col min="7685" max="7685" width="12.5703125" style="9" customWidth="1"/>
    <col min="7686" max="7686" width="15.5703125" style="9" customWidth="1"/>
    <col min="7687" max="7687" width="10.28515625" style="9" customWidth="1"/>
    <col min="7688" max="7688" width="8.5703125" style="9" customWidth="1"/>
    <col min="7689" max="7689" width="7.140625" style="9" customWidth="1"/>
    <col min="7690" max="7690" width="8.5703125" style="9" customWidth="1"/>
    <col min="7691" max="7691" width="10.42578125" style="9" customWidth="1"/>
    <col min="7692" max="7692" width="9.140625" style="9" customWidth="1"/>
    <col min="7693" max="7693" width="7.42578125" style="9" customWidth="1"/>
    <col min="7694" max="7694" width="11.28515625" style="9" customWidth="1"/>
    <col min="7695" max="7695" width="15.85546875" style="9" customWidth="1"/>
    <col min="7696" max="7696" width="11.28515625" style="9" customWidth="1"/>
    <col min="7697" max="7697" width="12.140625" style="9" customWidth="1"/>
    <col min="7698" max="7940" width="9.140625" style="9"/>
    <col min="7941" max="7941" width="12.5703125" style="9" customWidth="1"/>
    <col min="7942" max="7942" width="15.5703125" style="9" customWidth="1"/>
    <col min="7943" max="7943" width="10.28515625" style="9" customWidth="1"/>
    <col min="7944" max="7944" width="8.5703125" style="9" customWidth="1"/>
    <col min="7945" max="7945" width="7.140625" style="9" customWidth="1"/>
    <col min="7946" max="7946" width="8.5703125" style="9" customWidth="1"/>
    <col min="7947" max="7947" width="10.42578125" style="9" customWidth="1"/>
    <col min="7948" max="7948" width="9.140625" style="9" customWidth="1"/>
    <col min="7949" max="7949" width="7.42578125" style="9" customWidth="1"/>
    <col min="7950" max="7950" width="11.28515625" style="9" customWidth="1"/>
    <col min="7951" max="7951" width="15.85546875" style="9" customWidth="1"/>
    <col min="7952" max="7952" width="11.28515625" style="9" customWidth="1"/>
    <col min="7953" max="7953" width="12.140625" style="9" customWidth="1"/>
    <col min="7954" max="8196" width="9.140625" style="9"/>
    <col min="8197" max="8197" width="12.5703125" style="9" customWidth="1"/>
    <col min="8198" max="8198" width="15.5703125" style="9" customWidth="1"/>
    <col min="8199" max="8199" width="10.28515625" style="9" customWidth="1"/>
    <col min="8200" max="8200" width="8.5703125" style="9" customWidth="1"/>
    <col min="8201" max="8201" width="7.140625" style="9" customWidth="1"/>
    <col min="8202" max="8202" width="8.5703125" style="9" customWidth="1"/>
    <col min="8203" max="8203" width="10.42578125" style="9" customWidth="1"/>
    <col min="8204" max="8204" width="9.140625" style="9" customWidth="1"/>
    <col min="8205" max="8205" width="7.42578125" style="9" customWidth="1"/>
    <col min="8206" max="8206" width="11.28515625" style="9" customWidth="1"/>
    <col min="8207" max="8207" width="15.85546875" style="9" customWidth="1"/>
    <col min="8208" max="8208" width="11.28515625" style="9" customWidth="1"/>
    <col min="8209" max="8209" width="12.140625" style="9" customWidth="1"/>
    <col min="8210" max="8452" width="9.140625" style="9"/>
    <col min="8453" max="8453" width="12.5703125" style="9" customWidth="1"/>
    <col min="8454" max="8454" width="15.5703125" style="9" customWidth="1"/>
    <col min="8455" max="8455" width="10.28515625" style="9" customWidth="1"/>
    <col min="8456" max="8456" width="8.5703125" style="9" customWidth="1"/>
    <col min="8457" max="8457" width="7.140625" style="9" customWidth="1"/>
    <col min="8458" max="8458" width="8.5703125" style="9" customWidth="1"/>
    <col min="8459" max="8459" width="10.42578125" style="9" customWidth="1"/>
    <col min="8460" max="8460" width="9.140625" style="9" customWidth="1"/>
    <col min="8461" max="8461" width="7.42578125" style="9" customWidth="1"/>
    <col min="8462" max="8462" width="11.28515625" style="9" customWidth="1"/>
    <col min="8463" max="8463" width="15.85546875" style="9" customWidth="1"/>
    <col min="8464" max="8464" width="11.28515625" style="9" customWidth="1"/>
    <col min="8465" max="8465" width="12.140625" style="9" customWidth="1"/>
    <col min="8466" max="8708" width="9.140625" style="9"/>
    <col min="8709" max="8709" width="12.5703125" style="9" customWidth="1"/>
    <col min="8710" max="8710" width="15.5703125" style="9" customWidth="1"/>
    <col min="8711" max="8711" width="10.28515625" style="9" customWidth="1"/>
    <col min="8712" max="8712" width="8.5703125" style="9" customWidth="1"/>
    <col min="8713" max="8713" width="7.140625" style="9" customWidth="1"/>
    <col min="8714" max="8714" width="8.5703125" style="9" customWidth="1"/>
    <col min="8715" max="8715" width="10.42578125" style="9" customWidth="1"/>
    <col min="8716" max="8716" width="9.140625" style="9" customWidth="1"/>
    <col min="8717" max="8717" width="7.42578125" style="9" customWidth="1"/>
    <col min="8718" max="8718" width="11.28515625" style="9" customWidth="1"/>
    <col min="8719" max="8719" width="15.85546875" style="9" customWidth="1"/>
    <col min="8720" max="8720" width="11.28515625" style="9" customWidth="1"/>
    <col min="8721" max="8721" width="12.140625" style="9" customWidth="1"/>
    <col min="8722" max="8964" width="9.140625" style="9"/>
    <col min="8965" max="8965" width="12.5703125" style="9" customWidth="1"/>
    <col min="8966" max="8966" width="15.5703125" style="9" customWidth="1"/>
    <col min="8967" max="8967" width="10.28515625" style="9" customWidth="1"/>
    <col min="8968" max="8968" width="8.5703125" style="9" customWidth="1"/>
    <col min="8969" max="8969" width="7.140625" style="9" customWidth="1"/>
    <col min="8970" max="8970" width="8.5703125" style="9" customWidth="1"/>
    <col min="8971" max="8971" width="10.42578125" style="9" customWidth="1"/>
    <col min="8972" max="8972" width="9.140625" style="9" customWidth="1"/>
    <col min="8973" max="8973" width="7.42578125" style="9" customWidth="1"/>
    <col min="8974" max="8974" width="11.28515625" style="9" customWidth="1"/>
    <col min="8975" max="8975" width="15.85546875" style="9" customWidth="1"/>
    <col min="8976" max="8976" width="11.28515625" style="9" customWidth="1"/>
    <col min="8977" max="8977" width="12.140625" style="9" customWidth="1"/>
    <col min="8978" max="9220" width="9.140625" style="9"/>
    <col min="9221" max="9221" width="12.5703125" style="9" customWidth="1"/>
    <col min="9222" max="9222" width="15.5703125" style="9" customWidth="1"/>
    <col min="9223" max="9223" width="10.28515625" style="9" customWidth="1"/>
    <col min="9224" max="9224" width="8.5703125" style="9" customWidth="1"/>
    <col min="9225" max="9225" width="7.140625" style="9" customWidth="1"/>
    <col min="9226" max="9226" width="8.5703125" style="9" customWidth="1"/>
    <col min="9227" max="9227" width="10.42578125" style="9" customWidth="1"/>
    <col min="9228" max="9228" width="9.140625" style="9" customWidth="1"/>
    <col min="9229" max="9229" width="7.42578125" style="9" customWidth="1"/>
    <col min="9230" max="9230" width="11.28515625" style="9" customWidth="1"/>
    <col min="9231" max="9231" width="15.85546875" style="9" customWidth="1"/>
    <col min="9232" max="9232" width="11.28515625" style="9" customWidth="1"/>
    <col min="9233" max="9233" width="12.140625" style="9" customWidth="1"/>
    <col min="9234" max="9476" width="9.140625" style="9"/>
    <col min="9477" max="9477" width="12.5703125" style="9" customWidth="1"/>
    <col min="9478" max="9478" width="15.5703125" style="9" customWidth="1"/>
    <col min="9479" max="9479" width="10.28515625" style="9" customWidth="1"/>
    <col min="9480" max="9480" width="8.5703125" style="9" customWidth="1"/>
    <col min="9481" max="9481" width="7.140625" style="9" customWidth="1"/>
    <col min="9482" max="9482" width="8.5703125" style="9" customWidth="1"/>
    <col min="9483" max="9483" width="10.42578125" style="9" customWidth="1"/>
    <col min="9484" max="9484" width="9.140625" style="9" customWidth="1"/>
    <col min="9485" max="9485" width="7.42578125" style="9" customWidth="1"/>
    <col min="9486" max="9486" width="11.28515625" style="9" customWidth="1"/>
    <col min="9487" max="9487" width="15.85546875" style="9" customWidth="1"/>
    <col min="9488" max="9488" width="11.28515625" style="9" customWidth="1"/>
    <col min="9489" max="9489" width="12.140625" style="9" customWidth="1"/>
    <col min="9490" max="9732" width="9.140625" style="9"/>
    <col min="9733" max="9733" width="12.5703125" style="9" customWidth="1"/>
    <col min="9734" max="9734" width="15.5703125" style="9" customWidth="1"/>
    <col min="9735" max="9735" width="10.28515625" style="9" customWidth="1"/>
    <col min="9736" max="9736" width="8.5703125" style="9" customWidth="1"/>
    <col min="9737" max="9737" width="7.140625" style="9" customWidth="1"/>
    <col min="9738" max="9738" width="8.5703125" style="9" customWidth="1"/>
    <col min="9739" max="9739" width="10.42578125" style="9" customWidth="1"/>
    <col min="9740" max="9740" width="9.140625" style="9" customWidth="1"/>
    <col min="9741" max="9741" width="7.42578125" style="9" customWidth="1"/>
    <col min="9742" max="9742" width="11.28515625" style="9" customWidth="1"/>
    <col min="9743" max="9743" width="15.85546875" style="9" customWidth="1"/>
    <col min="9744" max="9744" width="11.28515625" style="9" customWidth="1"/>
    <col min="9745" max="9745" width="12.140625" style="9" customWidth="1"/>
    <col min="9746" max="9988" width="9.140625" style="9"/>
    <col min="9989" max="9989" width="12.5703125" style="9" customWidth="1"/>
    <col min="9990" max="9990" width="15.5703125" style="9" customWidth="1"/>
    <col min="9991" max="9991" width="10.28515625" style="9" customWidth="1"/>
    <col min="9992" max="9992" width="8.5703125" style="9" customWidth="1"/>
    <col min="9993" max="9993" width="7.140625" style="9" customWidth="1"/>
    <col min="9994" max="9994" width="8.5703125" style="9" customWidth="1"/>
    <col min="9995" max="9995" width="10.42578125" style="9" customWidth="1"/>
    <col min="9996" max="9996" width="9.140625" style="9" customWidth="1"/>
    <col min="9997" max="9997" width="7.42578125" style="9" customWidth="1"/>
    <col min="9998" max="9998" width="11.28515625" style="9" customWidth="1"/>
    <col min="9999" max="9999" width="15.85546875" style="9" customWidth="1"/>
    <col min="10000" max="10000" width="11.28515625" style="9" customWidth="1"/>
    <col min="10001" max="10001" width="12.140625" style="9" customWidth="1"/>
    <col min="10002" max="10244" width="9.140625" style="9"/>
    <col min="10245" max="10245" width="12.5703125" style="9" customWidth="1"/>
    <col min="10246" max="10246" width="15.5703125" style="9" customWidth="1"/>
    <col min="10247" max="10247" width="10.28515625" style="9" customWidth="1"/>
    <col min="10248" max="10248" width="8.5703125" style="9" customWidth="1"/>
    <col min="10249" max="10249" width="7.140625" style="9" customWidth="1"/>
    <col min="10250" max="10250" width="8.5703125" style="9" customWidth="1"/>
    <col min="10251" max="10251" width="10.42578125" style="9" customWidth="1"/>
    <col min="10252" max="10252" width="9.140625" style="9" customWidth="1"/>
    <col min="10253" max="10253" width="7.42578125" style="9" customWidth="1"/>
    <col min="10254" max="10254" width="11.28515625" style="9" customWidth="1"/>
    <col min="10255" max="10255" width="15.85546875" style="9" customWidth="1"/>
    <col min="10256" max="10256" width="11.28515625" style="9" customWidth="1"/>
    <col min="10257" max="10257" width="12.140625" style="9" customWidth="1"/>
    <col min="10258" max="10500" width="9.140625" style="9"/>
    <col min="10501" max="10501" width="12.5703125" style="9" customWidth="1"/>
    <col min="10502" max="10502" width="15.5703125" style="9" customWidth="1"/>
    <col min="10503" max="10503" width="10.28515625" style="9" customWidth="1"/>
    <col min="10504" max="10504" width="8.5703125" style="9" customWidth="1"/>
    <col min="10505" max="10505" width="7.140625" style="9" customWidth="1"/>
    <col min="10506" max="10506" width="8.5703125" style="9" customWidth="1"/>
    <col min="10507" max="10507" width="10.42578125" style="9" customWidth="1"/>
    <col min="10508" max="10508" width="9.140625" style="9" customWidth="1"/>
    <col min="10509" max="10509" width="7.42578125" style="9" customWidth="1"/>
    <col min="10510" max="10510" width="11.28515625" style="9" customWidth="1"/>
    <col min="10511" max="10511" width="15.85546875" style="9" customWidth="1"/>
    <col min="10512" max="10512" width="11.28515625" style="9" customWidth="1"/>
    <col min="10513" max="10513" width="12.140625" style="9" customWidth="1"/>
    <col min="10514" max="10756" width="9.140625" style="9"/>
    <col min="10757" max="10757" width="12.5703125" style="9" customWidth="1"/>
    <col min="10758" max="10758" width="15.5703125" style="9" customWidth="1"/>
    <col min="10759" max="10759" width="10.28515625" style="9" customWidth="1"/>
    <col min="10760" max="10760" width="8.5703125" style="9" customWidth="1"/>
    <col min="10761" max="10761" width="7.140625" style="9" customWidth="1"/>
    <col min="10762" max="10762" width="8.5703125" style="9" customWidth="1"/>
    <col min="10763" max="10763" width="10.42578125" style="9" customWidth="1"/>
    <col min="10764" max="10764" width="9.140625" style="9" customWidth="1"/>
    <col min="10765" max="10765" width="7.42578125" style="9" customWidth="1"/>
    <col min="10766" max="10766" width="11.28515625" style="9" customWidth="1"/>
    <col min="10767" max="10767" width="15.85546875" style="9" customWidth="1"/>
    <col min="10768" max="10768" width="11.28515625" style="9" customWidth="1"/>
    <col min="10769" max="10769" width="12.140625" style="9" customWidth="1"/>
    <col min="10770" max="11012" width="9.140625" style="9"/>
    <col min="11013" max="11013" width="12.5703125" style="9" customWidth="1"/>
    <col min="11014" max="11014" width="15.5703125" style="9" customWidth="1"/>
    <col min="11015" max="11015" width="10.28515625" style="9" customWidth="1"/>
    <col min="11016" max="11016" width="8.5703125" style="9" customWidth="1"/>
    <col min="11017" max="11017" width="7.140625" style="9" customWidth="1"/>
    <col min="11018" max="11018" width="8.5703125" style="9" customWidth="1"/>
    <col min="11019" max="11019" width="10.42578125" style="9" customWidth="1"/>
    <col min="11020" max="11020" width="9.140625" style="9" customWidth="1"/>
    <col min="11021" max="11021" width="7.42578125" style="9" customWidth="1"/>
    <col min="11022" max="11022" width="11.28515625" style="9" customWidth="1"/>
    <col min="11023" max="11023" width="15.85546875" style="9" customWidth="1"/>
    <col min="11024" max="11024" width="11.28515625" style="9" customWidth="1"/>
    <col min="11025" max="11025" width="12.140625" style="9" customWidth="1"/>
    <col min="11026" max="11268" width="9.140625" style="9"/>
    <col min="11269" max="11269" width="12.5703125" style="9" customWidth="1"/>
    <col min="11270" max="11270" width="15.5703125" style="9" customWidth="1"/>
    <col min="11271" max="11271" width="10.28515625" style="9" customWidth="1"/>
    <col min="11272" max="11272" width="8.5703125" style="9" customWidth="1"/>
    <col min="11273" max="11273" width="7.140625" style="9" customWidth="1"/>
    <col min="11274" max="11274" width="8.5703125" style="9" customWidth="1"/>
    <col min="11275" max="11275" width="10.42578125" style="9" customWidth="1"/>
    <col min="11276" max="11276" width="9.140625" style="9" customWidth="1"/>
    <col min="11277" max="11277" width="7.42578125" style="9" customWidth="1"/>
    <col min="11278" max="11278" width="11.28515625" style="9" customWidth="1"/>
    <col min="11279" max="11279" width="15.85546875" style="9" customWidth="1"/>
    <col min="11280" max="11280" width="11.28515625" style="9" customWidth="1"/>
    <col min="11281" max="11281" width="12.140625" style="9" customWidth="1"/>
    <col min="11282" max="11524" width="9.140625" style="9"/>
    <col min="11525" max="11525" width="12.5703125" style="9" customWidth="1"/>
    <col min="11526" max="11526" width="15.5703125" style="9" customWidth="1"/>
    <col min="11527" max="11527" width="10.28515625" style="9" customWidth="1"/>
    <col min="11528" max="11528" width="8.5703125" style="9" customWidth="1"/>
    <col min="11529" max="11529" width="7.140625" style="9" customWidth="1"/>
    <col min="11530" max="11530" width="8.5703125" style="9" customWidth="1"/>
    <col min="11531" max="11531" width="10.42578125" style="9" customWidth="1"/>
    <col min="11532" max="11532" width="9.140625" style="9" customWidth="1"/>
    <col min="11533" max="11533" width="7.42578125" style="9" customWidth="1"/>
    <col min="11534" max="11534" width="11.28515625" style="9" customWidth="1"/>
    <col min="11535" max="11535" width="15.85546875" style="9" customWidth="1"/>
    <col min="11536" max="11536" width="11.28515625" style="9" customWidth="1"/>
    <col min="11537" max="11537" width="12.140625" style="9" customWidth="1"/>
    <col min="11538" max="11780" width="9.140625" style="9"/>
    <col min="11781" max="11781" width="12.5703125" style="9" customWidth="1"/>
    <col min="11782" max="11782" width="15.5703125" style="9" customWidth="1"/>
    <col min="11783" max="11783" width="10.28515625" style="9" customWidth="1"/>
    <col min="11784" max="11784" width="8.5703125" style="9" customWidth="1"/>
    <col min="11785" max="11785" width="7.140625" style="9" customWidth="1"/>
    <col min="11786" max="11786" width="8.5703125" style="9" customWidth="1"/>
    <col min="11787" max="11787" width="10.42578125" style="9" customWidth="1"/>
    <col min="11788" max="11788" width="9.140625" style="9" customWidth="1"/>
    <col min="11789" max="11789" width="7.42578125" style="9" customWidth="1"/>
    <col min="11790" max="11790" width="11.28515625" style="9" customWidth="1"/>
    <col min="11791" max="11791" width="15.85546875" style="9" customWidth="1"/>
    <col min="11792" max="11792" width="11.28515625" style="9" customWidth="1"/>
    <col min="11793" max="11793" width="12.140625" style="9" customWidth="1"/>
    <col min="11794" max="12036" width="9.140625" style="9"/>
    <col min="12037" max="12037" width="12.5703125" style="9" customWidth="1"/>
    <col min="12038" max="12038" width="15.5703125" style="9" customWidth="1"/>
    <col min="12039" max="12039" width="10.28515625" style="9" customWidth="1"/>
    <col min="12040" max="12040" width="8.5703125" style="9" customWidth="1"/>
    <col min="12041" max="12041" width="7.140625" style="9" customWidth="1"/>
    <col min="12042" max="12042" width="8.5703125" style="9" customWidth="1"/>
    <col min="12043" max="12043" width="10.42578125" style="9" customWidth="1"/>
    <col min="12044" max="12044" width="9.140625" style="9" customWidth="1"/>
    <col min="12045" max="12045" width="7.42578125" style="9" customWidth="1"/>
    <col min="12046" max="12046" width="11.28515625" style="9" customWidth="1"/>
    <col min="12047" max="12047" width="15.85546875" style="9" customWidth="1"/>
    <col min="12048" max="12048" width="11.28515625" style="9" customWidth="1"/>
    <col min="12049" max="12049" width="12.140625" style="9" customWidth="1"/>
    <col min="12050" max="12292" width="9.140625" style="9"/>
    <col min="12293" max="12293" width="12.5703125" style="9" customWidth="1"/>
    <col min="12294" max="12294" width="15.5703125" style="9" customWidth="1"/>
    <col min="12295" max="12295" width="10.28515625" style="9" customWidth="1"/>
    <col min="12296" max="12296" width="8.5703125" style="9" customWidth="1"/>
    <col min="12297" max="12297" width="7.140625" style="9" customWidth="1"/>
    <col min="12298" max="12298" width="8.5703125" style="9" customWidth="1"/>
    <col min="12299" max="12299" width="10.42578125" style="9" customWidth="1"/>
    <col min="12300" max="12300" width="9.140625" style="9" customWidth="1"/>
    <col min="12301" max="12301" width="7.42578125" style="9" customWidth="1"/>
    <col min="12302" max="12302" width="11.28515625" style="9" customWidth="1"/>
    <col min="12303" max="12303" width="15.85546875" style="9" customWidth="1"/>
    <col min="12304" max="12304" width="11.28515625" style="9" customWidth="1"/>
    <col min="12305" max="12305" width="12.140625" style="9" customWidth="1"/>
    <col min="12306" max="12548" width="9.140625" style="9"/>
    <col min="12549" max="12549" width="12.5703125" style="9" customWidth="1"/>
    <col min="12550" max="12550" width="15.5703125" style="9" customWidth="1"/>
    <col min="12551" max="12551" width="10.28515625" style="9" customWidth="1"/>
    <col min="12552" max="12552" width="8.5703125" style="9" customWidth="1"/>
    <col min="12553" max="12553" width="7.140625" style="9" customWidth="1"/>
    <col min="12554" max="12554" width="8.5703125" style="9" customWidth="1"/>
    <col min="12555" max="12555" width="10.42578125" style="9" customWidth="1"/>
    <col min="12556" max="12556" width="9.140625" style="9" customWidth="1"/>
    <col min="12557" max="12557" width="7.42578125" style="9" customWidth="1"/>
    <col min="12558" max="12558" width="11.28515625" style="9" customWidth="1"/>
    <col min="12559" max="12559" width="15.85546875" style="9" customWidth="1"/>
    <col min="12560" max="12560" width="11.28515625" style="9" customWidth="1"/>
    <col min="12561" max="12561" width="12.140625" style="9" customWidth="1"/>
    <col min="12562" max="12804" width="9.140625" style="9"/>
    <col min="12805" max="12805" width="12.5703125" style="9" customWidth="1"/>
    <col min="12806" max="12806" width="15.5703125" style="9" customWidth="1"/>
    <col min="12807" max="12807" width="10.28515625" style="9" customWidth="1"/>
    <col min="12808" max="12808" width="8.5703125" style="9" customWidth="1"/>
    <col min="12809" max="12809" width="7.140625" style="9" customWidth="1"/>
    <col min="12810" max="12810" width="8.5703125" style="9" customWidth="1"/>
    <col min="12811" max="12811" width="10.42578125" style="9" customWidth="1"/>
    <col min="12812" max="12812" width="9.140625" style="9" customWidth="1"/>
    <col min="12813" max="12813" width="7.42578125" style="9" customWidth="1"/>
    <col min="12814" max="12814" width="11.28515625" style="9" customWidth="1"/>
    <col min="12815" max="12815" width="15.85546875" style="9" customWidth="1"/>
    <col min="12816" max="12816" width="11.28515625" style="9" customWidth="1"/>
    <col min="12817" max="12817" width="12.140625" style="9" customWidth="1"/>
    <col min="12818" max="13060" width="9.140625" style="9"/>
    <col min="13061" max="13061" width="12.5703125" style="9" customWidth="1"/>
    <col min="13062" max="13062" width="15.5703125" style="9" customWidth="1"/>
    <col min="13063" max="13063" width="10.28515625" style="9" customWidth="1"/>
    <col min="13064" max="13064" width="8.5703125" style="9" customWidth="1"/>
    <col min="13065" max="13065" width="7.140625" style="9" customWidth="1"/>
    <col min="13066" max="13066" width="8.5703125" style="9" customWidth="1"/>
    <col min="13067" max="13067" width="10.42578125" style="9" customWidth="1"/>
    <col min="13068" max="13068" width="9.140625" style="9" customWidth="1"/>
    <col min="13069" max="13069" width="7.42578125" style="9" customWidth="1"/>
    <col min="13070" max="13070" width="11.28515625" style="9" customWidth="1"/>
    <col min="13071" max="13071" width="15.85546875" style="9" customWidth="1"/>
    <col min="13072" max="13072" width="11.28515625" style="9" customWidth="1"/>
    <col min="13073" max="13073" width="12.140625" style="9" customWidth="1"/>
    <col min="13074" max="13316" width="9.140625" style="9"/>
    <col min="13317" max="13317" width="12.5703125" style="9" customWidth="1"/>
    <col min="13318" max="13318" width="15.5703125" style="9" customWidth="1"/>
    <col min="13319" max="13319" width="10.28515625" style="9" customWidth="1"/>
    <col min="13320" max="13320" width="8.5703125" style="9" customWidth="1"/>
    <col min="13321" max="13321" width="7.140625" style="9" customWidth="1"/>
    <col min="13322" max="13322" width="8.5703125" style="9" customWidth="1"/>
    <col min="13323" max="13323" width="10.42578125" style="9" customWidth="1"/>
    <col min="13324" max="13324" width="9.140625" style="9" customWidth="1"/>
    <col min="13325" max="13325" width="7.42578125" style="9" customWidth="1"/>
    <col min="13326" max="13326" width="11.28515625" style="9" customWidth="1"/>
    <col min="13327" max="13327" width="15.85546875" style="9" customWidth="1"/>
    <col min="13328" max="13328" width="11.28515625" style="9" customWidth="1"/>
    <col min="13329" max="13329" width="12.140625" style="9" customWidth="1"/>
    <col min="13330" max="13572" width="9.140625" style="9"/>
    <col min="13573" max="13573" width="12.5703125" style="9" customWidth="1"/>
    <col min="13574" max="13574" width="15.5703125" style="9" customWidth="1"/>
    <col min="13575" max="13575" width="10.28515625" style="9" customWidth="1"/>
    <col min="13576" max="13576" width="8.5703125" style="9" customWidth="1"/>
    <col min="13577" max="13577" width="7.140625" style="9" customWidth="1"/>
    <col min="13578" max="13578" width="8.5703125" style="9" customWidth="1"/>
    <col min="13579" max="13579" width="10.42578125" style="9" customWidth="1"/>
    <col min="13580" max="13580" width="9.140625" style="9" customWidth="1"/>
    <col min="13581" max="13581" width="7.42578125" style="9" customWidth="1"/>
    <col min="13582" max="13582" width="11.28515625" style="9" customWidth="1"/>
    <col min="13583" max="13583" width="15.85546875" style="9" customWidth="1"/>
    <col min="13584" max="13584" width="11.28515625" style="9" customWidth="1"/>
    <col min="13585" max="13585" width="12.140625" style="9" customWidth="1"/>
    <col min="13586" max="13828" width="9.140625" style="9"/>
    <col min="13829" max="13829" width="12.5703125" style="9" customWidth="1"/>
    <col min="13830" max="13830" width="15.5703125" style="9" customWidth="1"/>
    <col min="13831" max="13831" width="10.28515625" style="9" customWidth="1"/>
    <col min="13832" max="13832" width="8.5703125" style="9" customWidth="1"/>
    <col min="13833" max="13833" width="7.140625" style="9" customWidth="1"/>
    <col min="13834" max="13834" width="8.5703125" style="9" customWidth="1"/>
    <col min="13835" max="13835" width="10.42578125" style="9" customWidth="1"/>
    <col min="13836" max="13836" width="9.140625" style="9" customWidth="1"/>
    <col min="13837" max="13837" width="7.42578125" style="9" customWidth="1"/>
    <col min="13838" max="13838" width="11.28515625" style="9" customWidth="1"/>
    <col min="13839" max="13839" width="15.85546875" style="9" customWidth="1"/>
    <col min="13840" max="13840" width="11.28515625" style="9" customWidth="1"/>
    <col min="13841" max="13841" width="12.140625" style="9" customWidth="1"/>
    <col min="13842" max="14084" width="9.140625" style="9"/>
    <col min="14085" max="14085" width="12.5703125" style="9" customWidth="1"/>
    <col min="14086" max="14086" width="15.5703125" style="9" customWidth="1"/>
    <col min="14087" max="14087" width="10.28515625" style="9" customWidth="1"/>
    <col min="14088" max="14088" width="8.5703125" style="9" customWidth="1"/>
    <col min="14089" max="14089" width="7.140625" style="9" customWidth="1"/>
    <col min="14090" max="14090" width="8.5703125" style="9" customWidth="1"/>
    <col min="14091" max="14091" width="10.42578125" style="9" customWidth="1"/>
    <col min="14092" max="14092" width="9.140625" style="9" customWidth="1"/>
    <col min="14093" max="14093" width="7.42578125" style="9" customWidth="1"/>
    <col min="14094" max="14094" width="11.28515625" style="9" customWidth="1"/>
    <col min="14095" max="14095" width="15.85546875" style="9" customWidth="1"/>
    <col min="14096" max="14096" width="11.28515625" style="9" customWidth="1"/>
    <col min="14097" max="14097" width="12.140625" style="9" customWidth="1"/>
    <col min="14098" max="14340" width="9.140625" style="9"/>
    <col min="14341" max="14341" width="12.5703125" style="9" customWidth="1"/>
    <col min="14342" max="14342" width="15.5703125" style="9" customWidth="1"/>
    <col min="14343" max="14343" width="10.28515625" style="9" customWidth="1"/>
    <col min="14344" max="14344" width="8.5703125" style="9" customWidth="1"/>
    <col min="14345" max="14345" width="7.140625" style="9" customWidth="1"/>
    <col min="14346" max="14346" width="8.5703125" style="9" customWidth="1"/>
    <col min="14347" max="14347" width="10.42578125" style="9" customWidth="1"/>
    <col min="14348" max="14348" width="9.140625" style="9" customWidth="1"/>
    <col min="14349" max="14349" width="7.42578125" style="9" customWidth="1"/>
    <col min="14350" max="14350" width="11.28515625" style="9" customWidth="1"/>
    <col min="14351" max="14351" width="15.85546875" style="9" customWidth="1"/>
    <col min="14352" max="14352" width="11.28515625" style="9" customWidth="1"/>
    <col min="14353" max="14353" width="12.140625" style="9" customWidth="1"/>
    <col min="14354" max="14596" width="9.140625" style="9"/>
    <col min="14597" max="14597" width="12.5703125" style="9" customWidth="1"/>
    <col min="14598" max="14598" width="15.5703125" style="9" customWidth="1"/>
    <col min="14599" max="14599" width="10.28515625" style="9" customWidth="1"/>
    <col min="14600" max="14600" width="8.5703125" style="9" customWidth="1"/>
    <col min="14601" max="14601" width="7.140625" style="9" customWidth="1"/>
    <col min="14602" max="14602" width="8.5703125" style="9" customWidth="1"/>
    <col min="14603" max="14603" width="10.42578125" style="9" customWidth="1"/>
    <col min="14604" max="14604" width="9.140625" style="9" customWidth="1"/>
    <col min="14605" max="14605" width="7.42578125" style="9" customWidth="1"/>
    <col min="14606" max="14606" width="11.28515625" style="9" customWidth="1"/>
    <col min="14607" max="14607" width="15.85546875" style="9" customWidth="1"/>
    <col min="14608" max="14608" width="11.28515625" style="9" customWidth="1"/>
    <col min="14609" max="14609" width="12.140625" style="9" customWidth="1"/>
    <col min="14610" max="14852" width="9.140625" style="9"/>
    <col min="14853" max="14853" width="12.5703125" style="9" customWidth="1"/>
    <col min="14854" max="14854" width="15.5703125" style="9" customWidth="1"/>
    <col min="14855" max="14855" width="10.28515625" style="9" customWidth="1"/>
    <col min="14856" max="14856" width="8.5703125" style="9" customWidth="1"/>
    <col min="14857" max="14857" width="7.140625" style="9" customWidth="1"/>
    <col min="14858" max="14858" width="8.5703125" style="9" customWidth="1"/>
    <col min="14859" max="14859" width="10.42578125" style="9" customWidth="1"/>
    <col min="14860" max="14860" width="9.140625" style="9" customWidth="1"/>
    <col min="14861" max="14861" width="7.42578125" style="9" customWidth="1"/>
    <col min="14862" max="14862" width="11.28515625" style="9" customWidth="1"/>
    <col min="14863" max="14863" width="15.85546875" style="9" customWidth="1"/>
    <col min="14864" max="14864" width="11.28515625" style="9" customWidth="1"/>
    <col min="14865" max="14865" width="12.140625" style="9" customWidth="1"/>
    <col min="14866" max="15108" width="9.140625" style="9"/>
    <col min="15109" max="15109" width="12.5703125" style="9" customWidth="1"/>
    <col min="15110" max="15110" width="15.5703125" style="9" customWidth="1"/>
    <col min="15111" max="15111" width="10.28515625" style="9" customWidth="1"/>
    <col min="15112" max="15112" width="8.5703125" style="9" customWidth="1"/>
    <col min="15113" max="15113" width="7.140625" style="9" customWidth="1"/>
    <col min="15114" max="15114" width="8.5703125" style="9" customWidth="1"/>
    <col min="15115" max="15115" width="10.42578125" style="9" customWidth="1"/>
    <col min="15116" max="15116" width="9.140625" style="9" customWidth="1"/>
    <col min="15117" max="15117" width="7.42578125" style="9" customWidth="1"/>
    <col min="15118" max="15118" width="11.28515625" style="9" customWidth="1"/>
    <col min="15119" max="15119" width="15.85546875" style="9" customWidth="1"/>
    <col min="15120" max="15120" width="11.28515625" style="9" customWidth="1"/>
    <col min="15121" max="15121" width="12.140625" style="9" customWidth="1"/>
    <col min="15122" max="15364" width="9.140625" style="9"/>
    <col min="15365" max="15365" width="12.5703125" style="9" customWidth="1"/>
    <col min="15366" max="15366" width="15.5703125" style="9" customWidth="1"/>
    <col min="15367" max="15367" width="10.28515625" style="9" customWidth="1"/>
    <col min="15368" max="15368" width="8.5703125" style="9" customWidth="1"/>
    <col min="15369" max="15369" width="7.140625" style="9" customWidth="1"/>
    <col min="15370" max="15370" width="8.5703125" style="9" customWidth="1"/>
    <col min="15371" max="15371" width="10.42578125" style="9" customWidth="1"/>
    <col min="15372" max="15372" width="9.140625" style="9" customWidth="1"/>
    <col min="15373" max="15373" width="7.42578125" style="9" customWidth="1"/>
    <col min="15374" max="15374" width="11.28515625" style="9" customWidth="1"/>
    <col min="15375" max="15375" width="15.85546875" style="9" customWidth="1"/>
    <col min="15376" max="15376" width="11.28515625" style="9" customWidth="1"/>
    <col min="15377" max="15377" width="12.140625" style="9" customWidth="1"/>
    <col min="15378" max="15620" width="9.140625" style="9"/>
    <col min="15621" max="15621" width="12.5703125" style="9" customWidth="1"/>
    <col min="15622" max="15622" width="15.5703125" style="9" customWidth="1"/>
    <col min="15623" max="15623" width="10.28515625" style="9" customWidth="1"/>
    <col min="15624" max="15624" width="8.5703125" style="9" customWidth="1"/>
    <col min="15625" max="15625" width="7.140625" style="9" customWidth="1"/>
    <col min="15626" max="15626" width="8.5703125" style="9" customWidth="1"/>
    <col min="15627" max="15627" width="10.42578125" style="9" customWidth="1"/>
    <col min="15628" max="15628" width="9.140625" style="9" customWidth="1"/>
    <col min="15629" max="15629" width="7.42578125" style="9" customWidth="1"/>
    <col min="15630" max="15630" width="11.28515625" style="9" customWidth="1"/>
    <col min="15631" max="15631" width="15.85546875" style="9" customWidth="1"/>
    <col min="15632" max="15632" width="11.28515625" style="9" customWidth="1"/>
    <col min="15633" max="15633" width="12.140625" style="9" customWidth="1"/>
    <col min="15634" max="15876" width="9.140625" style="9"/>
    <col min="15877" max="15877" width="12.5703125" style="9" customWidth="1"/>
    <col min="15878" max="15878" width="15.5703125" style="9" customWidth="1"/>
    <col min="15879" max="15879" width="10.28515625" style="9" customWidth="1"/>
    <col min="15880" max="15880" width="8.5703125" style="9" customWidth="1"/>
    <col min="15881" max="15881" width="7.140625" style="9" customWidth="1"/>
    <col min="15882" max="15882" width="8.5703125" style="9" customWidth="1"/>
    <col min="15883" max="15883" width="10.42578125" style="9" customWidth="1"/>
    <col min="15884" max="15884" width="9.140625" style="9" customWidth="1"/>
    <col min="15885" max="15885" width="7.42578125" style="9" customWidth="1"/>
    <col min="15886" max="15886" width="11.28515625" style="9" customWidth="1"/>
    <col min="15887" max="15887" width="15.85546875" style="9" customWidth="1"/>
    <col min="15888" max="15888" width="11.28515625" style="9" customWidth="1"/>
    <col min="15889" max="15889" width="12.140625" style="9" customWidth="1"/>
    <col min="15890" max="16132" width="9.140625" style="9"/>
    <col min="16133" max="16133" width="12.5703125" style="9" customWidth="1"/>
    <col min="16134" max="16134" width="15.5703125" style="9" customWidth="1"/>
    <col min="16135" max="16135" width="10.28515625" style="9" customWidth="1"/>
    <col min="16136" max="16136" width="8.5703125" style="9" customWidth="1"/>
    <col min="16137" max="16137" width="7.140625" style="9" customWidth="1"/>
    <col min="16138" max="16138" width="8.5703125" style="9" customWidth="1"/>
    <col min="16139" max="16139" width="10.42578125" style="9" customWidth="1"/>
    <col min="16140" max="16140" width="9.140625" style="9" customWidth="1"/>
    <col min="16141" max="16141" width="7.42578125" style="9" customWidth="1"/>
    <col min="16142" max="16142" width="11.28515625" style="9" customWidth="1"/>
    <col min="16143" max="16143" width="15.85546875" style="9" customWidth="1"/>
    <col min="16144" max="16144" width="11.28515625" style="9" customWidth="1"/>
    <col min="16145" max="16145" width="12.140625" style="9" customWidth="1"/>
    <col min="16146" max="16384" width="9.140625" style="9"/>
  </cols>
  <sheetData>
    <row r="1" spans="1:37" s="7" customFormat="1" ht="17.25" customHeight="1">
      <c r="A1" s="1" t="s">
        <v>0</v>
      </c>
      <c r="B1" s="121" t="s">
        <v>68</v>
      </c>
      <c r="C1" s="137" t="s">
        <v>11</v>
      </c>
      <c r="D1" s="138"/>
      <c r="E1" s="138"/>
      <c r="F1" s="138"/>
      <c r="G1" s="138"/>
      <c r="H1" s="138"/>
      <c r="I1" s="138"/>
      <c r="J1" s="158" t="s">
        <v>1</v>
      </c>
      <c r="K1" s="159"/>
      <c r="L1" s="166">
        <v>0</v>
      </c>
      <c r="M1" s="167"/>
      <c r="N1" s="143"/>
      <c r="O1" s="144"/>
      <c r="P1" s="144"/>
      <c r="Q1" s="145"/>
      <c r="AF1" s="93"/>
      <c r="AG1" s="94"/>
      <c r="AH1" s="95"/>
      <c r="AI1" s="96"/>
      <c r="AJ1" s="94"/>
      <c r="AK1" s="97"/>
    </row>
    <row r="2" spans="1:37" s="7" customFormat="1" ht="18">
      <c r="A2" s="2" t="s">
        <v>2</v>
      </c>
      <c r="B2" s="122" t="s">
        <v>67</v>
      </c>
      <c r="C2" s="139"/>
      <c r="D2" s="140"/>
      <c r="E2" s="140"/>
      <c r="F2" s="140"/>
      <c r="G2" s="140"/>
      <c r="H2" s="140"/>
      <c r="I2" s="140"/>
      <c r="J2" s="160" t="s">
        <v>3</v>
      </c>
      <c r="K2" s="161"/>
      <c r="L2" s="168" t="s">
        <v>73</v>
      </c>
      <c r="M2" s="169"/>
      <c r="N2" s="146"/>
      <c r="O2" s="147"/>
      <c r="P2" s="147"/>
      <c r="Q2" s="148"/>
      <c r="AF2" s="98"/>
      <c r="AG2" s="69"/>
      <c r="AH2" s="98"/>
      <c r="AI2" s="70"/>
      <c r="AJ2" s="98"/>
      <c r="AK2" s="70"/>
    </row>
    <row r="3" spans="1:37" s="7" customFormat="1" ht="18">
      <c r="A3" s="2" t="s">
        <v>4</v>
      </c>
      <c r="B3" s="122" t="s">
        <v>66</v>
      </c>
      <c r="C3" s="139"/>
      <c r="D3" s="140"/>
      <c r="E3" s="140"/>
      <c r="F3" s="140"/>
      <c r="G3" s="140"/>
      <c r="H3" s="140"/>
      <c r="I3" s="140"/>
      <c r="J3" s="162" t="s">
        <v>5</v>
      </c>
      <c r="K3" s="163"/>
      <c r="L3" s="176" t="s">
        <v>69</v>
      </c>
      <c r="M3" s="169"/>
      <c r="N3" s="146"/>
      <c r="O3" s="147"/>
      <c r="P3" s="147"/>
      <c r="Q3" s="148"/>
      <c r="AF3" s="98"/>
      <c r="AG3" s="69"/>
      <c r="AH3" s="98"/>
      <c r="AI3" s="70"/>
      <c r="AJ3" s="98"/>
      <c r="AK3" s="70"/>
    </row>
    <row r="4" spans="1:37" s="7" customFormat="1" ht="54.75" thickBot="1">
      <c r="A4" s="3" t="s">
        <v>6</v>
      </c>
      <c r="B4" s="123" t="s">
        <v>72</v>
      </c>
      <c r="C4" s="141"/>
      <c r="D4" s="142"/>
      <c r="E4" s="142"/>
      <c r="F4" s="142"/>
      <c r="G4" s="142"/>
      <c r="H4" s="142"/>
      <c r="I4" s="142"/>
      <c r="J4" s="164" t="s">
        <v>7</v>
      </c>
      <c r="K4" s="165"/>
      <c r="L4" s="177" t="s">
        <v>65</v>
      </c>
      <c r="M4" s="178"/>
      <c r="N4" s="149"/>
      <c r="O4" s="150"/>
      <c r="P4" s="150"/>
      <c r="Q4" s="151"/>
      <c r="AF4" s="98"/>
      <c r="AG4" s="69"/>
      <c r="AH4" s="98"/>
      <c r="AI4" s="70"/>
      <c r="AJ4" s="98"/>
      <c r="AK4" s="70"/>
    </row>
    <row r="5" spans="1:37" s="7" customFormat="1" ht="18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7"/>
      <c r="AF5" s="98"/>
      <c r="AG5" s="69"/>
      <c r="AH5" s="98"/>
      <c r="AI5" s="70"/>
      <c r="AJ5" s="98"/>
      <c r="AK5" s="70"/>
    </row>
    <row r="6" spans="1:37" ht="18.75" customHeight="1">
      <c r="A6" s="8"/>
      <c r="B6" s="6" t="s">
        <v>19</v>
      </c>
      <c r="C6" s="152" t="s">
        <v>71</v>
      </c>
      <c r="D6" s="154"/>
      <c r="E6" s="154"/>
      <c r="F6" s="153"/>
      <c r="G6" s="35"/>
      <c r="H6" s="35"/>
      <c r="I6" s="10"/>
      <c r="J6" s="170" t="s">
        <v>21</v>
      </c>
      <c r="K6" s="171"/>
      <c r="L6" s="171"/>
      <c r="M6" s="171"/>
      <c r="N6" s="172"/>
      <c r="O6" s="152">
        <v>12045</v>
      </c>
      <c r="P6" s="153"/>
      <c r="Q6" s="11"/>
      <c r="AF6" s="98"/>
      <c r="AG6" s="69"/>
      <c r="AH6" s="98"/>
      <c r="AI6" s="70"/>
      <c r="AJ6" s="98"/>
      <c r="AK6" s="70"/>
    </row>
    <row r="7" spans="1:37" ht="18.75" customHeight="1">
      <c r="A7" s="12"/>
      <c r="B7" s="13"/>
      <c r="C7" s="13"/>
      <c r="D7" s="13"/>
      <c r="E7" s="13"/>
      <c r="F7" s="13"/>
      <c r="G7" s="10"/>
      <c r="H7" s="10"/>
      <c r="I7" s="10"/>
      <c r="J7" s="170" t="s">
        <v>30</v>
      </c>
      <c r="K7" s="171"/>
      <c r="L7" s="171"/>
      <c r="M7" s="171"/>
      <c r="N7" s="172"/>
      <c r="O7" s="152" t="s">
        <v>70</v>
      </c>
      <c r="P7" s="153"/>
      <c r="Q7" s="11"/>
      <c r="AF7" s="98"/>
      <c r="AG7" s="69"/>
      <c r="AH7" s="98"/>
      <c r="AI7" s="70"/>
      <c r="AJ7" s="98"/>
      <c r="AK7" s="70"/>
    </row>
    <row r="8" spans="1:37" ht="18.75" customHeight="1">
      <c r="A8" s="14"/>
      <c r="B8" s="203" t="s">
        <v>18</v>
      </c>
      <c r="C8" s="204"/>
      <c r="D8" s="205"/>
      <c r="E8" s="152" t="s">
        <v>74</v>
      </c>
      <c r="F8" s="154"/>
      <c r="G8" s="153"/>
      <c r="H8" s="10"/>
      <c r="I8" s="10"/>
      <c r="J8" s="43"/>
      <c r="K8" s="43"/>
      <c r="L8" s="35"/>
      <c r="M8" s="35"/>
      <c r="N8" s="35"/>
      <c r="O8" s="10"/>
      <c r="P8" s="10"/>
      <c r="Q8" s="11"/>
      <c r="AF8" s="98"/>
      <c r="AG8" s="69"/>
      <c r="AH8" s="98"/>
      <c r="AI8" s="70"/>
      <c r="AJ8" s="98"/>
      <c r="AK8" s="70"/>
    </row>
    <row r="9" spans="1:37" ht="18.75" customHeight="1">
      <c r="A9" s="12"/>
      <c r="B9" s="13"/>
      <c r="C9" s="13"/>
      <c r="D9" s="13"/>
      <c r="E9" s="13"/>
      <c r="F9" s="13"/>
      <c r="G9" s="10"/>
      <c r="H9" s="10"/>
      <c r="I9" s="10"/>
      <c r="J9" s="43"/>
      <c r="K9" s="43"/>
      <c r="L9" s="35"/>
      <c r="M9" s="35"/>
      <c r="N9" s="35"/>
      <c r="O9" s="10"/>
      <c r="P9" s="10"/>
      <c r="Q9" s="11"/>
      <c r="AF9" s="98"/>
      <c r="AG9" s="69"/>
      <c r="AH9" s="98"/>
      <c r="AI9" s="70"/>
      <c r="AJ9" s="98"/>
      <c r="AK9" s="70"/>
    </row>
    <row r="10" spans="1:37" ht="18.75">
      <c r="A10" s="16" t="s">
        <v>17</v>
      </c>
      <c r="B10" s="13"/>
      <c r="C10" s="13"/>
      <c r="D10" s="13"/>
      <c r="E10" s="13"/>
      <c r="F10" s="13"/>
      <c r="G10" s="10"/>
      <c r="H10" s="10"/>
      <c r="I10" s="10"/>
      <c r="J10" s="17"/>
      <c r="K10" s="17"/>
      <c r="L10" s="10"/>
      <c r="M10" s="10"/>
      <c r="N10" s="10"/>
      <c r="O10" s="10"/>
      <c r="P10" s="10"/>
      <c r="Q10" s="11"/>
      <c r="AF10" s="98"/>
      <c r="AG10" s="69"/>
      <c r="AH10" s="98"/>
      <c r="AI10" s="70"/>
      <c r="AJ10" s="98"/>
      <c r="AK10" s="70"/>
    </row>
    <row r="11" spans="1:37" ht="18.75">
      <c r="A11" s="18"/>
      <c r="B11" s="13"/>
      <c r="C11" s="13"/>
      <c r="D11" s="13"/>
      <c r="E11" s="13"/>
      <c r="F11" s="13"/>
      <c r="G11" s="10"/>
      <c r="H11" s="10"/>
      <c r="I11" s="10"/>
      <c r="J11" s="17"/>
      <c r="K11" s="43"/>
      <c r="L11" s="35"/>
      <c r="M11" s="35"/>
      <c r="N11" s="35"/>
      <c r="O11" s="10"/>
      <c r="P11" s="10"/>
      <c r="Q11" s="11"/>
      <c r="AF11" s="98"/>
      <c r="AG11" s="69"/>
      <c r="AH11" s="98"/>
      <c r="AI11" s="70"/>
      <c r="AJ11" s="98"/>
      <c r="AK11" s="70"/>
    </row>
    <row r="12" spans="1:37" ht="21.75" customHeight="1">
      <c r="A12" s="126"/>
      <c r="B12" s="209" t="s">
        <v>51</v>
      </c>
      <c r="C12" s="210"/>
      <c r="D12" s="210"/>
      <c r="E12" s="210"/>
      <c r="F12" s="210"/>
      <c r="G12" s="211"/>
      <c r="H12" s="201">
        <v>25</v>
      </c>
      <c r="I12" s="202"/>
      <c r="J12" s="19"/>
      <c r="K12" s="179">
        <f>(1.8*H12)+32</f>
        <v>77</v>
      </c>
      <c r="L12" s="180"/>
      <c r="M12" s="127" t="s">
        <v>47</v>
      </c>
      <c r="N12" s="35"/>
      <c r="O12" s="10"/>
      <c r="P12" s="10"/>
      <c r="Q12" s="11"/>
      <c r="AF12" s="98"/>
      <c r="AG12" s="69"/>
      <c r="AH12" s="98"/>
      <c r="AI12" s="70"/>
      <c r="AJ12" s="98"/>
      <c r="AK12" s="70"/>
    </row>
    <row r="13" spans="1:37" ht="18.75">
      <c r="A13" s="20"/>
      <c r="B13" s="21"/>
      <c r="C13" s="21"/>
      <c r="D13" s="21"/>
      <c r="E13" s="21"/>
      <c r="F13" s="21"/>
      <c r="G13" s="22"/>
      <c r="H13" s="23"/>
      <c r="I13" s="22"/>
      <c r="J13" s="19"/>
      <c r="K13" s="19"/>
      <c r="L13" s="35"/>
      <c r="M13" s="35"/>
      <c r="N13" s="35"/>
      <c r="O13" s="10"/>
      <c r="P13" s="10"/>
      <c r="Q13" s="11"/>
      <c r="AF13" s="98"/>
      <c r="AG13" s="69"/>
      <c r="AH13" s="98"/>
      <c r="AI13" s="70"/>
      <c r="AJ13" s="98"/>
      <c r="AK13" s="70"/>
    </row>
    <row r="14" spans="1:37" ht="37.5" customHeight="1">
      <c r="A14" s="126"/>
      <c r="B14" s="209" t="s">
        <v>48</v>
      </c>
      <c r="C14" s="210"/>
      <c r="D14" s="210"/>
      <c r="E14" s="210"/>
      <c r="F14" s="210"/>
      <c r="G14" s="211"/>
      <c r="H14" s="152">
        <v>80</v>
      </c>
      <c r="I14" s="153"/>
      <c r="J14" s="43"/>
      <c r="K14" s="179">
        <f>(1.8*H14)+32</f>
        <v>176</v>
      </c>
      <c r="L14" s="180"/>
      <c r="M14" s="127" t="s">
        <v>47</v>
      </c>
      <c r="N14" s="35"/>
      <c r="O14" s="10"/>
      <c r="P14" s="10"/>
      <c r="Q14" s="11"/>
      <c r="AF14" s="98"/>
      <c r="AG14" s="69"/>
      <c r="AH14" s="98"/>
      <c r="AI14" s="70"/>
      <c r="AJ14" s="98"/>
      <c r="AK14" s="70"/>
    </row>
    <row r="15" spans="1:37" ht="18.75">
      <c r="A15" s="20"/>
      <c r="B15" s="21"/>
      <c r="C15" s="21"/>
      <c r="D15" s="21"/>
      <c r="E15" s="21"/>
      <c r="F15" s="21"/>
      <c r="G15" s="22"/>
      <c r="H15" s="23"/>
      <c r="I15" s="22"/>
      <c r="J15" s="19"/>
      <c r="K15" s="19"/>
      <c r="L15" s="10"/>
      <c r="M15" s="24"/>
      <c r="N15" s="25"/>
      <c r="O15" s="10"/>
      <c r="P15" s="10"/>
      <c r="Q15" s="11"/>
      <c r="AF15" s="98"/>
      <c r="AG15" s="69"/>
      <c r="AH15" s="98"/>
      <c r="AI15" s="70"/>
      <c r="AJ15" s="98"/>
      <c r="AK15" s="70"/>
    </row>
    <row r="16" spans="1:37" ht="18" customHeight="1">
      <c r="A16" s="126"/>
      <c r="B16" s="212" t="s">
        <v>25</v>
      </c>
      <c r="C16" s="212"/>
      <c r="D16" s="212"/>
      <c r="E16" s="212"/>
      <c r="F16" s="212"/>
      <c r="G16" s="212"/>
      <c r="H16" s="199">
        <v>1</v>
      </c>
      <c r="I16" s="200"/>
      <c r="J16" s="19"/>
      <c r="K16" s="179">
        <f>H16</f>
        <v>1</v>
      </c>
      <c r="L16" s="180"/>
      <c r="M16" s="10"/>
      <c r="N16" s="25"/>
      <c r="O16" s="10"/>
      <c r="P16" s="10"/>
      <c r="Q16" s="11"/>
      <c r="AF16" s="98"/>
      <c r="AG16" s="69"/>
      <c r="AH16" s="98"/>
      <c r="AI16" s="70"/>
      <c r="AJ16" s="98"/>
      <c r="AK16" s="70"/>
    </row>
    <row r="17" spans="1:37" ht="18.75">
      <c r="A17" s="20"/>
      <c r="B17" s="21"/>
      <c r="C17" s="21"/>
      <c r="D17" s="21"/>
      <c r="E17" s="21"/>
      <c r="F17" s="21"/>
      <c r="G17" s="22"/>
      <c r="H17" s="23"/>
      <c r="I17" s="22"/>
      <c r="J17" s="19"/>
      <c r="K17" s="19"/>
      <c r="L17" s="10"/>
      <c r="M17" s="10"/>
      <c r="N17" s="10"/>
      <c r="O17" s="10"/>
      <c r="P17" s="10"/>
      <c r="Q17" s="11"/>
      <c r="AF17" s="98"/>
      <c r="AG17" s="69"/>
      <c r="AH17" s="98"/>
      <c r="AI17" s="70"/>
      <c r="AJ17" s="98"/>
      <c r="AK17" s="70"/>
    </row>
    <row r="18" spans="1:37" ht="18.75">
      <c r="A18" s="126"/>
      <c r="B18" s="212" t="s">
        <v>13</v>
      </c>
      <c r="C18" s="212"/>
      <c r="D18" s="212"/>
      <c r="E18" s="212"/>
      <c r="F18" s="212"/>
      <c r="G18" s="212"/>
      <c r="H18" s="152">
        <v>3250</v>
      </c>
      <c r="I18" s="153"/>
      <c r="J18" s="19"/>
      <c r="K18" s="181">
        <f>H18/(25.4*12)</f>
        <v>10.662729658792653</v>
      </c>
      <c r="L18" s="182"/>
      <c r="M18" s="127" t="s">
        <v>31</v>
      </c>
      <c r="N18" s="10"/>
      <c r="O18" s="10"/>
      <c r="P18" s="10"/>
      <c r="Q18" s="11"/>
      <c r="AF18" s="98"/>
      <c r="AG18" s="69"/>
      <c r="AH18" s="98"/>
      <c r="AI18" s="70"/>
      <c r="AJ18" s="98"/>
      <c r="AK18" s="70"/>
    </row>
    <row r="19" spans="1:37" ht="18.75">
      <c r="A19" s="20"/>
      <c r="B19" s="21"/>
      <c r="C19" s="21"/>
      <c r="D19" s="21"/>
      <c r="E19" s="21"/>
      <c r="F19" s="21"/>
      <c r="G19" s="22"/>
      <c r="H19" s="23"/>
      <c r="I19" s="22"/>
      <c r="J19" s="43"/>
      <c r="K19" s="43"/>
      <c r="L19" s="35"/>
      <c r="M19" s="35"/>
      <c r="N19" s="35"/>
      <c r="O19" s="35"/>
      <c r="P19" s="10"/>
      <c r="Q19" s="11"/>
      <c r="AF19" s="98"/>
      <c r="AG19" s="69"/>
      <c r="AH19" s="98"/>
      <c r="AI19" s="70"/>
      <c r="AJ19" s="98"/>
      <c r="AK19" s="70"/>
    </row>
    <row r="20" spans="1:37" ht="18.75">
      <c r="A20" s="126"/>
      <c r="B20" s="212" t="s">
        <v>12</v>
      </c>
      <c r="C20" s="212"/>
      <c r="D20" s="212"/>
      <c r="E20" s="212"/>
      <c r="F20" s="212"/>
      <c r="G20" s="212"/>
      <c r="H20" s="152">
        <v>18</v>
      </c>
      <c r="I20" s="153"/>
      <c r="J20" s="19"/>
      <c r="K20" s="183">
        <f>H20/25.4</f>
        <v>0.70866141732283472</v>
      </c>
      <c r="L20" s="184"/>
      <c r="M20" s="127" t="s">
        <v>32</v>
      </c>
      <c r="N20" s="10"/>
      <c r="O20" s="10"/>
      <c r="P20" s="10"/>
      <c r="Q20" s="11"/>
      <c r="AF20" s="98"/>
      <c r="AG20" s="69"/>
      <c r="AH20" s="98"/>
      <c r="AI20" s="70"/>
      <c r="AJ20" s="98"/>
      <c r="AK20" s="70"/>
    </row>
    <row r="21" spans="1:37" ht="18.75">
      <c r="A21" s="20"/>
      <c r="B21" s="21"/>
      <c r="C21" s="21"/>
      <c r="D21" s="21"/>
      <c r="E21" s="21"/>
      <c r="F21" s="21"/>
      <c r="G21" s="22"/>
      <c r="H21" s="23"/>
      <c r="I21" s="22"/>
      <c r="J21" s="19"/>
      <c r="K21" s="19"/>
      <c r="L21" s="10"/>
      <c r="M21" s="10"/>
      <c r="N21" s="10"/>
      <c r="O21" s="10"/>
      <c r="P21" s="10"/>
      <c r="Q21" s="11"/>
      <c r="AF21" s="98"/>
      <c r="AG21" s="69"/>
      <c r="AH21" s="99"/>
      <c r="AI21" s="70"/>
      <c r="AJ21" s="99"/>
      <c r="AK21" s="70"/>
    </row>
    <row r="22" spans="1:37" ht="18.75" customHeight="1">
      <c r="A22" s="126"/>
      <c r="B22" s="212" t="s">
        <v>49</v>
      </c>
      <c r="C22" s="212"/>
      <c r="D22" s="212"/>
      <c r="E22" s="212"/>
      <c r="F22" s="212"/>
      <c r="G22" s="212"/>
      <c r="H22" s="152" t="s">
        <v>15</v>
      </c>
      <c r="I22" s="153"/>
      <c r="J22" s="84"/>
      <c r="K22" s="61"/>
      <c r="L22" s="10"/>
      <c r="M22" s="10"/>
      <c r="N22" s="10"/>
      <c r="O22" s="10"/>
      <c r="P22" s="10"/>
      <c r="Q22" s="11"/>
      <c r="AF22" s="98"/>
      <c r="AG22" s="69"/>
      <c r="AH22" s="99"/>
      <c r="AI22" s="70"/>
      <c r="AJ22" s="99"/>
      <c r="AK22" s="70"/>
    </row>
    <row r="23" spans="1:37" ht="18.75">
      <c r="A23" s="26"/>
      <c r="B23" s="13"/>
      <c r="C23" s="13"/>
      <c r="D23" s="13"/>
      <c r="E23" s="13"/>
      <c r="F23" s="13"/>
      <c r="G23" s="22"/>
      <c r="H23" s="22"/>
      <c r="I23" s="22"/>
      <c r="J23" s="19"/>
      <c r="K23" s="19"/>
      <c r="L23" s="10"/>
      <c r="M23" s="10"/>
      <c r="N23" s="10"/>
      <c r="O23" s="10"/>
      <c r="P23" s="10"/>
      <c r="Q23" s="11"/>
      <c r="AF23" s="98"/>
      <c r="AG23" s="69"/>
      <c r="AH23" s="99"/>
      <c r="AI23" s="70"/>
      <c r="AJ23" s="99"/>
      <c r="AK23" s="70"/>
    </row>
    <row r="24" spans="1:37" ht="15" customHeight="1">
      <c r="A24" s="206" t="s">
        <v>8</v>
      </c>
      <c r="B24" s="207"/>
      <c r="C24" s="207"/>
      <c r="D24" s="207"/>
      <c r="E24" s="207"/>
      <c r="F24" s="207"/>
      <c r="G24" s="207"/>
      <c r="H24" s="207"/>
      <c r="I24" s="207"/>
      <c r="J24" s="207"/>
      <c r="K24" s="207"/>
      <c r="L24" s="207"/>
      <c r="M24" s="207"/>
      <c r="N24" s="207"/>
      <c r="O24" s="207"/>
      <c r="P24" s="207"/>
      <c r="Q24" s="208"/>
      <c r="AF24" s="98"/>
      <c r="AG24" s="69"/>
      <c r="AH24" s="99"/>
      <c r="AI24" s="70"/>
      <c r="AJ24" s="99"/>
      <c r="AK24" s="70"/>
    </row>
    <row r="25" spans="1:37" ht="18" customHeight="1">
      <c r="A25" s="26"/>
      <c r="B25" s="27"/>
      <c r="C25" s="43"/>
      <c r="D25" s="43"/>
      <c r="E25" s="43"/>
      <c r="F25" s="35"/>
      <c r="G25" s="35"/>
      <c r="H25" s="35"/>
      <c r="I25" s="22"/>
      <c r="J25" s="19"/>
      <c r="K25" s="19"/>
      <c r="L25" s="28"/>
      <c r="M25" s="28"/>
      <c r="N25" s="10"/>
      <c r="O25" s="10"/>
      <c r="P25" s="10"/>
      <c r="Q25" s="11"/>
      <c r="T25" s="59"/>
      <c r="AF25" s="98"/>
      <c r="AG25" s="69"/>
      <c r="AH25" s="99"/>
      <c r="AI25" s="70"/>
      <c r="AJ25" s="99"/>
      <c r="AK25" s="70"/>
    </row>
    <row r="26" spans="1:37" ht="18" customHeight="1">
      <c r="A26" s="26"/>
      <c r="B26" s="27"/>
      <c r="C26" s="43"/>
      <c r="D26" s="43"/>
      <c r="E26" s="43"/>
      <c r="F26" s="203" t="s">
        <v>46</v>
      </c>
      <c r="G26" s="205"/>
      <c r="H26" s="197" t="s">
        <v>33</v>
      </c>
      <c r="I26" s="198"/>
      <c r="J26" s="28"/>
      <c r="K26" s="19"/>
      <c r="L26" s="28"/>
      <c r="M26" s="28"/>
      <c r="N26" s="10"/>
      <c r="O26" s="10"/>
      <c r="P26" s="10"/>
      <c r="Q26" s="11"/>
      <c r="AF26" s="98"/>
      <c r="AG26" s="69"/>
      <c r="AH26" s="99"/>
      <c r="AI26" s="70"/>
      <c r="AJ26" s="99"/>
      <c r="AK26" s="70"/>
    </row>
    <row r="27" spans="1:37" ht="18" customHeight="1">
      <c r="A27" s="26"/>
      <c r="B27" s="27"/>
      <c r="C27" s="43"/>
      <c r="D27" s="43"/>
      <c r="E27" s="43"/>
      <c r="F27" s="35"/>
      <c r="G27" s="35"/>
      <c r="H27" s="35"/>
      <c r="I27" s="22"/>
      <c r="J27" s="19"/>
      <c r="K27" s="19"/>
      <c r="L27" s="28"/>
      <c r="M27" s="28"/>
      <c r="N27" s="10"/>
      <c r="O27" s="10"/>
      <c r="P27" s="10"/>
      <c r="Q27" s="11"/>
      <c r="AF27" s="98"/>
      <c r="AG27" s="69"/>
      <c r="AH27" s="99"/>
      <c r="AI27" s="70"/>
      <c r="AJ27" s="99"/>
      <c r="AK27" s="70"/>
    </row>
    <row r="28" spans="1:37" ht="18" customHeight="1">
      <c r="A28" s="26"/>
      <c r="B28" s="27"/>
      <c r="C28" s="43"/>
      <c r="D28" s="43"/>
      <c r="E28" s="43"/>
      <c r="F28" s="203" t="s">
        <v>46</v>
      </c>
      <c r="G28" s="205"/>
      <c r="H28" s="181">
        <f>K14-K12</f>
        <v>99</v>
      </c>
      <c r="I28" s="182"/>
      <c r="J28" s="128" t="s">
        <v>47</v>
      </c>
      <c r="K28" s="19"/>
      <c r="L28" s="28"/>
      <c r="M28" s="28"/>
      <c r="N28" s="10"/>
      <c r="O28" s="10"/>
      <c r="P28" s="10"/>
      <c r="Q28" s="11"/>
      <c r="AF28" s="98"/>
      <c r="AG28" s="69"/>
      <c r="AH28" s="99"/>
      <c r="AI28" s="70"/>
      <c r="AJ28" s="99"/>
      <c r="AK28" s="70"/>
    </row>
    <row r="29" spans="1:37" ht="18" customHeight="1">
      <c r="A29" s="26"/>
      <c r="B29" s="27"/>
      <c r="C29" s="43"/>
      <c r="D29" s="43"/>
      <c r="E29" s="43"/>
      <c r="F29" s="35"/>
      <c r="G29" s="35"/>
      <c r="H29" s="35"/>
      <c r="I29" s="22"/>
      <c r="J29" s="19"/>
      <c r="K29" s="19"/>
      <c r="L29" s="28"/>
      <c r="M29" s="28"/>
      <c r="N29" s="10"/>
      <c r="O29" s="10"/>
      <c r="P29" s="10"/>
      <c r="Q29" s="11"/>
      <c r="AF29" s="98"/>
      <c r="AG29" s="69"/>
      <c r="AH29" s="99"/>
      <c r="AI29" s="70"/>
      <c r="AJ29" s="99"/>
      <c r="AK29" s="70"/>
    </row>
    <row r="30" spans="1:37" ht="18.75">
      <c r="A30" s="18"/>
      <c r="B30" s="213" t="s">
        <v>56</v>
      </c>
      <c r="C30" s="213"/>
      <c r="D30" s="213"/>
      <c r="E30" s="213"/>
      <c r="F30" s="213"/>
      <c r="G30" s="213"/>
      <c r="H30" s="213"/>
      <c r="I30" s="213"/>
      <c r="J30" s="187" t="s">
        <v>61</v>
      </c>
      <c r="K30" s="187"/>
      <c r="L30" s="35"/>
      <c r="M30" s="28"/>
      <c r="N30" s="10"/>
      <c r="O30" s="10"/>
      <c r="P30" s="10"/>
      <c r="Q30" s="11"/>
      <c r="AF30" s="98"/>
      <c r="AG30" s="69"/>
      <c r="AH30" s="99"/>
      <c r="AI30" s="70"/>
      <c r="AJ30" s="99"/>
      <c r="AK30" s="70"/>
    </row>
    <row r="31" spans="1:37" ht="18.75">
      <c r="A31" s="18"/>
      <c r="B31" s="43"/>
      <c r="C31" s="60"/>
      <c r="D31" s="29"/>
      <c r="E31" s="29"/>
      <c r="F31" s="29"/>
      <c r="G31" s="29"/>
      <c r="H31" s="29"/>
      <c r="I31" s="22"/>
      <c r="J31" s="30"/>
      <c r="K31" s="19"/>
      <c r="L31" s="35"/>
      <c r="M31" s="28"/>
      <c r="N31" s="10"/>
      <c r="O31" s="10"/>
      <c r="P31" s="10"/>
      <c r="Q31" s="11"/>
      <c r="AF31" s="98"/>
      <c r="AG31" s="69"/>
      <c r="AH31" s="99"/>
      <c r="AI31" s="70"/>
      <c r="AJ31" s="99"/>
      <c r="AK31" s="70"/>
    </row>
    <row r="32" spans="1:37" ht="18.75">
      <c r="A32" s="26"/>
      <c r="B32" s="58" t="s">
        <v>9</v>
      </c>
      <c r="C32" s="27"/>
      <c r="D32" s="27"/>
      <c r="E32" s="222"/>
      <c r="F32" s="222"/>
      <c r="G32" s="67"/>
      <c r="H32" s="216"/>
      <c r="I32" s="216"/>
      <c r="J32" s="19"/>
      <c r="K32" s="19"/>
      <c r="L32" s="28"/>
      <c r="M32" s="28"/>
      <c r="N32" s="10"/>
      <c r="O32" s="10"/>
      <c r="P32" s="10"/>
      <c r="Q32" s="11"/>
      <c r="AF32" s="98"/>
      <c r="AG32" s="69"/>
      <c r="AH32" s="99"/>
      <c r="AI32" s="70"/>
      <c r="AJ32" s="99"/>
      <c r="AK32" s="70"/>
    </row>
    <row r="33" spans="1:37" ht="18.75" customHeight="1">
      <c r="A33" s="26"/>
      <c r="B33" s="58"/>
      <c r="C33" s="217" t="s">
        <v>57</v>
      </c>
      <c r="D33" s="218"/>
      <c r="E33" s="219" t="s">
        <v>34</v>
      </c>
      <c r="F33" s="220"/>
      <c r="G33" s="221"/>
      <c r="H33" s="125"/>
      <c r="I33" s="125"/>
      <c r="J33" s="19"/>
      <c r="K33" s="19"/>
      <c r="L33" s="28"/>
      <c r="M33" s="28"/>
      <c r="N33" s="10"/>
      <c r="O33" s="10"/>
      <c r="P33" s="10"/>
      <c r="Q33" s="11"/>
      <c r="AF33" s="98"/>
      <c r="AG33" s="69"/>
      <c r="AH33" s="99"/>
      <c r="AI33" s="70"/>
      <c r="AJ33" s="99"/>
      <c r="AK33" s="70"/>
    </row>
    <row r="34" spans="1:37" ht="18.75">
      <c r="A34" s="26"/>
      <c r="B34" s="27"/>
      <c r="C34" s="27"/>
      <c r="D34" s="27"/>
      <c r="E34" s="27"/>
      <c r="F34" s="27"/>
      <c r="G34" s="61"/>
      <c r="H34" s="31"/>
      <c r="I34" s="22"/>
      <c r="J34" s="19"/>
      <c r="K34" s="19"/>
      <c r="L34" s="28"/>
      <c r="M34" s="28"/>
      <c r="N34" s="10"/>
      <c r="O34" s="10"/>
      <c r="P34" s="10"/>
      <c r="Q34" s="11"/>
    </row>
    <row r="35" spans="1:37" ht="18.75" customHeight="1">
      <c r="A35" s="26"/>
      <c r="B35" s="58"/>
      <c r="C35" s="83" t="s">
        <v>24</v>
      </c>
      <c r="D35" s="196" t="s">
        <v>64</v>
      </c>
      <c r="E35" s="196"/>
      <c r="F35" s="196"/>
      <c r="G35" s="196"/>
      <c r="H35" s="196"/>
      <c r="I35" s="196"/>
      <c r="J35" s="196"/>
      <c r="K35" s="196"/>
      <c r="L35" s="196"/>
      <c r="M35" s="196"/>
      <c r="N35" s="196"/>
      <c r="O35" s="196"/>
      <c r="P35" s="196"/>
      <c r="Q35" s="11"/>
    </row>
    <row r="36" spans="1:37" ht="18.75" customHeight="1">
      <c r="A36" s="26"/>
      <c r="B36" s="58"/>
      <c r="C36" s="68"/>
      <c r="D36" s="124"/>
      <c r="E36" s="124"/>
      <c r="F36" s="124"/>
      <c r="G36" s="124"/>
      <c r="H36" s="124"/>
      <c r="I36" s="124"/>
      <c r="J36" s="124"/>
      <c r="K36" s="124"/>
      <c r="L36" s="28"/>
      <c r="M36" s="28"/>
      <c r="N36" s="10"/>
      <c r="O36" s="10"/>
      <c r="P36" s="10"/>
      <c r="Q36" s="11"/>
    </row>
    <row r="37" spans="1:37" ht="18.75" customHeight="1">
      <c r="A37" s="26"/>
      <c r="B37" s="58"/>
      <c r="C37" s="71" t="s">
        <v>45</v>
      </c>
      <c r="D37" s="194">
        <f>(K16*K18)/K20^0.5</f>
        <v>12.666277660524445</v>
      </c>
      <c r="E37" s="195"/>
      <c r="F37" s="124"/>
      <c r="G37" s="124"/>
      <c r="H37" s="124"/>
      <c r="I37" s="124"/>
      <c r="J37" s="124"/>
      <c r="K37" s="124"/>
      <c r="L37" s="28"/>
      <c r="M37" s="28"/>
      <c r="N37" s="10"/>
      <c r="O37" s="10"/>
      <c r="P37" s="10"/>
      <c r="Q37" s="11"/>
    </row>
    <row r="38" spans="1:37" ht="18.75" customHeight="1">
      <c r="A38" s="26"/>
      <c r="B38" s="58"/>
      <c r="C38" s="68"/>
      <c r="D38" s="124"/>
      <c r="E38" s="124"/>
      <c r="F38" s="124"/>
      <c r="G38" s="124"/>
      <c r="H38" s="124"/>
      <c r="I38" s="124"/>
      <c r="J38" s="124"/>
      <c r="K38" s="124"/>
      <c r="L38" s="28"/>
      <c r="M38" s="28"/>
      <c r="N38" s="10"/>
      <c r="O38" s="10"/>
      <c r="P38" s="10"/>
      <c r="Q38" s="11"/>
    </row>
    <row r="39" spans="1:37" ht="18.75">
      <c r="A39" s="26"/>
      <c r="B39" s="32"/>
      <c r="C39" s="71" t="s">
        <v>24</v>
      </c>
      <c r="D39" s="214">
        <f>$C$152</f>
        <v>0.17995450970634461</v>
      </c>
      <c r="E39" s="215"/>
      <c r="F39" s="27"/>
      <c r="G39" s="61"/>
      <c r="H39" s="31"/>
      <c r="I39" s="22"/>
      <c r="J39" s="19"/>
      <c r="K39" s="19"/>
      <c r="L39" s="28"/>
      <c r="M39" s="28"/>
      <c r="N39" s="10"/>
      <c r="O39" s="10"/>
      <c r="P39" s="10"/>
      <c r="Q39" s="11"/>
    </row>
    <row r="40" spans="1:37" ht="18.75">
      <c r="A40" s="26"/>
      <c r="B40" s="32"/>
      <c r="C40" s="32"/>
      <c r="D40" s="32"/>
      <c r="E40" s="32"/>
      <c r="F40" s="33"/>
      <c r="G40" s="22"/>
      <c r="H40" s="22"/>
      <c r="I40" s="22"/>
      <c r="J40" s="19"/>
      <c r="K40" s="19"/>
      <c r="L40" s="28"/>
      <c r="M40" s="28"/>
      <c r="N40" s="10"/>
      <c r="O40" s="10"/>
      <c r="P40" s="10"/>
      <c r="Q40" s="11"/>
    </row>
    <row r="41" spans="1:37" ht="21.75">
      <c r="A41" s="26"/>
      <c r="B41" s="32"/>
      <c r="C41" s="72" t="s">
        <v>57</v>
      </c>
      <c r="D41" s="194">
        <f>ROUND($D$39,3)*$H$28</f>
        <v>17.82</v>
      </c>
      <c r="E41" s="195"/>
      <c r="F41" s="125" t="s">
        <v>47</v>
      </c>
      <c r="G41" s="22"/>
      <c r="H41" s="22"/>
      <c r="I41" s="22"/>
      <c r="J41" s="19"/>
      <c r="K41" s="19"/>
      <c r="L41" s="28"/>
      <c r="M41" s="28"/>
      <c r="N41" s="10"/>
      <c r="O41" s="10"/>
      <c r="P41" s="10"/>
      <c r="Q41" s="11"/>
    </row>
    <row r="42" spans="1:37" ht="18.75">
      <c r="A42" s="26"/>
      <c r="B42" s="32"/>
      <c r="C42" s="32"/>
      <c r="D42" s="32"/>
      <c r="E42" s="32"/>
      <c r="F42" s="33"/>
      <c r="G42" s="22"/>
      <c r="H42" s="22"/>
      <c r="I42" s="22"/>
      <c r="J42" s="19"/>
      <c r="K42" s="19"/>
      <c r="L42" s="28"/>
      <c r="M42" s="28"/>
      <c r="N42" s="10"/>
      <c r="O42" s="10"/>
      <c r="P42" s="10"/>
      <c r="Q42" s="11"/>
    </row>
    <row r="43" spans="1:37" ht="21.75">
      <c r="A43" s="34"/>
      <c r="B43" s="40"/>
      <c r="C43" s="72" t="s">
        <v>58</v>
      </c>
      <c r="D43" s="194">
        <f>$D$41+$K$12</f>
        <v>94.82</v>
      </c>
      <c r="E43" s="195"/>
      <c r="F43" s="125" t="s">
        <v>47</v>
      </c>
      <c r="G43" s="40"/>
      <c r="H43" s="33"/>
      <c r="I43" s="37"/>
      <c r="J43" s="38"/>
      <c r="K43" s="38"/>
      <c r="L43" s="39"/>
      <c r="M43" s="39"/>
      <c r="N43" s="35"/>
      <c r="O43" s="35"/>
      <c r="P43" s="35"/>
      <c r="Q43" s="36"/>
    </row>
    <row r="44" spans="1:37" s="82" customFormat="1" ht="18.75">
      <c r="A44" s="73"/>
      <c r="B44" s="74"/>
      <c r="C44" s="75"/>
      <c r="D44" s="76"/>
      <c r="E44" s="76"/>
      <c r="F44" s="74"/>
      <c r="G44" s="74"/>
      <c r="H44" s="77"/>
      <c r="I44" s="37"/>
      <c r="J44" s="78"/>
      <c r="K44" s="78"/>
      <c r="L44" s="79"/>
      <c r="M44" s="79"/>
      <c r="N44" s="80"/>
      <c r="O44" s="80"/>
      <c r="P44" s="80"/>
      <c r="Q44" s="81"/>
    </row>
    <row r="45" spans="1:37" s="82" customFormat="1" ht="22.5">
      <c r="A45" s="73"/>
      <c r="B45" s="74"/>
      <c r="C45" s="72" t="s">
        <v>58</v>
      </c>
      <c r="D45" s="194">
        <f>($D$43-32)/1.8</f>
        <v>34.9</v>
      </c>
      <c r="E45" s="195"/>
      <c r="F45" s="125" t="s">
        <v>50</v>
      </c>
      <c r="G45" s="74"/>
      <c r="H45" s="77"/>
      <c r="I45" s="37"/>
      <c r="J45" s="78"/>
      <c r="K45" s="78"/>
      <c r="L45" s="79"/>
      <c r="M45" s="79"/>
      <c r="N45" s="80"/>
      <c r="O45" s="80"/>
      <c r="P45" s="80"/>
      <c r="Q45" s="81"/>
    </row>
    <row r="46" spans="1:37" s="82" customFormat="1" ht="18.75">
      <c r="A46" s="73"/>
      <c r="B46" s="74"/>
      <c r="C46" s="75"/>
      <c r="D46" s="76"/>
      <c r="E46" s="76"/>
      <c r="F46" s="74"/>
      <c r="G46" s="74"/>
      <c r="H46" s="77"/>
      <c r="I46" s="37"/>
      <c r="J46" s="78"/>
      <c r="K46" s="78"/>
      <c r="L46" s="79"/>
      <c r="M46" s="79"/>
      <c r="N46" s="80"/>
      <c r="O46" s="80"/>
      <c r="P46" s="80"/>
      <c r="Q46" s="81"/>
    </row>
    <row r="47" spans="1:37" ht="54" customHeight="1">
      <c r="A47" s="41"/>
      <c r="B47" s="188" t="s">
        <v>59</v>
      </c>
      <c r="C47" s="188"/>
      <c r="D47" s="188"/>
      <c r="E47" s="188"/>
      <c r="F47" s="188"/>
      <c r="G47" s="188"/>
      <c r="H47" s="188"/>
      <c r="I47" s="188"/>
      <c r="J47" s="188"/>
      <c r="K47" s="192">
        <f>IF(D45&gt;450,"CHECK INPUT DESIGN TEMPERATURE",IF($H$22="CS",$AI$100,$AK$100))</f>
        <v>1.585722222222222E-4</v>
      </c>
      <c r="L47" s="193"/>
      <c r="M47" s="30" t="s">
        <v>23</v>
      </c>
      <c r="N47" s="35"/>
      <c r="O47" s="35"/>
      <c r="P47" s="35"/>
      <c r="Q47" s="36"/>
    </row>
    <row r="48" spans="1:37" ht="18.75" customHeight="1">
      <c r="A48" s="129"/>
      <c r="B48" s="86"/>
      <c r="C48" s="86"/>
      <c r="D48" s="86"/>
      <c r="E48" s="86"/>
      <c r="F48" s="86"/>
      <c r="G48" s="86"/>
      <c r="H48" s="86"/>
      <c r="I48" s="86"/>
      <c r="J48" s="86"/>
      <c r="K48" s="87"/>
      <c r="L48" s="87"/>
      <c r="M48" s="85"/>
      <c r="N48" s="80"/>
      <c r="O48" s="80"/>
      <c r="P48" s="80"/>
      <c r="Q48" s="36"/>
    </row>
    <row r="49" spans="1:17" ht="18.75" customHeight="1">
      <c r="A49" s="129"/>
      <c r="B49" s="188" t="s">
        <v>52</v>
      </c>
      <c r="C49" s="188"/>
      <c r="D49" s="188"/>
      <c r="E49" s="188"/>
      <c r="F49" s="188"/>
      <c r="G49" s="188"/>
      <c r="H49" s="188"/>
      <c r="I49" s="188"/>
      <c r="J49" s="188"/>
      <c r="K49" s="185">
        <f>IF($H$22="CS",$AJ$100,$AL$100)</f>
        <v>4.4722222222222228E-5</v>
      </c>
      <c r="L49" s="186"/>
      <c r="M49" s="30" t="s">
        <v>23</v>
      </c>
      <c r="N49" s="80"/>
      <c r="O49" s="80"/>
      <c r="P49" s="80"/>
      <c r="Q49" s="36"/>
    </row>
    <row r="50" spans="1:17" ht="18.75" customHeight="1">
      <c r="A50" s="129"/>
      <c r="B50" s="86"/>
      <c r="C50" s="86"/>
      <c r="D50" s="86"/>
      <c r="E50" s="86"/>
      <c r="F50" s="86"/>
      <c r="G50" s="86"/>
      <c r="H50" s="86"/>
      <c r="I50" s="86"/>
      <c r="J50" s="86"/>
      <c r="K50" s="87"/>
      <c r="L50" s="87"/>
      <c r="M50" s="85"/>
      <c r="N50" s="80"/>
      <c r="O50" s="80"/>
      <c r="P50" s="80"/>
      <c r="Q50" s="36"/>
    </row>
    <row r="51" spans="1:17" ht="18.75" customHeight="1">
      <c r="A51" s="129"/>
      <c r="B51" s="188" t="s">
        <v>60</v>
      </c>
      <c r="C51" s="188"/>
      <c r="D51" s="188"/>
      <c r="E51" s="188"/>
      <c r="F51" s="188"/>
      <c r="G51" s="188"/>
      <c r="H51" s="188"/>
      <c r="I51" s="188"/>
      <c r="J51" s="188"/>
      <c r="K51" s="185">
        <f>ROUND(K47,6)-ROUND(K49,6)</f>
        <v>1.1399999999999998E-4</v>
      </c>
      <c r="L51" s="186"/>
      <c r="M51" s="30" t="s">
        <v>23</v>
      </c>
      <c r="N51" s="80"/>
      <c r="O51" s="80"/>
      <c r="P51" s="80"/>
      <c r="Q51" s="36"/>
    </row>
    <row r="52" spans="1:17" ht="18.75" customHeight="1">
      <c r="A52" s="129"/>
      <c r="B52" s="86"/>
      <c r="C52" s="86"/>
      <c r="D52" s="86"/>
      <c r="E52" s="86"/>
      <c r="F52" s="86"/>
      <c r="G52" s="86"/>
      <c r="H52" s="86"/>
      <c r="I52" s="86"/>
      <c r="J52" s="86"/>
      <c r="K52" s="87"/>
      <c r="L52" s="87"/>
      <c r="M52" s="85"/>
      <c r="N52" s="80"/>
      <c r="O52" s="80"/>
      <c r="P52" s="80"/>
      <c r="Q52" s="36"/>
    </row>
    <row r="53" spans="1:17" ht="18.75">
      <c r="A53" s="41"/>
      <c r="B53" s="191" t="str">
        <f>CONCATENATE("Total Expansion for Skirt Height ""h"" of ",H22," Material")</f>
        <v>Total Expansion for Skirt Height "h" of CS Material</v>
      </c>
      <c r="C53" s="191"/>
      <c r="D53" s="191"/>
      <c r="E53" s="191"/>
      <c r="F53" s="191"/>
      <c r="G53" s="191"/>
      <c r="H53" s="191"/>
      <c r="I53" s="191"/>
      <c r="J53" s="191"/>
      <c r="K53" s="174">
        <f>$H$18*$K51</f>
        <v>0.37049999999999994</v>
      </c>
      <c r="L53" s="175"/>
      <c r="M53" s="42" t="s">
        <v>10</v>
      </c>
      <c r="N53" s="35"/>
      <c r="O53" s="35"/>
      <c r="P53" s="35"/>
      <c r="Q53" s="36"/>
    </row>
    <row r="54" spans="1:17" ht="18.75">
      <c r="A54" s="34"/>
      <c r="B54" s="40"/>
      <c r="C54" s="40"/>
      <c r="D54" s="40"/>
      <c r="E54" s="40"/>
      <c r="F54" s="35"/>
      <c r="G54" s="35"/>
      <c r="H54" s="35"/>
      <c r="I54" s="33"/>
      <c r="J54" s="38"/>
      <c r="K54" s="38"/>
      <c r="L54" s="35"/>
      <c r="M54" s="35"/>
      <c r="N54" s="35"/>
      <c r="O54" s="35"/>
      <c r="P54" s="35"/>
      <c r="Q54" s="36"/>
    </row>
    <row r="55" spans="1:17" ht="18.75">
      <c r="A55" s="34"/>
      <c r="B55" s="40"/>
      <c r="C55" s="40"/>
      <c r="D55" s="40"/>
      <c r="E55" s="40"/>
      <c r="F55" s="35"/>
      <c r="G55" s="35"/>
      <c r="H55" s="35"/>
      <c r="I55" s="33"/>
      <c r="J55" s="38"/>
      <c r="K55" s="38"/>
      <c r="L55" s="35"/>
      <c r="M55" s="35"/>
      <c r="N55" s="35"/>
      <c r="O55" s="35"/>
      <c r="P55" s="35"/>
      <c r="Q55" s="36"/>
    </row>
    <row r="56" spans="1:17" ht="15">
      <c r="A56" s="130" t="s">
        <v>54</v>
      </c>
      <c r="B56" s="131"/>
      <c r="C56" s="131"/>
      <c r="D56" s="131"/>
      <c r="E56" s="131"/>
      <c r="F56" s="131"/>
      <c r="G56" s="131"/>
      <c r="H56" s="131"/>
      <c r="I56" s="131"/>
      <c r="J56" s="132"/>
      <c r="K56" s="132"/>
      <c r="L56" s="132"/>
      <c r="M56" s="132"/>
      <c r="N56" s="132"/>
      <c r="O56" s="132"/>
      <c r="P56" s="132"/>
      <c r="Q56" s="36"/>
    </row>
    <row r="57" spans="1:17" ht="15" customHeight="1">
      <c r="A57" s="133"/>
      <c r="B57" s="189" t="s">
        <v>55</v>
      </c>
      <c r="C57" s="189"/>
      <c r="D57" s="189"/>
      <c r="E57" s="189"/>
      <c r="F57" s="189"/>
      <c r="G57" s="189"/>
      <c r="H57" s="189"/>
      <c r="I57" s="189"/>
      <c r="J57" s="189"/>
      <c r="K57" s="189"/>
      <c r="L57" s="189"/>
      <c r="M57" s="189"/>
      <c r="N57" s="189"/>
      <c r="O57" s="189"/>
      <c r="P57" s="189"/>
      <c r="Q57" s="190"/>
    </row>
    <row r="58" spans="1:17">
      <c r="A58" s="18"/>
      <c r="B58" s="43"/>
      <c r="C58" s="43"/>
      <c r="D58" s="43"/>
      <c r="E58" s="43"/>
      <c r="F58" s="35"/>
      <c r="G58" s="35"/>
      <c r="H58" s="35"/>
      <c r="I58" s="35"/>
      <c r="J58" s="43"/>
      <c r="K58" s="43"/>
      <c r="L58" s="35"/>
      <c r="M58" s="35"/>
      <c r="N58" s="35"/>
      <c r="O58" s="35"/>
      <c r="P58" s="35"/>
      <c r="Q58" s="36"/>
    </row>
    <row r="59" spans="1:17" ht="13.5" thickBot="1">
      <c r="A59" s="44"/>
      <c r="B59" s="45"/>
      <c r="C59" s="45"/>
      <c r="D59" s="45"/>
      <c r="E59" s="45"/>
      <c r="F59" s="46"/>
      <c r="G59" s="46"/>
      <c r="H59" s="46"/>
      <c r="I59" s="46"/>
      <c r="J59" s="45"/>
      <c r="K59" s="45"/>
      <c r="L59" s="46"/>
      <c r="M59" s="46"/>
      <c r="N59" s="46"/>
      <c r="O59" s="46"/>
      <c r="P59" s="46"/>
      <c r="Q59" s="47"/>
    </row>
    <row r="63" spans="1:17" hidden="1"/>
    <row r="64" spans="1:17" hidden="1"/>
    <row r="65" spans="1:38" hidden="1"/>
    <row r="66" spans="1:38" hidden="1"/>
    <row r="67" spans="1:38" ht="106.5" hidden="1" customHeight="1">
      <c r="AC67" s="100" t="s">
        <v>22</v>
      </c>
      <c r="AD67" s="101" t="s">
        <v>20</v>
      </c>
      <c r="AE67" s="101" t="s">
        <v>26</v>
      </c>
      <c r="AF67" s="102" t="s">
        <v>27</v>
      </c>
      <c r="AG67" s="101" t="s">
        <v>28</v>
      </c>
      <c r="AH67" s="100" t="s">
        <v>29</v>
      </c>
      <c r="AI67" s="101" t="s">
        <v>62</v>
      </c>
      <c r="AJ67" s="101" t="s">
        <v>40</v>
      </c>
      <c r="AK67" s="101" t="s">
        <v>63</v>
      </c>
      <c r="AL67" s="101" t="s">
        <v>41</v>
      </c>
    </row>
    <row r="68" spans="1:38" ht="18" hidden="1">
      <c r="AC68" s="103">
        <v>-325</v>
      </c>
      <c r="AD68" s="4">
        <f>(AC68-32)/1.8</f>
        <v>-198.33333333333331</v>
      </c>
      <c r="AE68" s="103">
        <v>-2.37</v>
      </c>
      <c r="AF68" s="5">
        <f>AE68/1200</f>
        <v>-1.9750000000000002E-3</v>
      </c>
      <c r="AG68" s="103">
        <v>-3.85</v>
      </c>
      <c r="AH68" s="5">
        <f>AG68/1200</f>
        <v>-3.2083333333333334E-3</v>
      </c>
      <c r="AI68" s="104" t="str">
        <f>IF($D$45&lt;AD68,$AF$68,IF(AND((AD68&lt;$D$45),(AD69&gt;=$D$45)),(AF69-AF68)/(AD69-AD68)*($D$45-AD68)+AF68," "))</f>
        <v xml:space="preserve"> </v>
      </c>
      <c r="AJ68" s="104" t="str">
        <f>IF($H$12&lt;AD68,$AF$68,IF(AND((AD68&lt;$H$12),(AD69&gt;=$H$12)),(AF69-AF68)/(AD69-AD68)*($H$12-AD68)+AF68," "))</f>
        <v xml:space="preserve"> </v>
      </c>
      <c r="AK68" s="104" t="str">
        <f>IF($D$45&lt;AD68,$AH$68,IF(AND((AD68&lt;$D$45),(AD69&gt;=$D$45)),(AH69-AH68)/(AD69-AD68)*($D$45-AD68)+AH68," "))</f>
        <v xml:space="preserve"> </v>
      </c>
      <c r="AL68" s="104" t="str">
        <f>IF($H$12&lt;AD68,$AH$68,IF(AND((AD68&lt;$H$12),(AD69&gt;=$H$12)),(AH69-AH68)/(AD69-AD68)*($H$12-AD68)+AH68," "))</f>
        <v xml:space="preserve"> </v>
      </c>
    </row>
    <row r="69" spans="1:38" ht="18" hidden="1">
      <c r="AC69" s="103">
        <v>-300</v>
      </c>
      <c r="AD69" s="4">
        <f t="shared" ref="AD69:AD99" si="0">(AC69-32)/1.8</f>
        <v>-184.44444444444443</v>
      </c>
      <c r="AE69" s="103">
        <v>-2.2400000000000002</v>
      </c>
      <c r="AF69" s="5">
        <f t="shared" ref="AF69:AF99" si="1">AE69/1200</f>
        <v>-1.8666666666666669E-3</v>
      </c>
      <c r="AG69" s="103">
        <v>-3.63</v>
      </c>
      <c r="AH69" s="5">
        <f t="shared" ref="AH69:AH99" si="2">AG69/1200</f>
        <v>-3.0249999999999999E-3</v>
      </c>
      <c r="AI69" s="104" t="str">
        <f>IF(AND((AD68&lt;$D$45),(AD69&gt;=$D$45)),(AF69-AF68)/(AD69-AD68)*($D$45-AD68)+AF68," ")</f>
        <v xml:space="preserve"> </v>
      </c>
      <c r="AJ69" s="104" t="str">
        <f>IF(AND((AD68&lt;$H$12),(AD69&gt;=$H$12)),(AF69-AF68)/(AD69-AD68)*($H$12-AD68)+AF68," ")</f>
        <v xml:space="preserve"> </v>
      </c>
      <c r="AK69" s="104" t="str">
        <f>IF(AND((AD68&lt;$D$45),(AD69&gt;=$D$45)),(AH69-AH68)/(AD69-AD68)*($D$45-AD68)+AH68," ")</f>
        <v xml:space="preserve"> </v>
      </c>
      <c r="AL69" s="104" t="str">
        <f>IF(AND((AD68&lt;$H$12),(AD69&gt;=$H$12)),(AH69-AH68)/(AD69-AD68)*($H$12-AD68)+AH68," ")</f>
        <v xml:space="preserve"> </v>
      </c>
    </row>
    <row r="70" spans="1:38" ht="18" hidden="1">
      <c r="AC70" s="103">
        <v>-275</v>
      </c>
      <c r="AD70" s="4">
        <f t="shared" si="0"/>
        <v>-170.55555555555554</v>
      </c>
      <c r="AE70" s="103">
        <v>-2.11</v>
      </c>
      <c r="AF70" s="5">
        <f t="shared" si="1"/>
        <v>-1.7583333333333333E-3</v>
      </c>
      <c r="AG70" s="103">
        <v>-3.41</v>
      </c>
      <c r="AH70" s="5">
        <f t="shared" si="2"/>
        <v>-2.8416666666666668E-3</v>
      </c>
      <c r="AI70" s="104" t="str">
        <f t="shared" ref="AI70:AI98" si="3">IF(AND((AD69&lt;$D$45),(AD70&gt;=$D$45)),(AF70-AF69)/(AD70-AD69)*($D$45-AD69)+AF69," ")</f>
        <v xml:space="preserve"> </v>
      </c>
      <c r="AJ70" s="104" t="str">
        <f t="shared" ref="AJ70:AJ98" si="4">IF(AND((AD69&lt;$H$12),(AD70&gt;=$H$12)),(AF70-AF69)/(AD70-AD69)*($H$12-AD69)+AF69," ")</f>
        <v xml:space="preserve"> </v>
      </c>
      <c r="AK70" s="104" t="str">
        <f t="shared" ref="AK70:AK98" si="5">IF(AND((AD69&lt;$D$45),(AD70&gt;=$D$45)),(AH70-AH69)/(AD70-AD69)*($D$45-AD69)+AH69," ")</f>
        <v xml:space="preserve"> </v>
      </c>
      <c r="AL70" s="104" t="str">
        <f t="shared" ref="AL70:AL98" si="6">IF(AND((AD69&lt;$H$12),(AD70&gt;=$H$12)),(AH70-AH69)/(AD70-AD69)*($H$12-AD69)+AH69," ")</f>
        <v xml:space="preserve"> </v>
      </c>
    </row>
    <row r="71" spans="1:38" ht="18" hidden="1">
      <c r="AC71" s="103">
        <v>-250</v>
      </c>
      <c r="AD71" s="4">
        <f t="shared" si="0"/>
        <v>-156.66666666666666</v>
      </c>
      <c r="AE71" s="103">
        <v>-1.98</v>
      </c>
      <c r="AF71" s="5">
        <f t="shared" si="1"/>
        <v>-1.65E-3</v>
      </c>
      <c r="AG71" s="103">
        <v>-3.19</v>
      </c>
      <c r="AH71" s="5">
        <f t="shared" si="2"/>
        <v>-2.6583333333333333E-3</v>
      </c>
      <c r="AI71" s="104" t="str">
        <f t="shared" si="3"/>
        <v xml:space="preserve"> </v>
      </c>
      <c r="AJ71" s="104" t="str">
        <f t="shared" si="4"/>
        <v xml:space="preserve"> </v>
      </c>
      <c r="AK71" s="104" t="str">
        <f t="shared" si="5"/>
        <v xml:space="preserve"> </v>
      </c>
      <c r="AL71" s="104" t="str">
        <f t="shared" si="6"/>
        <v xml:space="preserve"> </v>
      </c>
    </row>
    <row r="72" spans="1:38" ht="18.75" hidden="1">
      <c r="A72" s="62" t="s">
        <v>14</v>
      </c>
      <c r="B72" s="62" t="s">
        <v>35</v>
      </c>
      <c r="G72" s="48"/>
      <c r="AC72" s="103">
        <v>-225</v>
      </c>
      <c r="AD72" s="4">
        <f t="shared" si="0"/>
        <v>-142.77777777777777</v>
      </c>
      <c r="AE72" s="103">
        <v>-1.85</v>
      </c>
      <c r="AF72" s="5">
        <f t="shared" si="1"/>
        <v>-1.5416666666666667E-3</v>
      </c>
      <c r="AG72" s="103">
        <v>-2.96</v>
      </c>
      <c r="AH72" s="5">
        <f t="shared" si="2"/>
        <v>-2.4666666666666665E-3</v>
      </c>
      <c r="AI72" s="104" t="str">
        <f t="shared" si="3"/>
        <v xml:space="preserve"> </v>
      </c>
      <c r="AJ72" s="104" t="str">
        <f t="shared" si="4"/>
        <v xml:space="preserve"> </v>
      </c>
      <c r="AK72" s="104" t="str">
        <f t="shared" si="5"/>
        <v xml:space="preserve"> </v>
      </c>
      <c r="AL72" s="104" t="str">
        <f t="shared" si="6"/>
        <v xml:space="preserve"> </v>
      </c>
    </row>
    <row r="73" spans="1:38" ht="18.75" hidden="1">
      <c r="A73" s="63">
        <v>1</v>
      </c>
      <c r="B73" s="64" t="s">
        <v>36</v>
      </c>
      <c r="F73" s="49"/>
      <c r="G73" s="48"/>
      <c r="H73" s="48"/>
      <c r="J73" s="50"/>
      <c r="K73" s="51"/>
      <c r="L73" s="52"/>
      <c r="M73" s="52"/>
      <c r="N73" s="53"/>
      <c r="O73" s="54"/>
      <c r="P73" s="54"/>
      <c r="Q73" s="53"/>
      <c r="AC73" s="103">
        <v>-200</v>
      </c>
      <c r="AD73" s="4">
        <f t="shared" si="0"/>
        <v>-128.88888888888889</v>
      </c>
      <c r="AE73" s="103">
        <v>-1.71</v>
      </c>
      <c r="AF73" s="5">
        <f t="shared" si="1"/>
        <v>-1.4250000000000001E-3</v>
      </c>
      <c r="AG73" s="103">
        <v>-2.73</v>
      </c>
      <c r="AH73" s="5">
        <f t="shared" si="2"/>
        <v>-2.2750000000000001E-3</v>
      </c>
      <c r="AI73" s="104" t="str">
        <f t="shared" si="3"/>
        <v xml:space="preserve"> </v>
      </c>
      <c r="AJ73" s="104" t="str">
        <f t="shared" si="4"/>
        <v xml:space="preserve"> </v>
      </c>
      <c r="AK73" s="104" t="str">
        <f t="shared" si="5"/>
        <v xml:space="preserve"> </v>
      </c>
      <c r="AL73" s="104" t="str">
        <f t="shared" si="6"/>
        <v xml:space="preserve"> </v>
      </c>
    </row>
    <row r="74" spans="1:38" ht="18.75" hidden="1">
      <c r="A74" s="63">
        <v>1.7</v>
      </c>
      <c r="B74" s="64" t="s">
        <v>37</v>
      </c>
      <c r="F74" s="49"/>
      <c r="G74" s="48"/>
      <c r="H74" s="48"/>
      <c r="J74" s="50"/>
      <c r="K74" s="51"/>
      <c r="L74" s="52"/>
      <c r="M74" s="52"/>
      <c r="N74" s="53"/>
      <c r="O74" s="54"/>
      <c r="P74" s="54"/>
      <c r="Q74" s="53"/>
      <c r="AC74" s="103">
        <v>-175</v>
      </c>
      <c r="AD74" s="4">
        <f t="shared" si="0"/>
        <v>-115</v>
      </c>
      <c r="AE74" s="103">
        <v>-1.58</v>
      </c>
      <c r="AF74" s="5">
        <f t="shared" si="1"/>
        <v>-1.3166666666666667E-3</v>
      </c>
      <c r="AG74" s="103">
        <v>-2.5</v>
      </c>
      <c r="AH74" s="5">
        <f t="shared" si="2"/>
        <v>-2.0833333333333333E-3</v>
      </c>
      <c r="AI74" s="104" t="str">
        <f t="shared" si="3"/>
        <v xml:space="preserve"> </v>
      </c>
      <c r="AJ74" s="104" t="str">
        <f t="shared" si="4"/>
        <v xml:space="preserve"> </v>
      </c>
      <c r="AK74" s="104" t="str">
        <f t="shared" si="5"/>
        <v xml:space="preserve"> </v>
      </c>
      <c r="AL74" s="104" t="str">
        <f t="shared" si="6"/>
        <v xml:space="preserve"> </v>
      </c>
    </row>
    <row r="75" spans="1:38" ht="18.75" hidden="1">
      <c r="A75" s="63">
        <v>2.7</v>
      </c>
      <c r="B75" s="64" t="s">
        <v>38</v>
      </c>
      <c r="F75" s="49"/>
      <c r="G75" s="48"/>
      <c r="H75" s="48"/>
      <c r="J75" s="9"/>
      <c r="AC75" s="103">
        <v>-150</v>
      </c>
      <c r="AD75" s="4">
        <f t="shared" si="0"/>
        <v>-101.11111111111111</v>
      </c>
      <c r="AE75" s="103">
        <v>-1.45</v>
      </c>
      <c r="AF75" s="5">
        <f t="shared" si="1"/>
        <v>-1.2083333333333334E-3</v>
      </c>
      <c r="AG75" s="103">
        <v>-2.27</v>
      </c>
      <c r="AH75" s="5">
        <f t="shared" si="2"/>
        <v>-1.8916666666666667E-3</v>
      </c>
      <c r="AI75" s="104" t="str">
        <f t="shared" si="3"/>
        <v xml:space="preserve"> </v>
      </c>
      <c r="AJ75" s="104" t="str">
        <f t="shared" si="4"/>
        <v xml:space="preserve"> </v>
      </c>
      <c r="AK75" s="104" t="str">
        <f t="shared" si="5"/>
        <v xml:space="preserve"> </v>
      </c>
      <c r="AL75" s="104" t="str">
        <f t="shared" si="6"/>
        <v xml:space="preserve"> </v>
      </c>
    </row>
    <row r="76" spans="1:38" ht="18.75" hidden="1">
      <c r="A76" s="55"/>
      <c r="J76" s="50"/>
      <c r="K76" s="173"/>
      <c r="L76" s="173"/>
      <c r="M76" s="173"/>
      <c r="O76" s="54"/>
      <c r="P76" s="54"/>
      <c r="AC76" s="103">
        <v>-125</v>
      </c>
      <c r="AD76" s="4">
        <f t="shared" si="0"/>
        <v>-87.222222222222214</v>
      </c>
      <c r="AE76" s="103">
        <v>-1.3</v>
      </c>
      <c r="AF76" s="5">
        <f t="shared" si="1"/>
        <v>-1.0833333333333333E-3</v>
      </c>
      <c r="AG76" s="103">
        <v>-2.0099999999999998</v>
      </c>
      <c r="AH76" s="5">
        <f t="shared" si="2"/>
        <v>-1.6749999999999998E-3</v>
      </c>
      <c r="AI76" s="104" t="str">
        <f t="shared" si="3"/>
        <v xml:space="preserve"> </v>
      </c>
      <c r="AJ76" s="104" t="str">
        <f t="shared" si="4"/>
        <v xml:space="preserve"> </v>
      </c>
      <c r="AK76" s="104" t="str">
        <f t="shared" si="5"/>
        <v xml:space="preserve"> </v>
      </c>
      <c r="AL76" s="104" t="str">
        <f t="shared" si="6"/>
        <v xml:space="preserve"> </v>
      </c>
    </row>
    <row r="77" spans="1:38" ht="18.75" hidden="1">
      <c r="A77" s="55"/>
      <c r="O77" s="54"/>
      <c r="P77" s="54"/>
      <c r="AC77" s="103">
        <v>-100</v>
      </c>
      <c r="AD77" s="4">
        <f t="shared" si="0"/>
        <v>-73.333333333333329</v>
      </c>
      <c r="AE77" s="103">
        <v>-1.1499999999999999</v>
      </c>
      <c r="AF77" s="5">
        <f t="shared" si="1"/>
        <v>-9.5833333333333328E-4</v>
      </c>
      <c r="AG77" s="103">
        <v>-1.75</v>
      </c>
      <c r="AH77" s="5">
        <f t="shared" si="2"/>
        <v>-1.4583333333333334E-3</v>
      </c>
      <c r="AI77" s="104" t="str">
        <f t="shared" si="3"/>
        <v xml:space="preserve"> </v>
      </c>
      <c r="AJ77" s="104" t="str">
        <f t="shared" si="4"/>
        <v xml:space="preserve"> </v>
      </c>
      <c r="AK77" s="104" t="str">
        <f t="shared" si="5"/>
        <v xml:space="preserve"> </v>
      </c>
      <c r="AL77" s="104" t="str">
        <f t="shared" si="6"/>
        <v xml:space="preserve"> </v>
      </c>
    </row>
    <row r="78" spans="1:38" ht="18" hidden="1">
      <c r="A78" s="66" t="s">
        <v>39</v>
      </c>
      <c r="AC78" s="103">
        <v>-75</v>
      </c>
      <c r="AD78" s="4">
        <f t="shared" si="0"/>
        <v>-59.444444444444443</v>
      </c>
      <c r="AE78" s="103">
        <v>-1</v>
      </c>
      <c r="AF78" s="5">
        <f t="shared" si="1"/>
        <v>-8.3333333333333339E-4</v>
      </c>
      <c r="AG78" s="103">
        <v>-1.5</v>
      </c>
      <c r="AH78" s="5">
        <f t="shared" si="2"/>
        <v>-1.25E-3</v>
      </c>
      <c r="AI78" s="104" t="str">
        <f t="shared" si="3"/>
        <v xml:space="preserve"> </v>
      </c>
      <c r="AJ78" s="104" t="str">
        <f t="shared" si="4"/>
        <v xml:space="preserve"> </v>
      </c>
      <c r="AK78" s="104" t="str">
        <f t="shared" si="5"/>
        <v xml:space="preserve"> </v>
      </c>
      <c r="AL78" s="104" t="str">
        <f t="shared" si="6"/>
        <v xml:space="preserve"> </v>
      </c>
    </row>
    <row r="79" spans="1:38" ht="18" hidden="1">
      <c r="A79" s="65" t="s">
        <v>15</v>
      </c>
      <c r="AC79" s="103">
        <v>-50</v>
      </c>
      <c r="AD79" s="4">
        <f t="shared" si="0"/>
        <v>-45.555555555555557</v>
      </c>
      <c r="AE79" s="103">
        <v>-0.84</v>
      </c>
      <c r="AF79" s="5">
        <f t="shared" si="1"/>
        <v>-6.9999999999999999E-4</v>
      </c>
      <c r="AG79" s="103">
        <v>-1.24</v>
      </c>
      <c r="AH79" s="5">
        <f t="shared" si="2"/>
        <v>-1.0333333333333334E-3</v>
      </c>
      <c r="AI79" s="104" t="str">
        <f t="shared" si="3"/>
        <v xml:space="preserve"> </v>
      </c>
      <c r="AJ79" s="104" t="str">
        <f t="shared" si="4"/>
        <v xml:space="preserve"> </v>
      </c>
      <c r="AK79" s="104" t="str">
        <f t="shared" si="5"/>
        <v xml:space="preserve"> </v>
      </c>
      <c r="AL79" s="104" t="str">
        <f t="shared" si="6"/>
        <v xml:space="preserve"> </v>
      </c>
    </row>
    <row r="80" spans="1:38" ht="18" hidden="1">
      <c r="A80" s="65" t="s">
        <v>16</v>
      </c>
      <c r="J80" s="50"/>
      <c r="K80" s="51"/>
      <c r="M80" s="56"/>
      <c r="N80" s="53"/>
      <c r="O80" s="54"/>
      <c r="P80" s="54"/>
      <c r="Q80" s="53"/>
      <c r="AC80" s="103">
        <v>-25</v>
      </c>
      <c r="AD80" s="4">
        <f t="shared" si="0"/>
        <v>-31.666666666666664</v>
      </c>
      <c r="AE80" s="103">
        <v>-0.68</v>
      </c>
      <c r="AF80" s="5">
        <f t="shared" si="1"/>
        <v>-5.6666666666666671E-4</v>
      </c>
      <c r="AG80" s="103">
        <v>-0.98</v>
      </c>
      <c r="AH80" s="5">
        <f t="shared" si="2"/>
        <v>-8.166666666666666E-4</v>
      </c>
      <c r="AI80" s="104" t="str">
        <f t="shared" si="3"/>
        <v xml:space="preserve"> </v>
      </c>
      <c r="AJ80" s="104" t="str">
        <f t="shared" si="4"/>
        <v xml:space="preserve"> </v>
      </c>
      <c r="AK80" s="104" t="str">
        <f t="shared" si="5"/>
        <v xml:space="preserve"> </v>
      </c>
      <c r="AL80" s="104" t="str">
        <f t="shared" si="6"/>
        <v xml:space="preserve"> </v>
      </c>
    </row>
    <row r="81" spans="1:38" ht="18" hidden="1">
      <c r="AC81" s="103">
        <v>0</v>
      </c>
      <c r="AD81" s="4">
        <f t="shared" si="0"/>
        <v>-17.777777777777779</v>
      </c>
      <c r="AE81" s="103">
        <v>-0.49</v>
      </c>
      <c r="AF81" s="5">
        <f t="shared" si="1"/>
        <v>-4.083333333333333E-4</v>
      </c>
      <c r="AG81" s="103">
        <v>-0.72</v>
      </c>
      <c r="AH81" s="5">
        <f t="shared" si="2"/>
        <v>-5.9999999999999995E-4</v>
      </c>
      <c r="AI81" s="104" t="str">
        <f t="shared" si="3"/>
        <v xml:space="preserve"> </v>
      </c>
      <c r="AJ81" s="104" t="str">
        <f t="shared" si="4"/>
        <v xml:space="preserve"> </v>
      </c>
      <c r="AK81" s="104" t="str">
        <f t="shared" si="5"/>
        <v xml:space="preserve"> </v>
      </c>
      <c r="AL81" s="104" t="str">
        <f t="shared" si="6"/>
        <v xml:space="preserve"> </v>
      </c>
    </row>
    <row r="82" spans="1:38" ht="30" hidden="1">
      <c r="A82" s="105" t="s">
        <v>44</v>
      </c>
      <c r="B82" s="105" t="s">
        <v>42</v>
      </c>
      <c r="C82" s="106" t="s">
        <v>43</v>
      </c>
      <c r="J82" s="9"/>
      <c r="AC82" s="103">
        <v>25</v>
      </c>
      <c r="AD82" s="4">
        <f t="shared" si="0"/>
        <v>-3.8888888888888888</v>
      </c>
      <c r="AE82" s="103">
        <v>-0.32</v>
      </c>
      <c r="AF82" s="5">
        <f t="shared" si="1"/>
        <v>-2.6666666666666668E-4</v>
      </c>
      <c r="AG82" s="103">
        <v>-0.46</v>
      </c>
      <c r="AH82" s="5">
        <f t="shared" si="2"/>
        <v>-3.8333333333333334E-4</v>
      </c>
      <c r="AI82" s="104" t="str">
        <f t="shared" si="3"/>
        <v xml:space="preserve"> </v>
      </c>
      <c r="AJ82" s="104" t="str">
        <f t="shared" si="4"/>
        <v xml:space="preserve"> </v>
      </c>
      <c r="AK82" s="104" t="str">
        <f t="shared" si="5"/>
        <v xml:space="preserve"> </v>
      </c>
      <c r="AL82" s="104" t="str">
        <f t="shared" si="6"/>
        <v xml:space="preserve"> </v>
      </c>
    </row>
    <row r="83" spans="1:38" ht="18" hidden="1">
      <c r="A83" s="107">
        <v>0</v>
      </c>
      <c r="B83" s="108">
        <v>1</v>
      </c>
      <c r="C83" s="109" t="str">
        <f>IF($D$37=0,B83," ")</f>
        <v xml:space="preserve"> </v>
      </c>
      <c r="I83" s="110"/>
      <c r="J83" s="43"/>
      <c r="K83" s="43"/>
      <c r="L83" s="35"/>
      <c r="M83" s="35"/>
      <c r="N83" s="35"/>
      <c r="O83" s="35"/>
      <c r="AC83" s="103">
        <v>50</v>
      </c>
      <c r="AD83" s="4">
        <f t="shared" si="0"/>
        <v>10</v>
      </c>
      <c r="AE83" s="103">
        <v>-0.14000000000000001</v>
      </c>
      <c r="AF83" s="5">
        <f t="shared" si="1"/>
        <v>-1.1666666666666668E-4</v>
      </c>
      <c r="AG83" s="103">
        <v>-0.21</v>
      </c>
      <c r="AH83" s="5">
        <f t="shared" si="2"/>
        <v>-1.75E-4</v>
      </c>
      <c r="AI83" s="104" t="str">
        <f t="shared" si="3"/>
        <v xml:space="preserve"> </v>
      </c>
      <c r="AJ83" s="104" t="str">
        <f t="shared" si="4"/>
        <v xml:space="preserve"> </v>
      </c>
      <c r="AK83" s="104" t="str">
        <f t="shared" si="5"/>
        <v xml:space="preserve"> </v>
      </c>
      <c r="AL83" s="104" t="str">
        <f t="shared" si="6"/>
        <v xml:space="preserve"> </v>
      </c>
    </row>
    <row r="84" spans="1:38" ht="18" hidden="1">
      <c r="A84" s="111">
        <v>0.5</v>
      </c>
      <c r="B84" s="112">
        <v>0.97101449275362317</v>
      </c>
      <c r="C84" s="113" t="str">
        <f>IF(AND((A83&lt;$D$37),(A84&gt;=$D$37)),(B84-B83)/(A84-A83)*($D$37-A83)+B83," ")</f>
        <v xml:space="preserve"> </v>
      </c>
      <c r="I84" s="110"/>
      <c r="J84" s="90"/>
      <c r="K84" s="91"/>
      <c r="L84" s="35"/>
      <c r="M84" s="35"/>
      <c r="N84" s="35"/>
      <c r="O84" s="35"/>
      <c r="P84" s="54"/>
      <c r="AC84" s="103">
        <v>70</v>
      </c>
      <c r="AD84" s="4">
        <f t="shared" si="0"/>
        <v>21.111111111111111</v>
      </c>
      <c r="AE84" s="103">
        <v>0</v>
      </c>
      <c r="AF84" s="5">
        <f t="shared" si="1"/>
        <v>0</v>
      </c>
      <c r="AG84" s="103">
        <v>0</v>
      </c>
      <c r="AH84" s="5">
        <f t="shared" si="2"/>
        <v>0</v>
      </c>
      <c r="AI84" s="104" t="str">
        <f t="shared" si="3"/>
        <v xml:space="preserve"> </v>
      </c>
      <c r="AJ84" s="104" t="str">
        <f t="shared" si="4"/>
        <v xml:space="preserve"> </v>
      </c>
      <c r="AK84" s="104" t="str">
        <f t="shared" si="5"/>
        <v xml:space="preserve"> </v>
      </c>
      <c r="AL84" s="104" t="str">
        <f t="shared" si="6"/>
        <v xml:space="preserve"> </v>
      </c>
    </row>
    <row r="85" spans="1:38" ht="18" hidden="1">
      <c r="A85" s="111">
        <v>1</v>
      </c>
      <c r="B85" s="112">
        <v>0.92753623188405798</v>
      </c>
      <c r="C85" s="113" t="str">
        <f t="shared" ref="C85:C148" si="7">IF(AND((A84&lt;$D$37),(A85&gt;=$D$37)),(B85-B84)/(A85-A84)*($D$37-A84)+B84," ")</f>
        <v xml:space="preserve"> </v>
      </c>
      <c r="I85" s="110"/>
      <c r="J85" s="43"/>
      <c r="K85" s="43"/>
      <c r="L85" s="35"/>
      <c r="M85" s="35"/>
      <c r="N85" s="35"/>
      <c r="O85" s="92"/>
      <c r="P85" s="54"/>
      <c r="AC85" s="103">
        <v>100</v>
      </c>
      <c r="AD85" s="4">
        <f t="shared" si="0"/>
        <v>37.777777777777779</v>
      </c>
      <c r="AE85" s="103">
        <v>0.23</v>
      </c>
      <c r="AF85" s="5">
        <f t="shared" si="1"/>
        <v>1.9166666666666667E-4</v>
      </c>
      <c r="AG85" s="103">
        <v>0.34</v>
      </c>
      <c r="AH85" s="5">
        <f t="shared" si="2"/>
        <v>2.8333333333333335E-4</v>
      </c>
      <c r="AI85" s="104">
        <f t="shared" si="3"/>
        <v>1.585722222222222E-4</v>
      </c>
      <c r="AJ85" s="104">
        <f t="shared" si="4"/>
        <v>4.4722222222222228E-5</v>
      </c>
      <c r="AK85" s="104">
        <f t="shared" si="5"/>
        <v>2.344111111111111E-4</v>
      </c>
      <c r="AL85" s="104">
        <f t="shared" si="6"/>
        <v>6.611111111111112E-5</v>
      </c>
    </row>
    <row r="86" spans="1:38" ht="18" hidden="1">
      <c r="A86" s="111">
        <v>1.5</v>
      </c>
      <c r="B86" s="112">
        <v>0.88405797101449279</v>
      </c>
      <c r="C86" s="113" t="str">
        <f t="shared" si="7"/>
        <v xml:space="preserve"> </v>
      </c>
      <c r="I86" s="110"/>
      <c r="J86" s="43"/>
      <c r="K86" s="43"/>
      <c r="L86" s="35"/>
      <c r="M86" s="35"/>
      <c r="N86" s="35"/>
      <c r="O86" s="35"/>
      <c r="AC86" s="103">
        <v>125</v>
      </c>
      <c r="AD86" s="4">
        <f t="shared" si="0"/>
        <v>51.666666666666664</v>
      </c>
      <c r="AE86" s="103">
        <v>0.42</v>
      </c>
      <c r="AF86" s="5">
        <f t="shared" si="1"/>
        <v>3.5E-4</v>
      </c>
      <c r="AG86" s="103">
        <v>0.62</v>
      </c>
      <c r="AH86" s="5">
        <f t="shared" si="2"/>
        <v>5.1666666666666668E-4</v>
      </c>
      <c r="AI86" s="114" t="str">
        <f t="shared" si="3"/>
        <v xml:space="preserve"> </v>
      </c>
      <c r="AJ86" s="114" t="str">
        <f t="shared" si="4"/>
        <v xml:space="preserve"> </v>
      </c>
      <c r="AK86" s="114" t="str">
        <f t="shared" si="5"/>
        <v xml:space="preserve"> </v>
      </c>
      <c r="AL86" s="114" t="str">
        <f t="shared" si="6"/>
        <v xml:space="preserve"> </v>
      </c>
    </row>
    <row r="87" spans="1:38" ht="18" hidden="1">
      <c r="A87" s="111">
        <v>2</v>
      </c>
      <c r="B87" s="112">
        <v>0.82608695652173914</v>
      </c>
      <c r="C87" s="113" t="str">
        <f t="shared" si="7"/>
        <v xml:space="preserve"> </v>
      </c>
      <c r="I87" s="110"/>
      <c r="J87" s="43"/>
      <c r="K87" s="43"/>
      <c r="L87" s="35"/>
      <c r="M87" s="35"/>
      <c r="N87" s="35"/>
      <c r="O87" s="35"/>
      <c r="AC87" s="103">
        <v>150</v>
      </c>
      <c r="AD87" s="4">
        <f t="shared" si="0"/>
        <v>65.555555555555557</v>
      </c>
      <c r="AE87" s="115">
        <v>0.61</v>
      </c>
      <c r="AF87" s="5">
        <f t="shared" si="1"/>
        <v>5.0833333333333329E-4</v>
      </c>
      <c r="AG87" s="115">
        <v>0.9</v>
      </c>
      <c r="AH87" s="5">
        <f t="shared" si="2"/>
        <v>7.5000000000000002E-4</v>
      </c>
      <c r="AI87" s="104" t="str">
        <f t="shared" si="3"/>
        <v xml:space="preserve"> </v>
      </c>
      <c r="AJ87" s="104" t="str">
        <f t="shared" si="4"/>
        <v xml:space="preserve"> </v>
      </c>
      <c r="AK87" s="104" t="str">
        <f t="shared" si="5"/>
        <v xml:space="preserve"> </v>
      </c>
      <c r="AL87" s="104" t="str">
        <f t="shared" si="6"/>
        <v xml:space="preserve"> </v>
      </c>
    </row>
    <row r="88" spans="1:38" ht="18" hidden="1">
      <c r="A88" s="111">
        <v>2.5</v>
      </c>
      <c r="B88" s="112">
        <v>0.71014492753623193</v>
      </c>
      <c r="C88" s="113" t="str">
        <f t="shared" si="7"/>
        <v xml:space="preserve"> </v>
      </c>
      <c r="D88" s="57"/>
      <c r="E88" s="57"/>
      <c r="F88" s="57"/>
      <c r="I88" s="110"/>
      <c r="J88" s="43"/>
      <c r="K88" s="43"/>
      <c r="L88" s="35"/>
      <c r="M88" s="35"/>
      <c r="N88" s="35"/>
      <c r="O88" s="92"/>
      <c r="AC88" s="103">
        <v>175</v>
      </c>
      <c r="AD88" s="4">
        <f t="shared" si="0"/>
        <v>79.444444444444443</v>
      </c>
      <c r="AE88" s="115">
        <v>0.8</v>
      </c>
      <c r="AF88" s="5">
        <f t="shared" si="1"/>
        <v>6.6666666666666675E-4</v>
      </c>
      <c r="AG88" s="115">
        <v>1.18</v>
      </c>
      <c r="AH88" s="5">
        <f t="shared" si="2"/>
        <v>9.8333333333333324E-4</v>
      </c>
      <c r="AI88" s="104" t="str">
        <f t="shared" si="3"/>
        <v xml:space="preserve"> </v>
      </c>
      <c r="AJ88" s="104" t="str">
        <f t="shared" si="4"/>
        <v xml:space="preserve"> </v>
      </c>
      <c r="AK88" s="104" t="str">
        <f t="shared" si="5"/>
        <v xml:space="preserve"> </v>
      </c>
      <c r="AL88" s="104" t="str">
        <f t="shared" si="6"/>
        <v xml:space="preserve"> </v>
      </c>
    </row>
    <row r="89" spans="1:38" ht="18" hidden="1">
      <c r="A89" s="111">
        <v>3</v>
      </c>
      <c r="B89" s="112">
        <v>0.65217391304347827</v>
      </c>
      <c r="C89" s="113" t="str">
        <f t="shared" si="7"/>
        <v xml:space="preserve"> </v>
      </c>
      <c r="F89" s="57"/>
      <c r="I89" s="110"/>
      <c r="J89" s="43"/>
      <c r="K89" s="43"/>
      <c r="L89" s="35"/>
      <c r="M89" s="35"/>
      <c r="N89" s="35"/>
      <c r="O89" s="35"/>
      <c r="AC89" s="103">
        <v>200</v>
      </c>
      <c r="AD89" s="4">
        <f t="shared" si="0"/>
        <v>93.333333333333329</v>
      </c>
      <c r="AE89" s="115">
        <v>0.99</v>
      </c>
      <c r="AF89" s="5">
        <f t="shared" si="1"/>
        <v>8.25E-4</v>
      </c>
      <c r="AG89" s="115">
        <v>1.46</v>
      </c>
      <c r="AH89" s="5">
        <f t="shared" si="2"/>
        <v>1.2166666666666667E-3</v>
      </c>
      <c r="AI89" s="104" t="str">
        <f t="shared" si="3"/>
        <v xml:space="preserve"> </v>
      </c>
      <c r="AJ89" s="104" t="str">
        <f t="shared" si="4"/>
        <v xml:space="preserve"> </v>
      </c>
      <c r="AK89" s="104" t="str">
        <f t="shared" si="5"/>
        <v xml:space="preserve"> </v>
      </c>
      <c r="AL89" s="104" t="str">
        <f t="shared" si="6"/>
        <v xml:space="preserve"> </v>
      </c>
    </row>
    <row r="90" spans="1:38" ht="18" hidden="1">
      <c r="A90" s="111">
        <v>3.5</v>
      </c>
      <c r="B90" s="112">
        <v>0.59420289855072461</v>
      </c>
      <c r="C90" s="113" t="str">
        <f t="shared" si="7"/>
        <v xml:space="preserve"> </v>
      </c>
      <c r="I90" s="110"/>
      <c r="J90" s="43"/>
      <c r="K90" s="43"/>
      <c r="L90" s="35"/>
      <c r="M90" s="35"/>
      <c r="N90" s="35"/>
      <c r="O90" s="35"/>
      <c r="AC90" s="103">
        <v>225</v>
      </c>
      <c r="AD90" s="4">
        <f t="shared" si="0"/>
        <v>107.22222222222221</v>
      </c>
      <c r="AE90" s="115">
        <v>1.21</v>
      </c>
      <c r="AF90" s="5">
        <f t="shared" si="1"/>
        <v>1.0083333333333333E-3</v>
      </c>
      <c r="AG90" s="115">
        <v>1.75</v>
      </c>
      <c r="AH90" s="5">
        <f t="shared" si="2"/>
        <v>1.4583333333333334E-3</v>
      </c>
      <c r="AI90" s="104" t="str">
        <f t="shared" si="3"/>
        <v xml:space="preserve"> </v>
      </c>
      <c r="AJ90" s="104" t="str">
        <f t="shared" si="4"/>
        <v xml:space="preserve"> </v>
      </c>
      <c r="AK90" s="104" t="str">
        <f t="shared" si="5"/>
        <v xml:space="preserve"> </v>
      </c>
      <c r="AL90" s="104" t="str">
        <f t="shared" si="6"/>
        <v xml:space="preserve"> </v>
      </c>
    </row>
    <row r="91" spans="1:38" ht="18" hidden="1">
      <c r="A91" s="111">
        <v>4</v>
      </c>
      <c r="B91" s="112">
        <v>0.53623188405797106</v>
      </c>
      <c r="C91" s="113" t="str">
        <f t="shared" si="7"/>
        <v xml:space="preserve"> </v>
      </c>
      <c r="I91" s="110"/>
      <c r="J91" s="43"/>
      <c r="K91" s="43"/>
      <c r="L91" s="35"/>
      <c r="M91" s="35"/>
      <c r="N91" s="35"/>
      <c r="O91" s="35"/>
      <c r="AC91" s="103">
        <v>250</v>
      </c>
      <c r="AD91" s="4">
        <f t="shared" si="0"/>
        <v>121.11111111111111</v>
      </c>
      <c r="AE91" s="115">
        <v>1.4</v>
      </c>
      <c r="AF91" s="5">
        <f t="shared" si="1"/>
        <v>1.1666666666666665E-3</v>
      </c>
      <c r="AG91" s="115">
        <v>2.0299999999999998</v>
      </c>
      <c r="AH91" s="5">
        <f t="shared" si="2"/>
        <v>1.6916666666666664E-3</v>
      </c>
      <c r="AI91" s="104" t="str">
        <f t="shared" si="3"/>
        <v xml:space="preserve"> </v>
      </c>
      <c r="AJ91" s="104" t="str">
        <f t="shared" si="4"/>
        <v xml:space="preserve"> </v>
      </c>
      <c r="AK91" s="104" t="str">
        <f t="shared" si="5"/>
        <v xml:space="preserve"> </v>
      </c>
      <c r="AL91" s="104" t="str">
        <f t="shared" si="6"/>
        <v xml:space="preserve"> </v>
      </c>
    </row>
    <row r="92" spans="1:38" ht="18" hidden="1">
      <c r="A92" s="111">
        <v>4.5</v>
      </c>
      <c r="B92" s="112">
        <v>0.49275362318840582</v>
      </c>
      <c r="C92" s="113" t="str">
        <f t="shared" si="7"/>
        <v xml:space="preserve"> </v>
      </c>
      <c r="I92" s="110"/>
      <c r="J92" s="43"/>
      <c r="K92" s="43"/>
      <c r="L92" s="35"/>
      <c r="M92" s="35"/>
      <c r="N92" s="35"/>
      <c r="O92" s="35"/>
      <c r="AC92" s="103">
        <v>275</v>
      </c>
      <c r="AD92" s="4">
        <f t="shared" si="0"/>
        <v>135</v>
      </c>
      <c r="AE92" s="115">
        <v>1.61</v>
      </c>
      <c r="AF92" s="5">
        <f t="shared" si="1"/>
        <v>1.3416666666666668E-3</v>
      </c>
      <c r="AG92" s="115">
        <v>2.3199999999999998</v>
      </c>
      <c r="AH92" s="5">
        <f t="shared" si="2"/>
        <v>1.9333333333333331E-3</v>
      </c>
      <c r="AI92" s="104" t="str">
        <f t="shared" si="3"/>
        <v xml:space="preserve"> </v>
      </c>
      <c r="AJ92" s="104" t="str">
        <f t="shared" si="4"/>
        <v xml:space="preserve"> </v>
      </c>
      <c r="AK92" s="104" t="str">
        <f t="shared" si="5"/>
        <v xml:space="preserve"> </v>
      </c>
      <c r="AL92" s="104" t="str">
        <f t="shared" si="6"/>
        <v xml:space="preserve"> </v>
      </c>
    </row>
    <row r="93" spans="1:38" ht="18" hidden="1">
      <c r="A93" s="111">
        <v>5</v>
      </c>
      <c r="B93" s="112">
        <v>0.44927536231884058</v>
      </c>
      <c r="C93" s="113" t="str">
        <f t="shared" si="7"/>
        <v xml:space="preserve"> </v>
      </c>
      <c r="I93" s="110"/>
      <c r="J93" s="43"/>
      <c r="K93" s="43"/>
      <c r="L93" s="35"/>
      <c r="M93" s="35"/>
      <c r="N93" s="35"/>
      <c r="O93" s="35"/>
      <c r="AC93" s="103">
        <v>300</v>
      </c>
      <c r="AD93" s="4">
        <f t="shared" si="0"/>
        <v>148.88888888888889</v>
      </c>
      <c r="AE93" s="115">
        <v>1.82</v>
      </c>
      <c r="AF93" s="5">
        <f t="shared" si="1"/>
        <v>1.5166666666666668E-3</v>
      </c>
      <c r="AG93" s="115">
        <v>2.61</v>
      </c>
      <c r="AH93" s="5">
        <f t="shared" si="2"/>
        <v>2.1749999999999999E-3</v>
      </c>
      <c r="AI93" s="104" t="str">
        <f t="shared" si="3"/>
        <v xml:space="preserve"> </v>
      </c>
      <c r="AJ93" s="104" t="str">
        <f t="shared" si="4"/>
        <v xml:space="preserve"> </v>
      </c>
      <c r="AK93" s="104" t="str">
        <f t="shared" si="5"/>
        <v xml:space="preserve"> </v>
      </c>
      <c r="AL93" s="104" t="str">
        <f t="shared" si="6"/>
        <v xml:space="preserve"> </v>
      </c>
    </row>
    <row r="94" spans="1:38" ht="18" hidden="1">
      <c r="A94" s="111">
        <v>5.5</v>
      </c>
      <c r="B94" s="112">
        <v>0.40579710144927539</v>
      </c>
      <c r="C94" s="113" t="str">
        <f t="shared" si="7"/>
        <v xml:space="preserve"> </v>
      </c>
      <c r="I94" s="110"/>
      <c r="J94" s="43"/>
      <c r="K94" s="43"/>
      <c r="L94" s="35"/>
      <c r="M94" s="35"/>
      <c r="N94" s="35"/>
      <c r="O94" s="35"/>
      <c r="AC94" s="103">
        <v>325</v>
      </c>
      <c r="AD94" s="4">
        <f t="shared" si="0"/>
        <v>162.77777777777777</v>
      </c>
      <c r="AE94" s="115">
        <v>2.04</v>
      </c>
      <c r="AF94" s="5">
        <f t="shared" si="1"/>
        <v>1.7000000000000001E-3</v>
      </c>
      <c r="AG94" s="115">
        <v>2.9</v>
      </c>
      <c r="AH94" s="5">
        <f t="shared" si="2"/>
        <v>2.4166666666666668E-3</v>
      </c>
      <c r="AI94" s="104" t="str">
        <f t="shared" si="3"/>
        <v xml:space="preserve"> </v>
      </c>
      <c r="AJ94" s="104" t="str">
        <f t="shared" si="4"/>
        <v xml:space="preserve"> </v>
      </c>
      <c r="AK94" s="104" t="str">
        <f t="shared" si="5"/>
        <v xml:space="preserve"> </v>
      </c>
      <c r="AL94" s="104" t="str">
        <f t="shared" si="6"/>
        <v xml:space="preserve"> </v>
      </c>
    </row>
    <row r="95" spans="1:38" ht="18" hidden="1">
      <c r="A95" s="111">
        <v>6</v>
      </c>
      <c r="B95" s="112">
        <v>0.37681159420289856</v>
      </c>
      <c r="C95" s="113" t="str">
        <f t="shared" si="7"/>
        <v xml:space="preserve"> </v>
      </c>
      <c r="I95" s="110"/>
      <c r="J95" s="43"/>
      <c r="K95" s="43"/>
      <c r="L95" s="35"/>
      <c r="M95" s="35"/>
      <c r="N95" s="35"/>
      <c r="O95" s="35"/>
      <c r="AC95" s="103">
        <v>350</v>
      </c>
      <c r="AD95" s="4">
        <f t="shared" si="0"/>
        <v>176.66666666666666</v>
      </c>
      <c r="AE95" s="115">
        <v>2.2599999999999998</v>
      </c>
      <c r="AF95" s="5">
        <f t="shared" si="1"/>
        <v>1.8833333333333332E-3</v>
      </c>
      <c r="AG95" s="115">
        <v>3.2</v>
      </c>
      <c r="AH95" s="5">
        <f t="shared" si="2"/>
        <v>2.666666666666667E-3</v>
      </c>
      <c r="AI95" s="104" t="str">
        <f t="shared" si="3"/>
        <v xml:space="preserve"> </v>
      </c>
      <c r="AJ95" s="104" t="str">
        <f t="shared" si="4"/>
        <v xml:space="preserve"> </v>
      </c>
      <c r="AK95" s="104" t="str">
        <f t="shared" si="5"/>
        <v xml:space="preserve"> </v>
      </c>
      <c r="AL95" s="104" t="str">
        <f t="shared" si="6"/>
        <v xml:space="preserve"> </v>
      </c>
    </row>
    <row r="96" spans="1:38" ht="18" hidden="1">
      <c r="A96" s="111">
        <v>6.5</v>
      </c>
      <c r="B96" s="112">
        <v>0.34782608695652173</v>
      </c>
      <c r="C96" s="113" t="str">
        <f t="shared" si="7"/>
        <v xml:space="preserve"> </v>
      </c>
      <c r="I96" s="110"/>
      <c r="J96" s="43"/>
      <c r="K96" s="43"/>
      <c r="L96" s="35"/>
      <c r="M96" s="35"/>
      <c r="N96" s="35"/>
      <c r="O96" s="35"/>
      <c r="AC96" s="103">
        <v>375</v>
      </c>
      <c r="AD96" s="4">
        <f t="shared" si="0"/>
        <v>190.55555555555554</v>
      </c>
      <c r="AE96" s="115">
        <v>2.48</v>
      </c>
      <c r="AF96" s="5">
        <f t="shared" si="1"/>
        <v>2.0666666666666667E-3</v>
      </c>
      <c r="AG96" s="115">
        <v>3.5</v>
      </c>
      <c r="AH96" s="5">
        <f t="shared" si="2"/>
        <v>2.9166666666666668E-3</v>
      </c>
      <c r="AI96" s="104" t="str">
        <f t="shared" si="3"/>
        <v xml:space="preserve"> </v>
      </c>
      <c r="AJ96" s="104" t="str">
        <f t="shared" si="4"/>
        <v xml:space="preserve"> </v>
      </c>
      <c r="AK96" s="104" t="str">
        <f t="shared" si="5"/>
        <v xml:space="preserve"> </v>
      </c>
      <c r="AL96" s="104" t="str">
        <f t="shared" si="6"/>
        <v xml:space="preserve"> </v>
      </c>
    </row>
    <row r="97" spans="1:38" ht="18" hidden="1">
      <c r="A97" s="111">
        <v>7</v>
      </c>
      <c r="B97" s="112">
        <v>0.3188405797101449</v>
      </c>
      <c r="C97" s="113" t="str">
        <f t="shared" si="7"/>
        <v xml:space="preserve"> </v>
      </c>
      <c r="I97" s="110"/>
      <c r="J97" s="43"/>
      <c r="K97" s="43"/>
      <c r="L97" s="35"/>
      <c r="M97" s="35"/>
      <c r="N97" s="35"/>
      <c r="O97" s="35"/>
      <c r="AC97" s="103">
        <v>400</v>
      </c>
      <c r="AD97" s="4">
        <f t="shared" si="0"/>
        <v>204.44444444444443</v>
      </c>
      <c r="AE97" s="115">
        <v>2.7</v>
      </c>
      <c r="AF97" s="5">
        <f t="shared" si="1"/>
        <v>2.2500000000000003E-3</v>
      </c>
      <c r="AG97" s="115">
        <v>3.8</v>
      </c>
      <c r="AH97" s="5">
        <f t="shared" si="2"/>
        <v>3.1666666666666666E-3</v>
      </c>
      <c r="AI97" s="104" t="str">
        <f t="shared" si="3"/>
        <v xml:space="preserve"> </v>
      </c>
      <c r="AJ97" s="104" t="str">
        <f t="shared" si="4"/>
        <v xml:space="preserve"> </v>
      </c>
      <c r="AK97" s="104" t="str">
        <f t="shared" si="5"/>
        <v xml:space="preserve"> </v>
      </c>
      <c r="AL97" s="104" t="str">
        <f t="shared" si="6"/>
        <v xml:space="preserve"> </v>
      </c>
    </row>
    <row r="98" spans="1:38" ht="18" hidden="1">
      <c r="A98" s="111">
        <v>7.5</v>
      </c>
      <c r="B98" s="112">
        <v>0.29710144927536231</v>
      </c>
      <c r="C98" s="113" t="str">
        <f t="shared" si="7"/>
        <v xml:space="preserve"> </v>
      </c>
      <c r="I98" s="110"/>
      <c r="J98" s="43"/>
      <c r="K98" s="43"/>
      <c r="L98" s="35"/>
      <c r="M98" s="35"/>
      <c r="N98" s="35"/>
      <c r="O98" s="92"/>
      <c r="AC98" s="103">
        <v>425</v>
      </c>
      <c r="AD98" s="4">
        <f t="shared" si="0"/>
        <v>218.33333333333331</v>
      </c>
      <c r="AE98" s="115">
        <v>2.93</v>
      </c>
      <c r="AF98" s="5">
        <f t="shared" si="1"/>
        <v>2.4416666666666666E-3</v>
      </c>
      <c r="AG98" s="115">
        <v>4.0999999999999996</v>
      </c>
      <c r="AH98" s="5">
        <f t="shared" si="2"/>
        <v>3.4166666666666664E-3</v>
      </c>
      <c r="AI98" s="104" t="str">
        <f t="shared" si="3"/>
        <v xml:space="preserve"> </v>
      </c>
      <c r="AJ98" s="104" t="str">
        <f t="shared" si="4"/>
        <v xml:space="preserve"> </v>
      </c>
      <c r="AK98" s="104" t="str">
        <f t="shared" si="5"/>
        <v xml:space="preserve"> </v>
      </c>
      <c r="AL98" s="104" t="str">
        <f t="shared" si="6"/>
        <v xml:space="preserve"> </v>
      </c>
    </row>
    <row r="99" spans="1:38" ht="18" hidden="1">
      <c r="A99" s="111">
        <v>8</v>
      </c>
      <c r="B99" s="112">
        <v>0.27536231884057971</v>
      </c>
      <c r="C99" s="113" t="str">
        <f t="shared" si="7"/>
        <v xml:space="preserve"> </v>
      </c>
      <c r="I99" s="110"/>
      <c r="J99" s="43"/>
      <c r="K99" s="43"/>
      <c r="L99" s="35"/>
      <c r="M99" s="35"/>
      <c r="N99" s="35"/>
      <c r="O99" s="35"/>
      <c r="AC99" s="103">
        <v>450</v>
      </c>
      <c r="AD99" s="4">
        <f t="shared" si="0"/>
        <v>232.22222222222223</v>
      </c>
      <c r="AE99" s="115">
        <v>3.16</v>
      </c>
      <c r="AF99" s="5">
        <f t="shared" si="1"/>
        <v>2.6333333333333334E-3</v>
      </c>
      <c r="AG99" s="115">
        <v>4.41</v>
      </c>
      <c r="AH99" s="5">
        <f t="shared" si="2"/>
        <v>3.6750000000000003E-3</v>
      </c>
      <c r="AI99" s="104" t="str">
        <f>IF($D$45&gt;AD99,$AF$99,IF(AND((AD98&lt;$D$45),(AD99&gt;=$D$45)),(AF99-AF98)/(AD99-AD98)*($D$45-AD98)+AF98," "))</f>
        <v xml:space="preserve"> </v>
      </c>
      <c r="AJ99" s="104" t="str">
        <f>IF($H$12&gt;AD99,$AF$99,IF(AND((AD98&lt;$H$12),(AD99&gt;=$H$12)),(AF99-AF98)/(AD99-AD98)*($H$12-AD98)+AF98," "))</f>
        <v xml:space="preserve"> </v>
      </c>
      <c r="AK99" s="104" t="str">
        <f>IF($D$45&gt;AD99,$AH$99,IF(AND((AD98&lt;$D$45),(AD99&gt;=$D$45)),(AH99-AH98)/(AD99-AD98)*($D$45-AD98)+AH98," "))</f>
        <v xml:space="preserve"> </v>
      </c>
      <c r="AL99" s="104" t="str">
        <f>IF($H$12&gt;AD99,$AH$99,IF(AND((AD98&lt;$H$12),(AD99&gt;=$H$12)),(AH99-AH98)/(AD99-AD98)*($H$12-AD98)+AH98," "))</f>
        <v xml:space="preserve"> </v>
      </c>
    </row>
    <row r="100" spans="1:38" ht="15" hidden="1">
      <c r="A100" s="111">
        <v>8.5</v>
      </c>
      <c r="B100" s="112">
        <v>0.2608695652173913</v>
      </c>
      <c r="C100" s="113" t="str">
        <f t="shared" si="7"/>
        <v xml:space="preserve"> </v>
      </c>
      <c r="I100" s="110"/>
      <c r="J100" s="43"/>
      <c r="K100" s="43"/>
      <c r="L100" s="35"/>
      <c r="M100" s="35"/>
      <c r="N100" s="35"/>
      <c r="O100" s="35"/>
      <c r="AH100" s="88" t="s">
        <v>53</v>
      </c>
      <c r="AI100" s="89">
        <f>MAX(AI68:AI99)</f>
        <v>1.585722222222222E-4</v>
      </c>
      <c r="AJ100" s="89">
        <f>MAX(AJ68:AJ99)</f>
        <v>4.4722222222222228E-5</v>
      </c>
      <c r="AK100" s="89">
        <f t="shared" ref="AK100:AL100" si="8">MAX(AK68:AK99)</f>
        <v>2.344111111111111E-4</v>
      </c>
      <c r="AL100" s="89">
        <f t="shared" si="8"/>
        <v>6.611111111111112E-5</v>
      </c>
    </row>
    <row r="101" spans="1:38" ht="15" hidden="1">
      <c r="A101" s="111">
        <v>9</v>
      </c>
      <c r="B101" s="112">
        <v>0.2391304347826087</v>
      </c>
      <c r="C101" s="113" t="str">
        <f t="shared" si="7"/>
        <v xml:space="preserve"> </v>
      </c>
      <c r="I101" s="110"/>
      <c r="J101" s="43"/>
      <c r="K101" s="43"/>
      <c r="L101" s="35"/>
      <c r="M101" s="35"/>
      <c r="N101" s="35"/>
      <c r="O101" s="35"/>
    </row>
    <row r="102" spans="1:38" ht="15" hidden="1">
      <c r="A102" s="111">
        <v>9.5</v>
      </c>
      <c r="B102" s="112">
        <v>0.2318840579710145</v>
      </c>
      <c r="C102" s="113" t="str">
        <f t="shared" si="7"/>
        <v xml:space="preserve"> </v>
      </c>
      <c r="I102" s="116"/>
      <c r="J102" s="43"/>
      <c r="K102" s="43"/>
      <c r="L102" s="35"/>
      <c r="M102" s="35"/>
      <c r="N102" s="35"/>
      <c r="O102" s="92"/>
    </row>
    <row r="103" spans="1:38" ht="15" hidden="1">
      <c r="A103" s="111">
        <v>10</v>
      </c>
      <c r="B103" s="112">
        <v>0.21739130434782608</v>
      </c>
      <c r="C103" s="113" t="str">
        <f t="shared" si="7"/>
        <v xml:space="preserve"> </v>
      </c>
      <c r="I103" s="117"/>
      <c r="J103" s="43"/>
      <c r="K103" s="43"/>
      <c r="L103" s="35"/>
      <c r="M103" s="35"/>
      <c r="N103" s="35"/>
      <c r="O103" s="92"/>
    </row>
    <row r="104" spans="1:38" ht="15" hidden="1">
      <c r="A104" s="111">
        <v>10.5</v>
      </c>
      <c r="B104" s="112">
        <v>0.21014492753623187</v>
      </c>
      <c r="C104" s="113" t="str">
        <f t="shared" si="7"/>
        <v xml:space="preserve"> </v>
      </c>
      <c r="I104" s="110"/>
      <c r="J104" s="43"/>
      <c r="K104" s="43"/>
      <c r="L104" s="35"/>
      <c r="M104" s="35"/>
      <c r="N104" s="35"/>
      <c r="O104" s="35"/>
    </row>
    <row r="105" spans="1:38" ht="15" hidden="1">
      <c r="A105" s="111">
        <v>11</v>
      </c>
      <c r="B105" s="112">
        <v>0.20289855072463769</v>
      </c>
      <c r="C105" s="113" t="str">
        <f t="shared" si="7"/>
        <v xml:space="preserve"> </v>
      </c>
      <c r="I105" s="110"/>
      <c r="J105" s="43"/>
      <c r="K105" s="43"/>
      <c r="L105" s="35"/>
      <c r="M105" s="35"/>
      <c r="N105" s="35"/>
      <c r="O105" s="35"/>
    </row>
    <row r="106" spans="1:38" ht="15" hidden="1">
      <c r="A106" s="111">
        <v>11.5</v>
      </c>
      <c r="B106" s="112">
        <v>0.19565217391304349</v>
      </c>
      <c r="C106" s="113" t="str">
        <f t="shared" si="7"/>
        <v xml:space="preserve"> </v>
      </c>
      <c r="I106" s="110"/>
      <c r="J106" s="43"/>
      <c r="K106" s="43"/>
      <c r="L106" s="35"/>
      <c r="M106" s="35"/>
      <c r="N106" s="35"/>
      <c r="O106" s="92"/>
    </row>
    <row r="107" spans="1:38" ht="15" hidden="1">
      <c r="A107" s="111">
        <v>12</v>
      </c>
      <c r="B107" s="112">
        <v>0.18840579710144928</v>
      </c>
      <c r="C107" s="113" t="str">
        <f t="shared" si="7"/>
        <v xml:space="preserve"> </v>
      </c>
      <c r="I107" s="110"/>
      <c r="J107" s="43"/>
      <c r="K107" s="43"/>
      <c r="L107" s="35"/>
      <c r="M107" s="35"/>
      <c r="N107" s="35"/>
      <c r="O107" s="35"/>
    </row>
    <row r="108" spans="1:38" ht="15" hidden="1">
      <c r="A108" s="111">
        <v>12.5</v>
      </c>
      <c r="B108" s="112">
        <v>0.18115942028985507</v>
      </c>
      <c r="C108" s="113" t="str">
        <f t="shared" si="7"/>
        <v xml:space="preserve"> </v>
      </c>
      <c r="I108" s="110"/>
      <c r="J108" s="43"/>
      <c r="K108" s="43"/>
      <c r="L108" s="35"/>
      <c r="M108" s="35"/>
      <c r="N108" s="35"/>
      <c r="O108" s="35"/>
    </row>
    <row r="109" spans="1:38" ht="15" hidden="1">
      <c r="A109" s="111">
        <v>13</v>
      </c>
      <c r="B109" s="112">
        <v>0.17753623188405798</v>
      </c>
      <c r="C109" s="113">
        <f t="shared" si="7"/>
        <v>0.17995450970634461</v>
      </c>
      <c r="I109" s="110"/>
      <c r="J109" s="43"/>
      <c r="K109" s="43"/>
      <c r="L109" s="35"/>
      <c r="M109" s="35"/>
      <c r="N109" s="35"/>
      <c r="O109" s="35"/>
    </row>
    <row r="110" spans="1:38" ht="15" hidden="1">
      <c r="A110" s="111">
        <v>13.5</v>
      </c>
      <c r="B110" s="112">
        <v>0.17391304347826086</v>
      </c>
      <c r="C110" s="113" t="str">
        <f t="shared" si="7"/>
        <v xml:space="preserve"> </v>
      </c>
      <c r="I110" s="110"/>
      <c r="J110" s="43"/>
      <c r="K110" s="43"/>
      <c r="L110" s="35"/>
      <c r="M110" s="35"/>
      <c r="N110" s="35"/>
      <c r="O110" s="35"/>
    </row>
    <row r="111" spans="1:38" ht="15" hidden="1">
      <c r="A111" s="111">
        <v>14</v>
      </c>
      <c r="B111" s="112">
        <v>0.15942028985507245</v>
      </c>
      <c r="C111" s="113" t="str">
        <f t="shared" si="7"/>
        <v xml:space="preserve"> </v>
      </c>
      <c r="I111" s="110"/>
      <c r="J111" s="43"/>
      <c r="K111" s="43"/>
      <c r="L111" s="35"/>
      <c r="M111" s="35"/>
      <c r="N111" s="35"/>
      <c r="O111" s="92"/>
    </row>
    <row r="112" spans="1:38" ht="15" hidden="1">
      <c r="A112" s="111">
        <v>14.5</v>
      </c>
      <c r="B112" s="112">
        <v>0.15217391304347827</v>
      </c>
      <c r="C112" s="113" t="str">
        <f t="shared" si="7"/>
        <v xml:space="preserve"> </v>
      </c>
      <c r="I112" s="110"/>
      <c r="J112" s="43"/>
      <c r="K112" s="43"/>
      <c r="L112" s="35"/>
      <c r="M112" s="35"/>
      <c r="N112" s="35"/>
      <c r="O112" s="92"/>
    </row>
    <row r="113" spans="1:15" ht="15" hidden="1">
      <c r="A113" s="111">
        <v>15</v>
      </c>
      <c r="B113" s="112">
        <v>0.16304347826086957</v>
      </c>
      <c r="C113" s="113" t="str">
        <f t="shared" si="7"/>
        <v xml:space="preserve"> </v>
      </c>
      <c r="I113" s="110"/>
      <c r="J113" s="43"/>
      <c r="K113" s="43"/>
      <c r="L113" s="35"/>
      <c r="M113" s="35"/>
      <c r="N113" s="35"/>
      <c r="O113" s="35"/>
    </row>
    <row r="114" spans="1:15" ht="15" hidden="1">
      <c r="A114" s="111">
        <v>15.5</v>
      </c>
      <c r="B114" s="112">
        <v>0.14492753623188406</v>
      </c>
      <c r="C114" s="113" t="str">
        <f t="shared" si="7"/>
        <v xml:space="preserve"> </v>
      </c>
      <c r="I114" s="110"/>
      <c r="J114" s="43"/>
      <c r="K114" s="43"/>
      <c r="L114" s="35"/>
      <c r="M114" s="35"/>
      <c r="N114" s="35"/>
      <c r="O114" s="92"/>
    </row>
    <row r="115" spans="1:15" ht="15" hidden="1">
      <c r="A115" s="111">
        <v>16</v>
      </c>
      <c r="B115" s="112">
        <v>0.14202898550724638</v>
      </c>
      <c r="C115" s="113" t="str">
        <f t="shared" si="7"/>
        <v xml:space="preserve"> </v>
      </c>
      <c r="I115" s="110"/>
      <c r="J115" s="43"/>
      <c r="K115" s="43"/>
      <c r="L115" s="35"/>
      <c r="M115" s="35"/>
      <c r="N115" s="35"/>
      <c r="O115" s="35"/>
    </row>
    <row r="116" spans="1:15" ht="15" hidden="1">
      <c r="A116" s="111">
        <v>16.5</v>
      </c>
      <c r="B116" s="112">
        <v>0.13768115942028986</v>
      </c>
      <c r="C116" s="113" t="str">
        <f t="shared" si="7"/>
        <v xml:space="preserve"> </v>
      </c>
      <c r="I116" s="110"/>
      <c r="J116" s="43"/>
      <c r="K116" s="43"/>
      <c r="L116" s="35"/>
      <c r="M116" s="35"/>
      <c r="N116" s="35"/>
      <c r="O116" s="35"/>
    </row>
    <row r="117" spans="1:15" ht="15" hidden="1">
      <c r="A117" s="111">
        <v>17</v>
      </c>
      <c r="B117" s="112">
        <v>0.13405797101449277</v>
      </c>
      <c r="C117" s="113" t="str">
        <f t="shared" si="7"/>
        <v xml:space="preserve"> </v>
      </c>
      <c r="I117" s="110"/>
      <c r="J117" s="43"/>
      <c r="K117" s="43"/>
      <c r="L117" s="35"/>
      <c r="M117" s="35"/>
      <c r="N117" s="35"/>
      <c r="O117" s="35"/>
    </row>
    <row r="118" spans="1:15" ht="15" hidden="1">
      <c r="A118" s="111">
        <v>17.5</v>
      </c>
      <c r="B118" s="112">
        <v>0.13043478260869565</v>
      </c>
      <c r="C118" s="113" t="str">
        <f t="shared" si="7"/>
        <v xml:space="preserve"> </v>
      </c>
      <c r="I118" s="110"/>
      <c r="J118" s="43"/>
      <c r="K118" s="43"/>
      <c r="L118" s="35"/>
      <c r="M118" s="35"/>
      <c r="N118" s="35"/>
      <c r="O118" s="35"/>
    </row>
    <row r="119" spans="1:15" ht="15" hidden="1">
      <c r="A119" s="111">
        <v>18</v>
      </c>
      <c r="B119" s="112">
        <v>0.12318840579710146</v>
      </c>
      <c r="C119" s="113" t="str">
        <f t="shared" si="7"/>
        <v xml:space="preserve"> </v>
      </c>
      <c r="I119" s="110"/>
      <c r="J119" s="43"/>
      <c r="K119" s="43"/>
      <c r="L119" s="35"/>
      <c r="M119" s="35"/>
      <c r="N119" s="35"/>
      <c r="O119" s="35"/>
    </row>
    <row r="120" spans="1:15" ht="15" hidden="1">
      <c r="A120" s="111">
        <v>18.5</v>
      </c>
      <c r="B120" s="112">
        <v>0.11956521739130435</v>
      </c>
      <c r="C120" s="113" t="str">
        <f t="shared" si="7"/>
        <v xml:space="preserve"> </v>
      </c>
      <c r="I120" s="110"/>
      <c r="J120" s="43"/>
      <c r="K120" s="43"/>
      <c r="L120" s="35"/>
      <c r="M120" s="35"/>
      <c r="N120" s="35"/>
      <c r="O120" s="35"/>
    </row>
    <row r="121" spans="1:15" ht="15" hidden="1">
      <c r="A121" s="111">
        <v>19</v>
      </c>
      <c r="B121" s="112">
        <v>0.11594202898550725</v>
      </c>
      <c r="C121" s="113" t="str">
        <f t="shared" si="7"/>
        <v xml:space="preserve"> </v>
      </c>
      <c r="I121" s="110"/>
      <c r="J121" s="43"/>
      <c r="K121" s="43"/>
      <c r="L121" s="35"/>
      <c r="M121" s="35"/>
      <c r="N121" s="35"/>
      <c r="O121" s="35"/>
    </row>
    <row r="122" spans="1:15" ht="15" hidden="1">
      <c r="A122" s="111">
        <v>19.5</v>
      </c>
      <c r="B122" s="112">
        <v>0.11231884057971014</v>
      </c>
      <c r="C122" s="113" t="str">
        <f t="shared" si="7"/>
        <v xml:space="preserve"> </v>
      </c>
      <c r="I122" s="110"/>
      <c r="J122" s="43"/>
      <c r="K122" s="43"/>
      <c r="L122" s="35"/>
      <c r="M122" s="35"/>
      <c r="N122" s="35"/>
      <c r="O122" s="35"/>
    </row>
    <row r="123" spans="1:15" ht="15" hidden="1">
      <c r="A123" s="111">
        <v>20</v>
      </c>
      <c r="B123" s="112">
        <v>0.10869565217391304</v>
      </c>
      <c r="C123" s="113" t="str">
        <f t="shared" si="7"/>
        <v xml:space="preserve"> </v>
      </c>
      <c r="I123" s="110"/>
      <c r="J123" s="43"/>
      <c r="K123" s="43"/>
      <c r="L123" s="35"/>
      <c r="M123" s="35"/>
      <c r="N123" s="35"/>
      <c r="O123" s="35"/>
    </row>
    <row r="124" spans="1:15" ht="15" hidden="1">
      <c r="A124" s="111">
        <v>20.5</v>
      </c>
      <c r="B124" s="112">
        <v>0.10507246376811594</v>
      </c>
      <c r="C124" s="113" t="str">
        <f t="shared" si="7"/>
        <v xml:space="preserve"> </v>
      </c>
      <c r="I124" s="110"/>
      <c r="J124" s="43"/>
      <c r="K124" s="43"/>
      <c r="L124" s="35"/>
      <c r="M124" s="35"/>
      <c r="N124" s="35"/>
      <c r="O124" s="35"/>
    </row>
    <row r="125" spans="1:15" ht="15" hidden="1">
      <c r="A125" s="111">
        <v>21</v>
      </c>
      <c r="B125" s="112">
        <v>0.10289855072463767</v>
      </c>
      <c r="C125" s="113" t="str">
        <f t="shared" si="7"/>
        <v xml:space="preserve"> </v>
      </c>
      <c r="I125" s="110"/>
      <c r="J125" s="43"/>
      <c r="K125" s="43"/>
      <c r="L125" s="35"/>
      <c r="M125" s="35"/>
      <c r="N125" s="35"/>
      <c r="O125" s="35"/>
    </row>
    <row r="126" spans="1:15" ht="15" hidden="1">
      <c r="A126" s="111">
        <v>21.5</v>
      </c>
      <c r="B126" s="112">
        <v>0.10144927536231885</v>
      </c>
      <c r="C126" s="113" t="str">
        <f t="shared" si="7"/>
        <v xml:space="preserve"> </v>
      </c>
      <c r="I126" s="110"/>
      <c r="J126" s="43"/>
      <c r="K126" s="43"/>
      <c r="L126" s="35"/>
      <c r="M126" s="35"/>
      <c r="N126" s="35"/>
      <c r="O126" s="35"/>
    </row>
    <row r="127" spans="1:15" ht="15" hidden="1">
      <c r="A127" s="111">
        <v>22</v>
      </c>
      <c r="B127" s="112">
        <v>9.420289855072464E-2</v>
      </c>
      <c r="C127" s="113" t="str">
        <f t="shared" si="7"/>
        <v xml:space="preserve"> </v>
      </c>
      <c r="I127" s="110"/>
      <c r="J127" s="43"/>
      <c r="K127" s="43"/>
      <c r="L127" s="35"/>
      <c r="M127" s="35"/>
      <c r="N127" s="35"/>
      <c r="O127" s="35"/>
    </row>
    <row r="128" spans="1:15" ht="15" hidden="1">
      <c r="A128" s="111">
        <v>22.5</v>
      </c>
      <c r="B128" s="112">
        <v>9.0579710144927536E-2</v>
      </c>
      <c r="C128" s="113" t="str">
        <f t="shared" si="7"/>
        <v xml:space="preserve"> </v>
      </c>
      <c r="I128" s="110"/>
      <c r="J128" s="43"/>
      <c r="K128" s="43"/>
      <c r="L128" s="35"/>
      <c r="M128" s="35"/>
      <c r="N128" s="35"/>
      <c r="O128" s="35"/>
    </row>
    <row r="129" spans="1:15" ht="15" hidden="1">
      <c r="A129" s="111">
        <v>23</v>
      </c>
      <c r="B129" s="112">
        <v>8.8405797101449274E-2</v>
      </c>
      <c r="C129" s="113" t="str">
        <f t="shared" si="7"/>
        <v xml:space="preserve"> </v>
      </c>
      <c r="I129" s="110"/>
      <c r="J129" s="43"/>
      <c r="K129" s="43"/>
      <c r="L129" s="35"/>
      <c r="M129" s="35"/>
      <c r="N129" s="35"/>
      <c r="O129" s="35"/>
    </row>
    <row r="130" spans="1:15" ht="15" hidden="1">
      <c r="A130" s="111">
        <v>23.5</v>
      </c>
      <c r="B130" s="112">
        <v>8.6956521739130432E-2</v>
      </c>
      <c r="C130" s="113" t="str">
        <f t="shared" si="7"/>
        <v xml:space="preserve"> </v>
      </c>
      <c r="I130" s="110"/>
      <c r="J130" s="43"/>
      <c r="K130" s="43"/>
      <c r="L130" s="35"/>
      <c r="M130" s="35"/>
      <c r="N130" s="35"/>
      <c r="O130" s="35"/>
    </row>
    <row r="131" spans="1:15" ht="15" hidden="1">
      <c r="A131" s="111">
        <v>24</v>
      </c>
      <c r="B131" s="112">
        <v>8.5507246376811605E-2</v>
      </c>
      <c r="C131" s="113" t="str">
        <f t="shared" si="7"/>
        <v xml:space="preserve"> </v>
      </c>
      <c r="I131" s="110"/>
      <c r="J131" s="43"/>
      <c r="K131" s="43"/>
      <c r="L131" s="35"/>
      <c r="M131" s="35"/>
      <c r="N131" s="35"/>
      <c r="O131" s="35"/>
    </row>
    <row r="132" spans="1:15" ht="15" hidden="1">
      <c r="A132" s="111">
        <v>24.5</v>
      </c>
      <c r="B132" s="112">
        <v>8.4057971014492749E-2</v>
      </c>
      <c r="C132" s="113" t="str">
        <f t="shared" si="7"/>
        <v xml:space="preserve"> </v>
      </c>
      <c r="I132" s="110"/>
      <c r="J132" s="43"/>
      <c r="K132" s="43"/>
      <c r="L132" s="35"/>
      <c r="M132" s="35"/>
      <c r="N132" s="35"/>
      <c r="O132" s="35"/>
    </row>
    <row r="133" spans="1:15" ht="15" hidden="1">
      <c r="A133" s="111">
        <v>25</v>
      </c>
      <c r="B133" s="112">
        <v>8.2608695652173922E-2</v>
      </c>
      <c r="C133" s="113" t="str">
        <f t="shared" si="7"/>
        <v xml:space="preserve"> </v>
      </c>
      <c r="I133" s="110"/>
      <c r="J133" s="43"/>
      <c r="K133" s="43"/>
      <c r="L133" s="35"/>
      <c r="M133" s="35"/>
      <c r="N133" s="35"/>
      <c r="O133" s="35"/>
    </row>
    <row r="134" spans="1:15" ht="15" hidden="1">
      <c r="A134" s="111">
        <v>25.5</v>
      </c>
      <c r="B134" s="112">
        <v>8.1884057971014501E-2</v>
      </c>
      <c r="C134" s="113" t="str">
        <f t="shared" si="7"/>
        <v xml:space="preserve"> </v>
      </c>
      <c r="I134" s="110"/>
      <c r="J134" s="43"/>
      <c r="K134" s="43"/>
      <c r="L134" s="35"/>
      <c r="M134" s="35"/>
      <c r="N134" s="35"/>
      <c r="O134" s="35"/>
    </row>
    <row r="135" spans="1:15" ht="15" hidden="1">
      <c r="A135" s="111">
        <v>26</v>
      </c>
      <c r="B135" s="112">
        <v>8.1159420289855067E-2</v>
      </c>
      <c r="C135" s="113" t="str">
        <f t="shared" si="7"/>
        <v xml:space="preserve"> </v>
      </c>
      <c r="I135" s="110"/>
      <c r="J135" s="43"/>
      <c r="K135" s="43"/>
      <c r="L135" s="35"/>
      <c r="M135" s="35"/>
      <c r="N135" s="35"/>
      <c r="O135" s="35"/>
    </row>
    <row r="136" spans="1:15" ht="15" hidden="1">
      <c r="A136" s="111">
        <v>26.5</v>
      </c>
      <c r="B136" s="112">
        <v>8.0434782608695646E-2</v>
      </c>
      <c r="C136" s="113" t="str">
        <f t="shared" si="7"/>
        <v xml:space="preserve"> </v>
      </c>
      <c r="I136" s="110"/>
      <c r="J136" s="43"/>
      <c r="K136" s="43"/>
      <c r="L136" s="35"/>
      <c r="M136" s="35"/>
      <c r="N136" s="35"/>
      <c r="O136" s="35"/>
    </row>
    <row r="137" spans="1:15" ht="15" hidden="1">
      <c r="A137" s="111">
        <v>27</v>
      </c>
      <c r="B137" s="112">
        <v>7.9710144927536225E-2</v>
      </c>
      <c r="C137" s="113" t="str">
        <f t="shared" si="7"/>
        <v xml:space="preserve"> </v>
      </c>
      <c r="I137" s="110"/>
      <c r="J137" s="43"/>
      <c r="K137" s="43"/>
      <c r="L137" s="35"/>
      <c r="M137" s="35"/>
      <c r="N137" s="35"/>
      <c r="O137" s="35"/>
    </row>
    <row r="138" spans="1:15" ht="15" hidden="1">
      <c r="A138" s="111">
        <v>27.5</v>
      </c>
      <c r="B138" s="112">
        <v>7.8985507246376818E-2</v>
      </c>
      <c r="C138" s="113" t="str">
        <f t="shared" si="7"/>
        <v xml:space="preserve"> </v>
      </c>
      <c r="I138" s="110"/>
      <c r="J138" s="43"/>
      <c r="K138" s="43"/>
      <c r="L138" s="35"/>
      <c r="M138" s="35"/>
      <c r="N138" s="35"/>
      <c r="O138" s="35"/>
    </row>
    <row r="139" spans="1:15" ht="15" hidden="1">
      <c r="A139" s="111">
        <v>28</v>
      </c>
      <c r="B139" s="112">
        <v>7.8260869565217397E-2</v>
      </c>
      <c r="C139" s="113" t="str">
        <f t="shared" si="7"/>
        <v xml:space="preserve"> </v>
      </c>
      <c r="I139" s="110"/>
      <c r="J139" s="43"/>
      <c r="K139" s="43"/>
      <c r="L139" s="35"/>
      <c r="M139" s="35"/>
      <c r="N139" s="35"/>
      <c r="O139" s="35"/>
    </row>
    <row r="140" spans="1:15" ht="15" hidden="1">
      <c r="A140" s="111">
        <v>28.5</v>
      </c>
      <c r="B140" s="112">
        <v>7.7536231884057963E-2</v>
      </c>
      <c r="C140" s="113" t="str">
        <f t="shared" si="7"/>
        <v xml:space="preserve"> </v>
      </c>
      <c r="I140" s="110"/>
      <c r="J140" s="43"/>
      <c r="K140" s="43"/>
      <c r="L140" s="35"/>
      <c r="M140" s="35"/>
      <c r="N140" s="35"/>
      <c r="O140" s="35"/>
    </row>
    <row r="141" spans="1:15" ht="15" hidden="1">
      <c r="A141" s="111">
        <v>29</v>
      </c>
      <c r="B141" s="112">
        <v>7.6811594202898542E-2</v>
      </c>
      <c r="C141" s="113" t="str">
        <f t="shared" si="7"/>
        <v xml:space="preserve"> </v>
      </c>
      <c r="I141" s="110"/>
      <c r="J141" s="43"/>
      <c r="K141" s="43"/>
      <c r="L141" s="35"/>
      <c r="M141" s="35"/>
      <c r="N141" s="35"/>
      <c r="O141" s="35"/>
    </row>
    <row r="142" spans="1:15" ht="15" hidden="1">
      <c r="A142" s="111">
        <v>29.5</v>
      </c>
      <c r="B142" s="112">
        <v>7.5362318840579715E-2</v>
      </c>
      <c r="C142" s="113" t="str">
        <f t="shared" si="7"/>
        <v xml:space="preserve"> </v>
      </c>
      <c r="I142" s="110"/>
      <c r="J142" s="43"/>
      <c r="K142" s="43"/>
      <c r="L142" s="35"/>
      <c r="M142" s="35"/>
      <c r="N142" s="35"/>
      <c r="O142" s="35"/>
    </row>
    <row r="143" spans="1:15" ht="15" hidden="1">
      <c r="A143" s="111">
        <v>30</v>
      </c>
      <c r="B143" s="112">
        <v>7.3913043478260859E-2</v>
      </c>
      <c r="C143" s="113" t="str">
        <f t="shared" si="7"/>
        <v xml:space="preserve"> </v>
      </c>
      <c r="I143" s="110"/>
      <c r="J143" s="43"/>
      <c r="K143" s="43"/>
      <c r="L143" s="35"/>
      <c r="M143" s="35"/>
      <c r="N143" s="35"/>
      <c r="O143" s="35"/>
    </row>
    <row r="144" spans="1:15" ht="15" hidden="1">
      <c r="A144" s="111">
        <v>30.5</v>
      </c>
      <c r="B144" s="112">
        <v>7.2463768115942032E-2</v>
      </c>
      <c r="C144" s="113" t="str">
        <f t="shared" si="7"/>
        <v xml:space="preserve"> </v>
      </c>
      <c r="I144" s="110"/>
      <c r="J144" s="43"/>
      <c r="K144" s="43"/>
      <c r="L144" s="35"/>
      <c r="M144" s="35"/>
      <c r="N144" s="35"/>
      <c r="O144" s="35"/>
    </row>
    <row r="145" spans="1:15" ht="15" hidden="1">
      <c r="A145" s="111">
        <v>31</v>
      </c>
      <c r="B145" s="112">
        <v>7.101449275362319E-2</v>
      </c>
      <c r="C145" s="113" t="str">
        <f t="shared" si="7"/>
        <v xml:space="preserve"> </v>
      </c>
      <c r="I145" s="110"/>
      <c r="J145" s="43"/>
      <c r="K145" s="43"/>
      <c r="L145" s="35"/>
      <c r="M145" s="35"/>
      <c r="N145" s="35"/>
      <c r="O145" s="35"/>
    </row>
    <row r="146" spans="1:15" ht="15" hidden="1">
      <c r="A146" s="111">
        <v>31.5</v>
      </c>
      <c r="B146" s="112">
        <v>6.9565217391304349E-2</v>
      </c>
      <c r="C146" s="113" t="str">
        <f t="shared" si="7"/>
        <v xml:space="preserve"> </v>
      </c>
      <c r="I146" s="110"/>
      <c r="J146" s="43"/>
      <c r="K146" s="43"/>
      <c r="L146" s="35"/>
      <c r="M146" s="35"/>
      <c r="N146" s="35"/>
      <c r="O146" s="35"/>
    </row>
    <row r="147" spans="1:15" ht="15" hidden="1">
      <c r="A147" s="111">
        <v>32</v>
      </c>
      <c r="B147" s="112">
        <v>6.8115942028985507E-2</v>
      </c>
      <c r="C147" s="113" t="str">
        <f t="shared" si="7"/>
        <v xml:space="preserve"> </v>
      </c>
      <c r="I147" s="110"/>
      <c r="J147" s="43"/>
      <c r="K147" s="43"/>
      <c r="L147" s="35"/>
      <c r="M147" s="35"/>
      <c r="N147" s="35"/>
      <c r="O147" s="35"/>
    </row>
    <row r="148" spans="1:15" ht="15" hidden="1">
      <c r="A148" s="111">
        <v>32.5</v>
      </c>
      <c r="B148" s="112">
        <v>6.6666666666666666E-2</v>
      </c>
      <c r="C148" s="113" t="str">
        <f t="shared" si="7"/>
        <v xml:space="preserve"> </v>
      </c>
      <c r="I148" s="110"/>
      <c r="J148" s="43"/>
      <c r="K148" s="43"/>
      <c r="L148" s="35"/>
      <c r="M148" s="35"/>
      <c r="N148" s="35"/>
      <c r="O148" s="35"/>
    </row>
    <row r="149" spans="1:15" ht="15" hidden="1">
      <c r="A149" s="111">
        <v>33</v>
      </c>
      <c r="B149" s="112">
        <v>6.5217391304347824E-2</v>
      </c>
      <c r="C149" s="113" t="str">
        <f t="shared" ref="C149:C150" si="9">IF(AND((A148&lt;$D$37),(A149&gt;=$D$37)),(B149-B148)/(A149-A148)*($D$37-A148)+B148," ")</f>
        <v xml:space="preserve"> </v>
      </c>
      <c r="I149" s="110"/>
      <c r="J149" s="43"/>
      <c r="K149" s="43"/>
      <c r="L149" s="35"/>
      <c r="M149" s="35"/>
      <c r="N149" s="35"/>
      <c r="O149" s="35"/>
    </row>
    <row r="150" spans="1:15" ht="15" hidden="1">
      <c r="A150" s="111">
        <v>33.5</v>
      </c>
      <c r="B150" s="112">
        <v>6.3768115942028997E-2</v>
      </c>
      <c r="C150" s="113" t="str">
        <f t="shared" si="9"/>
        <v xml:space="preserve"> </v>
      </c>
      <c r="I150" s="110"/>
      <c r="J150" s="43"/>
      <c r="K150" s="43"/>
      <c r="L150" s="35"/>
      <c r="M150" s="35"/>
      <c r="N150" s="35"/>
      <c r="O150" s="35"/>
    </row>
    <row r="151" spans="1:15" ht="15" hidden="1">
      <c r="A151" s="111">
        <v>34</v>
      </c>
      <c r="B151" s="112">
        <v>6.2318840579710141E-2</v>
      </c>
      <c r="C151" s="113" t="str">
        <f>IF($D$37&gt;=A151,B151,IF(AND((A150&lt;$D$37),(A151&gt;=$D$37)),(B151-B150)/(A151-A150)*($D$37-A150)+B150," "))</f>
        <v xml:space="preserve"> </v>
      </c>
      <c r="I151" s="110"/>
      <c r="J151" s="43"/>
      <c r="K151" s="43"/>
      <c r="L151" s="35"/>
      <c r="M151" s="35"/>
      <c r="N151" s="35"/>
      <c r="O151" s="35"/>
    </row>
    <row r="152" spans="1:15" ht="15" hidden="1">
      <c r="A152" s="118"/>
      <c r="B152" s="119">
        <f>$D$37</f>
        <v>12.666277660524445</v>
      </c>
      <c r="C152" s="120">
        <f>MAX(C83:C151)</f>
        <v>0.17995450970634461</v>
      </c>
    </row>
    <row r="153" spans="1:15" hidden="1"/>
    <row r="154" spans="1:15" hidden="1"/>
    <row r="155" spans="1:15" hidden="1"/>
    <row r="156" spans="1:15" hidden="1"/>
    <row r="157" spans="1:15" hidden="1"/>
    <row r="158" spans="1:15" hidden="1"/>
    <row r="159" spans="1:15" hidden="1"/>
    <row r="160" spans="1:15" hidden="1"/>
    <row r="161" hidden="1"/>
    <row r="162" hidden="1"/>
    <row r="163" hidden="1"/>
    <row r="164" hidden="1"/>
  </sheetData>
  <sheetProtection password="E250" sheet="1" objects="1" scenarios="1"/>
  <dataConsolidate/>
  <mergeCells count="62">
    <mergeCell ref="B22:G22"/>
    <mergeCell ref="D41:E41"/>
    <mergeCell ref="D43:E43"/>
    <mergeCell ref="B30:I30"/>
    <mergeCell ref="D39:E39"/>
    <mergeCell ref="D37:E37"/>
    <mergeCell ref="F28:G28"/>
    <mergeCell ref="F26:G26"/>
    <mergeCell ref="H32:I32"/>
    <mergeCell ref="C33:D33"/>
    <mergeCell ref="E33:G33"/>
    <mergeCell ref="H28:I28"/>
    <mergeCell ref="E32:F32"/>
    <mergeCell ref="B12:G12"/>
    <mergeCell ref="B14:G14"/>
    <mergeCell ref="B16:G16"/>
    <mergeCell ref="B18:G18"/>
    <mergeCell ref="B20:G20"/>
    <mergeCell ref="B53:J53"/>
    <mergeCell ref="K47:L47"/>
    <mergeCell ref="D45:E45"/>
    <mergeCell ref="D35:P35"/>
    <mergeCell ref="J7:N7"/>
    <mergeCell ref="H14:I14"/>
    <mergeCell ref="H26:I26"/>
    <mergeCell ref="H18:I18"/>
    <mergeCell ref="H16:I16"/>
    <mergeCell ref="H12:I12"/>
    <mergeCell ref="H20:I20"/>
    <mergeCell ref="H22:I22"/>
    <mergeCell ref="B8:D8"/>
    <mergeCell ref="A24:Q24"/>
    <mergeCell ref="O7:P7"/>
    <mergeCell ref="E8:G8"/>
    <mergeCell ref="K76:M76"/>
    <mergeCell ref="K53:L53"/>
    <mergeCell ref="L3:M3"/>
    <mergeCell ref="L4:M4"/>
    <mergeCell ref="K12:L12"/>
    <mergeCell ref="K14:L14"/>
    <mergeCell ref="K16:L16"/>
    <mergeCell ref="K18:L18"/>
    <mergeCell ref="K20:L20"/>
    <mergeCell ref="K49:L49"/>
    <mergeCell ref="J30:K30"/>
    <mergeCell ref="B51:J51"/>
    <mergeCell ref="K51:L51"/>
    <mergeCell ref="B47:J47"/>
    <mergeCell ref="B49:J49"/>
    <mergeCell ref="B57:Q57"/>
    <mergeCell ref="C1:I4"/>
    <mergeCell ref="N1:Q4"/>
    <mergeCell ref="O6:P6"/>
    <mergeCell ref="C6:F6"/>
    <mergeCell ref="A5:Q5"/>
    <mergeCell ref="J1:K1"/>
    <mergeCell ref="J2:K2"/>
    <mergeCell ref="J3:K3"/>
    <mergeCell ref="J4:K4"/>
    <mergeCell ref="L1:M1"/>
    <mergeCell ref="L2:M2"/>
    <mergeCell ref="J6:N6"/>
  </mergeCells>
  <conditionalFormatting sqref="D39">
    <cfRule type="cellIs" dxfId="17" priority="6" operator="equal">
      <formula>"N"</formula>
    </cfRule>
  </conditionalFormatting>
  <conditionalFormatting sqref="D37">
    <cfRule type="cellIs" dxfId="16" priority="5" operator="equal">
      <formula>"N"</formula>
    </cfRule>
  </conditionalFormatting>
  <conditionalFormatting sqref="D43:D44 D46">
    <cfRule type="cellIs" dxfId="15" priority="4" operator="equal">
      <formula>"N"</formula>
    </cfRule>
  </conditionalFormatting>
  <conditionalFormatting sqref="D45">
    <cfRule type="cellIs" dxfId="14" priority="3" operator="equal">
      <formula>"N"</formula>
    </cfRule>
  </conditionalFormatting>
  <conditionalFormatting sqref="D41">
    <cfRule type="cellIs" dxfId="13" priority="2" operator="equal">
      <formula>"N"</formula>
    </cfRule>
  </conditionalFormatting>
  <conditionalFormatting sqref="D45:E45">
    <cfRule type="cellIs" dxfId="12" priority="1" operator="greaterThan">
      <formula>450</formula>
    </cfRule>
  </conditionalFormatting>
  <dataValidations xWindow="644" yWindow="523" count="3">
    <dataValidation type="list" showInputMessage="1" showErrorMessage="1" prompt="K = 1.0 for Skirt Fully Insulated_x000a__x000a_K = 1.7 for Skirt Fireback Insulated_x000a__x000a_K = 2.7 for Skirt Non Insulated" sqref="H16:I16" xr:uid="{00000000-0002-0000-0100-000000000000}">
      <formula1>$A$73:$A$75</formula1>
    </dataValidation>
    <dataValidation type="list" allowBlank="1" showInputMessage="1" showErrorMessage="1" sqref="H22:I22" xr:uid="{00000000-0002-0000-0100-000001000000}">
      <formula1>$A$79:$A$80</formula1>
    </dataValidation>
    <dataValidation allowBlank="1" showInputMessage="1" showErrorMessage="1" prompt="IF T' IS GREATER THAN 450 DEG. C, USER NEEDS TO CHECK INPUT DATA FOR DESIGN TEMPERATURE" sqref="H14:I14" xr:uid="{00000000-0002-0000-0100-000002000000}"/>
  </dataValidations>
  <printOptions horizontalCentered="1"/>
  <pageMargins left="0.74803149606299202" right="0.42" top="0.43307086614173201" bottom="0.17" header="0.39370078740157499" footer="0.27"/>
  <pageSetup paperSize="9" scale="61" orientation="portrait" r:id="rId1"/>
  <headerFooter scaleWithDoc="0" alignWithMargins="0"/>
  <ignoredErrors>
    <ignoredError sqref="K51 K53" evalError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D5CE3-6DC5-4E47-AEDB-D329892B82C8}">
  <sheetPr>
    <pageSetUpPr fitToPage="1"/>
  </sheetPr>
  <dimension ref="A1:AL164"/>
  <sheetViews>
    <sheetView topLeftCell="A19" zoomScale="70" zoomScaleNormal="70" zoomScaleSheetLayoutView="85" workbookViewId="0">
      <selection activeCell="H19" sqref="H19"/>
    </sheetView>
  </sheetViews>
  <sheetFormatPr defaultRowHeight="12.75"/>
  <cols>
    <col min="1" max="1" width="12.5703125" style="9" customWidth="1"/>
    <col min="2" max="2" width="28.140625" style="15" bestFit="1" customWidth="1"/>
    <col min="3" max="3" width="13.5703125" style="15" customWidth="1"/>
    <col min="4" max="4" width="4.7109375" style="15" customWidth="1"/>
    <col min="5" max="5" width="6.140625" style="15" customWidth="1"/>
    <col min="6" max="6" width="6.28515625" style="9" customWidth="1"/>
    <col min="7" max="8" width="4.7109375" style="9" customWidth="1"/>
    <col min="9" max="9" width="7.7109375" style="9" customWidth="1"/>
    <col min="10" max="10" width="6" style="15" customWidth="1"/>
    <col min="11" max="11" width="8.28515625" style="15" customWidth="1"/>
    <col min="12" max="12" width="11.85546875" style="9" customWidth="1"/>
    <col min="13" max="13" width="8.28515625" style="9" customWidth="1"/>
    <col min="14" max="14" width="5.7109375" style="9" customWidth="1"/>
    <col min="15" max="15" width="8.42578125" style="9" customWidth="1"/>
    <col min="16" max="17" width="5.7109375" style="9" customWidth="1"/>
    <col min="18" max="18" width="3.140625" style="9" customWidth="1"/>
    <col min="19" max="19" width="12.42578125" style="9" bestFit="1" customWidth="1"/>
    <col min="20" max="28" width="9.140625" style="9"/>
    <col min="29" max="29" width="17.28515625" style="9" bestFit="1" customWidth="1"/>
    <col min="30" max="30" width="9.140625" style="9"/>
    <col min="31" max="31" width="19" style="9" customWidth="1"/>
    <col min="32" max="32" width="24.42578125" style="9" customWidth="1"/>
    <col min="33" max="33" width="21.7109375" style="9" customWidth="1"/>
    <col min="34" max="34" width="21.28515625" style="9" customWidth="1"/>
    <col min="35" max="35" width="21.7109375" style="9" customWidth="1"/>
    <col min="36" max="36" width="17.85546875" style="9" customWidth="1"/>
    <col min="37" max="37" width="18.7109375" style="9" customWidth="1"/>
    <col min="38" max="38" width="14.140625" style="9" customWidth="1"/>
    <col min="39" max="260" width="9.140625" style="9"/>
    <col min="261" max="261" width="12.5703125" style="9" customWidth="1"/>
    <col min="262" max="262" width="15.5703125" style="9" customWidth="1"/>
    <col min="263" max="263" width="10.28515625" style="9" customWidth="1"/>
    <col min="264" max="264" width="8.5703125" style="9" customWidth="1"/>
    <col min="265" max="265" width="7.140625" style="9" customWidth="1"/>
    <col min="266" max="266" width="8.5703125" style="9" customWidth="1"/>
    <col min="267" max="267" width="10.42578125" style="9" customWidth="1"/>
    <col min="268" max="268" width="9.140625" style="9" customWidth="1"/>
    <col min="269" max="269" width="7.42578125" style="9" customWidth="1"/>
    <col min="270" max="270" width="11.28515625" style="9" customWidth="1"/>
    <col min="271" max="271" width="15.85546875" style="9" customWidth="1"/>
    <col min="272" max="272" width="11.28515625" style="9" customWidth="1"/>
    <col min="273" max="273" width="12.140625" style="9" customWidth="1"/>
    <col min="274" max="516" width="9.140625" style="9"/>
    <col min="517" max="517" width="12.5703125" style="9" customWidth="1"/>
    <col min="518" max="518" width="15.5703125" style="9" customWidth="1"/>
    <col min="519" max="519" width="10.28515625" style="9" customWidth="1"/>
    <col min="520" max="520" width="8.5703125" style="9" customWidth="1"/>
    <col min="521" max="521" width="7.140625" style="9" customWidth="1"/>
    <col min="522" max="522" width="8.5703125" style="9" customWidth="1"/>
    <col min="523" max="523" width="10.42578125" style="9" customWidth="1"/>
    <col min="524" max="524" width="9.140625" style="9" customWidth="1"/>
    <col min="525" max="525" width="7.42578125" style="9" customWidth="1"/>
    <col min="526" max="526" width="11.28515625" style="9" customWidth="1"/>
    <col min="527" max="527" width="15.85546875" style="9" customWidth="1"/>
    <col min="528" max="528" width="11.28515625" style="9" customWidth="1"/>
    <col min="529" max="529" width="12.140625" style="9" customWidth="1"/>
    <col min="530" max="772" width="9.140625" style="9"/>
    <col min="773" max="773" width="12.5703125" style="9" customWidth="1"/>
    <col min="774" max="774" width="15.5703125" style="9" customWidth="1"/>
    <col min="775" max="775" width="10.28515625" style="9" customWidth="1"/>
    <col min="776" max="776" width="8.5703125" style="9" customWidth="1"/>
    <col min="777" max="777" width="7.140625" style="9" customWidth="1"/>
    <col min="778" max="778" width="8.5703125" style="9" customWidth="1"/>
    <col min="779" max="779" width="10.42578125" style="9" customWidth="1"/>
    <col min="780" max="780" width="9.140625" style="9" customWidth="1"/>
    <col min="781" max="781" width="7.42578125" style="9" customWidth="1"/>
    <col min="782" max="782" width="11.28515625" style="9" customWidth="1"/>
    <col min="783" max="783" width="15.85546875" style="9" customWidth="1"/>
    <col min="784" max="784" width="11.28515625" style="9" customWidth="1"/>
    <col min="785" max="785" width="12.140625" style="9" customWidth="1"/>
    <col min="786" max="1028" width="9.140625" style="9"/>
    <col min="1029" max="1029" width="12.5703125" style="9" customWidth="1"/>
    <col min="1030" max="1030" width="15.5703125" style="9" customWidth="1"/>
    <col min="1031" max="1031" width="10.28515625" style="9" customWidth="1"/>
    <col min="1032" max="1032" width="8.5703125" style="9" customWidth="1"/>
    <col min="1033" max="1033" width="7.140625" style="9" customWidth="1"/>
    <col min="1034" max="1034" width="8.5703125" style="9" customWidth="1"/>
    <col min="1035" max="1035" width="10.42578125" style="9" customWidth="1"/>
    <col min="1036" max="1036" width="9.140625" style="9" customWidth="1"/>
    <col min="1037" max="1037" width="7.42578125" style="9" customWidth="1"/>
    <col min="1038" max="1038" width="11.28515625" style="9" customWidth="1"/>
    <col min="1039" max="1039" width="15.85546875" style="9" customWidth="1"/>
    <col min="1040" max="1040" width="11.28515625" style="9" customWidth="1"/>
    <col min="1041" max="1041" width="12.140625" style="9" customWidth="1"/>
    <col min="1042" max="1284" width="9.140625" style="9"/>
    <col min="1285" max="1285" width="12.5703125" style="9" customWidth="1"/>
    <col min="1286" max="1286" width="15.5703125" style="9" customWidth="1"/>
    <col min="1287" max="1287" width="10.28515625" style="9" customWidth="1"/>
    <col min="1288" max="1288" width="8.5703125" style="9" customWidth="1"/>
    <col min="1289" max="1289" width="7.140625" style="9" customWidth="1"/>
    <col min="1290" max="1290" width="8.5703125" style="9" customWidth="1"/>
    <col min="1291" max="1291" width="10.42578125" style="9" customWidth="1"/>
    <col min="1292" max="1292" width="9.140625" style="9" customWidth="1"/>
    <col min="1293" max="1293" width="7.42578125" style="9" customWidth="1"/>
    <col min="1294" max="1294" width="11.28515625" style="9" customWidth="1"/>
    <col min="1295" max="1295" width="15.85546875" style="9" customWidth="1"/>
    <col min="1296" max="1296" width="11.28515625" style="9" customWidth="1"/>
    <col min="1297" max="1297" width="12.140625" style="9" customWidth="1"/>
    <col min="1298" max="1540" width="9.140625" style="9"/>
    <col min="1541" max="1541" width="12.5703125" style="9" customWidth="1"/>
    <col min="1542" max="1542" width="15.5703125" style="9" customWidth="1"/>
    <col min="1543" max="1543" width="10.28515625" style="9" customWidth="1"/>
    <col min="1544" max="1544" width="8.5703125" style="9" customWidth="1"/>
    <col min="1545" max="1545" width="7.140625" style="9" customWidth="1"/>
    <col min="1546" max="1546" width="8.5703125" style="9" customWidth="1"/>
    <col min="1547" max="1547" width="10.42578125" style="9" customWidth="1"/>
    <col min="1548" max="1548" width="9.140625" style="9" customWidth="1"/>
    <col min="1549" max="1549" width="7.42578125" style="9" customWidth="1"/>
    <col min="1550" max="1550" width="11.28515625" style="9" customWidth="1"/>
    <col min="1551" max="1551" width="15.85546875" style="9" customWidth="1"/>
    <col min="1552" max="1552" width="11.28515625" style="9" customWidth="1"/>
    <col min="1553" max="1553" width="12.140625" style="9" customWidth="1"/>
    <col min="1554" max="1796" width="9.140625" style="9"/>
    <col min="1797" max="1797" width="12.5703125" style="9" customWidth="1"/>
    <col min="1798" max="1798" width="15.5703125" style="9" customWidth="1"/>
    <col min="1799" max="1799" width="10.28515625" style="9" customWidth="1"/>
    <col min="1800" max="1800" width="8.5703125" style="9" customWidth="1"/>
    <col min="1801" max="1801" width="7.140625" style="9" customWidth="1"/>
    <col min="1802" max="1802" width="8.5703125" style="9" customWidth="1"/>
    <col min="1803" max="1803" width="10.42578125" style="9" customWidth="1"/>
    <col min="1804" max="1804" width="9.140625" style="9" customWidth="1"/>
    <col min="1805" max="1805" width="7.42578125" style="9" customWidth="1"/>
    <col min="1806" max="1806" width="11.28515625" style="9" customWidth="1"/>
    <col min="1807" max="1807" width="15.85546875" style="9" customWidth="1"/>
    <col min="1808" max="1808" width="11.28515625" style="9" customWidth="1"/>
    <col min="1809" max="1809" width="12.140625" style="9" customWidth="1"/>
    <col min="1810" max="2052" width="9.140625" style="9"/>
    <col min="2053" max="2053" width="12.5703125" style="9" customWidth="1"/>
    <col min="2054" max="2054" width="15.5703125" style="9" customWidth="1"/>
    <col min="2055" max="2055" width="10.28515625" style="9" customWidth="1"/>
    <col min="2056" max="2056" width="8.5703125" style="9" customWidth="1"/>
    <col min="2057" max="2057" width="7.140625" style="9" customWidth="1"/>
    <col min="2058" max="2058" width="8.5703125" style="9" customWidth="1"/>
    <col min="2059" max="2059" width="10.42578125" style="9" customWidth="1"/>
    <col min="2060" max="2060" width="9.140625" style="9" customWidth="1"/>
    <col min="2061" max="2061" width="7.42578125" style="9" customWidth="1"/>
    <col min="2062" max="2062" width="11.28515625" style="9" customWidth="1"/>
    <col min="2063" max="2063" width="15.85546875" style="9" customWidth="1"/>
    <col min="2064" max="2064" width="11.28515625" style="9" customWidth="1"/>
    <col min="2065" max="2065" width="12.140625" style="9" customWidth="1"/>
    <col min="2066" max="2308" width="9.140625" style="9"/>
    <col min="2309" max="2309" width="12.5703125" style="9" customWidth="1"/>
    <col min="2310" max="2310" width="15.5703125" style="9" customWidth="1"/>
    <col min="2311" max="2311" width="10.28515625" style="9" customWidth="1"/>
    <col min="2312" max="2312" width="8.5703125" style="9" customWidth="1"/>
    <col min="2313" max="2313" width="7.140625" style="9" customWidth="1"/>
    <col min="2314" max="2314" width="8.5703125" style="9" customWidth="1"/>
    <col min="2315" max="2315" width="10.42578125" style="9" customWidth="1"/>
    <col min="2316" max="2316" width="9.140625" style="9" customWidth="1"/>
    <col min="2317" max="2317" width="7.42578125" style="9" customWidth="1"/>
    <col min="2318" max="2318" width="11.28515625" style="9" customWidth="1"/>
    <col min="2319" max="2319" width="15.85546875" style="9" customWidth="1"/>
    <col min="2320" max="2320" width="11.28515625" style="9" customWidth="1"/>
    <col min="2321" max="2321" width="12.140625" style="9" customWidth="1"/>
    <col min="2322" max="2564" width="9.140625" style="9"/>
    <col min="2565" max="2565" width="12.5703125" style="9" customWidth="1"/>
    <col min="2566" max="2566" width="15.5703125" style="9" customWidth="1"/>
    <col min="2567" max="2567" width="10.28515625" style="9" customWidth="1"/>
    <col min="2568" max="2568" width="8.5703125" style="9" customWidth="1"/>
    <col min="2569" max="2569" width="7.140625" style="9" customWidth="1"/>
    <col min="2570" max="2570" width="8.5703125" style="9" customWidth="1"/>
    <col min="2571" max="2571" width="10.42578125" style="9" customWidth="1"/>
    <col min="2572" max="2572" width="9.140625" style="9" customWidth="1"/>
    <col min="2573" max="2573" width="7.42578125" style="9" customWidth="1"/>
    <col min="2574" max="2574" width="11.28515625" style="9" customWidth="1"/>
    <col min="2575" max="2575" width="15.85546875" style="9" customWidth="1"/>
    <col min="2576" max="2576" width="11.28515625" style="9" customWidth="1"/>
    <col min="2577" max="2577" width="12.140625" style="9" customWidth="1"/>
    <col min="2578" max="2820" width="9.140625" style="9"/>
    <col min="2821" max="2821" width="12.5703125" style="9" customWidth="1"/>
    <col min="2822" max="2822" width="15.5703125" style="9" customWidth="1"/>
    <col min="2823" max="2823" width="10.28515625" style="9" customWidth="1"/>
    <col min="2824" max="2824" width="8.5703125" style="9" customWidth="1"/>
    <col min="2825" max="2825" width="7.140625" style="9" customWidth="1"/>
    <col min="2826" max="2826" width="8.5703125" style="9" customWidth="1"/>
    <col min="2827" max="2827" width="10.42578125" style="9" customWidth="1"/>
    <col min="2828" max="2828" width="9.140625" style="9" customWidth="1"/>
    <col min="2829" max="2829" width="7.42578125" style="9" customWidth="1"/>
    <col min="2830" max="2830" width="11.28515625" style="9" customWidth="1"/>
    <col min="2831" max="2831" width="15.85546875" style="9" customWidth="1"/>
    <col min="2832" max="2832" width="11.28515625" style="9" customWidth="1"/>
    <col min="2833" max="2833" width="12.140625" style="9" customWidth="1"/>
    <col min="2834" max="3076" width="9.140625" style="9"/>
    <col min="3077" max="3077" width="12.5703125" style="9" customWidth="1"/>
    <col min="3078" max="3078" width="15.5703125" style="9" customWidth="1"/>
    <col min="3079" max="3079" width="10.28515625" style="9" customWidth="1"/>
    <col min="3080" max="3080" width="8.5703125" style="9" customWidth="1"/>
    <col min="3081" max="3081" width="7.140625" style="9" customWidth="1"/>
    <col min="3082" max="3082" width="8.5703125" style="9" customWidth="1"/>
    <col min="3083" max="3083" width="10.42578125" style="9" customWidth="1"/>
    <col min="3084" max="3084" width="9.140625" style="9" customWidth="1"/>
    <col min="3085" max="3085" width="7.42578125" style="9" customWidth="1"/>
    <col min="3086" max="3086" width="11.28515625" style="9" customWidth="1"/>
    <col min="3087" max="3087" width="15.85546875" style="9" customWidth="1"/>
    <col min="3088" max="3088" width="11.28515625" style="9" customWidth="1"/>
    <col min="3089" max="3089" width="12.140625" style="9" customWidth="1"/>
    <col min="3090" max="3332" width="9.140625" style="9"/>
    <col min="3333" max="3333" width="12.5703125" style="9" customWidth="1"/>
    <col min="3334" max="3334" width="15.5703125" style="9" customWidth="1"/>
    <col min="3335" max="3335" width="10.28515625" style="9" customWidth="1"/>
    <col min="3336" max="3336" width="8.5703125" style="9" customWidth="1"/>
    <col min="3337" max="3337" width="7.140625" style="9" customWidth="1"/>
    <col min="3338" max="3338" width="8.5703125" style="9" customWidth="1"/>
    <col min="3339" max="3339" width="10.42578125" style="9" customWidth="1"/>
    <col min="3340" max="3340" width="9.140625" style="9" customWidth="1"/>
    <col min="3341" max="3341" width="7.42578125" style="9" customWidth="1"/>
    <col min="3342" max="3342" width="11.28515625" style="9" customWidth="1"/>
    <col min="3343" max="3343" width="15.85546875" style="9" customWidth="1"/>
    <col min="3344" max="3344" width="11.28515625" style="9" customWidth="1"/>
    <col min="3345" max="3345" width="12.140625" style="9" customWidth="1"/>
    <col min="3346" max="3588" width="9.140625" style="9"/>
    <col min="3589" max="3589" width="12.5703125" style="9" customWidth="1"/>
    <col min="3590" max="3590" width="15.5703125" style="9" customWidth="1"/>
    <col min="3591" max="3591" width="10.28515625" style="9" customWidth="1"/>
    <col min="3592" max="3592" width="8.5703125" style="9" customWidth="1"/>
    <col min="3593" max="3593" width="7.140625" style="9" customWidth="1"/>
    <col min="3594" max="3594" width="8.5703125" style="9" customWidth="1"/>
    <col min="3595" max="3595" width="10.42578125" style="9" customWidth="1"/>
    <col min="3596" max="3596" width="9.140625" style="9" customWidth="1"/>
    <col min="3597" max="3597" width="7.42578125" style="9" customWidth="1"/>
    <col min="3598" max="3598" width="11.28515625" style="9" customWidth="1"/>
    <col min="3599" max="3599" width="15.85546875" style="9" customWidth="1"/>
    <col min="3600" max="3600" width="11.28515625" style="9" customWidth="1"/>
    <col min="3601" max="3601" width="12.140625" style="9" customWidth="1"/>
    <col min="3602" max="3844" width="9.140625" style="9"/>
    <col min="3845" max="3845" width="12.5703125" style="9" customWidth="1"/>
    <col min="3846" max="3846" width="15.5703125" style="9" customWidth="1"/>
    <col min="3847" max="3847" width="10.28515625" style="9" customWidth="1"/>
    <col min="3848" max="3848" width="8.5703125" style="9" customWidth="1"/>
    <col min="3849" max="3849" width="7.140625" style="9" customWidth="1"/>
    <col min="3850" max="3850" width="8.5703125" style="9" customWidth="1"/>
    <col min="3851" max="3851" width="10.42578125" style="9" customWidth="1"/>
    <col min="3852" max="3852" width="9.140625" style="9" customWidth="1"/>
    <col min="3853" max="3853" width="7.42578125" style="9" customWidth="1"/>
    <col min="3854" max="3854" width="11.28515625" style="9" customWidth="1"/>
    <col min="3855" max="3855" width="15.85546875" style="9" customWidth="1"/>
    <col min="3856" max="3856" width="11.28515625" style="9" customWidth="1"/>
    <col min="3857" max="3857" width="12.140625" style="9" customWidth="1"/>
    <col min="3858" max="4100" width="9.140625" style="9"/>
    <col min="4101" max="4101" width="12.5703125" style="9" customWidth="1"/>
    <col min="4102" max="4102" width="15.5703125" style="9" customWidth="1"/>
    <col min="4103" max="4103" width="10.28515625" style="9" customWidth="1"/>
    <col min="4104" max="4104" width="8.5703125" style="9" customWidth="1"/>
    <col min="4105" max="4105" width="7.140625" style="9" customWidth="1"/>
    <col min="4106" max="4106" width="8.5703125" style="9" customWidth="1"/>
    <col min="4107" max="4107" width="10.42578125" style="9" customWidth="1"/>
    <col min="4108" max="4108" width="9.140625" style="9" customWidth="1"/>
    <col min="4109" max="4109" width="7.42578125" style="9" customWidth="1"/>
    <col min="4110" max="4110" width="11.28515625" style="9" customWidth="1"/>
    <col min="4111" max="4111" width="15.85546875" style="9" customWidth="1"/>
    <col min="4112" max="4112" width="11.28515625" style="9" customWidth="1"/>
    <col min="4113" max="4113" width="12.140625" style="9" customWidth="1"/>
    <col min="4114" max="4356" width="9.140625" style="9"/>
    <col min="4357" max="4357" width="12.5703125" style="9" customWidth="1"/>
    <col min="4358" max="4358" width="15.5703125" style="9" customWidth="1"/>
    <col min="4359" max="4359" width="10.28515625" style="9" customWidth="1"/>
    <col min="4360" max="4360" width="8.5703125" style="9" customWidth="1"/>
    <col min="4361" max="4361" width="7.140625" style="9" customWidth="1"/>
    <col min="4362" max="4362" width="8.5703125" style="9" customWidth="1"/>
    <col min="4363" max="4363" width="10.42578125" style="9" customWidth="1"/>
    <col min="4364" max="4364" width="9.140625" style="9" customWidth="1"/>
    <col min="4365" max="4365" width="7.42578125" style="9" customWidth="1"/>
    <col min="4366" max="4366" width="11.28515625" style="9" customWidth="1"/>
    <col min="4367" max="4367" width="15.85546875" style="9" customWidth="1"/>
    <col min="4368" max="4368" width="11.28515625" style="9" customWidth="1"/>
    <col min="4369" max="4369" width="12.140625" style="9" customWidth="1"/>
    <col min="4370" max="4612" width="9.140625" style="9"/>
    <col min="4613" max="4613" width="12.5703125" style="9" customWidth="1"/>
    <col min="4614" max="4614" width="15.5703125" style="9" customWidth="1"/>
    <col min="4615" max="4615" width="10.28515625" style="9" customWidth="1"/>
    <col min="4616" max="4616" width="8.5703125" style="9" customWidth="1"/>
    <col min="4617" max="4617" width="7.140625" style="9" customWidth="1"/>
    <col min="4618" max="4618" width="8.5703125" style="9" customWidth="1"/>
    <col min="4619" max="4619" width="10.42578125" style="9" customWidth="1"/>
    <col min="4620" max="4620" width="9.140625" style="9" customWidth="1"/>
    <col min="4621" max="4621" width="7.42578125" style="9" customWidth="1"/>
    <col min="4622" max="4622" width="11.28515625" style="9" customWidth="1"/>
    <col min="4623" max="4623" width="15.85546875" style="9" customWidth="1"/>
    <col min="4624" max="4624" width="11.28515625" style="9" customWidth="1"/>
    <col min="4625" max="4625" width="12.140625" style="9" customWidth="1"/>
    <col min="4626" max="4868" width="9.140625" style="9"/>
    <col min="4869" max="4869" width="12.5703125" style="9" customWidth="1"/>
    <col min="4870" max="4870" width="15.5703125" style="9" customWidth="1"/>
    <col min="4871" max="4871" width="10.28515625" style="9" customWidth="1"/>
    <col min="4872" max="4872" width="8.5703125" style="9" customWidth="1"/>
    <col min="4873" max="4873" width="7.140625" style="9" customWidth="1"/>
    <col min="4874" max="4874" width="8.5703125" style="9" customWidth="1"/>
    <col min="4875" max="4875" width="10.42578125" style="9" customWidth="1"/>
    <col min="4876" max="4876" width="9.140625" style="9" customWidth="1"/>
    <col min="4877" max="4877" width="7.42578125" style="9" customWidth="1"/>
    <col min="4878" max="4878" width="11.28515625" style="9" customWidth="1"/>
    <col min="4879" max="4879" width="15.85546875" style="9" customWidth="1"/>
    <col min="4880" max="4880" width="11.28515625" style="9" customWidth="1"/>
    <col min="4881" max="4881" width="12.140625" style="9" customWidth="1"/>
    <col min="4882" max="5124" width="9.140625" style="9"/>
    <col min="5125" max="5125" width="12.5703125" style="9" customWidth="1"/>
    <col min="5126" max="5126" width="15.5703125" style="9" customWidth="1"/>
    <col min="5127" max="5127" width="10.28515625" style="9" customWidth="1"/>
    <col min="5128" max="5128" width="8.5703125" style="9" customWidth="1"/>
    <col min="5129" max="5129" width="7.140625" style="9" customWidth="1"/>
    <col min="5130" max="5130" width="8.5703125" style="9" customWidth="1"/>
    <col min="5131" max="5131" width="10.42578125" style="9" customWidth="1"/>
    <col min="5132" max="5132" width="9.140625" style="9" customWidth="1"/>
    <col min="5133" max="5133" width="7.42578125" style="9" customWidth="1"/>
    <col min="5134" max="5134" width="11.28515625" style="9" customWidth="1"/>
    <col min="5135" max="5135" width="15.85546875" style="9" customWidth="1"/>
    <col min="5136" max="5136" width="11.28515625" style="9" customWidth="1"/>
    <col min="5137" max="5137" width="12.140625" style="9" customWidth="1"/>
    <col min="5138" max="5380" width="9.140625" style="9"/>
    <col min="5381" max="5381" width="12.5703125" style="9" customWidth="1"/>
    <col min="5382" max="5382" width="15.5703125" style="9" customWidth="1"/>
    <col min="5383" max="5383" width="10.28515625" style="9" customWidth="1"/>
    <col min="5384" max="5384" width="8.5703125" style="9" customWidth="1"/>
    <col min="5385" max="5385" width="7.140625" style="9" customWidth="1"/>
    <col min="5386" max="5386" width="8.5703125" style="9" customWidth="1"/>
    <col min="5387" max="5387" width="10.42578125" style="9" customWidth="1"/>
    <col min="5388" max="5388" width="9.140625" style="9" customWidth="1"/>
    <col min="5389" max="5389" width="7.42578125" style="9" customWidth="1"/>
    <col min="5390" max="5390" width="11.28515625" style="9" customWidth="1"/>
    <col min="5391" max="5391" width="15.85546875" style="9" customWidth="1"/>
    <col min="5392" max="5392" width="11.28515625" style="9" customWidth="1"/>
    <col min="5393" max="5393" width="12.140625" style="9" customWidth="1"/>
    <col min="5394" max="5636" width="9.140625" style="9"/>
    <col min="5637" max="5637" width="12.5703125" style="9" customWidth="1"/>
    <col min="5638" max="5638" width="15.5703125" style="9" customWidth="1"/>
    <col min="5639" max="5639" width="10.28515625" style="9" customWidth="1"/>
    <col min="5640" max="5640" width="8.5703125" style="9" customWidth="1"/>
    <col min="5641" max="5641" width="7.140625" style="9" customWidth="1"/>
    <col min="5642" max="5642" width="8.5703125" style="9" customWidth="1"/>
    <col min="5643" max="5643" width="10.42578125" style="9" customWidth="1"/>
    <col min="5644" max="5644" width="9.140625" style="9" customWidth="1"/>
    <col min="5645" max="5645" width="7.42578125" style="9" customWidth="1"/>
    <col min="5646" max="5646" width="11.28515625" style="9" customWidth="1"/>
    <col min="5647" max="5647" width="15.85546875" style="9" customWidth="1"/>
    <col min="5648" max="5648" width="11.28515625" style="9" customWidth="1"/>
    <col min="5649" max="5649" width="12.140625" style="9" customWidth="1"/>
    <col min="5650" max="5892" width="9.140625" style="9"/>
    <col min="5893" max="5893" width="12.5703125" style="9" customWidth="1"/>
    <col min="5894" max="5894" width="15.5703125" style="9" customWidth="1"/>
    <col min="5895" max="5895" width="10.28515625" style="9" customWidth="1"/>
    <col min="5896" max="5896" width="8.5703125" style="9" customWidth="1"/>
    <col min="5897" max="5897" width="7.140625" style="9" customWidth="1"/>
    <col min="5898" max="5898" width="8.5703125" style="9" customWidth="1"/>
    <col min="5899" max="5899" width="10.42578125" style="9" customWidth="1"/>
    <col min="5900" max="5900" width="9.140625" style="9" customWidth="1"/>
    <col min="5901" max="5901" width="7.42578125" style="9" customWidth="1"/>
    <col min="5902" max="5902" width="11.28515625" style="9" customWidth="1"/>
    <col min="5903" max="5903" width="15.85546875" style="9" customWidth="1"/>
    <col min="5904" max="5904" width="11.28515625" style="9" customWidth="1"/>
    <col min="5905" max="5905" width="12.140625" style="9" customWidth="1"/>
    <col min="5906" max="6148" width="9.140625" style="9"/>
    <col min="6149" max="6149" width="12.5703125" style="9" customWidth="1"/>
    <col min="6150" max="6150" width="15.5703125" style="9" customWidth="1"/>
    <col min="6151" max="6151" width="10.28515625" style="9" customWidth="1"/>
    <col min="6152" max="6152" width="8.5703125" style="9" customWidth="1"/>
    <col min="6153" max="6153" width="7.140625" style="9" customWidth="1"/>
    <col min="6154" max="6154" width="8.5703125" style="9" customWidth="1"/>
    <col min="6155" max="6155" width="10.42578125" style="9" customWidth="1"/>
    <col min="6156" max="6156" width="9.140625" style="9" customWidth="1"/>
    <col min="6157" max="6157" width="7.42578125" style="9" customWidth="1"/>
    <col min="6158" max="6158" width="11.28515625" style="9" customWidth="1"/>
    <col min="6159" max="6159" width="15.85546875" style="9" customWidth="1"/>
    <col min="6160" max="6160" width="11.28515625" style="9" customWidth="1"/>
    <col min="6161" max="6161" width="12.140625" style="9" customWidth="1"/>
    <col min="6162" max="6404" width="9.140625" style="9"/>
    <col min="6405" max="6405" width="12.5703125" style="9" customWidth="1"/>
    <col min="6406" max="6406" width="15.5703125" style="9" customWidth="1"/>
    <col min="6407" max="6407" width="10.28515625" style="9" customWidth="1"/>
    <col min="6408" max="6408" width="8.5703125" style="9" customWidth="1"/>
    <col min="6409" max="6409" width="7.140625" style="9" customWidth="1"/>
    <col min="6410" max="6410" width="8.5703125" style="9" customWidth="1"/>
    <col min="6411" max="6411" width="10.42578125" style="9" customWidth="1"/>
    <col min="6412" max="6412" width="9.140625" style="9" customWidth="1"/>
    <col min="6413" max="6413" width="7.42578125" style="9" customWidth="1"/>
    <col min="6414" max="6414" width="11.28515625" style="9" customWidth="1"/>
    <col min="6415" max="6415" width="15.85546875" style="9" customWidth="1"/>
    <col min="6416" max="6416" width="11.28515625" style="9" customWidth="1"/>
    <col min="6417" max="6417" width="12.140625" style="9" customWidth="1"/>
    <col min="6418" max="6660" width="9.140625" style="9"/>
    <col min="6661" max="6661" width="12.5703125" style="9" customWidth="1"/>
    <col min="6662" max="6662" width="15.5703125" style="9" customWidth="1"/>
    <col min="6663" max="6663" width="10.28515625" style="9" customWidth="1"/>
    <col min="6664" max="6664" width="8.5703125" style="9" customWidth="1"/>
    <col min="6665" max="6665" width="7.140625" style="9" customWidth="1"/>
    <col min="6666" max="6666" width="8.5703125" style="9" customWidth="1"/>
    <col min="6667" max="6667" width="10.42578125" style="9" customWidth="1"/>
    <col min="6668" max="6668" width="9.140625" style="9" customWidth="1"/>
    <col min="6669" max="6669" width="7.42578125" style="9" customWidth="1"/>
    <col min="6670" max="6670" width="11.28515625" style="9" customWidth="1"/>
    <col min="6671" max="6671" width="15.85546875" style="9" customWidth="1"/>
    <col min="6672" max="6672" width="11.28515625" style="9" customWidth="1"/>
    <col min="6673" max="6673" width="12.140625" style="9" customWidth="1"/>
    <col min="6674" max="6916" width="9.140625" style="9"/>
    <col min="6917" max="6917" width="12.5703125" style="9" customWidth="1"/>
    <col min="6918" max="6918" width="15.5703125" style="9" customWidth="1"/>
    <col min="6919" max="6919" width="10.28515625" style="9" customWidth="1"/>
    <col min="6920" max="6920" width="8.5703125" style="9" customWidth="1"/>
    <col min="6921" max="6921" width="7.140625" style="9" customWidth="1"/>
    <col min="6922" max="6922" width="8.5703125" style="9" customWidth="1"/>
    <col min="6923" max="6923" width="10.42578125" style="9" customWidth="1"/>
    <col min="6924" max="6924" width="9.140625" style="9" customWidth="1"/>
    <col min="6925" max="6925" width="7.42578125" style="9" customWidth="1"/>
    <col min="6926" max="6926" width="11.28515625" style="9" customWidth="1"/>
    <col min="6927" max="6927" width="15.85546875" style="9" customWidth="1"/>
    <col min="6928" max="6928" width="11.28515625" style="9" customWidth="1"/>
    <col min="6929" max="6929" width="12.140625" style="9" customWidth="1"/>
    <col min="6930" max="7172" width="9.140625" style="9"/>
    <col min="7173" max="7173" width="12.5703125" style="9" customWidth="1"/>
    <col min="7174" max="7174" width="15.5703125" style="9" customWidth="1"/>
    <col min="7175" max="7175" width="10.28515625" style="9" customWidth="1"/>
    <col min="7176" max="7176" width="8.5703125" style="9" customWidth="1"/>
    <col min="7177" max="7177" width="7.140625" style="9" customWidth="1"/>
    <col min="7178" max="7178" width="8.5703125" style="9" customWidth="1"/>
    <col min="7179" max="7179" width="10.42578125" style="9" customWidth="1"/>
    <col min="7180" max="7180" width="9.140625" style="9" customWidth="1"/>
    <col min="7181" max="7181" width="7.42578125" style="9" customWidth="1"/>
    <col min="7182" max="7182" width="11.28515625" style="9" customWidth="1"/>
    <col min="7183" max="7183" width="15.85546875" style="9" customWidth="1"/>
    <col min="7184" max="7184" width="11.28515625" style="9" customWidth="1"/>
    <col min="7185" max="7185" width="12.140625" style="9" customWidth="1"/>
    <col min="7186" max="7428" width="9.140625" style="9"/>
    <col min="7429" max="7429" width="12.5703125" style="9" customWidth="1"/>
    <col min="7430" max="7430" width="15.5703125" style="9" customWidth="1"/>
    <col min="7431" max="7431" width="10.28515625" style="9" customWidth="1"/>
    <col min="7432" max="7432" width="8.5703125" style="9" customWidth="1"/>
    <col min="7433" max="7433" width="7.140625" style="9" customWidth="1"/>
    <col min="7434" max="7434" width="8.5703125" style="9" customWidth="1"/>
    <col min="7435" max="7435" width="10.42578125" style="9" customWidth="1"/>
    <col min="7436" max="7436" width="9.140625" style="9" customWidth="1"/>
    <col min="7437" max="7437" width="7.42578125" style="9" customWidth="1"/>
    <col min="7438" max="7438" width="11.28515625" style="9" customWidth="1"/>
    <col min="7439" max="7439" width="15.85546875" style="9" customWidth="1"/>
    <col min="7440" max="7440" width="11.28515625" style="9" customWidth="1"/>
    <col min="7441" max="7441" width="12.140625" style="9" customWidth="1"/>
    <col min="7442" max="7684" width="9.140625" style="9"/>
    <col min="7685" max="7685" width="12.5703125" style="9" customWidth="1"/>
    <col min="7686" max="7686" width="15.5703125" style="9" customWidth="1"/>
    <col min="7687" max="7687" width="10.28515625" style="9" customWidth="1"/>
    <col min="7688" max="7688" width="8.5703125" style="9" customWidth="1"/>
    <col min="7689" max="7689" width="7.140625" style="9" customWidth="1"/>
    <col min="7690" max="7690" width="8.5703125" style="9" customWidth="1"/>
    <col min="7691" max="7691" width="10.42578125" style="9" customWidth="1"/>
    <col min="7692" max="7692" width="9.140625" style="9" customWidth="1"/>
    <col min="7693" max="7693" width="7.42578125" style="9" customWidth="1"/>
    <col min="7694" max="7694" width="11.28515625" style="9" customWidth="1"/>
    <col min="7695" max="7695" width="15.85546875" style="9" customWidth="1"/>
    <col min="7696" max="7696" width="11.28515625" style="9" customWidth="1"/>
    <col min="7697" max="7697" width="12.140625" style="9" customWidth="1"/>
    <col min="7698" max="7940" width="9.140625" style="9"/>
    <col min="7941" max="7941" width="12.5703125" style="9" customWidth="1"/>
    <col min="7942" max="7942" width="15.5703125" style="9" customWidth="1"/>
    <col min="7943" max="7943" width="10.28515625" style="9" customWidth="1"/>
    <col min="7944" max="7944" width="8.5703125" style="9" customWidth="1"/>
    <col min="7945" max="7945" width="7.140625" style="9" customWidth="1"/>
    <col min="7946" max="7946" width="8.5703125" style="9" customWidth="1"/>
    <col min="7947" max="7947" width="10.42578125" style="9" customWidth="1"/>
    <col min="7948" max="7948" width="9.140625" style="9" customWidth="1"/>
    <col min="7949" max="7949" width="7.42578125" style="9" customWidth="1"/>
    <col min="7950" max="7950" width="11.28515625" style="9" customWidth="1"/>
    <col min="7951" max="7951" width="15.85546875" style="9" customWidth="1"/>
    <col min="7952" max="7952" width="11.28515625" style="9" customWidth="1"/>
    <col min="7953" max="7953" width="12.140625" style="9" customWidth="1"/>
    <col min="7954" max="8196" width="9.140625" style="9"/>
    <col min="8197" max="8197" width="12.5703125" style="9" customWidth="1"/>
    <col min="8198" max="8198" width="15.5703125" style="9" customWidth="1"/>
    <col min="8199" max="8199" width="10.28515625" style="9" customWidth="1"/>
    <col min="8200" max="8200" width="8.5703125" style="9" customWidth="1"/>
    <col min="8201" max="8201" width="7.140625" style="9" customWidth="1"/>
    <col min="8202" max="8202" width="8.5703125" style="9" customWidth="1"/>
    <col min="8203" max="8203" width="10.42578125" style="9" customWidth="1"/>
    <col min="8204" max="8204" width="9.140625" style="9" customWidth="1"/>
    <col min="8205" max="8205" width="7.42578125" style="9" customWidth="1"/>
    <col min="8206" max="8206" width="11.28515625" style="9" customWidth="1"/>
    <col min="8207" max="8207" width="15.85546875" style="9" customWidth="1"/>
    <col min="8208" max="8208" width="11.28515625" style="9" customWidth="1"/>
    <col min="8209" max="8209" width="12.140625" style="9" customWidth="1"/>
    <col min="8210" max="8452" width="9.140625" style="9"/>
    <col min="8453" max="8453" width="12.5703125" style="9" customWidth="1"/>
    <col min="8454" max="8454" width="15.5703125" style="9" customWidth="1"/>
    <col min="8455" max="8455" width="10.28515625" style="9" customWidth="1"/>
    <col min="8456" max="8456" width="8.5703125" style="9" customWidth="1"/>
    <col min="8457" max="8457" width="7.140625" style="9" customWidth="1"/>
    <col min="8458" max="8458" width="8.5703125" style="9" customWidth="1"/>
    <col min="8459" max="8459" width="10.42578125" style="9" customWidth="1"/>
    <col min="8460" max="8460" width="9.140625" style="9" customWidth="1"/>
    <col min="8461" max="8461" width="7.42578125" style="9" customWidth="1"/>
    <col min="8462" max="8462" width="11.28515625" style="9" customWidth="1"/>
    <col min="8463" max="8463" width="15.85546875" style="9" customWidth="1"/>
    <col min="8464" max="8464" width="11.28515625" style="9" customWidth="1"/>
    <col min="8465" max="8465" width="12.140625" style="9" customWidth="1"/>
    <col min="8466" max="8708" width="9.140625" style="9"/>
    <col min="8709" max="8709" width="12.5703125" style="9" customWidth="1"/>
    <col min="8710" max="8710" width="15.5703125" style="9" customWidth="1"/>
    <col min="8711" max="8711" width="10.28515625" style="9" customWidth="1"/>
    <col min="8712" max="8712" width="8.5703125" style="9" customWidth="1"/>
    <col min="8713" max="8713" width="7.140625" style="9" customWidth="1"/>
    <col min="8714" max="8714" width="8.5703125" style="9" customWidth="1"/>
    <col min="8715" max="8715" width="10.42578125" style="9" customWidth="1"/>
    <col min="8716" max="8716" width="9.140625" style="9" customWidth="1"/>
    <col min="8717" max="8717" width="7.42578125" style="9" customWidth="1"/>
    <col min="8718" max="8718" width="11.28515625" style="9" customWidth="1"/>
    <col min="8719" max="8719" width="15.85546875" style="9" customWidth="1"/>
    <col min="8720" max="8720" width="11.28515625" style="9" customWidth="1"/>
    <col min="8721" max="8721" width="12.140625" style="9" customWidth="1"/>
    <col min="8722" max="8964" width="9.140625" style="9"/>
    <col min="8965" max="8965" width="12.5703125" style="9" customWidth="1"/>
    <col min="8966" max="8966" width="15.5703125" style="9" customWidth="1"/>
    <col min="8967" max="8967" width="10.28515625" style="9" customWidth="1"/>
    <col min="8968" max="8968" width="8.5703125" style="9" customWidth="1"/>
    <col min="8969" max="8969" width="7.140625" style="9" customWidth="1"/>
    <col min="8970" max="8970" width="8.5703125" style="9" customWidth="1"/>
    <col min="8971" max="8971" width="10.42578125" style="9" customWidth="1"/>
    <col min="8972" max="8972" width="9.140625" style="9" customWidth="1"/>
    <col min="8973" max="8973" width="7.42578125" style="9" customWidth="1"/>
    <col min="8974" max="8974" width="11.28515625" style="9" customWidth="1"/>
    <col min="8975" max="8975" width="15.85546875" style="9" customWidth="1"/>
    <col min="8976" max="8976" width="11.28515625" style="9" customWidth="1"/>
    <col min="8977" max="8977" width="12.140625" style="9" customWidth="1"/>
    <col min="8978" max="9220" width="9.140625" style="9"/>
    <col min="9221" max="9221" width="12.5703125" style="9" customWidth="1"/>
    <col min="9222" max="9222" width="15.5703125" style="9" customWidth="1"/>
    <col min="9223" max="9223" width="10.28515625" style="9" customWidth="1"/>
    <col min="9224" max="9224" width="8.5703125" style="9" customWidth="1"/>
    <col min="9225" max="9225" width="7.140625" style="9" customWidth="1"/>
    <col min="9226" max="9226" width="8.5703125" style="9" customWidth="1"/>
    <col min="9227" max="9227" width="10.42578125" style="9" customWidth="1"/>
    <col min="9228" max="9228" width="9.140625" style="9" customWidth="1"/>
    <col min="9229" max="9229" width="7.42578125" style="9" customWidth="1"/>
    <col min="9230" max="9230" width="11.28515625" style="9" customWidth="1"/>
    <col min="9231" max="9231" width="15.85546875" style="9" customWidth="1"/>
    <col min="9232" max="9232" width="11.28515625" style="9" customWidth="1"/>
    <col min="9233" max="9233" width="12.140625" style="9" customWidth="1"/>
    <col min="9234" max="9476" width="9.140625" style="9"/>
    <col min="9477" max="9477" width="12.5703125" style="9" customWidth="1"/>
    <col min="9478" max="9478" width="15.5703125" style="9" customWidth="1"/>
    <col min="9479" max="9479" width="10.28515625" style="9" customWidth="1"/>
    <col min="9480" max="9480" width="8.5703125" style="9" customWidth="1"/>
    <col min="9481" max="9481" width="7.140625" style="9" customWidth="1"/>
    <col min="9482" max="9482" width="8.5703125" style="9" customWidth="1"/>
    <col min="9483" max="9483" width="10.42578125" style="9" customWidth="1"/>
    <col min="9484" max="9484" width="9.140625" style="9" customWidth="1"/>
    <col min="9485" max="9485" width="7.42578125" style="9" customWidth="1"/>
    <col min="9486" max="9486" width="11.28515625" style="9" customWidth="1"/>
    <col min="9487" max="9487" width="15.85546875" style="9" customWidth="1"/>
    <col min="9488" max="9488" width="11.28515625" style="9" customWidth="1"/>
    <col min="9489" max="9489" width="12.140625" style="9" customWidth="1"/>
    <col min="9490" max="9732" width="9.140625" style="9"/>
    <col min="9733" max="9733" width="12.5703125" style="9" customWidth="1"/>
    <col min="9734" max="9734" width="15.5703125" style="9" customWidth="1"/>
    <col min="9735" max="9735" width="10.28515625" style="9" customWidth="1"/>
    <col min="9736" max="9736" width="8.5703125" style="9" customWidth="1"/>
    <col min="9737" max="9737" width="7.140625" style="9" customWidth="1"/>
    <col min="9738" max="9738" width="8.5703125" style="9" customWidth="1"/>
    <col min="9739" max="9739" width="10.42578125" style="9" customWidth="1"/>
    <col min="9740" max="9740" width="9.140625" style="9" customWidth="1"/>
    <col min="9741" max="9741" width="7.42578125" style="9" customWidth="1"/>
    <col min="9742" max="9742" width="11.28515625" style="9" customWidth="1"/>
    <col min="9743" max="9743" width="15.85546875" style="9" customWidth="1"/>
    <col min="9744" max="9744" width="11.28515625" style="9" customWidth="1"/>
    <col min="9745" max="9745" width="12.140625" style="9" customWidth="1"/>
    <col min="9746" max="9988" width="9.140625" style="9"/>
    <col min="9989" max="9989" width="12.5703125" style="9" customWidth="1"/>
    <col min="9990" max="9990" width="15.5703125" style="9" customWidth="1"/>
    <col min="9991" max="9991" width="10.28515625" style="9" customWidth="1"/>
    <col min="9992" max="9992" width="8.5703125" style="9" customWidth="1"/>
    <col min="9993" max="9993" width="7.140625" style="9" customWidth="1"/>
    <col min="9994" max="9994" width="8.5703125" style="9" customWidth="1"/>
    <col min="9995" max="9995" width="10.42578125" style="9" customWidth="1"/>
    <col min="9996" max="9996" width="9.140625" style="9" customWidth="1"/>
    <col min="9997" max="9997" width="7.42578125" style="9" customWidth="1"/>
    <col min="9998" max="9998" width="11.28515625" style="9" customWidth="1"/>
    <col min="9999" max="9999" width="15.85546875" style="9" customWidth="1"/>
    <col min="10000" max="10000" width="11.28515625" style="9" customWidth="1"/>
    <col min="10001" max="10001" width="12.140625" style="9" customWidth="1"/>
    <col min="10002" max="10244" width="9.140625" style="9"/>
    <col min="10245" max="10245" width="12.5703125" style="9" customWidth="1"/>
    <col min="10246" max="10246" width="15.5703125" style="9" customWidth="1"/>
    <col min="10247" max="10247" width="10.28515625" style="9" customWidth="1"/>
    <col min="10248" max="10248" width="8.5703125" style="9" customWidth="1"/>
    <col min="10249" max="10249" width="7.140625" style="9" customWidth="1"/>
    <col min="10250" max="10250" width="8.5703125" style="9" customWidth="1"/>
    <col min="10251" max="10251" width="10.42578125" style="9" customWidth="1"/>
    <col min="10252" max="10252" width="9.140625" style="9" customWidth="1"/>
    <col min="10253" max="10253" width="7.42578125" style="9" customWidth="1"/>
    <col min="10254" max="10254" width="11.28515625" style="9" customWidth="1"/>
    <col min="10255" max="10255" width="15.85546875" style="9" customWidth="1"/>
    <col min="10256" max="10256" width="11.28515625" style="9" customWidth="1"/>
    <col min="10257" max="10257" width="12.140625" style="9" customWidth="1"/>
    <col min="10258" max="10500" width="9.140625" style="9"/>
    <col min="10501" max="10501" width="12.5703125" style="9" customWidth="1"/>
    <col min="10502" max="10502" width="15.5703125" style="9" customWidth="1"/>
    <col min="10503" max="10503" width="10.28515625" style="9" customWidth="1"/>
    <col min="10504" max="10504" width="8.5703125" style="9" customWidth="1"/>
    <col min="10505" max="10505" width="7.140625" style="9" customWidth="1"/>
    <col min="10506" max="10506" width="8.5703125" style="9" customWidth="1"/>
    <col min="10507" max="10507" width="10.42578125" style="9" customWidth="1"/>
    <col min="10508" max="10508" width="9.140625" style="9" customWidth="1"/>
    <col min="10509" max="10509" width="7.42578125" style="9" customWidth="1"/>
    <col min="10510" max="10510" width="11.28515625" style="9" customWidth="1"/>
    <col min="10511" max="10511" width="15.85546875" style="9" customWidth="1"/>
    <col min="10512" max="10512" width="11.28515625" style="9" customWidth="1"/>
    <col min="10513" max="10513" width="12.140625" style="9" customWidth="1"/>
    <col min="10514" max="10756" width="9.140625" style="9"/>
    <col min="10757" max="10757" width="12.5703125" style="9" customWidth="1"/>
    <col min="10758" max="10758" width="15.5703125" style="9" customWidth="1"/>
    <col min="10759" max="10759" width="10.28515625" style="9" customWidth="1"/>
    <col min="10760" max="10760" width="8.5703125" style="9" customWidth="1"/>
    <col min="10761" max="10761" width="7.140625" style="9" customWidth="1"/>
    <col min="10762" max="10762" width="8.5703125" style="9" customWidth="1"/>
    <col min="10763" max="10763" width="10.42578125" style="9" customWidth="1"/>
    <col min="10764" max="10764" width="9.140625" style="9" customWidth="1"/>
    <col min="10765" max="10765" width="7.42578125" style="9" customWidth="1"/>
    <col min="10766" max="10766" width="11.28515625" style="9" customWidth="1"/>
    <col min="10767" max="10767" width="15.85546875" style="9" customWidth="1"/>
    <col min="10768" max="10768" width="11.28515625" style="9" customWidth="1"/>
    <col min="10769" max="10769" width="12.140625" style="9" customWidth="1"/>
    <col min="10770" max="11012" width="9.140625" style="9"/>
    <col min="11013" max="11013" width="12.5703125" style="9" customWidth="1"/>
    <col min="11014" max="11014" width="15.5703125" style="9" customWidth="1"/>
    <col min="11015" max="11015" width="10.28515625" style="9" customWidth="1"/>
    <col min="11016" max="11016" width="8.5703125" style="9" customWidth="1"/>
    <col min="11017" max="11017" width="7.140625" style="9" customWidth="1"/>
    <col min="11018" max="11018" width="8.5703125" style="9" customWidth="1"/>
    <col min="11019" max="11019" width="10.42578125" style="9" customWidth="1"/>
    <col min="11020" max="11020" width="9.140625" style="9" customWidth="1"/>
    <col min="11021" max="11021" width="7.42578125" style="9" customWidth="1"/>
    <col min="11022" max="11022" width="11.28515625" style="9" customWidth="1"/>
    <col min="11023" max="11023" width="15.85546875" style="9" customWidth="1"/>
    <col min="11024" max="11024" width="11.28515625" style="9" customWidth="1"/>
    <col min="11025" max="11025" width="12.140625" style="9" customWidth="1"/>
    <col min="11026" max="11268" width="9.140625" style="9"/>
    <col min="11269" max="11269" width="12.5703125" style="9" customWidth="1"/>
    <col min="11270" max="11270" width="15.5703125" style="9" customWidth="1"/>
    <col min="11271" max="11271" width="10.28515625" style="9" customWidth="1"/>
    <col min="11272" max="11272" width="8.5703125" style="9" customWidth="1"/>
    <col min="11273" max="11273" width="7.140625" style="9" customWidth="1"/>
    <col min="11274" max="11274" width="8.5703125" style="9" customWidth="1"/>
    <col min="11275" max="11275" width="10.42578125" style="9" customWidth="1"/>
    <col min="11276" max="11276" width="9.140625" style="9" customWidth="1"/>
    <col min="11277" max="11277" width="7.42578125" style="9" customWidth="1"/>
    <col min="11278" max="11278" width="11.28515625" style="9" customWidth="1"/>
    <col min="11279" max="11279" width="15.85546875" style="9" customWidth="1"/>
    <col min="11280" max="11280" width="11.28515625" style="9" customWidth="1"/>
    <col min="11281" max="11281" width="12.140625" style="9" customWidth="1"/>
    <col min="11282" max="11524" width="9.140625" style="9"/>
    <col min="11525" max="11525" width="12.5703125" style="9" customWidth="1"/>
    <col min="11526" max="11526" width="15.5703125" style="9" customWidth="1"/>
    <col min="11527" max="11527" width="10.28515625" style="9" customWidth="1"/>
    <col min="11528" max="11528" width="8.5703125" style="9" customWidth="1"/>
    <col min="11529" max="11529" width="7.140625" style="9" customWidth="1"/>
    <col min="11530" max="11530" width="8.5703125" style="9" customWidth="1"/>
    <col min="11531" max="11531" width="10.42578125" style="9" customWidth="1"/>
    <col min="11532" max="11532" width="9.140625" style="9" customWidth="1"/>
    <col min="11533" max="11533" width="7.42578125" style="9" customWidth="1"/>
    <col min="11534" max="11534" width="11.28515625" style="9" customWidth="1"/>
    <col min="11535" max="11535" width="15.85546875" style="9" customWidth="1"/>
    <col min="11536" max="11536" width="11.28515625" style="9" customWidth="1"/>
    <col min="11537" max="11537" width="12.140625" style="9" customWidth="1"/>
    <col min="11538" max="11780" width="9.140625" style="9"/>
    <col min="11781" max="11781" width="12.5703125" style="9" customWidth="1"/>
    <col min="11782" max="11782" width="15.5703125" style="9" customWidth="1"/>
    <col min="11783" max="11783" width="10.28515625" style="9" customWidth="1"/>
    <col min="11784" max="11784" width="8.5703125" style="9" customWidth="1"/>
    <col min="11785" max="11785" width="7.140625" style="9" customWidth="1"/>
    <col min="11786" max="11786" width="8.5703125" style="9" customWidth="1"/>
    <col min="11787" max="11787" width="10.42578125" style="9" customWidth="1"/>
    <col min="11788" max="11788" width="9.140625" style="9" customWidth="1"/>
    <col min="11789" max="11789" width="7.42578125" style="9" customWidth="1"/>
    <col min="11790" max="11790" width="11.28515625" style="9" customWidth="1"/>
    <col min="11791" max="11791" width="15.85546875" style="9" customWidth="1"/>
    <col min="11792" max="11792" width="11.28515625" style="9" customWidth="1"/>
    <col min="11793" max="11793" width="12.140625" style="9" customWidth="1"/>
    <col min="11794" max="12036" width="9.140625" style="9"/>
    <col min="12037" max="12037" width="12.5703125" style="9" customWidth="1"/>
    <col min="12038" max="12038" width="15.5703125" style="9" customWidth="1"/>
    <col min="12039" max="12039" width="10.28515625" style="9" customWidth="1"/>
    <col min="12040" max="12040" width="8.5703125" style="9" customWidth="1"/>
    <col min="12041" max="12041" width="7.140625" style="9" customWidth="1"/>
    <col min="12042" max="12042" width="8.5703125" style="9" customWidth="1"/>
    <col min="12043" max="12043" width="10.42578125" style="9" customWidth="1"/>
    <col min="12044" max="12044" width="9.140625" style="9" customWidth="1"/>
    <col min="12045" max="12045" width="7.42578125" style="9" customWidth="1"/>
    <col min="12046" max="12046" width="11.28515625" style="9" customWidth="1"/>
    <col min="12047" max="12047" width="15.85546875" style="9" customWidth="1"/>
    <col min="12048" max="12048" width="11.28515625" style="9" customWidth="1"/>
    <col min="12049" max="12049" width="12.140625" style="9" customWidth="1"/>
    <col min="12050" max="12292" width="9.140625" style="9"/>
    <col min="12293" max="12293" width="12.5703125" style="9" customWidth="1"/>
    <col min="12294" max="12294" width="15.5703125" style="9" customWidth="1"/>
    <col min="12295" max="12295" width="10.28515625" style="9" customWidth="1"/>
    <col min="12296" max="12296" width="8.5703125" style="9" customWidth="1"/>
    <col min="12297" max="12297" width="7.140625" style="9" customWidth="1"/>
    <col min="12298" max="12298" width="8.5703125" style="9" customWidth="1"/>
    <col min="12299" max="12299" width="10.42578125" style="9" customWidth="1"/>
    <col min="12300" max="12300" width="9.140625" style="9" customWidth="1"/>
    <col min="12301" max="12301" width="7.42578125" style="9" customWidth="1"/>
    <col min="12302" max="12302" width="11.28515625" style="9" customWidth="1"/>
    <col min="12303" max="12303" width="15.85546875" style="9" customWidth="1"/>
    <col min="12304" max="12304" width="11.28515625" style="9" customWidth="1"/>
    <col min="12305" max="12305" width="12.140625" style="9" customWidth="1"/>
    <col min="12306" max="12548" width="9.140625" style="9"/>
    <col min="12549" max="12549" width="12.5703125" style="9" customWidth="1"/>
    <col min="12550" max="12550" width="15.5703125" style="9" customWidth="1"/>
    <col min="12551" max="12551" width="10.28515625" style="9" customWidth="1"/>
    <col min="12552" max="12552" width="8.5703125" style="9" customWidth="1"/>
    <col min="12553" max="12553" width="7.140625" style="9" customWidth="1"/>
    <col min="12554" max="12554" width="8.5703125" style="9" customWidth="1"/>
    <col min="12555" max="12555" width="10.42578125" style="9" customWidth="1"/>
    <col min="12556" max="12556" width="9.140625" style="9" customWidth="1"/>
    <col min="12557" max="12557" width="7.42578125" style="9" customWidth="1"/>
    <col min="12558" max="12558" width="11.28515625" style="9" customWidth="1"/>
    <col min="12559" max="12559" width="15.85546875" style="9" customWidth="1"/>
    <col min="12560" max="12560" width="11.28515625" style="9" customWidth="1"/>
    <col min="12561" max="12561" width="12.140625" style="9" customWidth="1"/>
    <col min="12562" max="12804" width="9.140625" style="9"/>
    <col min="12805" max="12805" width="12.5703125" style="9" customWidth="1"/>
    <col min="12806" max="12806" width="15.5703125" style="9" customWidth="1"/>
    <col min="12807" max="12807" width="10.28515625" style="9" customWidth="1"/>
    <col min="12808" max="12808" width="8.5703125" style="9" customWidth="1"/>
    <col min="12809" max="12809" width="7.140625" style="9" customWidth="1"/>
    <col min="12810" max="12810" width="8.5703125" style="9" customWidth="1"/>
    <col min="12811" max="12811" width="10.42578125" style="9" customWidth="1"/>
    <col min="12812" max="12812" width="9.140625" style="9" customWidth="1"/>
    <col min="12813" max="12813" width="7.42578125" style="9" customWidth="1"/>
    <col min="12814" max="12814" width="11.28515625" style="9" customWidth="1"/>
    <col min="12815" max="12815" width="15.85546875" style="9" customWidth="1"/>
    <col min="12816" max="12816" width="11.28515625" style="9" customWidth="1"/>
    <col min="12817" max="12817" width="12.140625" style="9" customWidth="1"/>
    <col min="12818" max="13060" width="9.140625" style="9"/>
    <col min="13061" max="13061" width="12.5703125" style="9" customWidth="1"/>
    <col min="13062" max="13062" width="15.5703125" style="9" customWidth="1"/>
    <col min="13063" max="13063" width="10.28515625" style="9" customWidth="1"/>
    <col min="13064" max="13064" width="8.5703125" style="9" customWidth="1"/>
    <col min="13065" max="13065" width="7.140625" style="9" customWidth="1"/>
    <col min="13066" max="13066" width="8.5703125" style="9" customWidth="1"/>
    <col min="13067" max="13067" width="10.42578125" style="9" customWidth="1"/>
    <col min="13068" max="13068" width="9.140625" style="9" customWidth="1"/>
    <col min="13069" max="13069" width="7.42578125" style="9" customWidth="1"/>
    <col min="13070" max="13070" width="11.28515625" style="9" customWidth="1"/>
    <col min="13071" max="13071" width="15.85546875" style="9" customWidth="1"/>
    <col min="13072" max="13072" width="11.28515625" style="9" customWidth="1"/>
    <col min="13073" max="13073" width="12.140625" style="9" customWidth="1"/>
    <col min="13074" max="13316" width="9.140625" style="9"/>
    <col min="13317" max="13317" width="12.5703125" style="9" customWidth="1"/>
    <col min="13318" max="13318" width="15.5703125" style="9" customWidth="1"/>
    <col min="13319" max="13319" width="10.28515625" style="9" customWidth="1"/>
    <col min="13320" max="13320" width="8.5703125" style="9" customWidth="1"/>
    <col min="13321" max="13321" width="7.140625" style="9" customWidth="1"/>
    <col min="13322" max="13322" width="8.5703125" style="9" customWidth="1"/>
    <col min="13323" max="13323" width="10.42578125" style="9" customWidth="1"/>
    <col min="13324" max="13324" width="9.140625" style="9" customWidth="1"/>
    <col min="13325" max="13325" width="7.42578125" style="9" customWidth="1"/>
    <col min="13326" max="13326" width="11.28515625" style="9" customWidth="1"/>
    <col min="13327" max="13327" width="15.85546875" style="9" customWidth="1"/>
    <col min="13328" max="13328" width="11.28515625" style="9" customWidth="1"/>
    <col min="13329" max="13329" width="12.140625" style="9" customWidth="1"/>
    <col min="13330" max="13572" width="9.140625" style="9"/>
    <col min="13573" max="13573" width="12.5703125" style="9" customWidth="1"/>
    <col min="13574" max="13574" width="15.5703125" style="9" customWidth="1"/>
    <col min="13575" max="13575" width="10.28515625" style="9" customWidth="1"/>
    <col min="13576" max="13576" width="8.5703125" style="9" customWidth="1"/>
    <col min="13577" max="13577" width="7.140625" style="9" customWidth="1"/>
    <col min="13578" max="13578" width="8.5703125" style="9" customWidth="1"/>
    <col min="13579" max="13579" width="10.42578125" style="9" customWidth="1"/>
    <col min="13580" max="13580" width="9.140625" style="9" customWidth="1"/>
    <col min="13581" max="13581" width="7.42578125" style="9" customWidth="1"/>
    <col min="13582" max="13582" width="11.28515625" style="9" customWidth="1"/>
    <col min="13583" max="13583" width="15.85546875" style="9" customWidth="1"/>
    <col min="13584" max="13584" width="11.28515625" style="9" customWidth="1"/>
    <col min="13585" max="13585" width="12.140625" style="9" customWidth="1"/>
    <col min="13586" max="13828" width="9.140625" style="9"/>
    <col min="13829" max="13829" width="12.5703125" style="9" customWidth="1"/>
    <col min="13830" max="13830" width="15.5703125" style="9" customWidth="1"/>
    <col min="13831" max="13831" width="10.28515625" style="9" customWidth="1"/>
    <col min="13832" max="13832" width="8.5703125" style="9" customWidth="1"/>
    <col min="13833" max="13833" width="7.140625" style="9" customWidth="1"/>
    <col min="13834" max="13834" width="8.5703125" style="9" customWidth="1"/>
    <col min="13835" max="13835" width="10.42578125" style="9" customWidth="1"/>
    <col min="13836" max="13836" width="9.140625" style="9" customWidth="1"/>
    <col min="13837" max="13837" width="7.42578125" style="9" customWidth="1"/>
    <col min="13838" max="13838" width="11.28515625" style="9" customWidth="1"/>
    <col min="13839" max="13839" width="15.85546875" style="9" customWidth="1"/>
    <col min="13840" max="13840" width="11.28515625" style="9" customWidth="1"/>
    <col min="13841" max="13841" width="12.140625" style="9" customWidth="1"/>
    <col min="13842" max="14084" width="9.140625" style="9"/>
    <col min="14085" max="14085" width="12.5703125" style="9" customWidth="1"/>
    <col min="14086" max="14086" width="15.5703125" style="9" customWidth="1"/>
    <col min="14087" max="14087" width="10.28515625" style="9" customWidth="1"/>
    <col min="14088" max="14088" width="8.5703125" style="9" customWidth="1"/>
    <col min="14089" max="14089" width="7.140625" style="9" customWidth="1"/>
    <col min="14090" max="14090" width="8.5703125" style="9" customWidth="1"/>
    <col min="14091" max="14091" width="10.42578125" style="9" customWidth="1"/>
    <col min="14092" max="14092" width="9.140625" style="9" customWidth="1"/>
    <col min="14093" max="14093" width="7.42578125" style="9" customWidth="1"/>
    <col min="14094" max="14094" width="11.28515625" style="9" customWidth="1"/>
    <col min="14095" max="14095" width="15.85546875" style="9" customWidth="1"/>
    <col min="14096" max="14096" width="11.28515625" style="9" customWidth="1"/>
    <col min="14097" max="14097" width="12.140625" style="9" customWidth="1"/>
    <col min="14098" max="14340" width="9.140625" style="9"/>
    <col min="14341" max="14341" width="12.5703125" style="9" customWidth="1"/>
    <col min="14342" max="14342" width="15.5703125" style="9" customWidth="1"/>
    <col min="14343" max="14343" width="10.28515625" style="9" customWidth="1"/>
    <col min="14344" max="14344" width="8.5703125" style="9" customWidth="1"/>
    <col min="14345" max="14345" width="7.140625" style="9" customWidth="1"/>
    <col min="14346" max="14346" width="8.5703125" style="9" customWidth="1"/>
    <col min="14347" max="14347" width="10.42578125" style="9" customWidth="1"/>
    <col min="14348" max="14348" width="9.140625" style="9" customWidth="1"/>
    <col min="14349" max="14349" width="7.42578125" style="9" customWidth="1"/>
    <col min="14350" max="14350" width="11.28515625" style="9" customWidth="1"/>
    <col min="14351" max="14351" width="15.85546875" style="9" customWidth="1"/>
    <col min="14352" max="14352" width="11.28515625" style="9" customWidth="1"/>
    <col min="14353" max="14353" width="12.140625" style="9" customWidth="1"/>
    <col min="14354" max="14596" width="9.140625" style="9"/>
    <col min="14597" max="14597" width="12.5703125" style="9" customWidth="1"/>
    <col min="14598" max="14598" width="15.5703125" style="9" customWidth="1"/>
    <col min="14599" max="14599" width="10.28515625" style="9" customWidth="1"/>
    <col min="14600" max="14600" width="8.5703125" style="9" customWidth="1"/>
    <col min="14601" max="14601" width="7.140625" style="9" customWidth="1"/>
    <col min="14602" max="14602" width="8.5703125" style="9" customWidth="1"/>
    <col min="14603" max="14603" width="10.42578125" style="9" customWidth="1"/>
    <col min="14604" max="14604" width="9.140625" style="9" customWidth="1"/>
    <col min="14605" max="14605" width="7.42578125" style="9" customWidth="1"/>
    <col min="14606" max="14606" width="11.28515625" style="9" customWidth="1"/>
    <col min="14607" max="14607" width="15.85546875" style="9" customWidth="1"/>
    <col min="14608" max="14608" width="11.28515625" style="9" customWidth="1"/>
    <col min="14609" max="14609" width="12.140625" style="9" customWidth="1"/>
    <col min="14610" max="14852" width="9.140625" style="9"/>
    <col min="14853" max="14853" width="12.5703125" style="9" customWidth="1"/>
    <col min="14854" max="14854" width="15.5703125" style="9" customWidth="1"/>
    <col min="14855" max="14855" width="10.28515625" style="9" customWidth="1"/>
    <col min="14856" max="14856" width="8.5703125" style="9" customWidth="1"/>
    <col min="14857" max="14857" width="7.140625" style="9" customWidth="1"/>
    <col min="14858" max="14858" width="8.5703125" style="9" customWidth="1"/>
    <col min="14859" max="14859" width="10.42578125" style="9" customWidth="1"/>
    <col min="14860" max="14860" width="9.140625" style="9" customWidth="1"/>
    <col min="14861" max="14861" width="7.42578125" style="9" customWidth="1"/>
    <col min="14862" max="14862" width="11.28515625" style="9" customWidth="1"/>
    <col min="14863" max="14863" width="15.85546875" style="9" customWidth="1"/>
    <col min="14864" max="14864" width="11.28515625" style="9" customWidth="1"/>
    <col min="14865" max="14865" width="12.140625" style="9" customWidth="1"/>
    <col min="14866" max="15108" width="9.140625" style="9"/>
    <col min="15109" max="15109" width="12.5703125" style="9" customWidth="1"/>
    <col min="15110" max="15110" width="15.5703125" style="9" customWidth="1"/>
    <col min="15111" max="15111" width="10.28515625" style="9" customWidth="1"/>
    <col min="15112" max="15112" width="8.5703125" style="9" customWidth="1"/>
    <col min="15113" max="15113" width="7.140625" style="9" customWidth="1"/>
    <col min="15114" max="15114" width="8.5703125" style="9" customWidth="1"/>
    <col min="15115" max="15115" width="10.42578125" style="9" customWidth="1"/>
    <col min="15116" max="15116" width="9.140625" style="9" customWidth="1"/>
    <col min="15117" max="15117" width="7.42578125" style="9" customWidth="1"/>
    <col min="15118" max="15118" width="11.28515625" style="9" customWidth="1"/>
    <col min="15119" max="15119" width="15.85546875" style="9" customWidth="1"/>
    <col min="15120" max="15120" width="11.28515625" style="9" customWidth="1"/>
    <col min="15121" max="15121" width="12.140625" style="9" customWidth="1"/>
    <col min="15122" max="15364" width="9.140625" style="9"/>
    <col min="15365" max="15365" width="12.5703125" style="9" customWidth="1"/>
    <col min="15366" max="15366" width="15.5703125" style="9" customWidth="1"/>
    <col min="15367" max="15367" width="10.28515625" style="9" customWidth="1"/>
    <col min="15368" max="15368" width="8.5703125" style="9" customWidth="1"/>
    <col min="15369" max="15369" width="7.140625" style="9" customWidth="1"/>
    <col min="15370" max="15370" width="8.5703125" style="9" customWidth="1"/>
    <col min="15371" max="15371" width="10.42578125" style="9" customWidth="1"/>
    <col min="15372" max="15372" width="9.140625" style="9" customWidth="1"/>
    <col min="15373" max="15373" width="7.42578125" style="9" customWidth="1"/>
    <col min="15374" max="15374" width="11.28515625" style="9" customWidth="1"/>
    <col min="15375" max="15375" width="15.85546875" style="9" customWidth="1"/>
    <col min="15376" max="15376" width="11.28515625" style="9" customWidth="1"/>
    <col min="15377" max="15377" width="12.140625" style="9" customWidth="1"/>
    <col min="15378" max="15620" width="9.140625" style="9"/>
    <col min="15621" max="15621" width="12.5703125" style="9" customWidth="1"/>
    <col min="15622" max="15622" width="15.5703125" style="9" customWidth="1"/>
    <col min="15623" max="15623" width="10.28515625" style="9" customWidth="1"/>
    <col min="15624" max="15624" width="8.5703125" style="9" customWidth="1"/>
    <col min="15625" max="15625" width="7.140625" style="9" customWidth="1"/>
    <col min="15626" max="15626" width="8.5703125" style="9" customWidth="1"/>
    <col min="15627" max="15627" width="10.42578125" style="9" customWidth="1"/>
    <col min="15628" max="15628" width="9.140625" style="9" customWidth="1"/>
    <col min="15629" max="15629" width="7.42578125" style="9" customWidth="1"/>
    <col min="15630" max="15630" width="11.28515625" style="9" customWidth="1"/>
    <col min="15631" max="15631" width="15.85546875" style="9" customWidth="1"/>
    <col min="15632" max="15632" width="11.28515625" style="9" customWidth="1"/>
    <col min="15633" max="15633" width="12.140625" style="9" customWidth="1"/>
    <col min="15634" max="15876" width="9.140625" style="9"/>
    <col min="15877" max="15877" width="12.5703125" style="9" customWidth="1"/>
    <col min="15878" max="15878" width="15.5703125" style="9" customWidth="1"/>
    <col min="15879" max="15879" width="10.28515625" style="9" customWidth="1"/>
    <col min="15880" max="15880" width="8.5703125" style="9" customWidth="1"/>
    <col min="15881" max="15881" width="7.140625" style="9" customWidth="1"/>
    <col min="15882" max="15882" width="8.5703125" style="9" customWidth="1"/>
    <col min="15883" max="15883" width="10.42578125" style="9" customWidth="1"/>
    <col min="15884" max="15884" width="9.140625" style="9" customWidth="1"/>
    <col min="15885" max="15885" width="7.42578125" style="9" customWidth="1"/>
    <col min="15886" max="15886" width="11.28515625" style="9" customWidth="1"/>
    <col min="15887" max="15887" width="15.85546875" style="9" customWidth="1"/>
    <col min="15888" max="15888" width="11.28515625" style="9" customWidth="1"/>
    <col min="15889" max="15889" width="12.140625" style="9" customWidth="1"/>
    <col min="15890" max="16132" width="9.140625" style="9"/>
    <col min="16133" max="16133" width="12.5703125" style="9" customWidth="1"/>
    <col min="16134" max="16134" width="15.5703125" style="9" customWidth="1"/>
    <col min="16135" max="16135" width="10.28515625" style="9" customWidth="1"/>
    <col min="16136" max="16136" width="8.5703125" style="9" customWidth="1"/>
    <col min="16137" max="16137" width="7.140625" style="9" customWidth="1"/>
    <col min="16138" max="16138" width="8.5703125" style="9" customWidth="1"/>
    <col min="16139" max="16139" width="10.42578125" style="9" customWidth="1"/>
    <col min="16140" max="16140" width="9.140625" style="9" customWidth="1"/>
    <col min="16141" max="16141" width="7.42578125" style="9" customWidth="1"/>
    <col min="16142" max="16142" width="11.28515625" style="9" customWidth="1"/>
    <col min="16143" max="16143" width="15.85546875" style="9" customWidth="1"/>
    <col min="16144" max="16144" width="11.28515625" style="9" customWidth="1"/>
    <col min="16145" max="16145" width="12.140625" style="9" customWidth="1"/>
    <col min="16146" max="16384" width="9.140625" style="9"/>
  </cols>
  <sheetData>
    <row r="1" spans="1:37" s="7" customFormat="1" ht="17.25" customHeight="1">
      <c r="A1" s="1" t="s">
        <v>0</v>
      </c>
      <c r="B1" s="121" t="s">
        <v>68</v>
      </c>
      <c r="C1" s="137" t="s">
        <v>11</v>
      </c>
      <c r="D1" s="138"/>
      <c r="E1" s="138"/>
      <c r="F1" s="138"/>
      <c r="G1" s="138"/>
      <c r="H1" s="138"/>
      <c r="I1" s="138"/>
      <c r="J1" s="158" t="s">
        <v>1</v>
      </c>
      <c r="K1" s="159"/>
      <c r="L1" s="166">
        <v>0</v>
      </c>
      <c r="M1" s="167"/>
      <c r="N1" s="143"/>
      <c r="O1" s="144"/>
      <c r="P1" s="144"/>
      <c r="Q1" s="145"/>
      <c r="AF1" s="93"/>
      <c r="AG1" s="94"/>
      <c r="AH1" s="95"/>
      <c r="AI1" s="96"/>
      <c r="AJ1" s="94"/>
      <c r="AK1" s="97"/>
    </row>
    <row r="2" spans="1:37" s="7" customFormat="1" ht="18">
      <c r="A2" s="2" t="s">
        <v>2</v>
      </c>
      <c r="B2" s="122" t="s">
        <v>67</v>
      </c>
      <c r="C2" s="139"/>
      <c r="D2" s="140"/>
      <c r="E2" s="140"/>
      <c r="F2" s="140"/>
      <c r="G2" s="140"/>
      <c r="H2" s="140"/>
      <c r="I2" s="140"/>
      <c r="J2" s="160" t="s">
        <v>3</v>
      </c>
      <c r="K2" s="161"/>
      <c r="L2" s="168" t="s">
        <v>73</v>
      </c>
      <c r="M2" s="169"/>
      <c r="N2" s="146"/>
      <c r="O2" s="147"/>
      <c r="P2" s="147"/>
      <c r="Q2" s="148"/>
      <c r="AF2" s="98"/>
      <c r="AG2" s="69"/>
      <c r="AH2" s="98"/>
      <c r="AI2" s="70"/>
      <c r="AJ2" s="98"/>
      <c r="AK2" s="70"/>
    </row>
    <row r="3" spans="1:37" s="7" customFormat="1" ht="18">
      <c r="A3" s="2" t="s">
        <v>4</v>
      </c>
      <c r="B3" s="122" t="s">
        <v>66</v>
      </c>
      <c r="C3" s="139"/>
      <c r="D3" s="140"/>
      <c r="E3" s="140"/>
      <c r="F3" s="140"/>
      <c r="G3" s="140"/>
      <c r="H3" s="140"/>
      <c r="I3" s="140"/>
      <c r="J3" s="162" t="s">
        <v>5</v>
      </c>
      <c r="K3" s="163"/>
      <c r="L3" s="176" t="s">
        <v>69</v>
      </c>
      <c r="M3" s="169"/>
      <c r="N3" s="146"/>
      <c r="O3" s="147"/>
      <c r="P3" s="147"/>
      <c r="Q3" s="148"/>
      <c r="AF3" s="98"/>
      <c r="AG3" s="69"/>
      <c r="AH3" s="98"/>
      <c r="AI3" s="70"/>
      <c r="AJ3" s="98"/>
      <c r="AK3" s="70"/>
    </row>
    <row r="4" spans="1:37" s="7" customFormat="1" ht="54.75" thickBot="1">
      <c r="A4" s="3" t="s">
        <v>6</v>
      </c>
      <c r="B4" s="123" t="s">
        <v>72</v>
      </c>
      <c r="C4" s="141"/>
      <c r="D4" s="142"/>
      <c r="E4" s="142"/>
      <c r="F4" s="142"/>
      <c r="G4" s="142"/>
      <c r="H4" s="142"/>
      <c r="I4" s="142"/>
      <c r="J4" s="164" t="s">
        <v>7</v>
      </c>
      <c r="K4" s="165"/>
      <c r="L4" s="177" t="s">
        <v>65</v>
      </c>
      <c r="M4" s="178"/>
      <c r="N4" s="149"/>
      <c r="O4" s="150"/>
      <c r="P4" s="150"/>
      <c r="Q4" s="151"/>
      <c r="AF4" s="98"/>
      <c r="AG4" s="69"/>
      <c r="AH4" s="98"/>
      <c r="AI4" s="70"/>
      <c r="AJ4" s="98"/>
      <c r="AK4" s="70"/>
    </row>
    <row r="5" spans="1:37" s="7" customFormat="1" ht="18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7"/>
      <c r="AF5" s="98"/>
      <c r="AG5" s="69"/>
      <c r="AH5" s="98"/>
      <c r="AI5" s="70"/>
      <c r="AJ5" s="98"/>
      <c r="AK5" s="70"/>
    </row>
    <row r="6" spans="1:37" ht="18.75" customHeight="1">
      <c r="A6" s="8"/>
      <c r="B6" s="6" t="s">
        <v>19</v>
      </c>
      <c r="C6" s="152" t="s">
        <v>71</v>
      </c>
      <c r="D6" s="154"/>
      <c r="E6" s="154"/>
      <c r="F6" s="153"/>
      <c r="G6" s="35"/>
      <c r="H6" s="35"/>
      <c r="I6" s="10"/>
      <c r="J6" s="170" t="s">
        <v>21</v>
      </c>
      <c r="K6" s="171"/>
      <c r="L6" s="171"/>
      <c r="M6" s="171"/>
      <c r="N6" s="172"/>
      <c r="O6" s="152">
        <v>12045</v>
      </c>
      <c r="P6" s="153"/>
      <c r="Q6" s="11"/>
      <c r="AF6" s="98"/>
      <c r="AG6" s="69"/>
      <c r="AH6" s="98"/>
      <c r="AI6" s="70"/>
      <c r="AJ6" s="98"/>
      <c r="AK6" s="70"/>
    </row>
    <row r="7" spans="1:37" ht="18.75" customHeight="1">
      <c r="A7" s="12"/>
      <c r="B7" s="13"/>
      <c r="C7" s="13"/>
      <c r="D7" s="13"/>
      <c r="E7" s="13"/>
      <c r="F7" s="13"/>
      <c r="G7" s="10"/>
      <c r="H7" s="10"/>
      <c r="I7" s="10"/>
      <c r="J7" s="170" t="s">
        <v>30</v>
      </c>
      <c r="K7" s="171"/>
      <c r="L7" s="171"/>
      <c r="M7" s="171"/>
      <c r="N7" s="172"/>
      <c r="O7" s="152" t="s">
        <v>70</v>
      </c>
      <c r="P7" s="153"/>
      <c r="Q7" s="11"/>
      <c r="AF7" s="98"/>
      <c r="AG7" s="69"/>
      <c r="AH7" s="98"/>
      <c r="AI7" s="70"/>
      <c r="AJ7" s="98"/>
      <c r="AK7" s="70"/>
    </row>
    <row r="8" spans="1:37" ht="18.75" customHeight="1">
      <c r="A8" s="14"/>
      <c r="B8" s="203" t="s">
        <v>18</v>
      </c>
      <c r="C8" s="204"/>
      <c r="D8" s="205"/>
      <c r="E8" s="152" t="s">
        <v>74</v>
      </c>
      <c r="F8" s="154"/>
      <c r="G8" s="153"/>
      <c r="H8" s="10"/>
      <c r="I8" s="10"/>
      <c r="J8" s="43"/>
      <c r="K8" s="43"/>
      <c r="L8" s="35"/>
      <c r="M8" s="35"/>
      <c r="N8" s="35"/>
      <c r="O8" s="10"/>
      <c r="P8" s="10"/>
      <c r="Q8" s="11"/>
      <c r="AF8" s="98"/>
      <c r="AG8" s="69"/>
      <c r="AH8" s="98"/>
      <c r="AI8" s="70"/>
      <c r="AJ8" s="98"/>
      <c r="AK8" s="70"/>
    </row>
    <row r="9" spans="1:37" ht="18.75" customHeight="1">
      <c r="A9" s="12"/>
      <c r="B9" s="13"/>
      <c r="C9" s="13"/>
      <c r="D9" s="13"/>
      <c r="E9" s="13"/>
      <c r="F9" s="13"/>
      <c r="G9" s="10"/>
      <c r="H9" s="10"/>
      <c r="I9" s="10"/>
      <c r="J9" s="43"/>
      <c r="K9" s="43"/>
      <c r="L9" s="35"/>
      <c r="M9" s="35"/>
      <c r="N9" s="35"/>
      <c r="O9" s="10"/>
      <c r="P9" s="10"/>
      <c r="Q9" s="11"/>
      <c r="AF9" s="98"/>
      <c r="AG9" s="69"/>
      <c r="AH9" s="98"/>
      <c r="AI9" s="70"/>
      <c r="AJ9" s="98"/>
      <c r="AK9" s="70"/>
    </row>
    <row r="10" spans="1:37" ht="18.75">
      <c r="A10" s="16" t="s">
        <v>17</v>
      </c>
      <c r="B10" s="13"/>
      <c r="C10" s="13"/>
      <c r="D10" s="13"/>
      <c r="E10" s="13"/>
      <c r="F10" s="13"/>
      <c r="G10" s="10"/>
      <c r="H10" s="10"/>
      <c r="I10" s="10"/>
      <c r="J10" s="17"/>
      <c r="K10" s="17"/>
      <c r="L10" s="10"/>
      <c r="M10" s="10"/>
      <c r="N10" s="10"/>
      <c r="O10" s="10"/>
      <c r="P10" s="10"/>
      <c r="Q10" s="11"/>
      <c r="AF10" s="98"/>
      <c r="AG10" s="69"/>
      <c r="AH10" s="98"/>
      <c r="AI10" s="70"/>
      <c r="AJ10" s="98"/>
      <c r="AK10" s="70"/>
    </row>
    <row r="11" spans="1:37" ht="18.75">
      <c r="A11" s="18"/>
      <c r="B11" s="13"/>
      <c r="C11" s="13"/>
      <c r="D11" s="13"/>
      <c r="E11" s="13"/>
      <c r="F11" s="13"/>
      <c r="G11" s="10"/>
      <c r="H11" s="10"/>
      <c r="I11" s="10"/>
      <c r="J11" s="17"/>
      <c r="K11" s="43"/>
      <c r="L11" s="35"/>
      <c r="M11" s="35"/>
      <c r="N11" s="35"/>
      <c r="O11" s="10"/>
      <c r="P11" s="10"/>
      <c r="Q11" s="11"/>
      <c r="AF11" s="98"/>
      <c r="AG11" s="69"/>
      <c r="AH11" s="98"/>
      <c r="AI11" s="70"/>
      <c r="AJ11" s="98"/>
      <c r="AK11" s="70"/>
    </row>
    <row r="12" spans="1:37" ht="21.75" customHeight="1">
      <c r="A12" s="126"/>
      <c r="B12" s="209" t="s">
        <v>51</v>
      </c>
      <c r="C12" s="210"/>
      <c r="D12" s="210"/>
      <c r="E12" s="210"/>
      <c r="F12" s="210"/>
      <c r="G12" s="211"/>
      <c r="H12" s="201">
        <v>25</v>
      </c>
      <c r="I12" s="202"/>
      <c r="J12" s="19"/>
      <c r="K12" s="179">
        <f>(1.8*H12)+32</f>
        <v>77</v>
      </c>
      <c r="L12" s="180"/>
      <c r="M12" s="127" t="s">
        <v>47</v>
      </c>
      <c r="N12" s="35"/>
      <c r="O12" s="10"/>
      <c r="P12" s="10"/>
      <c r="Q12" s="11"/>
      <c r="AF12" s="98"/>
      <c r="AG12" s="69"/>
      <c r="AH12" s="98"/>
      <c r="AI12" s="70"/>
      <c r="AJ12" s="98"/>
      <c r="AK12" s="70"/>
    </row>
    <row r="13" spans="1:37" ht="18.75">
      <c r="A13" s="20"/>
      <c r="B13" s="21"/>
      <c r="C13" s="21"/>
      <c r="D13" s="21"/>
      <c r="E13" s="21"/>
      <c r="F13" s="21"/>
      <c r="G13" s="22"/>
      <c r="H13" s="23"/>
      <c r="I13" s="22"/>
      <c r="J13" s="19"/>
      <c r="K13" s="19"/>
      <c r="L13" s="35"/>
      <c r="M13" s="35"/>
      <c r="N13" s="35"/>
      <c r="O13" s="10"/>
      <c r="P13" s="10"/>
      <c r="Q13" s="11"/>
      <c r="AF13" s="98"/>
      <c r="AG13" s="69"/>
      <c r="AH13" s="98"/>
      <c r="AI13" s="70"/>
      <c r="AJ13" s="98"/>
      <c r="AK13" s="70"/>
    </row>
    <row r="14" spans="1:37" ht="37.5" customHeight="1">
      <c r="A14" s="126"/>
      <c r="B14" s="209" t="s">
        <v>48</v>
      </c>
      <c r="C14" s="210"/>
      <c r="D14" s="210"/>
      <c r="E14" s="210"/>
      <c r="F14" s="210"/>
      <c r="G14" s="211"/>
      <c r="H14" s="152">
        <v>60</v>
      </c>
      <c r="I14" s="153"/>
      <c r="J14" s="43"/>
      <c r="K14" s="179">
        <f>(1.8*H14)+32</f>
        <v>140</v>
      </c>
      <c r="L14" s="180"/>
      <c r="M14" s="127" t="s">
        <v>47</v>
      </c>
      <c r="N14" s="35"/>
      <c r="O14" s="10"/>
      <c r="P14" s="10"/>
      <c r="Q14" s="11"/>
      <c r="AF14" s="98"/>
      <c r="AG14" s="69"/>
      <c r="AH14" s="98"/>
      <c r="AI14" s="70"/>
      <c r="AJ14" s="98"/>
      <c r="AK14" s="70"/>
    </row>
    <row r="15" spans="1:37" ht="18.75">
      <c r="A15" s="20"/>
      <c r="B15" s="21"/>
      <c r="C15" s="21"/>
      <c r="D15" s="21"/>
      <c r="E15" s="21"/>
      <c r="F15" s="21"/>
      <c r="G15" s="22"/>
      <c r="H15" s="23"/>
      <c r="I15" s="22"/>
      <c r="J15" s="19"/>
      <c r="K15" s="19"/>
      <c r="L15" s="10"/>
      <c r="M15" s="24"/>
      <c r="N15" s="25"/>
      <c r="O15" s="10"/>
      <c r="P15" s="10"/>
      <c r="Q15" s="11"/>
      <c r="AF15" s="98"/>
      <c r="AG15" s="69"/>
      <c r="AH15" s="98"/>
      <c r="AI15" s="70"/>
      <c r="AJ15" s="98"/>
      <c r="AK15" s="70"/>
    </row>
    <row r="16" spans="1:37" ht="18" customHeight="1">
      <c r="A16" s="126"/>
      <c r="B16" s="212" t="s">
        <v>25</v>
      </c>
      <c r="C16" s="212"/>
      <c r="D16" s="212"/>
      <c r="E16" s="212"/>
      <c r="F16" s="212"/>
      <c r="G16" s="212"/>
      <c r="H16" s="199">
        <v>1</v>
      </c>
      <c r="I16" s="200"/>
      <c r="J16" s="19"/>
      <c r="K16" s="179">
        <f>H16</f>
        <v>1</v>
      </c>
      <c r="L16" s="180"/>
      <c r="M16" s="10"/>
      <c r="N16" s="25"/>
      <c r="O16" s="10"/>
      <c r="P16" s="10"/>
      <c r="Q16" s="11"/>
      <c r="AF16" s="98"/>
      <c r="AG16" s="69"/>
      <c r="AH16" s="98"/>
      <c r="AI16" s="70"/>
      <c r="AJ16" s="98"/>
      <c r="AK16" s="70"/>
    </row>
    <row r="17" spans="1:37" ht="18.75">
      <c r="A17" s="20"/>
      <c r="B17" s="21"/>
      <c r="C17" s="21"/>
      <c r="D17" s="21"/>
      <c r="E17" s="21"/>
      <c r="F17" s="21"/>
      <c r="G17" s="22"/>
      <c r="H17" s="23"/>
      <c r="I17" s="22"/>
      <c r="J17" s="19"/>
      <c r="K17" s="19"/>
      <c r="L17" s="10"/>
      <c r="M17" s="10"/>
      <c r="N17" s="10"/>
      <c r="O17" s="10"/>
      <c r="P17" s="10"/>
      <c r="Q17" s="11"/>
      <c r="AF17" s="98"/>
      <c r="AG17" s="69"/>
      <c r="AH17" s="98"/>
      <c r="AI17" s="70"/>
      <c r="AJ17" s="98"/>
      <c r="AK17" s="70"/>
    </row>
    <row r="18" spans="1:37" ht="18.75">
      <c r="A18" s="126"/>
      <c r="B18" s="212" t="s">
        <v>13</v>
      </c>
      <c r="C18" s="212"/>
      <c r="D18" s="212"/>
      <c r="E18" s="212"/>
      <c r="F18" s="212"/>
      <c r="G18" s="212"/>
      <c r="H18" s="152">
        <v>3250</v>
      </c>
      <c r="I18" s="153"/>
      <c r="J18" s="19"/>
      <c r="K18" s="181">
        <f>H18/(25.4*12)</f>
        <v>10.662729658792653</v>
      </c>
      <c r="L18" s="182"/>
      <c r="M18" s="127" t="s">
        <v>31</v>
      </c>
      <c r="N18" s="10"/>
      <c r="O18" s="10"/>
      <c r="P18" s="10"/>
      <c r="Q18" s="11"/>
      <c r="AF18" s="98"/>
      <c r="AG18" s="69"/>
      <c r="AH18" s="98"/>
      <c r="AI18" s="70"/>
      <c r="AJ18" s="98"/>
      <c r="AK18" s="70"/>
    </row>
    <row r="19" spans="1:37" ht="18.75">
      <c r="A19" s="20"/>
      <c r="B19" s="21"/>
      <c r="C19" s="21"/>
      <c r="D19" s="21"/>
      <c r="E19" s="21"/>
      <c r="F19" s="21"/>
      <c r="G19" s="22"/>
      <c r="H19" s="23"/>
      <c r="I19" s="22"/>
      <c r="J19" s="43"/>
      <c r="K19" s="43"/>
      <c r="L19" s="35"/>
      <c r="M19" s="35"/>
      <c r="N19" s="35"/>
      <c r="O19" s="35"/>
      <c r="P19" s="10"/>
      <c r="Q19" s="11"/>
      <c r="AF19" s="98"/>
      <c r="AG19" s="69"/>
      <c r="AH19" s="98"/>
      <c r="AI19" s="70"/>
      <c r="AJ19" s="98"/>
      <c r="AK19" s="70"/>
    </row>
    <row r="20" spans="1:37" ht="18.75">
      <c r="A20" s="126"/>
      <c r="B20" s="212" t="s">
        <v>12</v>
      </c>
      <c r="C20" s="212"/>
      <c r="D20" s="212"/>
      <c r="E20" s="212"/>
      <c r="F20" s="212"/>
      <c r="G20" s="212"/>
      <c r="H20" s="152">
        <v>18</v>
      </c>
      <c r="I20" s="153"/>
      <c r="J20" s="19"/>
      <c r="K20" s="183">
        <f>H20/25.4</f>
        <v>0.70866141732283472</v>
      </c>
      <c r="L20" s="184"/>
      <c r="M20" s="127" t="s">
        <v>32</v>
      </c>
      <c r="N20" s="10"/>
      <c r="O20" s="10"/>
      <c r="P20" s="10"/>
      <c r="Q20" s="11"/>
      <c r="AF20" s="98"/>
      <c r="AG20" s="69"/>
      <c r="AH20" s="98"/>
      <c r="AI20" s="70"/>
      <c r="AJ20" s="98"/>
      <c r="AK20" s="70"/>
    </row>
    <row r="21" spans="1:37" ht="18.75">
      <c r="A21" s="20"/>
      <c r="B21" s="21"/>
      <c r="C21" s="21"/>
      <c r="D21" s="21"/>
      <c r="E21" s="21"/>
      <c r="F21" s="21"/>
      <c r="G21" s="22"/>
      <c r="H21" s="23"/>
      <c r="I21" s="22"/>
      <c r="J21" s="19"/>
      <c r="K21" s="19"/>
      <c r="L21" s="10"/>
      <c r="M21" s="10"/>
      <c r="N21" s="10"/>
      <c r="O21" s="10"/>
      <c r="P21" s="10"/>
      <c r="Q21" s="11"/>
      <c r="AF21" s="98"/>
      <c r="AG21" s="69"/>
      <c r="AH21" s="99"/>
      <c r="AI21" s="70"/>
      <c r="AJ21" s="99"/>
      <c r="AK21" s="70"/>
    </row>
    <row r="22" spans="1:37" ht="18.75" customHeight="1">
      <c r="A22" s="126"/>
      <c r="B22" s="212" t="s">
        <v>49</v>
      </c>
      <c r="C22" s="212"/>
      <c r="D22" s="212"/>
      <c r="E22" s="212"/>
      <c r="F22" s="212"/>
      <c r="G22" s="212"/>
      <c r="H22" s="152" t="s">
        <v>15</v>
      </c>
      <c r="I22" s="153"/>
      <c r="J22" s="84"/>
      <c r="K22" s="61"/>
      <c r="L22" s="10"/>
      <c r="M22" s="10"/>
      <c r="N22" s="10"/>
      <c r="O22" s="10"/>
      <c r="P22" s="10"/>
      <c r="Q22" s="11"/>
      <c r="AF22" s="98"/>
      <c r="AG22" s="69"/>
      <c r="AH22" s="99"/>
      <c r="AI22" s="70"/>
      <c r="AJ22" s="99"/>
      <c r="AK22" s="70"/>
    </row>
    <row r="23" spans="1:37" ht="18.75">
      <c r="A23" s="26"/>
      <c r="B23" s="13"/>
      <c r="C23" s="13"/>
      <c r="D23" s="13"/>
      <c r="E23" s="13"/>
      <c r="F23" s="13"/>
      <c r="G23" s="22"/>
      <c r="H23" s="22"/>
      <c r="I23" s="22"/>
      <c r="J23" s="19"/>
      <c r="K23" s="19"/>
      <c r="L23" s="10"/>
      <c r="M23" s="10"/>
      <c r="N23" s="10"/>
      <c r="O23" s="10"/>
      <c r="P23" s="10"/>
      <c r="Q23" s="11"/>
      <c r="AF23" s="98"/>
      <c r="AG23" s="69"/>
      <c r="AH23" s="99"/>
      <c r="AI23" s="70"/>
      <c r="AJ23" s="99"/>
      <c r="AK23" s="70"/>
    </row>
    <row r="24" spans="1:37" ht="15" customHeight="1">
      <c r="A24" s="206" t="s">
        <v>8</v>
      </c>
      <c r="B24" s="207"/>
      <c r="C24" s="207"/>
      <c r="D24" s="207"/>
      <c r="E24" s="207"/>
      <c r="F24" s="207"/>
      <c r="G24" s="207"/>
      <c r="H24" s="207"/>
      <c r="I24" s="207"/>
      <c r="J24" s="207"/>
      <c r="K24" s="207"/>
      <c r="L24" s="207"/>
      <c r="M24" s="207"/>
      <c r="N24" s="207"/>
      <c r="O24" s="207"/>
      <c r="P24" s="207"/>
      <c r="Q24" s="208"/>
      <c r="AF24" s="98"/>
      <c r="AG24" s="69"/>
      <c r="AH24" s="99"/>
      <c r="AI24" s="70"/>
      <c r="AJ24" s="99"/>
      <c r="AK24" s="70"/>
    </row>
    <row r="25" spans="1:37" ht="18" customHeight="1">
      <c r="A25" s="26"/>
      <c r="B25" s="27"/>
      <c r="C25" s="43"/>
      <c r="D25" s="43"/>
      <c r="E25" s="43"/>
      <c r="F25" s="35"/>
      <c r="G25" s="35"/>
      <c r="H25" s="35"/>
      <c r="I25" s="22"/>
      <c r="J25" s="19"/>
      <c r="K25" s="19"/>
      <c r="L25" s="28"/>
      <c r="M25" s="28"/>
      <c r="N25" s="10"/>
      <c r="O25" s="10"/>
      <c r="P25" s="10"/>
      <c r="Q25" s="11"/>
      <c r="T25" s="59"/>
      <c r="AF25" s="98"/>
      <c r="AG25" s="69"/>
      <c r="AH25" s="99"/>
      <c r="AI25" s="70"/>
      <c r="AJ25" s="99"/>
      <c r="AK25" s="70"/>
    </row>
    <row r="26" spans="1:37" ht="18" customHeight="1">
      <c r="A26" s="26"/>
      <c r="B26" s="27"/>
      <c r="C26" s="43"/>
      <c r="D26" s="43"/>
      <c r="E26" s="43"/>
      <c r="F26" s="203" t="s">
        <v>46</v>
      </c>
      <c r="G26" s="205"/>
      <c r="H26" s="197" t="s">
        <v>33</v>
      </c>
      <c r="I26" s="198"/>
      <c r="J26" s="28"/>
      <c r="K26" s="19"/>
      <c r="L26" s="28"/>
      <c r="M26" s="28"/>
      <c r="N26" s="10"/>
      <c r="O26" s="10"/>
      <c r="P26" s="10"/>
      <c r="Q26" s="11"/>
      <c r="AF26" s="98"/>
      <c r="AG26" s="69"/>
      <c r="AH26" s="99"/>
      <c r="AI26" s="70"/>
      <c r="AJ26" s="99"/>
      <c r="AK26" s="70"/>
    </row>
    <row r="27" spans="1:37" ht="18" customHeight="1">
      <c r="A27" s="26"/>
      <c r="B27" s="27"/>
      <c r="C27" s="43"/>
      <c r="D27" s="43"/>
      <c r="E27" s="43"/>
      <c r="F27" s="35"/>
      <c r="G27" s="35"/>
      <c r="H27" s="35"/>
      <c r="I27" s="22"/>
      <c r="J27" s="19"/>
      <c r="K27" s="19"/>
      <c r="L27" s="28"/>
      <c r="M27" s="28"/>
      <c r="N27" s="10"/>
      <c r="O27" s="10"/>
      <c r="P27" s="10"/>
      <c r="Q27" s="11"/>
      <c r="AF27" s="98"/>
      <c r="AG27" s="69"/>
      <c r="AH27" s="99"/>
      <c r="AI27" s="70"/>
      <c r="AJ27" s="99"/>
      <c r="AK27" s="70"/>
    </row>
    <row r="28" spans="1:37" ht="18" customHeight="1">
      <c r="A28" s="26"/>
      <c r="B28" s="27"/>
      <c r="C28" s="43"/>
      <c r="D28" s="43"/>
      <c r="E28" s="43"/>
      <c r="F28" s="203" t="s">
        <v>46</v>
      </c>
      <c r="G28" s="205"/>
      <c r="H28" s="181">
        <f>K14-K12</f>
        <v>63</v>
      </c>
      <c r="I28" s="182"/>
      <c r="J28" s="136" t="s">
        <v>47</v>
      </c>
      <c r="K28" s="19"/>
      <c r="L28" s="28"/>
      <c r="M28" s="28"/>
      <c r="N28" s="10"/>
      <c r="O28" s="10"/>
      <c r="P28" s="10"/>
      <c r="Q28" s="11"/>
      <c r="AF28" s="98"/>
      <c r="AG28" s="69"/>
      <c r="AH28" s="99"/>
      <c r="AI28" s="70"/>
      <c r="AJ28" s="99"/>
      <c r="AK28" s="70"/>
    </row>
    <row r="29" spans="1:37" ht="18" customHeight="1">
      <c r="A29" s="26"/>
      <c r="B29" s="27"/>
      <c r="C29" s="43"/>
      <c r="D29" s="43"/>
      <c r="E29" s="43"/>
      <c r="F29" s="35"/>
      <c r="G29" s="35"/>
      <c r="H29" s="35"/>
      <c r="I29" s="22"/>
      <c r="J29" s="19"/>
      <c r="K29" s="19"/>
      <c r="L29" s="28"/>
      <c r="M29" s="28"/>
      <c r="N29" s="10"/>
      <c r="O29" s="10"/>
      <c r="P29" s="10"/>
      <c r="Q29" s="11"/>
      <c r="AF29" s="98"/>
      <c r="AG29" s="69"/>
      <c r="AH29" s="99"/>
      <c r="AI29" s="70"/>
      <c r="AJ29" s="99"/>
      <c r="AK29" s="70"/>
    </row>
    <row r="30" spans="1:37" ht="18.75">
      <c r="A30" s="18"/>
      <c r="B30" s="213" t="s">
        <v>56</v>
      </c>
      <c r="C30" s="213"/>
      <c r="D30" s="213"/>
      <c r="E30" s="213"/>
      <c r="F30" s="213"/>
      <c r="G30" s="213"/>
      <c r="H30" s="213"/>
      <c r="I30" s="213"/>
      <c r="J30" s="187" t="s">
        <v>61</v>
      </c>
      <c r="K30" s="187"/>
      <c r="L30" s="35"/>
      <c r="M30" s="28"/>
      <c r="N30" s="10"/>
      <c r="O30" s="10"/>
      <c r="P30" s="10"/>
      <c r="Q30" s="11"/>
      <c r="AF30" s="98"/>
      <c r="AG30" s="69"/>
      <c r="AH30" s="99"/>
      <c r="AI30" s="70"/>
      <c r="AJ30" s="99"/>
      <c r="AK30" s="70"/>
    </row>
    <row r="31" spans="1:37" ht="18.75">
      <c r="A31" s="18"/>
      <c r="B31" s="43"/>
      <c r="C31" s="60"/>
      <c r="D31" s="29"/>
      <c r="E31" s="29"/>
      <c r="F31" s="29"/>
      <c r="G31" s="29"/>
      <c r="H31" s="29"/>
      <c r="I31" s="22"/>
      <c r="J31" s="30"/>
      <c r="K31" s="19"/>
      <c r="L31" s="35"/>
      <c r="M31" s="28"/>
      <c r="N31" s="10"/>
      <c r="O31" s="10"/>
      <c r="P31" s="10"/>
      <c r="Q31" s="11"/>
      <c r="AF31" s="98"/>
      <c r="AG31" s="69"/>
      <c r="AH31" s="99"/>
      <c r="AI31" s="70"/>
      <c r="AJ31" s="99"/>
      <c r="AK31" s="70"/>
    </row>
    <row r="32" spans="1:37" ht="18.75">
      <c r="A32" s="26"/>
      <c r="B32" s="58" t="s">
        <v>9</v>
      </c>
      <c r="C32" s="27"/>
      <c r="D32" s="27"/>
      <c r="E32" s="222"/>
      <c r="F32" s="222"/>
      <c r="G32" s="67"/>
      <c r="H32" s="216"/>
      <c r="I32" s="216"/>
      <c r="J32" s="19"/>
      <c r="K32" s="19"/>
      <c r="L32" s="28"/>
      <c r="M32" s="28"/>
      <c r="N32" s="10"/>
      <c r="O32" s="10"/>
      <c r="P32" s="10"/>
      <c r="Q32" s="11"/>
      <c r="AF32" s="98"/>
      <c r="AG32" s="69"/>
      <c r="AH32" s="99"/>
      <c r="AI32" s="70"/>
      <c r="AJ32" s="99"/>
      <c r="AK32" s="70"/>
    </row>
    <row r="33" spans="1:37" ht="18.75" customHeight="1">
      <c r="A33" s="26"/>
      <c r="B33" s="58"/>
      <c r="C33" s="217" t="s">
        <v>57</v>
      </c>
      <c r="D33" s="218"/>
      <c r="E33" s="219" t="s">
        <v>34</v>
      </c>
      <c r="F33" s="220"/>
      <c r="G33" s="221"/>
      <c r="H33" s="134"/>
      <c r="I33" s="134"/>
      <c r="J33" s="19"/>
      <c r="K33" s="19"/>
      <c r="L33" s="28"/>
      <c r="M33" s="28"/>
      <c r="N33" s="10"/>
      <c r="O33" s="10"/>
      <c r="P33" s="10"/>
      <c r="Q33" s="11"/>
      <c r="AF33" s="98"/>
      <c r="AG33" s="69"/>
      <c r="AH33" s="99"/>
      <c r="AI33" s="70"/>
      <c r="AJ33" s="99"/>
      <c r="AK33" s="70"/>
    </row>
    <row r="34" spans="1:37" ht="18.75">
      <c r="A34" s="26"/>
      <c r="B34" s="27"/>
      <c r="C34" s="27"/>
      <c r="D34" s="27"/>
      <c r="E34" s="27"/>
      <c r="F34" s="27"/>
      <c r="G34" s="61"/>
      <c r="H34" s="31"/>
      <c r="I34" s="22"/>
      <c r="J34" s="19"/>
      <c r="K34" s="19"/>
      <c r="L34" s="28"/>
      <c r="M34" s="28"/>
      <c r="N34" s="10"/>
      <c r="O34" s="10"/>
      <c r="P34" s="10"/>
      <c r="Q34" s="11"/>
    </row>
    <row r="35" spans="1:37" ht="18.75" customHeight="1">
      <c r="A35" s="26"/>
      <c r="B35" s="58"/>
      <c r="C35" s="83" t="s">
        <v>24</v>
      </c>
      <c r="D35" s="196" t="s">
        <v>64</v>
      </c>
      <c r="E35" s="196"/>
      <c r="F35" s="196"/>
      <c r="G35" s="196"/>
      <c r="H35" s="196"/>
      <c r="I35" s="196"/>
      <c r="J35" s="196"/>
      <c r="K35" s="196"/>
      <c r="L35" s="196"/>
      <c r="M35" s="196"/>
      <c r="N35" s="196"/>
      <c r="O35" s="196"/>
      <c r="P35" s="196"/>
      <c r="Q35" s="11"/>
    </row>
    <row r="36" spans="1:37" ht="18.75" customHeight="1">
      <c r="A36" s="26"/>
      <c r="B36" s="58"/>
      <c r="C36" s="68"/>
      <c r="D36" s="135"/>
      <c r="E36" s="135"/>
      <c r="F36" s="135"/>
      <c r="G36" s="135"/>
      <c r="H36" s="135"/>
      <c r="I36" s="135"/>
      <c r="J36" s="135"/>
      <c r="K36" s="135"/>
      <c r="L36" s="28"/>
      <c r="M36" s="28"/>
      <c r="N36" s="10"/>
      <c r="O36" s="10"/>
      <c r="P36" s="10"/>
      <c r="Q36" s="11"/>
    </row>
    <row r="37" spans="1:37" ht="18.75" customHeight="1">
      <c r="A37" s="26"/>
      <c r="B37" s="58"/>
      <c r="C37" s="71" t="s">
        <v>45</v>
      </c>
      <c r="D37" s="194">
        <f>(K16*K18)/K20^0.5</f>
        <v>12.666277660524445</v>
      </c>
      <c r="E37" s="195"/>
      <c r="F37" s="135"/>
      <c r="G37" s="135"/>
      <c r="H37" s="135"/>
      <c r="I37" s="135"/>
      <c r="J37" s="135"/>
      <c r="K37" s="135"/>
      <c r="L37" s="28"/>
      <c r="M37" s="28"/>
      <c r="N37" s="10"/>
      <c r="O37" s="10"/>
      <c r="P37" s="10"/>
      <c r="Q37" s="11"/>
    </row>
    <row r="38" spans="1:37" ht="18.75" customHeight="1">
      <c r="A38" s="26"/>
      <c r="B38" s="58"/>
      <c r="C38" s="68"/>
      <c r="D38" s="135"/>
      <c r="E38" s="135"/>
      <c r="F38" s="135"/>
      <c r="G38" s="135"/>
      <c r="H38" s="135"/>
      <c r="I38" s="135"/>
      <c r="J38" s="135"/>
      <c r="K38" s="135"/>
      <c r="L38" s="28"/>
      <c r="M38" s="28"/>
      <c r="N38" s="10"/>
      <c r="O38" s="10"/>
      <c r="P38" s="10"/>
      <c r="Q38" s="11"/>
    </row>
    <row r="39" spans="1:37" ht="18.75">
      <c r="A39" s="26"/>
      <c r="B39" s="32"/>
      <c r="C39" s="71" t="s">
        <v>24</v>
      </c>
      <c r="D39" s="214">
        <f>$C$152</f>
        <v>0.17995450970634461</v>
      </c>
      <c r="E39" s="215"/>
      <c r="F39" s="27"/>
      <c r="G39" s="61"/>
      <c r="H39" s="31"/>
      <c r="I39" s="22"/>
      <c r="J39" s="19"/>
      <c r="K39" s="19"/>
      <c r="L39" s="28"/>
      <c r="M39" s="28"/>
      <c r="N39" s="10"/>
      <c r="O39" s="10"/>
      <c r="P39" s="10"/>
      <c r="Q39" s="11"/>
    </row>
    <row r="40" spans="1:37" ht="18.75">
      <c r="A40" s="26"/>
      <c r="B40" s="32"/>
      <c r="C40" s="32"/>
      <c r="D40" s="32"/>
      <c r="E40" s="32"/>
      <c r="F40" s="33"/>
      <c r="G40" s="22"/>
      <c r="H40" s="22"/>
      <c r="I40" s="22"/>
      <c r="J40" s="19"/>
      <c r="K40" s="19"/>
      <c r="L40" s="28"/>
      <c r="M40" s="28"/>
      <c r="N40" s="10"/>
      <c r="O40" s="10"/>
      <c r="P40" s="10"/>
      <c r="Q40" s="11"/>
    </row>
    <row r="41" spans="1:37" ht="21.75">
      <c r="A41" s="26"/>
      <c r="B41" s="32"/>
      <c r="C41" s="72" t="s">
        <v>57</v>
      </c>
      <c r="D41" s="194">
        <f>ROUND($D$39,3)*$H$28</f>
        <v>11.34</v>
      </c>
      <c r="E41" s="195"/>
      <c r="F41" s="134" t="s">
        <v>47</v>
      </c>
      <c r="G41" s="22"/>
      <c r="H41" s="22"/>
      <c r="I41" s="22"/>
      <c r="J41" s="19"/>
      <c r="K41" s="19"/>
      <c r="L41" s="28"/>
      <c r="M41" s="28"/>
      <c r="N41" s="10"/>
      <c r="O41" s="10"/>
      <c r="P41" s="10"/>
      <c r="Q41" s="11"/>
    </row>
    <row r="42" spans="1:37" ht="18.75">
      <c r="A42" s="26"/>
      <c r="B42" s="32"/>
      <c r="C42" s="32"/>
      <c r="D42" s="32"/>
      <c r="E42" s="32"/>
      <c r="F42" s="33"/>
      <c r="G42" s="22"/>
      <c r="H42" s="22"/>
      <c r="I42" s="22"/>
      <c r="J42" s="19"/>
      <c r="K42" s="19"/>
      <c r="L42" s="28"/>
      <c r="M42" s="28"/>
      <c r="N42" s="10"/>
      <c r="O42" s="10"/>
      <c r="P42" s="10"/>
      <c r="Q42" s="11"/>
    </row>
    <row r="43" spans="1:37" ht="21.75">
      <c r="A43" s="34"/>
      <c r="B43" s="40"/>
      <c r="C43" s="72" t="s">
        <v>58</v>
      </c>
      <c r="D43" s="194">
        <f>$D$41+$K$12</f>
        <v>88.34</v>
      </c>
      <c r="E43" s="195"/>
      <c r="F43" s="134" t="s">
        <v>47</v>
      </c>
      <c r="G43" s="40"/>
      <c r="H43" s="33"/>
      <c r="I43" s="37"/>
      <c r="J43" s="38"/>
      <c r="K43" s="38"/>
      <c r="L43" s="39"/>
      <c r="M43" s="39"/>
      <c r="N43" s="35"/>
      <c r="O43" s="35"/>
      <c r="P43" s="35"/>
      <c r="Q43" s="36"/>
    </row>
    <row r="44" spans="1:37" s="82" customFormat="1" ht="18.75">
      <c r="A44" s="73"/>
      <c r="B44" s="74"/>
      <c r="C44" s="75"/>
      <c r="D44" s="76"/>
      <c r="E44" s="76"/>
      <c r="F44" s="74"/>
      <c r="G44" s="74"/>
      <c r="H44" s="77"/>
      <c r="I44" s="37"/>
      <c r="J44" s="78"/>
      <c r="K44" s="78"/>
      <c r="L44" s="79"/>
      <c r="M44" s="79"/>
      <c r="N44" s="80"/>
      <c r="O44" s="80"/>
      <c r="P44" s="80"/>
      <c r="Q44" s="81"/>
    </row>
    <row r="45" spans="1:37" s="82" customFormat="1" ht="22.5">
      <c r="A45" s="73"/>
      <c r="B45" s="74"/>
      <c r="C45" s="72" t="s">
        <v>58</v>
      </c>
      <c r="D45" s="194">
        <f>($D$43-32)/1.8</f>
        <v>31.3</v>
      </c>
      <c r="E45" s="195"/>
      <c r="F45" s="134" t="s">
        <v>50</v>
      </c>
      <c r="G45" s="74"/>
      <c r="H45" s="77"/>
      <c r="I45" s="37"/>
      <c r="J45" s="78"/>
      <c r="K45" s="78"/>
      <c r="L45" s="79"/>
      <c r="M45" s="79"/>
      <c r="N45" s="80"/>
      <c r="O45" s="80"/>
      <c r="P45" s="80"/>
      <c r="Q45" s="81"/>
    </row>
    <row r="46" spans="1:37" s="82" customFormat="1" ht="18.75">
      <c r="A46" s="73"/>
      <c r="B46" s="74"/>
      <c r="C46" s="75"/>
      <c r="D46" s="76"/>
      <c r="E46" s="76"/>
      <c r="F46" s="74"/>
      <c r="G46" s="74"/>
      <c r="H46" s="77"/>
      <c r="I46" s="37"/>
      <c r="J46" s="78"/>
      <c r="K46" s="78"/>
      <c r="L46" s="79"/>
      <c r="M46" s="79"/>
      <c r="N46" s="80"/>
      <c r="O46" s="80"/>
      <c r="P46" s="80"/>
      <c r="Q46" s="81"/>
    </row>
    <row r="47" spans="1:37" ht="54" customHeight="1">
      <c r="A47" s="41"/>
      <c r="B47" s="188" t="s">
        <v>59</v>
      </c>
      <c r="C47" s="188"/>
      <c r="D47" s="188"/>
      <c r="E47" s="188"/>
      <c r="F47" s="188"/>
      <c r="G47" s="188"/>
      <c r="H47" s="188"/>
      <c r="I47" s="188"/>
      <c r="J47" s="188"/>
      <c r="K47" s="192">
        <f>IF(D45&gt;450,"CHECK INPUT DESIGN TEMPERATURE",IF($H$22="CS",$AI$100,$AK$100))</f>
        <v>1.1717222222222224E-4</v>
      </c>
      <c r="L47" s="193"/>
      <c r="M47" s="30" t="s">
        <v>23</v>
      </c>
      <c r="N47" s="35"/>
      <c r="O47" s="35"/>
      <c r="P47" s="35"/>
      <c r="Q47" s="36"/>
    </row>
    <row r="48" spans="1:37" ht="18.75" customHeight="1">
      <c r="A48" s="129"/>
      <c r="B48" s="86"/>
      <c r="C48" s="86"/>
      <c r="D48" s="86"/>
      <c r="E48" s="86"/>
      <c r="F48" s="86"/>
      <c r="G48" s="86"/>
      <c r="H48" s="86"/>
      <c r="I48" s="86"/>
      <c r="J48" s="86"/>
      <c r="K48" s="87"/>
      <c r="L48" s="87"/>
      <c r="M48" s="85"/>
      <c r="N48" s="80"/>
      <c r="O48" s="80"/>
      <c r="P48" s="80"/>
      <c r="Q48" s="36"/>
    </row>
    <row r="49" spans="1:17" ht="18.75" customHeight="1">
      <c r="A49" s="129"/>
      <c r="B49" s="188" t="s">
        <v>52</v>
      </c>
      <c r="C49" s="188"/>
      <c r="D49" s="188"/>
      <c r="E49" s="188"/>
      <c r="F49" s="188"/>
      <c r="G49" s="188"/>
      <c r="H49" s="188"/>
      <c r="I49" s="188"/>
      <c r="J49" s="188"/>
      <c r="K49" s="185">
        <f>IF($H$22="CS",$AJ$100,$AL$100)</f>
        <v>4.4722222222222228E-5</v>
      </c>
      <c r="L49" s="186"/>
      <c r="M49" s="30" t="s">
        <v>23</v>
      </c>
      <c r="N49" s="80"/>
      <c r="O49" s="80"/>
      <c r="P49" s="80"/>
      <c r="Q49" s="36"/>
    </row>
    <row r="50" spans="1:17" ht="18.75" customHeight="1">
      <c r="A50" s="129"/>
      <c r="B50" s="86"/>
      <c r="C50" s="86"/>
      <c r="D50" s="86"/>
      <c r="E50" s="86"/>
      <c r="F50" s="86"/>
      <c r="G50" s="86"/>
      <c r="H50" s="86"/>
      <c r="I50" s="86"/>
      <c r="J50" s="86"/>
      <c r="K50" s="87"/>
      <c r="L50" s="87"/>
      <c r="M50" s="85"/>
      <c r="N50" s="80"/>
      <c r="O50" s="80"/>
      <c r="P50" s="80"/>
      <c r="Q50" s="36"/>
    </row>
    <row r="51" spans="1:17" ht="18.75" customHeight="1">
      <c r="A51" s="129"/>
      <c r="B51" s="188" t="s">
        <v>60</v>
      </c>
      <c r="C51" s="188"/>
      <c r="D51" s="188"/>
      <c r="E51" s="188"/>
      <c r="F51" s="188"/>
      <c r="G51" s="188"/>
      <c r="H51" s="188"/>
      <c r="I51" s="188"/>
      <c r="J51" s="188"/>
      <c r="K51" s="185">
        <f>ROUND(K47,6)-ROUND(K49,6)</f>
        <v>7.1999999999999988E-5</v>
      </c>
      <c r="L51" s="186"/>
      <c r="M51" s="30" t="s">
        <v>23</v>
      </c>
      <c r="N51" s="80"/>
      <c r="O51" s="80"/>
      <c r="P51" s="80"/>
      <c r="Q51" s="36"/>
    </row>
    <row r="52" spans="1:17" ht="18.75" customHeight="1">
      <c r="A52" s="129"/>
      <c r="B52" s="86"/>
      <c r="C52" s="86"/>
      <c r="D52" s="86"/>
      <c r="E52" s="86"/>
      <c r="F52" s="86"/>
      <c r="G52" s="86"/>
      <c r="H52" s="86"/>
      <c r="I52" s="86"/>
      <c r="J52" s="86"/>
      <c r="K52" s="87"/>
      <c r="L52" s="87"/>
      <c r="M52" s="85"/>
      <c r="N52" s="80"/>
      <c r="O52" s="80"/>
      <c r="P52" s="80"/>
      <c r="Q52" s="36"/>
    </row>
    <row r="53" spans="1:17" ht="18.75">
      <c r="A53" s="41"/>
      <c r="B53" s="191" t="str">
        <f>CONCATENATE("Total Expansion for Skirt Height ""h"" of ",H22," Material")</f>
        <v>Total Expansion for Skirt Height "h" of CS Material</v>
      </c>
      <c r="C53" s="191"/>
      <c r="D53" s="191"/>
      <c r="E53" s="191"/>
      <c r="F53" s="191"/>
      <c r="G53" s="191"/>
      <c r="H53" s="191"/>
      <c r="I53" s="191"/>
      <c r="J53" s="191"/>
      <c r="K53" s="174">
        <f>$H$18*$K51</f>
        <v>0.23399999999999996</v>
      </c>
      <c r="L53" s="175"/>
      <c r="M53" s="42" t="s">
        <v>10</v>
      </c>
      <c r="N53" s="35"/>
      <c r="O53" s="35"/>
      <c r="P53" s="35"/>
      <c r="Q53" s="36"/>
    </row>
    <row r="54" spans="1:17" ht="18.75">
      <c r="A54" s="34"/>
      <c r="B54" s="40"/>
      <c r="C54" s="40"/>
      <c r="D54" s="40"/>
      <c r="E54" s="40"/>
      <c r="F54" s="35"/>
      <c r="G54" s="35"/>
      <c r="H54" s="35"/>
      <c r="I54" s="33"/>
      <c r="J54" s="38"/>
      <c r="K54" s="38"/>
      <c r="L54" s="35"/>
      <c r="M54" s="35"/>
      <c r="N54" s="35"/>
      <c r="O54" s="35"/>
      <c r="P54" s="35"/>
      <c r="Q54" s="36"/>
    </row>
    <row r="55" spans="1:17" ht="18.75">
      <c r="A55" s="34"/>
      <c r="B55" s="40"/>
      <c r="C55" s="40"/>
      <c r="D55" s="40"/>
      <c r="E55" s="40"/>
      <c r="F55" s="35"/>
      <c r="G55" s="35"/>
      <c r="H55" s="35"/>
      <c r="I55" s="33"/>
      <c r="J55" s="38"/>
      <c r="K55" s="38"/>
      <c r="L55" s="35"/>
      <c r="M55" s="35"/>
      <c r="N55" s="35"/>
      <c r="O55" s="35"/>
      <c r="P55" s="35"/>
      <c r="Q55" s="36"/>
    </row>
    <row r="56" spans="1:17" ht="15">
      <c r="A56" s="130" t="s">
        <v>54</v>
      </c>
      <c r="B56" s="131"/>
      <c r="C56" s="131"/>
      <c r="D56" s="131"/>
      <c r="E56" s="131"/>
      <c r="F56" s="131"/>
      <c r="G56" s="131"/>
      <c r="H56" s="131"/>
      <c r="I56" s="131"/>
      <c r="J56" s="132"/>
      <c r="K56" s="132"/>
      <c r="L56" s="132"/>
      <c r="M56" s="132"/>
      <c r="N56" s="132"/>
      <c r="O56" s="132"/>
      <c r="P56" s="132"/>
      <c r="Q56" s="36"/>
    </row>
    <row r="57" spans="1:17" ht="15" customHeight="1">
      <c r="A57" s="133"/>
      <c r="B57" s="189" t="s">
        <v>55</v>
      </c>
      <c r="C57" s="189"/>
      <c r="D57" s="189"/>
      <c r="E57" s="189"/>
      <c r="F57" s="189"/>
      <c r="G57" s="189"/>
      <c r="H57" s="189"/>
      <c r="I57" s="189"/>
      <c r="J57" s="189"/>
      <c r="K57" s="189"/>
      <c r="L57" s="189"/>
      <c r="M57" s="189"/>
      <c r="N57" s="189"/>
      <c r="O57" s="189"/>
      <c r="P57" s="189"/>
      <c r="Q57" s="190"/>
    </row>
    <row r="58" spans="1:17">
      <c r="A58" s="18"/>
      <c r="B58" s="43"/>
      <c r="C58" s="43"/>
      <c r="D58" s="43"/>
      <c r="E58" s="43"/>
      <c r="F58" s="35"/>
      <c r="G58" s="35"/>
      <c r="H58" s="35"/>
      <c r="I58" s="35"/>
      <c r="J58" s="43"/>
      <c r="K58" s="43"/>
      <c r="L58" s="35"/>
      <c r="M58" s="35"/>
      <c r="N58" s="35"/>
      <c r="O58" s="35"/>
      <c r="P58" s="35"/>
      <c r="Q58" s="36"/>
    </row>
    <row r="59" spans="1:17" ht="13.5" thickBot="1">
      <c r="A59" s="44"/>
      <c r="B59" s="45"/>
      <c r="C59" s="45"/>
      <c r="D59" s="45"/>
      <c r="E59" s="45"/>
      <c r="F59" s="46"/>
      <c r="G59" s="46"/>
      <c r="H59" s="46"/>
      <c r="I59" s="46"/>
      <c r="J59" s="45"/>
      <c r="K59" s="45"/>
      <c r="L59" s="46"/>
      <c r="M59" s="46"/>
      <c r="N59" s="46"/>
      <c r="O59" s="46"/>
      <c r="P59" s="46"/>
      <c r="Q59" s="47"/>
    </row>
    <row r="63" spans="1:17" hidden="1"/>
    <row r="64" spans="1:17" hidden="1"/>
    <row r="65" spans="1:38" hidden="1"/>
    <row r="66" spans="1:38" hidden="1"/>
    <row r="67" spans="1:38" ht="106.5" hidden="1" customHeight="1">
      <c r="AC67" s="100" t="s">
        <v>22</v>
      </c>
      <c r="AD67" s="101" t="s">
        <v>20</v>
      </c>
      <c r="AE67" s="101" t="s">
        <v>26</v>
      </c>
      <c r="AF67" s="102" t="s">
        <v>27</v>
      </c>
      <c r="AG67" s="101" t="s">
        <v>28</v>
      </c>
      <c r="AH67" s="100" t="s">
        <v>29</v>
      </c>
      <c r="AI67" s="101" t="s">
        <v>62</v>
      </c>
      <c r="AJ67" s="101" t="s">
        <v>40</v>
      </c>
      <c r="AK67" s="101" t="s">
        <v>63</v>
      </c>
      <c r="AL67" s="101" t="s">
        <v>41</v>
      </c>
    </row>
    <row r="68" spans="1:38" ht="18" hidden="1">
      <c r="AC68" s="103">
        <v>-325</v>
      </c>
      <c r="AD68" s="4">
        <f>(AC68-32)/1.8</f>
        <v>-198.33333333333331</v>
      </c>
      <c r="AE68" s="103">
        <v>-2.37</v>
      </c>
      <c r="AF68" s="5">
        <f>AE68/1200</f>
        <v>-1.9750000000000002E-3</v>
      </c>
      <c r="AG68" s="103">
        <v>-3.85</v>
      </c>
      <c r="AH68" s="5">
        <f>AG68/1200</f>
        <v>-3.2083333333333334E-3</v>
      </c>
      <c r="AI68" s="104" t="str">
        <f>IF($D$45&lt;AD68,$AF$68,IF(AND((AD68&lt;$D$45),(AD69&gt;=$D$45)),(AF69-AF68)/(AD69-AD68)*($D$45-AD68)+AF68," "))</f>
        <v xml:space="preserve"> </v>
      </c>
      <c r="AJ68" s="104" t="str">
        <f>IF($H$12&lt;AD68,$AF$68,IF(AND((AD68&lt;$H$12),(AD69&gt;=$H$12)),(AF69-AF68)/(AD69-AD68)*($H$12-AD68)+AF68," "))</f>
        <v xml:space="preserve"> </v>
      </c>
      <c r="AK68" s="104" t="str">
        <f>IF($D$45&lt;AD68,$AH$68,IF(AND((AD68&lt;$D$45),(AD69&gt;=$D$45)),(AH69-AH68)/(AD69-AD68)*($D$45-AD68)+AH68," "))</f>
        <v xml:space="preserve"> </v>
      </c>
      <c r="AL68" s="104" t="str">
        <f>IF($H$12&lt;AD68,$AH$68,IF(AND((AD68&lt;$H$12),(AD69&gt;=$H$12)),(AH69-AH68)/(AD69-AD68)*($H$12-AD68)+AH68," "))</f>
        <v xml:space="preserve"> </v>
      </c>
    </row>
    <row r="69" spans="1:38" ht="18" hidden="1">
      <c r="AC69" s="103">
        <v>-300</v>
      </c>
      <c r="AD69" s="4">
        <f t="shared" ref="AD69:AD99" si="0">(AC69-32)/1.8</f>
        <v>-184.44444444444443</v>
      </c>
      <c r="AE69" s="103">
        <v>-2.2400000000000002</v>
      </c>
      <c r="AF69" s="5">
        <f t="shared" ref="AF69:AF99" si="1">AE69/1200</f>
        <v>-1.8666666666666669E-3</v>
      </c>
      <c r="AG69" s="103">
        <v>-3.63</v>
      </c>
      <c r="AH69" s="5">
        <f t="shared" ref="AH69:AH99" si="2">AG69/1200</f>
        <v>-3.0249999999999999E-3</v>
      </c>
      <c r="AI69" s="104" t="str">
        <f>IF(AND((AD68&lt;$D$45),(AD69&gt;=$D$45)),(AF69-AF68)/(AD69-AD68)*($D$45-AD68)+AF68," ")</f>
        <v xml:space="preserve"> </v>
      </c>
      <c r="AJ69" s="104" t="str">
        <f>IF(AND((AD68&lt;$H$12),(AD69&gt;=$H$12)),(AF69-AF68)/(AD69-AD68)*($H$12-AD68)+AF68," ")</f>
        <v xml:space="preserve"> </v>
      </c>
      <c r="AK69" s="104" t="str">
        <f>IF(AND((AD68&lt;$D$45),(AD69&gt;=$D$45)),(AH69-AH68)/(AD69-AD68)*($D$45-AD68)+AH68," ")</f>
        <v xml:space="preserve"> </v>
      </c>
      <c r="AL69" s="104" t="str">
        <f>IF(AND((AD68&lt;$H$12),(AD69&gt;=$H$12)),(AH69-AH68)/(AD69-AD68)*($H$12-AD68)+AH68," ")</f>
        <v xml:space="preserve"> </v>
      </c>
    </row>
    <row r="70" spans="1:38" ht="18" hidden="1">
      <c r="AC70" s="103">
        <v>-275</v>
      </c>
      <c r="AD70" s="4">
        <f t="shared" si="0"/>
        <v>-170.55555555555554</v>
      </c>
      <c r="AE70" s="103">
        <v>-2.11</v>
      </c>
      <c r="AF70" s="5">
        <f t="shared" si="1"/>
        <v>-1.7583333333333333E-3</v>
      </c>
      <c r="AG70" s="103">
        <v>-3.41</v>
      </c>
      <c r="AH70" s="5">
        <f t="shared" si="2"/>
        <v>-2.8416666666666668E-3</v>
      </c>
      <c r="AI70" s="104" t="str">
        <f t="shared" ref="AI70:AI98" si="3">IF(AND((AD69&lt;$D$45),(AD70&gt;=$D$45)),(AF70-AF69)/(AD70-AD69)*($D$45-AD69)+AF69," ")</f>
        <v xml:space="preserve"> </v>
      </c>
      <c r="AJ70" s="104" t="str">
        <f t="shared" ref="AJ70:AJ98" si="4">IF(AND((AD69&lt;$H$12),(AD70&gt;=$H$12)),(AF70-AF69)/(AD70-AD69)*($H$12-AD69)+AF69," ")</f>
        <v xml:space="preserve"> </v>
      </c>
      <c r="AK70" s="104" t="str">
        <f t="shared" ref="AK70:AK98" si="5">IF(AND((AD69&lt;$D$45),(AD70&gt;=$D$45)),(AH70-AH69)/(AD70-AD69)*($D$45-AD69)+AH69," ")</f>
        <v xml:space="preserve"> </v>
      </c>
      <c r="AL70" s="104" t="str">
        <f t="shared" ref="AL70:AL98" si="6">IF(AND((AD69&lt;$H$12),(AD70&gt;=$H$12)),(AH70-AH69)/(AD70-AD69)*($H$12-AD69)+AH69," ")</f>
        <v xml:space="preserve"> </v>
      </c>
    </row>
    <row r="71" spans="1:38" ht="18" hidden="1">
      <c r="AC71" s="103">
        <v>-250</v>
      </c>
      <c r="AD71" s="4">
        <f t="shared" si="0"/>
        <v>-156.66666666666666</v>
      </c>
      <c r="AE71" s="103">
        <v>-1.98</v>
      </c>
      <c r="AF71" s="5">
        <f t="shared" si="1"/>
        <v>-1.65E-3</v>
      </c>
      <c r="AG71" s="103">
        <v>-3.19</v>
      </c>
      <c r="AH71" s="5">
        <f t="shared" si="2"/>
        <v>-2.6583333333333333E-3</v>
      </c>
      <c r="AI71" s="104" t="str">
        <f t="shared" si="3"/>
        <v xml:space="preserve"> </v>
      </c>
      <c r="AJ71" s="104" t="str">
        <f t="shared" si="4"/>
        <v xml:space="preserve"> </v>
      </c>
      <c r="AK71" s="104" t="str">
        <f t="shared" si="5"/>
        <v xml:space="preserve"> </v>
      </c>
      <c r="AL71" s="104" t="str">
        <f t="shared" si="6"/>
        <v xml:space="preserve"> </v>
      </c>
    </row>
    <row r="72" spans="1:38" ht="18.75" hidden="1">
      <c r="A72" s="62" t="s">
        <v>14</v>
      </c>
      <c r="B72" s="62" t="s">
        <v>35</v>
      </c>
      <c r="G72" s="48"/>
      <c r="AC72" s="103">
        <v>-225</v>
      </c>
      <c r="AD72" s="4">
        <f t="shared" si="0"/>
        <v>-142.77777777777777</v>
      </c>
      <c r="AE72" s="103">
        <v>-1.85</v>
      </c>
      <c r="AF72" s="5">
        <f t="shared" si="1"/>
        <v>-1.5416666666666667E-3</v>
      </c>
      <c r="AG72" s="103">
        <v>-2.96</v>
      </c>
      <c r="AH72" s="5">
        <f t="shared" si="2"/>
        <v>-2.4666666666666665E-3</v>
      </c>
      <c r="AI72" s="104" t="str">
        <f t="shared" si="3"/>
        <v xml:space="preserve"> </v>
      </c>
      <c r="AJ72" s="104" t="str">
        <f t="shared" si="4"/>
        <v xml:space="preserve"> </v>
      </c>
      <c r="AK72" s="104" t="str">
        <f t="shared" si="5"/>
        <v xml:space="preserve"> </v>
      </c>
      <c r="AL72" s="104" t="str">
        <f t="shared" si="6"/>
        <v xml:space="preserve"> </v>
      </c>
    </row>
    <row r="73" spans="1:38" ht="18.75" hidden="1">
      <c r="A73" s="63">
        <v>1</v>
      </c>
      <c r="B73" s="64" t="s">
        <v>36</v>
      </c>
      <c r="F73" s="49"/>
      <c r="G73" s="48"/>
      <c r="H73" s="48"/>
      <c r="J73" s="50"/>
      <c r="K73" s="51"/>
      <c r="L73" s="52"/>
      <c r="M73" s="52"/>
      <c r="N73" s="53"/>
      <c r="O73" s="54"/>
      <c r="P73" s="54"/>
      <c r="Q73" s="53"/>
      <c r="AC73" s="103">
        <v>-200</v>
      </c>
      <c r="AD73" s="4">
        <f t="shared" si="0"/>
        <v>-128.88888888888889</v>
      </c>
      <c r="AE73" s="103">
        <v>-1.71</v>
      </c>
      <c r="AF73" s="5">
        <f t="shared" si="1"/>
        <v>-1.4250000000000001E-3</v>
      </c>
      <c r="AG73" s="103">
        <v>-2.73</v>
      </c>
      <c r="AH73" s="5">
        <f t="shared" si="2"/>
        <v>-2.2750000000000001E-3</v>
      </c>
      <c r="AI73" s="104" t="str">
        <f t="shared" si="3"/>
        <v xml:space="preserve"> </v>
      </c>
      <c r="AJ73" s="104" t="str">
        <f t="shared" si="4"/>
        <v xml:space="preserve"> </v>
      </c>
      <c r="AK73" s="104" t="str">
        <f t="shared" si="5"/>
        <v xml:space="preserve"> </v>
      </c>
      <c r="AL73" s="104" t="str">
        <f t="shared" si="6"/>
        <v xml:space="preserve"> </v>
      </c>
    </row>
    <row r="74" spans="1:38" ht="18.75" hidden="1">
      <c r="A74" s="63">
        <v>1.7</v>
      </c>
      <c r="B74" s="64" t="s">
        <v>37</v>
      </c>
      <c r="F74" s="49"/>
      <c r="G74" s="48"/>
      <c r="H74" s="48"/>
      <c r="J74" s="50"/>
      <c r="K74" s="51"/>
      <c r="L74" s="52"/>
      <c r="M74" s="52"/>
      <c r="N74" s="53"/>
      <c r="O74" s="54"/>
      <c r="P74" s="54"/>
      <c r="Q74" s="53"/>
      <c r="AC74" s="103">
        <v>-175</v>
      </c>
      <c r="AD74" s="4">
        <f t="shared" si="0"/>
        <v>-115</v>
      </c>
      <c r="AE74" s="103">
        <v>-1.58</v>
      </c>
      <c r="AF74" s="5">
        <f t="shared" si="1"/>
        <v>-1.3166666666666667E-3</v>
      </c>
      <c r="AG74" s="103">
        <v>-2.5</v>
      </c>
      <c r="AH74" s="5">
        <f t="shared" si="2"/>
        <v>-2.0833333333333333E-3</v>
      </c>
      <c r="AI74" s="104" t="str">
        <f t="shared" si="3"/>
        <v xml:space="preserve"> </v>
      </c>
      <c r="AJ74" s="104" t="str">
        <f t="shared" si="4"/>
        <v xml:space="preserve"> </v>
      </c>
      <c r="AK74" s="104" t="str">
        <f t="shared" si="5"/>
        <v xml:space="preserve"> </v>
      </c>
      <c r="AL74" s="104" t="str">
        <f t="shared" si="6"/>
        <v xml:space="preserve"> </v>
      </c>
    </row>
    <row r="75" spans="1:38" ht="18.75" hidden="1">
      <c r="A75" s="63">
        <v>2.7</v>
      </c>
      <c r="B75" s="64" t="s">
        <v>38</v>
      </c>
      <c r="F75" s="49"/>
      <c r="G75" s="48"/>
      <c r="H75" s="48"/>
      <c r="J75" s="9"/>
      <c r="AC75" s="103">
        <v>-150</v>
      </c>
      <c r="AD75" s="4">
        <f t="shared" si="0"/>
        <v>-101.11111111111111</v>
      </c>
      <c r="AE75" s="103">
        <v>-1.45</v>
      </c>
      <c r="AF75" s="5">
        <f t="shared" si="1"/>
        <v>-1.2083333333333334E-3</v>
      </c>
      <c r="AG75" s="103">
        <v>-2.27</v>
      </c>
      <c r="AH75" s="5">
        <f t="shared" si="2"/>
        <v>-1.8916666666666667E-3</v>
      </c>
      <c r="AI75" s="104" t="str">
        <f t="shared" si="3"/>
        <v xml:space="preserve"> </v>
      </c>
      <c r="AJ75" s="104" t="str">
        <f t="shared" si="4"/>
        <v xml:space="preserve"> </v>
      </c>
      <c r="AK75" s="104" t="str">
        <f t="shared" si="5"/>
        <v xml:space="preserve"> </v>
      </c>
      <c r="AL75" s="104" t="str">
        <f t="shared" si="6"/>
        <v xml:space="preserve"> </v>
      </c>
    </row>
    <row r="76" spans="1:38" ht="18.75" hidden="1">
      <c r="A76" s="55"/>
      <c r="J76" s="50"/>
      <c r="K76" s="173"/>
      <c r="L76" s="173"/>
      <c r="M76" s="173"/>
      <c r="O76" s="54"/>
      <c r="P76" s="54"/>
      <c r="AC76" s="103">
        <v>-125</v>
      </c>
      <c r="AD76" s="4">
        <f t="shared" si="0"/>
        <v>-87.222222222222214</v>
      </c>
      <c r="AE76" s="103">
        <v>-1.3</v>
      </c>
      <c r="AF76" s="5">
        <f t="shared" si="1"/>
        <v>-1.0833333333333333E-3</v>
      </c>
      <c r="AG76" s="103">
        <v>-2.0099999999999998</v>
      </c>
      <c r="AH76" s="5">
        <f t="shared" si="2"/>
        <v>-1.6749999999999998E-3</v>
      </c>
      <c r="AI76" s="104" t="str">
        <f t="shared" si="3"/>
        <v xml:space="preserve"> </v>
      </c>
      <c r="AJ76" s="104" t="str">
        <f t="shared" si="4"/>
        <v xml:space="preserve"> </v>
      </c>
      <c r="AK76" s="104" t="str">
        <f t="shared" si="5"/>
        <v xml:space="preserve"> </v>
      </c>
      <c r="AL76" s="104" t="str">
        <f t="shared" si="6"/>
        <v xml:space="preserve"> </v>
      </c>
    </row>
    <row r="77" spans="1:38" ht="18.75" hidden="1">
      <c r="A77" s="55"/>
      <c r="O77" s="54"/>
      <c r="P77" s="54"/>
      <c r="AC77" s="103">
        <v>-100</v>
      </c>
      <c r="AD77" s="4">
        <f t="shared" si="0"/>
        <v>-73.333333333333329</v>
      </c>
      <c r="AE77" s="103">
        <v>-1.1499999999999999</v>
      </c>
      <c r="AF77" s="5">
        <f t="shared" si="1"/>
        <v>-9.5833333333333328E-4</v>
      </c>
      <c r="AG77" s="103">
        <v>-1.75</v>
      </c>
      <c r="AH77" s="5">
        <f t="shared" si="2"/>
        <v>-1.4583333333333334E-3</v>
      </c>
      <c r="AI77" s="104" t="str">
        <f t="shared" si="3"/>
        <v xml:space="preserve"> </v>
      </c>
      <c r="AJ77" s="104" t="str">
        <f t="shared" si="4"/>
        <v xml:space="preserve"> </v>
      </c>
      <c r="AK77" s="104" t="str">
        <f t="shared" si="5"/>
        <v xml:space="preserve"> </v>
      </c>
      <c r="AL77" s="104" t="str">
        <f t="shared" si="6"/>
        <v xml:space="preserve"> </v>
      </c>
    </row>
    <row r="78" spans="1:38" ht="18" hidden="1">
      <c r="A78" s="66" t="s">
        <v>39</v>
      </c>
      <c r="AC78" s="103">
        <v>-75</v>
      </c>
      <c r="AD78" s="4">
        <f t="shared" si="0"/>
        <v>-59.444444444444443</v>
      </c>
      <c r="AE78" s="103">
        <v>-1</v>
      </c>
      <c r="AF78" s="5">
        <f t="shared" si="1"/>
        <v>-8.3333333333333339E-4</v>
      </c>
      <c r="AG78" s="103">
        <v>-1.5</v>
      </c>
      <c r="AH78" s="5">
        <f t="shared" si="2"/>
        <v>-1.25E-3</v>
      </c>
      <c r="AI78" s="104" t="str">
        <f t="shared" si="3"/>
        <v xml:space="preserve"> </v>
      </c>
      <c r="AJ78" s="104" t="str">
        <f t="shared" si="4"/>
        <v xml:space="preserve"> </v>
      </c>
      <c r="AK78" s="104" t="str">
        <f t="shared" si="5"/>
        <v xml:space="preserve"> </v>
      </c>
      <c r="AL78" s="104" t="str">
        <f t="shared" si="6"/>
        <v xml:space="preserve"> </v>
      </c>
    </row>
    <row r="79" spans="1:38" ht="18" hidden="1">
      <c r="A79" s="65" t="s">
        <v>15</v>
      </c>
      <c r="AC79" s="103">
        <v>-50</v>
      </c>
      <c r="AD79" s="4">
        <f t="shared" si="0"/>
        <v>-45.555555555555557</v>
      </c>
      <c r="AE79" s="103">
        <v>-0.84</v>
      </c>
      <c r="AF79" s="5">
        <f t="shared" si="1"/>
        <v>-6.9999999999999999E-4</v>
      </c>
      <c r="AG79" s="103">
        <v>-1.24</v>
      </c>
      <c r="AH79" s="5">
        <f t="shared" si="2"/>
        <v>-1.0333333333333334E-3</v>
      </c>
      <c r="AI79" s="104" t="str">
        <f t="shared" si="3"/>
        <v xml:space="preserve"> </v>
      </c>
      <c r="AJ79" s="104" t="str">
        <f t="shared" si="4"/>
        <v xml:space="preserve"> </v>
      </c>
      <c r="AK79" s="104" t="str">
        <f t="shared" si="5"/>
        <v xml:space="preserve"> </v>
      </c>
      <c r="AL79" s="104" t="str">
        <f t="shared" si="6"/>
        <v xml:space="preserve"> </v>
      </c>
    </row>
    <row r="80" spans="1:38" ht="18" hidden="1">
      <c r="A80" s="65" t="s">
        <v>16</v>
      </c>
      <c r="J80" s="50"/>
      <c r="K80" s="51"/>
      <c r="M80" s="56"/>
      <c r="N80" s="53"/>
      <c r="O80" s="54"/>
      <c r="P80" s="54"/>
      <c r="Q80" s="53"/>
      <c r="AC80" s="103">
        <v>-25</v>
      </c>
      <c r="AD80" s="4">
        <f t="shared" si="0"/>
        <v>-31.666666666666664</v>
      </c>
      <c r="AE80" s="103">
        <v>-0.68</v>
      </c>
      <c r="AF80" s="5">
        <f t="shared" si="1"/>
        <v>-5.6666666666666671E-4</v>
      </c>
      <c r="AG80" s="103">
        <v>-0.98</v>
      </c>
      <c r="AH80" s="5">
        <f t="shared" si="2"/>
        <v>-8.166666666666666E-4</v>
      </c>
      <c r="AI80" s="104" t="str">
        <f t="shared" si="3"/>
        <v xml:space="preserve"> </v>
      </c>
      <c r="AJ80" s="104" t="str">
        <f t="shared" si="4"/>
        <v xml:space="preserve"> </v>
      </c>
      <c r="AK80" s="104" t="str">
        <f t="shared" si="5"/>
        <v xml:space="preserve"> </v>
      </c>
      <c r="AL80" s="104" t="str">
        <f t="shared" si="6"/>
        <v xml:space="preserve"> </v>
      </c>
    </row>
    <row r="81" spans="1:38" ht="18" hidden="1">
      <c r="AC81" s="103">
        <v>0</v>
      </c>
      <c r="AD81" s="4">
        <f t="shared" si="0"/>
        <v>-17.777777777777779</v>
      </c>
      <c r="AE81" s="103">
        <v>-0.49</v>
      </c>
      <c r="AF81" s="5">
        <f t="shared" si="1"/>
        <v>-4.083333333333333E-4</v>
      </c>
      <c r="AG81" s="103">
        <v>-0.72</v>
      </c>
      <c r="AH81" s="5">
        <f t="shared" si="2"/>
        <v>-5.9999999999999995E-4</v>
      </c>
      <c r="AI81" s="104" t="str">
        <f t="shared" si="3"/>
        <v xml:space="preserve"> </v>
      </c>
      <c r="AJ81" s="104" t="str">
        <f t="shared" si="4"/>
        <v xml:space="preserve"> </v>
      </c>
      <c r="AK81" s="104" t="str">
        <f t="shared" si="5"/>
        <v xml:space="preserve"> </v>
      </c>
      <c r="AL81" s="104" t="str">
        <f t="shared" si="6"/>
        <v xml:space="preserve"> </v>
      </c>
    </row>
    <row r="82" spans="1:38" ht="30" hidden="1">
      <c r="A82" s="105" t="s">
        <v>44</v>
      </c>
      <c r="B82" s="105" t="s">
        <v>42</v>
      </c>
      <c r="C82" s="106" t="s">
        <v>43</v>
      </c>
      <c r="J82" s="9"/>
      <c r="AC82" s="103">
        <v>25</v>
      </c>
      <c r="AD82" s="4">
        <f t="shared" si="0"/>
        <v>-3.8888888888888888</v>
      </c>
      <c r="AE82" s="103">
        <v>-0.32</v>
      </c>
      <c r="AF82" s="5">
        <f t="shared" si="1"/>
        <v>-2.6666666666666668E-4</v>
      </c>
      <c r="AG82" s="103">
        <v>-0.46</v>
      </c>
      <c r="AH82" s="5">
        <f t="shared" si="2"/>
        <v>-3.8333333333333334E-4</v>
      </c>
      <c r="AI82" s="104" t="str">
        <f t="shared" si="3"/>
        <v xml:space="preserve"> </v>
      </c>
      <c r="AJ82" s="104" t="str">
        <f t="shared" si="4"/>
        <v xml:space="preserve"> </v>
      </c>
      <c r="AK82" s="104" t="str">
        <f t="shared" si="5"/>
        <v xml:space="preserve"> </v>
      </c>
      <c r="AL82" s="104" t="str">
        <f t="shared" si="6"/>
        <v xml:space="preserve"> </v>
      </c>
    </row>
    <row r="83" spans="1:38" ht="18" hidden="1">
      <c r="A83" s="107">
        <v>0</v>
      </c>
      <c r="B83" s="108">
        <v>1</v>
      </c>
      <c r="C83" s="109" t="str">
        <f>IF($D$37=0,B83," ")</f>
        <v xml:space="preserve"> </v>
      </c>
      <c r="I83" s="110"/>
      <c r="J83" s="43"/>
      <c r="K83" s="43"/>
      <c r="L83" s="35"/>
      <c r="M83" s="35"/>
      <c r="N83" s="35"/>
      <c r="O83" s="35"/>
      <c r="AC83" s="103">
        <v>50</v>
      </c>
      <c r="AD83" s="4">
        <f t="shared" si="0"/>
        <v>10</v>
      </c>
      <c r="AE83" s="103">
        <v>-0.14000000000000001</v>
      </c>
      <c r="AF83" s="5">
        <f t="shared" si="1"/>
        <v>-1.1666666666666668E-4</v>
      </c>
      <c r="AG83" s="103">
        <v>-0.21</v>
      </c>
      <c r="AH83" s="5">
        <f t="shared" si="2"/>
        <v>-1.75E-4</v>
      </c>
      <c r="AI83" s="104" t="str">
        <f t="shared" si="3"/>
        <v xml:space="preserve"> </v>
      </c>
      <c r="AJ83" s="104" t="str">
        <f t="shared" si="4"/>
        <v xml:space="preserve"> </v>
      </c>
      <c r="AK83" s="104" t="str">
        <f t="shared" si="5"/>
        <v xml:space="preserve"> </v>
      </c>
      <c r="AL83" s="104" t="str">
        <f t="shared" si="6"/>
        <v xml:space="preserve"> </v>
      </c>
    </row>
    <row r="84" spans="1:38" ht="18" hidden="1">
      <c r="A84" s="111">
        <v>0.5</v>
      </c>
      <c r="B84" s="112">
        <v>0.97101449275362317</v>
      </c>
      <c r="C84" s="113" t="str">
        <f>IF(AND((A83&lt;$D$37),(A84&gt;=$D$37)),(B84-B83)/(A84-A83)*($D$37-A83)+B83," ")</f>
        <v xml:space="preserve"> </v>
      </c>
      <c r="I84" s="110"/>
      <c r="J84" s="90"/>
      <c r="K84" s="91"/>
      <c r="L84" s="35"/>
      <c r="M84" s="35"/>
      <c r="N84" s="35"/>
      <c r="O84" s="35"/>
      <c r="P84" s="54"/>
      <c r="AC84" s="103">
        <v>70</v>
      </c>
      <c r="AD84" s="4">
        <f t="shared" si="0"/>
        <v>21.111111111111111</v>
      </c>
      <c r="AE84" s="103">
        <v>0</v>
      </c>
      <c r="AF84" s="5">
        <f t="shared" si="1"/>
        <v>0</v>
      </c>
      <c r="AG84" s="103">
        <v>0</v>
      </c>
      <c r="AH84" s="5">
        <f t="shared" si="2"/>
        <v>0</v>
      </c>
      <c r="AI84" s="104" t="str">
        <f t="shared" si="3"/>
        <v xml:space="preserve"> </v>
      </c>
      <c r="AJ84" s="104" t="str">
        <f t="shared" si="4"/>
        <v xml:space="preserve"> </v>
      </c>
      <c r="AK84" s="104" t="str">
        <f t="shared" si="5"/>
        <v xml:space="preserve"> </v>
      </c>
      <c r="AL84" s="104" t="str">
        <f t="shared" si="6"/>
        <v xml:space="preserve"> </v>
      </c>
    </row>
    <row r="85" spans="1:38" ht="18" hidden="1">
      <c r="A85" s="111">
        <v>1</v>
      </c>
      <c r="B85" s="112">
        <v>0.92753623188405798</v>
      </c>
      <c r="C85" s="113" t="str">
        <f t="shared" ref="C85:C148" si="7">IF(AND((A84&lt;$D$37),(A85&gt;=$D$37)),(B85-B84)/(A85-A84)*($D$37-A84)+B84," ")</f>
        <v xml:space="preserve"> </v>
      </c>
      <c r="I85" s="110"/>
      <c r="J85" s="43"/>
      <c r="K85" s="43"/>
      <c r="L85" s="35"/>
      <c r="M85" s="35"/>
      <c r="N85" s="35"/>
      <c r="O85" s="92"/>
      <c r="P85" s="54"/>
      <c r="AC85" s="103">
        <v>100</v>
      </c>
      <c r="AD85" s="4">
        <f t="shared" si="0"/>
        <v>37.777777777777779</v>
      </c>
      <c r="AE85" s="103">
        <v>0.23</v>
      </c>
      <c r="AF85" s="5">
        <f t="shared" si="1"/>
        <v>1.9166666666666667E-4</v>
      </c>
      <c r="AG85" s="103">
        <v>0.34</v>
      </c>
      <c r="AH85" s="5">
        <f t="shared" si="2"/>
        <v>2.8333333333333335E-4</v>
      </c>
      <c r="AI85" s="104">
        <f t="shared" si="3"/>
        <v>1.1717222222222224E-4</v>
      </c>
      <c r="AJ85" s="104">
        <f t="shared" si="4"/>
        <v>4.4722222222222228E-5</v>
      </c>
      <c r="AK85" s="104">
        <f t="shared" si="5"/>
        <v>1.7321111111111114E-4</v>
      </c>
      <c r="AL85" s="104">
        <f t="shared" si="6"/>
        <v>6.611111111111112E-5</v>
      </c>
    </row>
    <row r="86" spans="1:38" ht="18" hidden="1">
      <c r="A86" s="111">
        <v>1.5</v>
      </c>
      <c r="B86" s="112">
        <v>0.88405797101449279</v>
      </c>
      <c r="C86" s="113" t="str">
        <f t="shared" si="7"/>
        <v xml:space="preserve"> </v>
      </c>
      <c r="I86" s="110"/>
      <c r="J86" s="43"/>
      <c r="K86" s="43"/>
      <c r="L86" s="35"/>
      <c r="M86" s="35"/>
      <c r="N86" s="35"/>
      <c r="O86" s="35"/>
      <c r="AC86" s="103">
        <v>125</v>
      </c>
      <c r="AD86" s="4">
        <f t="shared" si="0"/>
        <v>51.666666666666664</v>
      </c>
      <c r="AE86" s="103">
        <v>0.42</v>
      </c>
      <c r="AF86" s="5">
        <f t="shared" si="1"/>
        <v>3.5E-4</v>
      </c>
      <c r="AG86" s="103">
        <v>0.62</v>
      </c>
      <c r="AH86" s="5">
        <f t="shared" si="2"/>
        <v>5.1666666666666668E-4</v>
      </c>
      <c r="AI86" s="114" t="str">
        <f t="shared" si="3"/>
        <v xml:space="preserve"> </v>
      </c>
      <c r="AJ86" s="114" t="str">
        <f t="shared" si="4"/>
        <v xml:space="preserve"> </v>
      </c>
      <c r="AK86" s="114" t="str">
        <f t="shared" si="5"/>
        <v xml:space="preserve"> </v>
      </c>
      <c r="AL86" s="114" t="str">
        <f t="shared" si="6"/>
        <v xml:space="preserve"> </v>
      </c>
    </row>
    <row r="87" spans="1:38" ht="18" hidden="1">
      <c r="A87" s="111">
        <v>2</v>
      </c>
      <c r="B87" s="112">
        <v>0.82608695652173914</v>
      </c>
      <c r="C87" s="113" t="str">
        <f t="shared" si="7"/>
        <v xml:space="preserve"> </v>
      </c>
      <c r="I87" s="110"/>
      <c r="J87" s="43"/>
      <c r="K87" s="43"/>
      <c r="L87" s="35"/>
      <c r="M87" s="35"/>
      <c r="N87" s="35"/>
      <c r="O87" s="35"/>
      <c r="AC87" s="103">
        <v>150</v>
      </c>
      <c r="AD87" s="4">
        <f t="shared" si="0"/>
        <v>65.555555555555557</v>
      </c>
      <c r="AE87" s="115">
        <v>0.61</v>
      </c>
      <c r="AF87" s="5">
        <f t="shared" si="1"/>
        <v>5.0833333333333329E-4</v>
      </c>
      <c r="AG87" s="115">
        <v>0.9</v>
      </c>
      <c r="AH87" s="5">
        <f t="shared" si="2"/>
        <v>7.5000000000000002E-4</v>
      </c>
      <c r="AI87" s="104" t="str">
        <f t="shared" si="3"/>
        <v xml:space="preserve"> </v>
      </c>
      <c r="AJ87" s="104" t="str">
        <f t="shared" si="4"/>
        <v xml:space="preserve"> </v>
      </c>
      <c r="AK87" s="104" t="str">
        <f t="shared" si="5"/>
        <v xml:space="preserve"> </v>
      </c>
      <c r="AL87" s="104" t="str">
        <f t="shared" si="6"/>
        <v xml:space="preserve"> </v>
      </c>
    </row>
    <row r="88" spans="1:38" ht="18" hidden="1">
      <c r="A88" s="111">
        <v>2.5</v>
      </c>
      <c r="B88" s="112">
        <v>0.71014492753623193</v>
      </c>
      <c r="C88" s="113" t="str">
        <f t="shared" si="7"/>
        <v xml:space="preserve"> </v>
      </c>
      <c r="D88" s="57"/>
      <c r="E88" s="57"/>
      <c r="F88" s="57"/>
      <c r="I88" s="110"/>
      <c r="J88" s="43"/>
      <c r="K88" s="43"/>
      <c r="L88" s="35"/>
      <c r="M88" s="35"/>
      <c r="N88" s="35"/>
      <c r="O88" s="92"/>
      <c r="AC88" s="103">
        <v>175</v>
      </c>
      <c r="AD88" s="4">
        <f t="shared" si="0"/>
        <v>79.444444444444443</v>
      </c>
      <c r="AE88" s="115">
        <v>0.8</v>
      </c>
      <c r="AF88" s="5">
        <f t="shared" si="1"/>
        <v>6.6666666666666675E-4</v>
      </c>
      <c r="AG88" s="115">
        <v>1.18</v>
      </c>
      <c r="AH88" s="5">
        <f t="shared" si="2"/>
        <v>9.8333333333333324E-4</v>
      </c>
      <c r="AI88" s="104" t="str">
        <f t="shared" si="3"/>
        <v xml:space="preserve"> </v>
      </c>
      <c r="AJ88" s="104" t="str">
        <f t="shared" si="4"/>
        <v xml:space="preserve"> </v>
      </c>
      <c r="AK88" s="104" t="str">
        <f t="shared" si="5"/>
        <v xml:space="preserve"> </v>
      </c>
      <c r="AL88" s="104" t="str">
        <f t="shared" si="6"/>
        <v xml:space="preserve"> </v>
      </c>
    </row>
    <row r="89" spans="1:38" ht="18" hidden="1">
      <c r="A89" s="111">
        <v>3</v>
      </c>
      <c r="B89" s="112">
        <v>0.65217391304347827</v>
      </c>
      <c r="C89" s="113" t="str">
        <f t="shared" si="7"/>
        <v xml:space="preserve"> </v>
      </c>
      <c r="F89" s="57"/>
      <c r="I89" s="110"/>
      <c r="J89" s="43"/>
      <c r="K89" s="43"/>
      <c r="L89" s="35"/>
      <c r="M89" s="35"/>
      <c r="N89" s="35"/>
      <c r="O89" s="35"/>
      <c r="AC89" s="103">
        <v>200</v>
      </c>
      <c r="AD89" s="4">
        <f t="shared" si="0"/>
        <v>93.333333333333329</v>
      </c>
      <c r="AE89" s="115">
        <v>0.99</v>
      </c>
      <c r="AF89" s="5">
        <f t="shared" si="1"/>
        <v>8.25E-4</v>
      </c>
      <c r="AG89" s="115">
        <v>1.46</v>
      </c>
      <c r="AH89" s="5">
        <f t="shared" si="2"/>
        <v>1.2166666666666667E-3</v>
      </c>
      <c r="AI89" s="104" t="str">
        <f t="shared" si="3"/>
        <v xml:space="preserve"> </v>
      </c>
      <c r="AJ89" s="104" t="str">
        <f t="shared" si="4"/>
        <v xml:space="preserve"> </v>
      </c>
      <c r="AK89" s="104" t="str">
        <f t="shared" si="5"/>
        <v xml:space="preserve"> </v>
      </c>
      <c r="AL89" s="104" t="str">
        <f t="shared" si="6"/>
        <v xml:space="preserve"> </v>
      </c>
    </row>
    <row r="90" spans="1:38" ht="18" hidden="1">
      <c r="A90" s="111">
        <v>3.5</v>
      </c>
      <c r="B90" s="112">
        <v>0.59420289855072461</v>
      </c>
      <c r="C90" s="113" t="str">
        <f t="shared" si="7"/>
        <v xml:space="preserve"> </v>
      </c>
      <c r="I90" s="110"/>
      <c r="J90" s="43"/>
      <c r="K90" s="43"/>
      <c r="L90" s="35"/>
      <c r="M90" s="35"/>
      <c r="N90" s="35"/>
      <c r="O90" s="35"/>
      <c r="AC90" s="103">
        <v>225</v>
      </c>
      <c r="AD90" s="4">
        <f t="shared" si="0"/>
        <v>107.22222222222221</v>
      </c>
      <c r="AE90" s="115">
        <v>1.21</v>
      </c>
      <c r="AF90" s="5">
        <f t="shared" si="1"/>
        <v>1.0083333333333333E-3</v>
      </c>
      <c r="AG90" s="115">
        <v>1.75</v>
      </c>
      <c r="AH90" s="5">
        <f t="shared" si="2"/>
        <v>1.4583333333333334E-3</v>
      </c>
      <c r="AI90" s="104" t="str">
        <f t="shared" si="3"/>
        <v xml:space="preserve"> </v>
      </c>
      <c r="AJ90" s="104" t="str">
        <f t="shared" si="4"/>
        <v xml:space="preserve"> </v>
      </c>
      <c r="AK90" s="104" t="str">
        <f t="shared" si="5"/>
        <v xml:space="preserve"> </v>
      </c>
      <c r="AL90" s="104" t="str">
        <f t="shared" si="6"/>
        <v xml:space="preserve"> </v>
      </c>
    </row>
    <row r="91" spans="1:38" ht="18" hidden="1">
      <c r="A91" s="111">
        <v>4</v>
      </c>
      <c r="B91" s="112">
        <v>0.53623188405797106</v>
      </c>
      <c r="C91" s="113" t="str">
        <f t="shared" si="7"/>
        <v xml:space="preserve"> </v>
      </c>
      <c r="I91" s="110"/>
      <c r="J91" s="43"/>
      <c r="K91" s="43"/>
      <c r="L91" s="35"/>
      <c r="M91" s="35"/>
      <c r="N91" s="35"/>
      <c r="O91" s="35"/>
      <c r="AC91" s="103">
        <v>250</v>
      </c>
      <c r="AD91" s="4">
        <f t="shared" si="0"/>
        <v>121.11111111111111</v>
      </c>
      <c r="AE91" s="115">
        <v>1.4</v>
      </c>
      <c r="AF91" s="5">
        <f t="shared" si="1"/>
        <v>1.1666666666666665E-3</v>
      </c>
      <c r="AG91" s="115">
        <v>2.0299999999999998</v>
      </c>
      <c r="AH91" s="5">
        <f t="shared" si="2"/>
        <v>1.6916666666666664E-3</v>
      </c>
      <c r="AI91" s="104" t="str">
        <f t="shared" si="3"/>
        <v xml:space="preserve"> </v>
      </c>
      <c r="AJ91" s="104" t="str">
        <f t="shared" si="4"/>
        <v xml:space="preserve"> </v>
      </c>
      <c r="AK91" s="104" t="str">
        <f t="shared" si="5"/>
        <v xml:space="preserve"> </v>
      </c>
      <c r="AL91" s="104" t="str">
        <f t="shared" si="6"/>
        <v xml:space="preserve"> </v>
      </c>
    </row>
    <row r="92" spans="1:38" ht="18" hidden="1">
      <c r="A92" s="111">
        <v>4.5</v>
      </c>
      <c r="B92" s="112">
        <v>0.49275362318840582</v>
      </c>
      <c r="C92" s="113" t="str">
        <f t="shared" si="7"/>
        <v xml:space="preserve"> </v>
      </c>
      <c r="I92" s="110"/>
      <c r="J92" s="43"/>
      <c r="K92" s="43"/>
      <c r="L92" s="35"/>
      <c r="M92" s="35"/>
      <c r="N92" s="35"/>
      <c r="O92" s="35"/>
      <c r="AC92" s="103">
        <v>275</v>
      </c>
      <c r="AD92" s="4">
        <f t="shared" si="0"/>
        <v>135</v>
      </c>
      <c r="AE92" s="115">
        <v>1.61</v>
      </c>
      <c r="AF92" s="5">
        <f t="shared" si="1"/>
        <v>1.3416666666666668E-3</v>
      </c>
      <c r="AG92" s="115">
        <v>2.3199999999999998</v>
      </c>
      <c r="AH92" s="5">
        <f t="shared" si="2"/>
        <v>1.9333333333333331E-3</v>
      </c>
      <c r="AI92" s="104" t="str">
        <f t="shared" si="3"/>
        <v xml:space="preserve"> </v>
      </c>
      <c r="AJ92" s="104" t="str">
        <f t="shared" si="4"/>
        <v xml:space="preserve"> </v>
      </c>
      <c r="AK92" s="104" t="str">
        <f t="shared" si="5"/>
        <v xml:space="preserve"> </v>
      </c>
      <c r="AL92" s="104" t="str">
        <f t="shared" si="6"/>
        <v xml:space="preserve"> </v>
      </c>
    </row>
    <row r="93" spans="1:38" ht="18" hidden="1">
      <c r="A93" s="111">
        <v>5</v>
      </c>
      <c r="B93" s="112">
        <v>0.44927536231884058</v>
      </c>
      <c r="C93" s="113" t="str">
        <f t="shared" si="7"/>
        <v xml:space="preserve"> </v>
      </c>
      <c r="I93" s="110"/>
      <c r="J93" s="43"/>
      <c r="K93" s="43"/>
      <c r="L93" s="35"/>
      <c r="M93" s="35"/>
      <c r="N93" s="35"/>
      <c r="O93" s="35"/>
      <c r="AC93" s="103">
        <v>300</v>
      </c>
      <c r="AD93" s="4">
        <f t="shared" si="0"/>
        <v>148.88888888888889</v>
      </c>
      <c r="AE93" s="115">
        <v>1.82</v>
      </c>
      <c r="AF93" s="5">
        <f t="shared" si="1"/>
        <v>1.5166666666666668E-3</v>
      </c>
      <c r="AG93" s="115">
        <v>2.61</v>
      </c>
      <c r="AH93" s="5">
        <f t="shared" si="2"/>
        <v>2.1749999999999999E-3</v>
      </c>
      <c r="AI93" s="104" t="str">
        <f t="shared" si="3"/>
        <v xml:space="preserve"> </v>
      </c>
      <c r="AJ93" s="104" t="str">
        <f t="shared" si="4"/>
        <v xml:space="preserve"> </v>
      </c>
      <c r="AK93" s="104" t="str">
        <f t="shared" si="5"/>
        <v xml:space="preserve"> </v>
      </c>
      <c r="AL93" s="104" t="str">
        <f t="shared" si="6"/>
        <v xml:space="preserve"> </v>
      </c>
    </row>
    <row r="94" spans="1:38" ht="18" hidden="1">
      <c r="A94" s="111">
        <v>5.5</v>
      </c>
      <c r="B94" s="112">
        <v>0.40579710144927539</v>
      </c>
      <c r="C94" s="113" t="str">
        <f t="shared" si="7"/>
        <v xml:space="preserve"> </v>
      </c>
      <c r="I94" s="110"/>
      <c r="J94" s="43"/>
      <c r="K94" s="43"/>
      <c r="L94" s="35"/>
      <c r="M94" s="35"/>
      <c r="N94" s="35"/>
      <c r="O94" s="35"/>
      <c r="AC94" s="103">
        <v>325</v>
      </c>
      <c r="AD94" s="4">
        <f t="shared" si="0"/>
        <v>162.77777777777777</v>
      </c>
      <c r="AE94" s="115">
        <v>2.04</v>
      </c>
      <c r="AF94" s="5">
        <f t="shared" si="1"/>
        <v>1.7000000000000001E-3</v>
      </c>
      <c r="AG94" s="115">
        <v>2.9</v>
      </c>
      <c r="AH94" s="5">
        <f t="shared" si="2"/>
        <v>2.4166666666666668E-3</v>
      </c>
      <c r="AI94" s="104" t="str">
        <f t="shared" si="3"/>
        <v xml:space="preserve"> </v>
      </c>
      <c r="AJ94" s="104" t="str">
        <f t="shared" si="4"/>
        <v xml:space="preserve"> </v>
      </c>
      <c r="AK94" s="104" t="str">
        <f t="shared" si="5"/>
        <v xml:space="preserve"> </v>
      </c>
      <c r="AL94" s="104" t="str">
        <f t="shared" si="6"/>
        <v xml:space="preserve"> </v>
      </c>
    </row>
    <row r="95" spans="1:38" ht="18" hidden="1">
      <c r="A95" s="111">
        <v>6</v>
      </c>
      <c r="B95" s="112">
        <v>0.37681159420289856</v>
      </c>
      <c r="C95" s="113" t="str">
        <f t="shared" si="7"/>
        <v xml:space="preserve"> </v>
      </c>
      <c r="I95" s="110"/>
      <c r="J95" s="43"/>
      <c r="K95" s="43"/>
      <c r="L95" s="35"/>
      <c r="M95" s="35"/>
      <c r="N95" s="35"/>
      <c r="O95" s="35"/>
      <c r="AC95" s="103">
        <v>350</v>
      </c>
      <c r="AD95" s="4">
        <f t="shared" si="0"/>
        <v>176.66666666666666</v>
      </c>
      <c r="AE95" s="115">
        <v>2.2599999999999998</v>
      </c>
      <c r="AF95" s="5">
        <f t="shared" si="1"/>
        <v>1.8833333333333332E-3</v>
      </c>
      <c r="AG95" s="115">
        <v>3.2</v>
      </c>
      <c r="AH95" s="5">
        <f t="shared" si="2"/>
        <v>2.666666666666667E-3</v>
      </c>
      <c r="AI95" s="104" t="str">
        <f t="shared" si="3"/>
        <v xml:space="preserve"> </v>
      </c>
      <c r="AJ95" s="104" t="str">
        <f t="shared" si="4"/>
        <v xml:space="preserve"> </v>
      </c>
      <c r="AK95" s="104" t="str">
        <f t="shared" si="5"/>
        <v xml:space="preserve"> </v>
      </c>
      <c r="AL95" s="104" t="str">
        <f t="shared" si="6"/>
        <v xml:space="preserve"> </v>
      </c>
    </row>
    <row r="96" spans="1:38" ht="18" hidden="1">
      <c r="A96" s="111">
        <v>6.5</v>
      </c>
      <c r="B96" s="112">
        <v>0.34782608695652173</v>
      </c>
      <c r="C96" s="113" t="str">
        <f t="shared" si="7"/>
        <v xml:space="preserve"> </v>
      </c>
      <c r="I96" s="110"/>
      <c r="J96" s="43"/>
      <c r="K96" s="43"/>
      <c r="L96" s="35"/>
      <c r="M96" s="35"/>
      <c r="N96" s="35"/>
      <c r="O96" s="35"/>
      <c r="AC96" s="103">
        <v>375</v>
      </c>
      <c r="AD96" s="4">
        <f t="shared" si="0"/>
        <v>190.55555555555554</v>
      </c>
      <c r="AE96" s="115">
        <v>2.48</v>
      </c>
      <c r="AF96" s="5">
        <f t="shared" si="1"/>
        <v>2.0666666666666667E-3</v>
      </c>
      <c r="AG96" s="115">
        <v>3.5</v>
      </c>
      <c r="AH96" s="5">
        <f t="shared" si="2"/>
        <v>2.9166666666666668E-3</v>
      </c>
      <c r="AI96" s="104" t="str">
        <f t="shared" si="3"/>
        <v xml:space="preserve"> </v>
      </c>
      <c r="AJ96" s="104" t="str">
        <f t="shared" si="4"/>
        <v xml:space="preserve"> </v>
      </c>
      <c r="AK96" s="104" t="str">
        <f t="shared" si="5"/>
        <v xml:space="preserve"> </v>
      </c>
      <c r="AL96" s="104" t="str">
        <f t="shared" si="6"/>
        <v xml:space="preserve"> </v>
      </c>
    </row>
    <row r="97" spans="1:38" ht="18" hidden="1">
      <c r="A97" s="111">
        <v>7</v>
      </c>
      <c r="B97" s="112">
        <v>0.3188405797101449</v>
      </c>
      <c r="C97" s="113" t="str">
        <f t="shared" si="7"/>
        <v xml:space="preserve"> </v>
      </c>
      <c r="I97" s="110"/>
      <c r="J97" s="43"/>
      <c r="K97" s="43"/>
      <c r="L97" s="35"/>
      <c r="M97" s="35"/>
      <c r="N97" s="35"/>
      <c r="O97" s="35"/>
      <c r="AC97" s="103">
        <v>400</v>
      </c>
      <c r="AD97" s="4">
        <f t="shared" si="0"/>
        <v>204.44444444444443</v>
      </c>
      <c r="AE97" s="115">
        <v>2.7</v>
      </c>
      <c r="AF97" s="5">
        <f t="shared" si="1"/>
        <v>2.2500000000000003E-3</v>
      </c>
      <c r="AG97" s="115">
        <v>3.8</v>
      </c>
      <c r="AH97" s="5">
        <f t="shared" si="2"/>
        <v>3.1666666666666666E-3</v>
      </c>
      <c r="AI97" s="104" t="str">
        <f t="shared" si="3"/>
        <v xml:space="preserve"> </v>
      </c>
      <c r="AJ97" s="104" t="str">
        <f t="shared" si="4"/>
        <v xml:space="preserve"> </v>
      </c>
      <c r="AK97" s="104" t="str">
        <f t="shared" si="5"/>
        <v xml:space="preserve"> </v>
      </c>
      <c r="AL97" s="104" t="str">
        <f t="shared" si="6"/>
        <v xml:space="preserve"> </v>
      </c>
    </row>
    <row r="98" spans="1:38" ht="18" hidden="1">
      <c r="A98" s="111">
        <v>7.5</v>
      </c>
      <c r="B98" s="112">
        <v>0.29710144927536231</v>
      </c>
      <c r="C98" s="113" t="str">
        <f t="shared" si="7"/>
        <v xml:space="preserve"> </v>
      </c>
      <c r="I98" s="110"/>
      <c r="J98" s="43"/>
      <c r="K98" s="43"/>
      <c r="L98" s="35"/>
      <c r="M98" s="35"/>
      <c r="N98" s="35"/>
      <c r="O98" s="92"/>
      <c r="AC98" s="103">
        <v>425</v>
      </c>
      <c r="AD98" s="4">
        <f t="shared" si="0"/>
        <v>218.33333333333331</v>
      </c>
      <c r="AE98" s="115">
        <v>2.93</v>
      </c>
      <c r="AF98" s="5">
        <f t="shared" si="1"/>
        <v>2.4416666666666666E-3</v>
      </c>
      <c r="AG98" s="115">
        <v>4.0999999999999996</v>
      </c>
      <c r="AH98" s="5">
        <f t="shared" si="2"/>
        <v>3.4166666666666664E-3</v>
      </c>
      <c r="AI98" s="104" t="str">
        <f t="shared" si="3"/>
        <v xml:space="preserve"> </v>
      </c>
      <c r="AJ98" s="104" t="str">
        <f t="shared" si="4"/>
        <v xml:space="preserve"> </v>
      </c>
      <c r="AK98" s="104" t="str">
        <f t="shared" si="5"/>
        <v xml:space="preserve"> </v>
      </c>
      <c r="AL98" s="104" t="str">
        <f t="shared" si="6"/>
        <v xml:space="preserve"> </v>
      </c>
    </row>
    <row r="99" spans="1:38" ht="18" hidden="1">
      <c r="A99" s="111">
        <v>8</v>
      </c>
      <c r="B99" s="112">
        <v>0.27536231884057971</v>
      </c>
      <c r="C99" s="113" t="str">
        <f t="shared" si="7"/>
        <v xml:space="preserve"> </v>
      </c>
      <c r="I99" s="110"/>
      <c r="J99" s="43"/>
      <c r="K99" s="43"/>
      <c r="L99" s="35"/>
      <c r="M99" s="35"/>
      <c r="N99" s="35"/>
      <c r="O99" s="35"/>
      <c r="AC99" s="103">
        <v>450</v>
      </c>
      <c r="AD99" s="4">
        <f t="shared" si="0"/>
        <v>232.22222222222223</v>
      </c>
      <c r="AE99" s="115">
        <v>3.16</v>
      </c>
      <c r="AF99" s="5">
        <f t="shared" si="1"/>
        <v>2.6333333333333334E-3</v>
      </c>
      <c r="AG99" s="115">
        <v>4.41</v>
      </c>
      <c r="AH99" s="5">
        <f t="shared" si="2"/>
        <v>3.6750000000000003E-3</v>
      </c>
      <c r="AI99" s="104" t="str">
        <f>IF($D$45&gt;AD99,$AF$99,IF(AND((AD98&lt;$D$45),(AD99&gt;=$D$45)),(AF99-AF98)/(AD99-AD98)*($D$45-AD98)+AF98," "))</f>
        <v xml:space="preserve"> </v>
      </c>
      <c r="AJ99" s="104" t="str">
        <f>IF($H$12&gt;AD99,$AF$99,IF(AND((AD98&lt;$H$12),(AD99&gt;=$H$12)),(AF99-AF98)/(AD99-AD98)*($H$12-AD98)+AF98," "))</f>
        <v xml:space="preserve"> </v>
      </c>
      <c r="AK99" s="104" t="str">
        <f>IF($D$45&gt;AD99,$AH$99,IF(AND((AD98&lt;$D$45),(AD99&gt;=$D$45)),(AH99-AH98)/(AD99-AD98)*($D$45-AD98)+AH98," "))</f>
        <v xml:space="preserve"> </v>
      </c>
      <c r="AL99" s="104" t="str">
        <f>IF($H$12&gt;AD99,$AH$99,IF(AND((AD98&lt;$H$12),(AD99&gt;=$H$12)),(AH99-AH98)/(AD99-AD98)*($H$12-AD98)+AH98," "))</f>
        <v xml:space="preserve"> </v>
      </c>
    </row>
    <row r="100" spans="1:38" ht="15" hidden="1">
      <c r="A100" s="111">
        <v>8.5</v>
      </c>
      <c r="B100" s="112">
        <v>0.2608695652173913</v>
      </c>
      <c r="C100" s="113" t="str">
        <f t="shared" si="7"/>
        <v xml:space="preserve"> </v>
      </c>
      <c r="I100" s="110"/>
      <c r="J100" s="43"/>
      <c r="K100" s="43"/>
      <c r="L100" s="35"/>
      <c r="M100" s="35"/>
      <c r="N100" s="35"/>
      <c r="O100" s="35"/>
      <c r="AH100" s="88" t="s">
        <v>53</v>
      </c>
      <c r="AI100" s="89">
        <f>MAX(AI68:AI99)</f>
        <v>1.1717222222222224E-4</v>
      </c>
      <c r="AJ100" s="89">
        <f>MAX(AJ68:AJ99)</f>
        <v>4.4722222222222228E-5</v>
      </c>
      <c r="AK100" s="89">
        <f t="shared" ref="AK100:AL100" si="8">MAX(AK68:AK99)</f>
        <v>1.7321111111111114E-4</v>
      </c>
      <c r="AL100" s="89">
        <f t="shared" si="8"/>
        <v>6.611111111111112E-5</v>
      </c>
    </row>
    <row r="101" spans="1:38" ht="15" hidden="1">
      <c r="A101" s="111">
        <v>9</v>
      </c>
      <c r="B101" s="112">
        <v>0.2391304347826087</v>
      </c>
      <c r="C101" s="113" t="str">
        <f t="shared" si="7"/>
        <v xml:space="preserve"> </v>
      </c>
      <c r="I101" s="110"/>
      <c r="J101" s="43"/>
      <c r="K101" s="43"/>
      <c r="L101" s="35"/>
      <c r="M101" s="35"/>
      <c r="N101" s="35"/>
      <c r="O101" s="35"/>
    </row>
    <row r="102" spans="1:38" ht="15" hidden="1">
      <c r="A102" s="111">
        <v>9.5</v>
      </c>
      <c r="B102" s="112">
        <v>0.2318840579710145</v>
      </c>
      <c r="C102" s="113" t="str">
        <f t="shared" si="7"/>
        <v xml:space="preserve"> </v>
      </c>
      <c r="I102" s="116"/>
      <c r="J102" s="43"/>
      <c r="K102" s="43"/>
      <c r="L102" s="35"/>
      <c r="M102" s="35"/>
      <c r="N102" s="35"/>
      <c r="O102" s="92"/>
    </row>
    <row r="103" spans="1:38" ht="15" hidden="1">
      <c r="A103" s="111">
        <v>10</v>
      </c>
      <c r="B103" s="112">
        <v>0.21739130434782608</v>
      </c>
      <c r="C103" s="113" t="str">
        <f t="shared" si="7"/>
        <v xml:space="preserve"> </v>
      </c>
      <c r="I103" s="117"/>
      <c r="J103" s="43"/>
      <c r="K103" s="43"/>
      <c r="L103" s="35"/>
      <c r="M103" s="35"/>
      <c r="N103" s="35"/>
      <c r="O103" s="92"/>
    </row>
    <row r="104" spans="1:38" ht="15" hidden="1">
      <c r="A104" s="111">
        <v>10.5</v>
      </c>
      <c r="B104" s="112">
        <v>0.21014492753623187</v>
      </c>
      <c r="C104" s="113" t="str">
        <f t="shared" si="7"/>
        <v xml:space="preserve"> </v>
      </c>
      <c r="I104" s="110"/>
      <c r="J104" s="43"/>
      <c r="K104" s="43"/>
      <c r="L104" s="35"/>
      <c r="M104" s="35"/>
      <c r="N104" s="35"/>
      <c r="O104" s="35"/>
    </row>
    <row r="105" spans="1:38" ht="15" hidden="1">
      <c r="A105" s="111">
        <v>11</v>
      </c>
      <c r="B105" s="112">
        <v>0.20289855072463769</v>
      </c>
      <c r="C105" s="113" t="str">
        <f t="shared" si="7"/>
        <v xml:space="preserve"> </v>
      </c>
      <c r="I105" s="110"/>
      <c r="J105" s="43"/>
      <c r="K105" s="43"/>
      <c r="L105" s="35"/>
      <c r="M105" s="35"/>
      <c r="N105" s="35"/>
      <c r="O105" s="35"/>
    </row>
    <row r="106" spans="1:38" ht="15" hidden="1">
      <c r="A106" s="111">
        <v>11.5</v>
      </c>
      <c r="B106" s="112">
        <v>0.19565217391304349</v>
      </c>
      <c r="C106" s="113" t="str">
        <f t="shared" si="7"/>
        <v xml:space="preserve"> </v>
      </c>
      <c r="I106" s="110"/>
      <c r="J106" s="43"/>
      <c r="K106" s="43"/>
      <c r="L106" s="35"/>
      <c r="M106" s="35"/>
      <c r="N106" s="35"/>
      <c r="O106" s="92"/>
    </row>
    <row r="107" spans="1:38" ht="15" hidden="1">
      <c r="A107" s="111">
        <v>12</v>
      </c>
      <c r="B107" s="112">
        <v>0.18840579710144928</v>
      </c>
      <c r="C107" s="113" t="str">
        <f t="shared" si="7"/>
        <v xml:space="preserve"> </v>
      </c>
      <c r="I107" s="110"/>
      <c r="J107" s="43"/>
      <c r="K107" s="43"/>
      <c r="L107" s="35"/>
      <c r="M107" s="35"/>
      <c r="N107" s="35"/>
      <c r="O107" s="35"/>
    </row>
    <row r="108" spans="1:38" ht="15" hidden="1">
      <c r="A108" s="111">
        <v>12.5</v>
      </c>
      <c r="B108" s="112">
        <v>0.18115942028985507</v>
      </c>
      <c r="C108" s="113" t="str">
        <f t="shared" si="7"/>
        <v xml:space="preserve"> </v>
      </c>
      <c r="I108" s="110"/>
      <c r="J108" s="43"/>
      <c r="K108" s="43"/>
      <c r="L108" s="35"/>
      <c r="M108" s="35"/>
      <c r="N108" s="35"/>
      <c r="O108" s="35"/>
    </row>
    <row r="109" spans="1:38" ht="15" hidden="1">
      <c r="A109" s="111">
        <v>13</v>
      </c>
      <c r="B109" s="112">
        <v>0.17753623188405798</v>
      </c>
      <c r="C109" s="113">
        <f t="shared" si="7"/>
        <v>0.17995450970634461</v>
      </c>
      <c r="I109" s="110"/>
      <c r="J109" s="43"/>
      <c r="K109" s="43"/>
      <c r="L109" s="35"/>
      <c r="M109" s="35"/>
      <c r="N109" s="35"/>
      <c r="O109" s="35"/>
    </row>
    <row r="110" spans="1:38" ht="15" hidden="1">
      <c r="A110" s="111">
        <v>13.5</v>
      </c>
      <c r="B110" s="112">
        <v>0.17391304347826086</v>
      </c>
      <c r="C110" s="113" t="str">
        <f t="shared" si="7"/>
        <v xml:space="preserve"> </v>
      </c>
      <c r="I110" s="110"/>
      <c r="J110" s="43"/>
      <c r="K110" s="43"/>
      <c r="L110" s="35"/>
      <c r="M110" s="35"/>
      <c r="N110" s="35"/>
      <c r="O110" s="35"/>
    </row>
    <row r="111" spans="1:38" ht="15" hidden="1">
      <c r="A111" s="111">
        <v>14</v>
      </c>
      <c r="B111" s="112">
        <v>0.15942028985507245</v>
      </c>
      <c r="C111" s="113" t="str">
        <f t="shared" si="7"/>
        <v xml:space="preserve"> </v>
      </c>
      <c r="I111" s="110"/>
      <c r="J111" s="43"/>
      <c r="K111" s="43"/>
      <c r="L111" s="35"/>
      <c r="M111" s="35"/>
      <c r="N111" s="35"/>
      <c r="O111" s="92"/>
    </row>
    <row r="112" spans="1:38" ht="15" hidden="1">
      <c r="A112" s="111">
        <v>14.5</v>
      </c>
      <c r="B112" s="112">
        <v>0.15217391304347827</v>
      </c>
      <c r="C112" s="113" t="str">
        <f t="shared" si="7"/>
        <v xml:space="preserve"> </v>
      </c>
      <c r="I112" s="110"/>
      <c r="J112" s="43"/>
      <c r="K112" s="43"/>
      <c r="L112" s="35"/>
      <c r="M112" s="35"/>
      <c r="N112" s="35"/>
      <c r="O112" s="92"/>
    </row>
    <row r="113" spans="1:15" ht="15" hidden="1">
      <c r="A113" s="111">
        <v>15</v>
      </c>
      <c r="B113" s="112">
        <v>0.16304347826086957</v>
      </c>
      <c r="C113" s="113" t="str">
        <f t="shared" si="7"/>
        <v xml:space="preserve"> </v>
      </c>
      <c r="I113" s="110"/>
      <c r="J113" s="43"/>
      <c r="K113" s="43"/>
      <c r="L113" s="35"/>
      <c r="M113" s="35"/>
      <c r="N113" s="35"/>
      <c r="O113" s="35"/>
    </row>
    <row r="114" spans="1:15" ht="15" hidden="1">
      <c r="A114" s="111">
        <v>15.5</v>
      </c>
      <c r="B114" s="112">
        <v>0.14492753623188406</v>
      </c>
      <c r="C114" s="113" t="str">
        <f t="shared" si="7"/>
        <v xml:space="preserve"> </v>
      </c>
      <c r="I114" s="110"/>
      <c r="J114" s="43"/>
      <c r="K114" s="43"/>
      <c r="L114" s="35"/>
      <c r="M114" s="35"/>
      <c r="N114" s="35"/>
      <c r="O114" s="92"/>
    </row>
    <row r="115" spans="1:15" ht="15" hidden="1">
      <c r="A115" s="111">
        <v>16</v>
      </c>
      <c r="B115" s="112">
        <v>0.14202898550724638</v>
      </c>
      <c r="C115" s="113" t="str">
        <f t="shared" si="7"/>
        <v xml:space="preserve"> </v>
      </c>
      <c r="I115" s="110"/>
      <c r="J115" s="43"/>
      <c r="K115" s="43"/>
      <c r="L115" s="35"/>
      <c r="M115" s="35"/>
      <c r="N115" s="35"/>
      <c r="O115" s="35"/>
    </row>
    <row r="116" spans="1:15" ht="15" hidden="1">
      <c r="A116" s="111">
        <v>16.5</v>
      </c>
      <c r="B116" s="112">
        <v>0.13768115942028986</v>
      </c>
      <c r="C116" s="113" t="str">
        <f t="shared" si="7"/>
        <v xml:space="preserve"> </v>
      </c>
      <c r="I116" s="110"/>
      <c r="J116" s="43"/>
      <c r="K116" s="43"/>
      <c r="L116" s="35"/>
      <c r="M116" s="35"/>
      <c r="N116" s="35"/>
      <c r="O116" s="35"/>
    </row>
    <row r="117" spans="1:15" ht="15" hidden="1">
      <c r="A117" s="111">
        <v>17</v>
      </c>
      <c r="B117" s="112">
        <v>0.13405797101449277</v>
      </c>
      <c r="C117" s="113" t="str">
        <f t="shared" si="7"/>
        <v xml:space="preserve"> </v>
      </c>
      <c r="I117" s="110"/>
      <c r="J117" s="43"/>
      <c r="K117" s="43"/>
      <c r="L117" s="35"/>
      <c r="M117" s="35"/>
      <c r="N117" s="35"/>
      <c r="O117" s="35"/>
    </row>
    <row r="118" spans="1:15" ht="15" hidden="1">
      <c r="A118" s="111">
        <v>17.5</v>
      </c>
      <c r="B118" s="112">
        <v>0.13043478260869565</v>
      </c>
      <c r="C118" s="113" t="str">
        <f t="shared" si="7"/>
        <v xml:space="preserve"> </v>
      </c>
      <c r="I118" s="110"/>
      <c r="J118" s="43"/>
      <c r="K118" s="43"/>
      <c r="L118" s="35"/>
      <c r="M118" s="35"/>
      <c r="N118" s="35"/>
      <c r="O118" s="35"/>
    </row>
    <row r="119" spans="1:15" ht="15" hidden="1">
      <c r="A119" s="111">
        <v>18</v>
      </c>
      <c r="B119" s="112">
        <v>0.12318840579710146</v>
      </c>
      <c r="C119" s="113" t="str">
        <f t="shared" si="7"/>
        <v xml:space="preserve"> </v>
      </c>
      <c r="I119" s="110"/>
      <c r="J119" s="43"/>
      <c r="K119" s="43"/>
      <c r="L119" s="35"/>
      <c r="M119" s="35"/>
      <c r="N119" s="35"/>
      <c r="O119" s="35"/>
    </row>
    <row r="120" spans="1:15" ht="15" hidden="1">
      <c r="A120" s="111">
        <v>18.5</v>
      </c>
      <c r="B120" s="112">
        <v>0.11956521739130435</v>
      </c>
      <c r="C120" s="113" t="str">
        <f t="shared" si="7"/>
        <v xml:space="preserve"> </v>
      </c>
      <c r="I120" s="110"/>
      <c r="J120" s="43"/>
      <c r="K120" s="43"/>
      <c r="L120" s="35"/>
      <c r="M120" s="35"/>
      <c r="N120" s="35"/>
      <c r="O120" s="35"/>
    </row>
    <row r="121" spans="1:15" ht="15" hidden="1">
      <c r="A121" s="111">
        <v>19</v>
      </c>
      <c r="B121" s="112">
        <v>0.11594202898550725</v>
      </c>
      <c r="C121" s="113" t="str">
        <f t="shared" si="7"/>
        <v xml:space="preserve"> </v>
      </c>
      <c r="I121" s="110"/>
      <c r="J121" s="43"/>
      <c r="K121" s="43"/>
      <c r="L121" s="35"/>
      <c r="M121" s="35"/>
      <c r="N121" s="35"/>
      <c r="O121" s="35"/>
    </row>
    <row r="122" spans="1:15" ht="15" hidden="1">
      <c r="A122" s="111">
        <v>19.5</v>
      </c>
      <c r="B122" s="112">
        <v>0.11231884057971014</v>
      </c>
      <c r="C122" s="113" t="str">
        <f t="shared" si="7"/>
        <v xml:space="preserve"> </v>
      </c>
      <c r="I122" s="110"/>
      <c r="J122" s="43"/>
      <c r="K122" s="43"/>
      <c r="L122" s="35"/>
      <c r="M122" s="35"/>
      <c r="N122" s="35"/>
      <c r="O122" s="35"/>
    </row>
    <row r="123" spans="1:15" ht="15" hidden="1">
      <c r="A123" s="111">
        <v>20</v>
      </c>
      <c r="B123" s="112">
        <v>0.10869565217391304</v>
      </c>
      <c r="C123" s="113" t="str">
        <f t="shared" si="7"/>
        <v xml:space="preserve"> </v>
      </c>
      <c r="I123" s="110"/>
      <c r="J123" s="43"/>
      <c r="K123" s="43"/>
      <c r="L123" s="35"/>
      <c r="M123" s="35"/>
      <c r="N123" s="35"/>
      <c r="O123" s="35"/>
    </row>
    <row r="124" spans="1:15" ht="15" hidden="1">
      <c r="A124" s="111">
        <v>20.5</v>
      </c>
      <c r="B124" s="112">
        <v>0.10507246376811594</v>
      </c>
      <c r="C124" s="113" t="str">
        <f t="shared" si="7"/>
        <v xml:space="preserve"> </v>
      </c>
      <c r="I124" s="110"/>
      <c r="J124" s="43"/>
      <c r="K124" s="43"/>
      <c r="L124" s="35"/>
      <c r="M124" s="35"/>
      <c r="N124" s="35"/>
      <c r="O124" s="35"/>
    </row>
    <row r="125" spans="1:15" ht="15" hidden="1">
      <c r="A125" s="111">
        <v>21</v>
      </c>
      <c r="B125" s="112">
        <v>0.10289855072463767</v>
      </c>
      <c r="C125" s="113" t="str">
        <f t="shared" si="7"/>
        <v xml:space="preserve"> </v>
      </c>
      <c r="I125" s="110"/>
      <c r="J125" s="43"/>
      <c r="K125" s="43"/>
      <c r="L125" s="35"/>
      <c r="M125" s="35"/>
      <c r="N125" s="35"/>
      <c r="O125" s="35"/>
    </row>
    <row r="126" spans="1:15" ht="15" hidden="1">
      <c r="A126" s="111">
        <v>21.5</v>
      </c>
      <c r="B126" s="112">
        <v>0.10144927536231885</v>
      </c>
      <c r="C126" s="113" t="str">
        <f t="shared" si="7"/>
        <v xml:space="preserve"> </v>
      </c>
      <c r="I126" s="110"/>
      <c r="J126" s="43"/>
      <c r="K126" s="43"/>
      <c r="L126" s="35"/>
      <c r="M126" s="35"/>
      <c r="N126" s="35"/>
      <c r="O126" s="35"/>
    </row>
    <row r="127" spans="1:15" ht="15" hidden="1">
      <c r="A127" s="111">
        <v>22</v>
      </c>
      <c r="B127" s="112">
        <v>9.420289855072464E-2</v>
      </c>
      <c r="C127" s="113" t="str">
        <f t="shared" si="7"/>
        <v xml:space="preserve"> </v>
      </c>
      <c r="I127" s="110"/>
      <c r="J127" s="43"/>
      <c r="K127" s="43"/>
      <c r="L127" s="35"/>
      <c r="M127" s="35"/>
      <c r="N127" s="35"/>
      <c r="O127" s="35"/>
    </row>
    <row r="128" spans="1:15" ht="15" hidden="1">
      <c r="A128" s="111">
        <v>22.5</v>
      </c>
      <c r="B128" s="112">
        <v>9.0579710144927536E-2</v>
      </c>
      <c r="C128" s="113" t="str">
        <f t="shared" si="7"/>
        <v xml:space="preserve"> </v>
      </c>
      <c r="I128" s="110"/>
      <c r="J128" s="43"/>
      <c r="K128" s="43"/>
      <c r="L128" s="35"/>
      <c r="M128" s="35"/>
      <c r="N128" s="35"/>
      <c r="O128" s="35"/>
    </row>
    <row r="129" spans="1:15" ht="15" hidden="1">
      <c r="A129" s="111">
        <v>23</v>
      </c>
      <c r="B129" s="112">
        <v>8.8405797101449274E-2</v>
      </c>
      <c r="C129" s="113" t="str">
        <f t="shared" si="7"/>
        <v xml:space="preserve"> </v>
      </c>
      <c r="I129" s="110"/>
      <c r="J129" s="43"/>
      <c r="K129" s="43"/>
      <c r="L129" s="35"/>
      <c r="M129" s="35"/>
      <c r="N129" s="35"/>
      <c r="O129" s="35"/>
    </row>
    <row r="130" spans="1:15" ht="15" hidden="1">
      <c r="A130" s="111">
        <v>23.5</v>
      </c>
      <c r="B130" s="112">
        <v>8.6956521739130432E-2</v>
      </c>
      <c r="C130" s="113" t="str">
        <f t="shared" si="7"/>
        <v xml:space="preserve"> </v>
      </c>
      <c r="I130" s="110"/>
      <c r="J130" s="43"/>
      <c r="K130" s="43"/>
      <c r="L130" s="35"/>
      <c r="M130" s="35"/>
      <c r="N130" s="35"/>
      <c r="O130" s="35"/>
    </row>
    <row r="131" spans="1:15" ht="15" hidden="1">
      <c r="A131" s="111">
        <v>24</v>
      </c>
      <c r="B131" s="112">
        <v>8.5507246376811605E-2</v>
      </c>
      <c r="C131" s="113" t="str">
        <f t="shared" si="7"/>
        <v xml:space="preserve"> </v>
      </c>
      <c r="I131" s="110"/>
      <c r="J131" s="43"/>
      <c r="K131" s="43"/>
      <c r="L131" s="35"/>
      <c r="M131" s="35"/>
      <c r="N131" s="35"/>
      <c r="O131" s="35"/>
    </row>
    <row r="132" spans="1:15" ht="15" hidden="1">
      <c r="A132" s="111">
        <v>24.5</v>
      </c>
      <c r="B132" s="112">
        <v>8.4057971014492749E-2</v>
      </c>
      <c r="C132" s="113" t="str">
        <f t="shared" si="7"/>
        <v xml:space="preserve"> </v>
      </c>
      <c r="I132" s="110"/>
      <c r="J132" s="43"/>
      <c r="K132" s="43"/>
      <c r="L132" s="35"/>
      <c r="M132" s="35"/>
      <c r="N132" s="35"/>
      <c r="O132" s="35"/>
    </row>
    <row r="133" spans="1:15" ht="15" hidden="1">
      <c r="A133" s="111">
        <v>25</v>
      </c>
      <c r="B133" s="112">
        <v>8.2608695652173922E-2</v>
      </c>
      <c r="C133" s="113" t="str">
        <f t="shared" si="7"/>
        <v xml:space="preserve"> </v>
      </c>
      <c r="I133" s="110"/>
      <c r="J133" s="43"/>
      <c r="K133" s="43"/>
      <c r="L133" s="35"/>
      <c r="M133" s="35"/>
      <c r="N133" s="35"/>
      <c r="O133" s="35"/>
    </row>
    <row r="134" spans="1:15" ht="15" hidden="1">
      <c r="A134" s="111">
        <v>25.5</v>
      </c>
      <c r="B134" s="112">
        <v>8.1884057971014501E-2</v>
      </c>
      <c r="C134" s="113" t="str">
        <f t="shared" si="7"/>
        <v xml:space="preserve"> </v>
      </c>
      <c r="I134" s="110"/>
      <c r="J134" s="43"/>
      <c r="K134" s="43"/>
      <c r="L134" s="35"/>
      <c r="M134" s="35"/>
      <c r="N134" s="35"/>
      <c r="O134" s="35"/>
    </row>
    <row r="135" spans="1:15" ht="15" hidden="1">
      <c r="A135" s="111">
        <v>26</v>
      </c>
      <c r="B135" s="112">
        <v>8.1159420289855067E-2</v>
      </c>
      <c r="C135" s="113" t="str">
        <f t="shared" si="7"/>
        <v xml:space="preserve"> </v>
      </c>
      <c r="I135" s="110"/>
      <c r="J135" s="43"/>
      <c r="K135" s="43"/>
      <c r="L135" s="35"/>
      <c r="M135" s="35"/>
      <c r="N135" s="35"/>
      <c r="O135" s="35"/>
    </row>
    <row r="136" spans="1:15" ht="15" hidden="1">
      <c r="A136" s="111">
        <v>26.5</v>
      </c>
      <c r="B136" s="112">
        <v>8.0434782608695646E-2</v>
      </c>
      <c r="C136" s="113" t="str">
        <f t="shared" si="7"/>
        <v xml:space="preserve"> </v>
      </c>
      <c r="I136" s="110"/>
      <c r="J136" s="43"/>
      <c r="K136" s="43"/>
      <c r="L136" s="35"/>
      <c r="M136" s="35"/>
      <c r="N136" s="35"/>
      <c r="O136" s="35"/>
    </row>
    <row r="137" spans="1:15" ht="15" hidden="1">
      <c r="A137" s="111">
        <v>27</v>
      </c>
      <c r="B137" s="112">
        <v>7.9710144927536225E-2</v>
      </c>
      <c r="C137" s="113" t="str">
        <f t="shared" si="7"/>
        <v xml:space="preserve"> </v>
      </c>
      <c r="I137" s="110"/>
      <c r="J137" s="43"/>
      <c r="K137" s="43"/>
      <c r="L137" s="35"/>
      <c r="M137" s="35"/>
      <c r="N137" s="35"/>
      <c r="O137" s="35"/>
    </row>
    <row r="138" spans="1:15" ht="15" hidden="1">
      <c r="A138" s="111">
        <v>27.5</v>
      </c>
      <c r="B138" s="112">
        <v>7.8985507246376818E-2</v>
      </c>
      <c r="C138" s="113" t="str">
        <f t="shared" si="7"/>
        <v xml:space="preserve"> </v>
      </c>
      <c r="I138" s="110"/>
      <c r="J138" s="43"/>
      <c r="K138" s="43"/>
      <c r="L138" s="35"/>
      <c r="M138" s="35"/>
      <c r="N138" s="35"/>
      <c r="O138" s="35"/>
    </row>
    <row r="139" spans="1:15" ht="15" hidden="1">
      <c r="A139" s="111">
        <v>28</v>
      </c>
      <c r="B139" s="112">
        <v>7.8260869565217397E-2</v>
      </c>
      <c r="C139" s="113" t="str">
        <f t="shared" si="7"/>
        <v xml:space="preserve"> </v>
      </c>
      <c r="I139" s="110"/>
      <c r="J139" s="43"/>
      <c r="K139" s="43"/>
      <c r="L139" s="35"/>
      <c r="M139" s="35"/>
      <c r="N139" s="35"/>
      <c r="O139" s="35"/>
    </row>
    <row r="140" spans="1:15" ht="15" hidden="1">
      <c r="A140" s="111">
        <v>28.5</v>
      </c>
      <c r="B140" s="112">
        <v>7.7536231884057963E-2</v>
      </c>
      <c r="C140" s="113" t="str">
        <f t="shared" si="7"/>
        <v xml:space="preserve"> </v>
      </c>
      <c r="I140" s="110"/>
      <c r="J140" s="43"/>
      <c r="K140" s="43"/>
      <c r="L140" s="35"/>
      <c r="M140" s="35"/>
      <c r="N140" s="35"/>
      <c r="O140" s="35"/>
    </row>
    <row r="141" spans="1:15" ht="15" hidden="1">
      <c r="A141" s="111">
        <v>29</v>
      </c>
      <c r="B141" s="112">
        <v>7.6811594202898542E-2</v>
      </c>
      <c r="C141" s="113" t="str">
        <f t="shared" si="7"/>
        <v xml:space="preserve"> </v>
      </c>
      <c r="I141" s="110"/>
      <c r="J141" s="43"/>
      <c r="K141" s="43"/>
      <c r="L141" s="35"/>
      <c r="M141" s="35"/>
      <c r="N141" s="35"/>
      <c r="O141" s="35"/>
    </row>
    <row r="142" spans="1:15" ht="15" hidden="1">
      <c r="A142" s="111">
        <v>29.5</v>
      </c>
      <c r="B142" s="112">
        <v>7.5362318840579715E-2</v>
      </c>
      <c r="C142" s="113" t="str">
        <f t="shared" si="7"/>
        <v xml:space="preserve"> </v>
      </c>
      <c r="I142" s="110"/>
      <c r="J142" s="43"/>
      <c r="K142" s="43"/>
      <c r="L142" s="35"/>
      <c r="M142" s="35"/>
      <c r="N142" s="35"/>
      <c r="O142" s="35"/>
    </row>
    <row r="143" spans="1:15" ht="15" hidden="1">
      <c r="A143" s="111">
        <v>30</v>
      </c>
      <c r="B143" s="112">
        <v>7.3913043478260859E-2</v>
      </c>
      <c r="C143" s="113" t="str">
        <f t="shared" si="7"/>
        <v xml:space="preserve"> </v>
      </c>
      <c r="I143" s="110"/>
      <c r="J143" s="43"/>
      <c r="K143" s="43"/>
      <c r="L143" s="35"/>
      <c r="M143" s="35"/>
      <c r="N143" s="35"/>
      <c r="O143" s="35"/>
    </row>
    <row r="144" spans="1:15" ht="15" hidden="1">
      <c r="A144" s="111">
        <v>30.5</v>
      </c>
      <c r="B144" s="112">
        <v>7.2463768115942032E-2</v>
      </c>
      <c r="C144" s="113" t="str">
        <f t="shared" si="7"/>
        <v xml:space="preserve"> </v>
      </c>
      <c r="I144" s="110"/>
      <c r="J144" s="43"/>
      <c r="K144" s="43"/>
      <c r="L144" s="35"/>
      <c r="M144" s="35"/>
      <c r="N144" s="35"/>
      <c r="O144" s="35"/>
    </row>
    <row r="145" spans="1:15" ht="15" hidden="1">
      <c r="A145" s="111">
        <v>31</v>
      </c>
      <c r="B145" s="112">
        <v>7.101449275362319E-2</v>
      </c>
      <c r="C145" s="113" t="str">
        <f t="shared" si="7"/>
        <v xml:space="preserve"> </v>
      </c>
      <c r="I145" s="110"/>
      <c r="J145" s="43"/>
      <c r="K145" s="43"/>
      <c r="L145" s="35"/>
      <c r="M145" s="35"/>
      <c r="N145" s="35"/>
      <c r="O145" s="35"/>
    </row>
    <row r="146" spans="1:15" ht="15" hidden="1">
      <c r="A146" s="111">
        <v>31.5</v>
      </c>
      <c r="B146" s="112">
        <v>6.9565217391304349E-2</v>
      </c>
      <c r="C146" s="113" t="str">
        <f t="shared" si="7"/>
        <v xml:space="preserve"> </v>
      </c>
      <c r="I146" s="110"/>
      <c r="J146" s="43"/>
      <c r="K146" s="43"/>
      <c r="L146" s="35"/>
      <c r="M146" s="35"/>
      <c r="N146" s="35"/>
      <c r="O146" s="35"/>
    </row>
    <row r="147" spans="1:15" ht="15" hidden="1">
      <c r="A147" s="111">
        <v>32</v>
      </c>
      <c r="B147" s="112">
        <v>6.8115942028985507E-2</v>
      </c>
      <c r="C147" s="113" t="str">
        <f t="shared" si="7"/>
        <v xml:space="preserve"> </v>
      </c>
      <c r="I147" s="110"/>
      <c r="J147" s="43"/>
      <c r="K147" s="43"/>
      <c r="L147" s="35"/>
      <c r="M147" s="35"/>
      <c r="N147" s="35"/>
      <c r="O147" s="35"/>
    </row>
    <row r="148" spans="1:15" ht="15" hidden="1">
      <c r="A148" s="111">
        <v>32.5</v>
      </c>
      <c r="B148" s="112">
        <v>6.6666666666666666E-2</v>
      </c>
      <c r="C148" s="113" t="str">
        <f t="shared" si="7"/>
        <v xml:space="preserve"> </v>
      </c>
      <c r="I148" s="110"/>
      <c r="J148" s="43"/>
      <c r="K148" s="43"/>
      <c r="L148" s="35"/>
      <c r="M148" s="35"/>
      <c r="N148" s="35"/>
      <c r="O148" s="35"/>
    </row>
    <row r="149" spans="1:15" ht="15" hidden="1">
      <c r="A149" s="111">
        <v>33</v>
      </c>
      <c r="B149" s="112">
        <v>6.5217391304347824E-2</v>
      </c>
      <c r="C149" s="113" t="str">
        <f t="shared" ref="C149:C150" si="9">IF(AND((A148&lt;$D$37),(A149&gt;=$D$37)),(B149-B148)/(A149-A148)*($D$37-A148)+B148," ")</f>
        <v xml:space="preserve"> </v>
      </c>
      <c r="I149" s="110"/>
      <c r="J149" s="43"/>
      <c r="K149" s="43"/>
      <c r="L149" s="35"/>
      <c r="M149" s="35"/>
      <c r="N149" s="35"/>
      <c r="O149" s="35"/>
    </row>
    <row r="150" spans="1:15" ht="15" hidden="1">
      <c r="A150" s="111">
        <v>33.5</v>
      </c>
      <c r="B150" s="112">
        <v>6.3768115942028997E-2</v>
      </c>
      <c r="C150" s="113" t="str">
        <f t="shared" si="9"/>
        <v xml:space="preserve"> </v>
      </c>
      <c r="I150" s="110"/>
      <c r="J150" s="43"/>
      <c r="K150" s="43"/>
      <c r="L150" s="35"/>
      <c r="M150" s="35"/>
      <c r="N150" s="35"/>
      <c r="O150" s="35"/>
    </row>
    <row r="151" spans="1:15" ht="15" hidden="1">
      <c r="A151" s="111">
        <v>34</v>
      </c>
      <c r="B151" s="112">
        <v>6.2318840579710141E-2</v>
      </c>
      <c r="C151" s="113" t="str">
        <f>IF($D$37&gt;=A151,B151,IF(AND((A150&lt;$D$37),(A151&gt;=$D$37)),(B151-B150)/(A151-A150)*($D$37-A150)+B150," "))</f>
        <v xml:space="preserve"> </v>
      </c>
      <c r="I151" s="110"/>
      <c r="J151" s="43"/>
      <c r="K151" s="43"/>
      <c r="L151" s="35"/>
      <c r="M151" s="35"/>
      <c r="N151" s="35"/>
      <c r="O151" s="35"/>
    </row>
    <row r="152" spans="1:15" ht="15" hidden="1">
      <c r="A152" s="118"/>
      <c r="B152" s="119">
        <f>$D$37</f>
        <v>12.666277660524445</v>
      </c>
      <c r="C152" s="120">
        <f>MAX(C83:C151)</f>
        <v>0.17995450970634461</v>
      </c>
    </row>
    <row r="153" spans="1:15" hidden="1"/>
    <row r="154" spans="1:15" hidden="1"/>
    <row r="155" spans="1:15" hidden="1"/>
    <row r="156" spans="1:15" hidden="1"/>
    <row r="157" spans="1:15" hidden="1"/>
    <row r="158" spans="1:15" hidden="1"/>
    <row r="159" spans="1:15" hidden="1"/>
    <row r="160" spans="1:15" hidden="1"/>
    <row r="161" hidden="1"/>
    <row r="162" hidden="1"/>
    <row r="163" hidden="1"/>
    <row r="164" hidden="1"/>
  </sheetData>
  <sheetProtection password="E250" sheet="1" objects="1" scenarios="1"/>
  <dataConsolidate/>
  <mergeCells count="62">
    <mergeCell ref="B57:Q57"/>
    <mergeCell ref="K76:M76"/>
    <mergeCell ref="B49:J49"/>
    <mergeCell ref="K49:L49"/>
    <mergeCell ref="B51:J51"/>
    <mergeCell ref="K51:L51"/>
    <mergeCell ref="B53:J53"/>
    <mergeCell ref="K53:L53"/>
    <mergeCell ref="K47:L47"/>
    <mergeCell ref="E32:F32"/>
    <mergeCell ref="H32:I32"/>
    <mergeCell ref="C33:D33"/>
    <mergeCell ref="E33:G33"/>
    <mergeCell ref="D35:P35"/>
    <mergeCell ref="D37:E37"/>
    <mergeCell ref="D39:E39"/>
    <mergeCell ref="D41:E41"/>
    <mergeCell ref="D43:E43"/>
    <mergeCell ref="D45:E45"/>
    <mergeCell ref="B47:J47"/>
    <mergeCell ref="J30:K30"/>
    <mergeCell ref="B20:G20"/>
    <mergeCell ref="H20:I20"/>
    <mergeCell ref="K20:L20"/>
    <mergeCell ref="B22:G22"/>
    <mergeCell ref="H22:I22"/>
    <mergeCell ref="A24:Q24"/>
    <mergeCell ref="F26:G26"/>
    <mergeCell ref="H26:I26"/>
    <mergeCell ref="F28:G28"/>
    <mergeCell ref="H28:I28"/>
    <mergeCell ref="B30:I30"/>
    <mergeCell ref="B16:G16"/>
    <mergeCell ref="H16:I16"/>
    <mergeCell ref="K16:L16"/>
    <mergeCell ref="B18:G18"/>
    <mergeCell ref="H18:I18"/>
    <mergeCell ref="K18:L18"/>
    <mergeCell ref="B14:G14"/>
    <mergeCell ref="H14:I14"/>
    <mergeCell ref="K14:L14"/>
    <mergeCell ref="A5:Q5"/>
    <mergeCell ref="C6:F6"/>
    <mergeCell ref="J6:N6"/>
    <mergeCell ref="O6:P6"/>
    <mergeCell ref="J7:N7"/>
    <mergeCell ref="O7:P7"/>
    <mergeCell ref="B8:D8"/>
    <mergeCell ref="E8:G8"/>
    <mergeCell ref="B12:G12"/>
    <mergeCell ref="H12:I12"/>
    <mergeCell ref="K12:L12"/>
    <mergeCell ref="C1:I4"/>
    <mergeCell ref="J1:K1"/>
    <mergeCell ref="L1:M1"/>
    <mergeCell ref="N1:Q4"/>
    <mergeCell ref="J2:K2"/>
    <mergeCell ref="L2:M2"/>
    <mergeCell ref="J3:K3"/>
    <mergeCell ref="L3:M3"/>
    <mergeCell ref="J4:K4"/>
    <mergeCell ref="L4:M4"/>
  </mergeCells>
  <conditionalFormatting sqref="D39">
    <cfRule type="cellIs" dxfId="11" priority="6" operator="equal">
      <formula>"N"</formula>
    </cfRule>
  </conditionalFormatting>
  <conditionalFormatting sqref="D37">
    <cfRule type="cellIs" dxfId="10" priority="5" operator="equal">
      <formula>"N"</formula>
    </cfRule>
  </conditionalFormatting>
  <conditionalFormatting sqref="D43:D44 D46">
    <cfRule type="cellIs" dxfId="9" priority="4" operator="equal">
      <formula>"N"</formula>
    </cfRule>
  </conditionalFormatting>
  <conditionalFormatting sqref="D45">
    <cfRule type="cellIs" dxfId="8" priority="3" operator="equal">
      <formula>"N"</formula>
    </cfRule>
  </conditionalFormatting>
  <conditionalFormatting sqref="D41">
    <cfRule type="cellIs" dxfId="7" priority="2" operator="equal">
      <formula>"N"</formula>
    </cfRule>
  </conditionalFormatting>
  <conditionalFormatting sqref="D45:E45">
    <cfRule type="cellIs" dxfId="6" priority="1" operator="greaterThan">
      <formula>450</formula>
    </cfRule>
  </conditionalFormatting>
  <dataValidations count="3">
    <dataValidation allowBlank="1" showInputMessage="1" showErrorMessage="1" prompt="IF T' IS GREATER THAN 450 DEG. C, USER NEEDS TO CHECK INPUT DATA FOR DESIGN TEMPERATURE" sqref="H14:I14" xr:uid="{993BF6A1-BFE9-4A8E-8742-ECBAF0F56942}"/>
    <dataValidation type="list" allowBlank="1" showInputMessage="1" showErrorMessage="1" sqref="H22:I22" xr:uid="{6B3FA499-303A-4BF7-B378-38FE6F949D76}">
      <formula1>$A$79:$A$80</formula1>
    </dataValidation>
    <dataValidation type="list" showInputMessage="1" showErrorMessage="1" prompt="K = 1.0 for Skirt Fully Insulated_x000a__x000a_K = 1.7 for Skirt Fireback Insulated_x000a__x000a_K = 2.7 for Skirt Non Insulated" sqref="H16:I16" xr:uid="{36CBB9D8-12CE-4B5D-80EA-A1F1DC853CFF}">
      <formula1>$A$73:$A$75</formula1>
    </dataValidation>
  </dataValidations>
  <printOptions horizontalCentered="1"/>
  <pageMargins left="0.74803149606299202" right="0.42" top="0.43307086614173201" bottom="0.17" header="0.39370078740157499" footer="0.27"/>
  <pageSetup paperSize="9" scale="61" orientation="portrait" r:id="rId1"/>
  <headerFooter scaleWithDoc="0"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A8D8B-E586-4B2C-873D-AA4F7BECDB90}">
  <sheetPr>
    <pageSetUpPr fitToPage="1"/>
  </sheetPr>
  <dimension ref="A1:AL164"/>
  <sheetViews>
    <sheetView tabSelected="1" zoomScale="70" zoomScaleNormal="70" zoomScaleSheetLayoutView="85" workbookViewId="0">
      <selection activeCell="H19" sqref="H19"/>
    </sheetView>
  </sheetViews>
  <sheetFormatPr defaultRowHeight="12.75"/>
  <cols>
    <col min="1" max="1" width="12.5703125" style="9" customWidth="1"/>
    <col min="2" max="2" width="28.140625" style="15" bestFit="1" customWidth="1"/>
    <col min="3" max="3" width="13.5703125" style="15" customWidth="1"/>
    <col min="4" max="4" width="4.7109375" style="15" customWidth="1"/>
    <col min="5" max="5" width="6.140625" style="15" customWidth="1"/>
    <col min="6" max="6" width="6.28515625" style="9" customWidth="1"/>
    <col min="7" max="8" width="4.7109375" style="9" customWidth="1"/>
    <col min="9" max="9" width="7.7109375" style="9" customWidth="1"/>
    <col min="10" max="10" width="6" style="15" customWidth="1"/>
    <col min="11" max="11" width="8.28515625" style="15" customWidth="1"/>
    <col min="12" max="12" width="11.85546875" style="9" customWidth="1"/>
    <col min="13" max="13" width="8.28515625" style="9" customWidth="1"/>
    <col min="14" max="14" width="5.7109375" style="9" customWidth="1"/>
    <col min="15" max="15" width="8.42578125" style="9" customWidth="1"/>
    <col min="16" max="17" width="5.7109375" style="9" customWidth="1"/>
    <col min="18" max="18" width="3.140625" style="9" customWidth="1"/>
    <col min="19" max="19" width="12.42578125" style="9" bestFit="1" customWidth="1"/>
    <col min="20" max="28" width="9.140625" style="9"/>
    <col min="29" max="29" width="17.28515625" style="9" bestFit="1" customWidth="1"/>
    <col min="30" max="30" width="9.140625" style="9"/>
    <col min="31" max="31" width="19" style="9" customWidth="1"/>
    <col min="32" max="32" width="24.42578125" style="9" customWidth="1"/>
    <col min="33" max="33" width="21.7109375" style="9" customWidth="1"/>
    <col min="34" max="34" width="21.28515625" style="9" customWidth="1"/>
    <col min="35" max="35" width="21.7109375" style="9" customWidth="1"/>
    <col min="36" max="36" width="17.85546875" style="9" customWidth="1"/>
    <col min="37" max="37" width="18.7109375" style="9" customWidth="1"/>
    <col min="38" max="38" width="14.140625" style="9" customWidth="1"/>
    <col min="39" max="260" width="9.140625" style="9"/>
    <col min="261" max="261" width="12.5703125" style="9" customWidth="1"/>
    <col min="262" max="262" width="15.5703125" style="9" customWidth="1"/>
    <col min="263" max="263" width="10.28515625" style="9" customWidth="1"/>
    <col min="264" max="264" width="8.5703125" style="9" customWidth="1"/>
    <col min="265" max="265" width="7.140625" style="9" customWidth="1"/>
    <col min="266" max="266" width="8.5703125" style="9" customWidth="1"/>
    <col min="267" max="267" width="10.42578125" style="9" customWidth="1"/>
    <col min="268" max="268" width="9.140625" style="9" customWidth="1"/>
    <col min="269" max="269" width="7.42578125" style="9" customWidth="1"/>
    <col min="270" max="270" width="11.28515625" style="9" customWidth="1"/>
    <col min="271" max="271" width="15.85546875" style="9" customWidth="1"/>
    <col min="272" max="272" width="11.28515625" style="9" customWidth="1"/>
    <col min="273" max="273" width="12.140625" style="9" customWidth="1"/>
    <col min="274" max="516" width="9.140625" style="9"/>
    <col min="517" max="517" width="12.5703125" style="9" customWidth="1"/>
    <col min="518" max="518" width="15.5703125" style="9" customWidth="1"/>
    <col min="519" max="519" width="10.28515625" style="9" customWidth="1"/>
    <col min="520" max="520" width="8.5703125" style="9" customWidth="1"/>
    <col min="521" max="521" width="7.140625" style="9" customWidth="1"/>
    <col min="522" max="522" width="8.5703125" style="9" customWidth="1"/>
    <col min="523" max="523" width="10.42578125" style="9" customWidth="1"/>
    <col min="524" max="524" width="9.140625" style="9" customWidth="1"/>
    <col min="525" max="525" width="7.42578125" style="9" customWidth="1"/>
    <col min="526" max="526" width="11.28515625" style="9" customWidth="1"/>
    <col min="527" max="527" width="15.85546875" style="9" customWidth="1"/>
    <col min="528" max="528" width="11.28515625" style="9" customWidth="1"/>
    <col min="529" max="529" width="12.140625" style="9" customWidth="1"/>
    <col min="530" max="772" width="9.140625" style="9"/>
    <col min="773" max="773" width="12.5703125" style="9" customWidth="1"/>
    <col min="774" max="774" width="15.5703125" style="9" customWidth="1"/>
    <col min="775" max="775" width="10.28515625" style="9" customWidth="1"/>
    <col min="776" max="776" width="8.5703125" style="9" customWidth="1"/>
    <col min="777" max="777" width="7.140625" style="9" customWidth="1"/>
    <col min="778" max="778" width="8.5703125" style="9" customWidth="1"/>
    <col min="779" max="779" width="10.42578125" style="9" customWidth="1"/>
    <col min="780" max="780" width="9.140625" style="9" customWidth="1"/>
    <col min="781" max="781" width="7.42578125" style="9" customWidth="1"/>
    <col min="782" max="782" width="11.28515625" style="9" customWidth="1"/>
    <col min="783" max="783" width="15.85546875" style="9" customWidth="1"/>
    <col min="784" max="784" width="11.28515625" style="9" customWidth="1"/>
    <col min="785" max="785" width="12.140625" style="9" customWidth="1"/>
    <col min="786" max="1028" width="9.140625" style="9"/>
    <col min="1029" max="1029" width="12.5703125" style="9" customWidth="1"/>
    <col min="1030" max="1030" width="15.5703125" style="9" customWidth="1"/>
    <col min="1031" max="1031" width="10.28515625" style="9" customWidth="1"/>
    <col min="1032" max="1032" width="8.5703125" style="9" customWidth="1"/>
    <col min="1033" max="1033" width="7.140625" style="9" customWidth="1"/>
    <col min="1034" max="1034" width="8.5703125" style="9" customWidth="1"/>
    <col min="1035" max="1035" width="10.42578125" style="9" customWidth="1"/>
    <col min="1036" max="1036" width="9.140625" style="9" customWidth="1"/>
    <col min="1037" max="1037" width="7.42578125" style="9" customWidth="1"/>
    <col min="1038" max="1038" width="11.28515625" style="9" customWidth="1"/>
    <col min="1039" max="1039" width="15.85546875" style="9" customWidth="1"/>
    <col min="1040" max="1040" width="11.28515625" style="9" customWidth="1"/>
    <col min="1041" max="1041" width="12.140625" style="9" customWidth="1"/>
    <col min="1042" max="1284" width="9.140625" style="9"/>
    <col min="1285" max="1285" width="12.5703125" style="9" customWidth="1"/>
    <col min="1286" max="1286" width="15.5703125" style="9" customWidth="1"/>
    <col min="1287" max="1287" width="10.28515625" style="9" customWidth="1"/>
    <col min="1288" max="1288" width="8.5703125" style="9" customWidth="1"/>
    <col min="1289" max="1289" width="7.140625" style="9" customWidth="1"/>
    <col min="1290" max="1290" width="8.5703125" style="9" customWidth="1"/>
    <col min="1291" max="1291" width="10.42578125" style="9" customWidth="1"/>
    <col min="1292" max="1292" width="9.140625" style="9" customWidth="1"/>
    <col min="1293" max="1293" width="7.42578125" style="9" customWidth="1"/>
    <col min="1294" max="1294" width="11.28515625" style="9" customWidth="1"/>
    <col min="1295" max="1295" width="15.85546875" style="9" customWidth="1"/>
    <col min="1296" max="1296" width="11.28515625" style="9" customWidth="1"/>
    <col min="1297" max="1297" width="12.140625" style="9" customWidth="1"/>
    <col min="1298" max="1540" width="9.140625" style="9"/>
    <col min="1541" max="1541" width="12.5703125" style="9" customWidth="1"/>
    <col min="1542" max="1542" width="15.5703125" style="9" customWidth="1"/>
    <col min="1543" max="1543" width="10.28515625" style="9" customWidth="1"/>
    <col min="1544" max="1544" width="8.5703125" style="9" customWidth="1"/>
    <col min="1545" max="1545" width="7.140625" style="9" customWidth="1"/>
    <col min="1546" max="1546" width="8.5703125" style="9" customWidth="1"/>
    <col min="1547" max="1547" width="10.42578125" style="9" customWidth="1"/>
    <col min="1548" max="1548" width="9.140625" style="9" customWidth="1"/>
    <col min="1549" max="1549" width="7.42578125" style="9" customWidth="1"/>
    <col min="1550" max="1550" width="11.28515625" style="9" customWidth="1"/>
    <col min="1551" max="1551" width="15.85546875" style="9" customWidth="1"/>
    <col min="1552" max="1552" width="11.28515625" style="9" customWidth="1"/>
    <col min="1553" max="1553" width="12.140625" style="9" customWidth="1"/>
    <col min="1554" max="1796" width="9.140625" style="9"/>
    <col min="1797" max="1797" width="12.5703125" style="9" customWidth="1"/>
    <col min="1798" max="1798" width="15.5703125" style="9" customWidth="1"/>
    <col min="1799" max="1799" width="10.28515625" style="9" customWidth="1"/>
    <col min="1800" max="1800" width="8.5703125" style="9" customWidth="1"/>
    <col min="1801" max="1801" width="7.140625" style="9" customWidth="1"/>
    <col min="1802" max="1802" width="8.5703125" style="9" customWidth="1"/>
    <col min="1803" max="1803" width="10.42578125" style="9" customWidth="1"/>
    <col min="1804" max="1804" width="9.140625" style="9" customWidth="1"/>
    <col min="1805" max="1805" width="7.42578125" style="9" customWidth="1"/>
    <col min="1806" max="1806" width="11.28515625" style="9" customWidth="1"/>
    <col min="1807" max="1807" width="15.85546875" style="9" customWidth="1"/>
    <col min="1808" max="1808" width="11.28515625" style="9" customWidth="1"/>
    <col min="1809" max="1809" width="12.140625" style="9" customWidth="1"/>
    <col min="1810" max="2052" width="9.140625" style="9"/>
    <col min="2053" max="2053" width="12.5703125" style="9" customWidth="1"/>
    <col min="2054" max="2054" width="15.5703125" style="9" customWidth="1"/>
    <col min="2055" max="2055" width="10.28515625" style="9" customWidth="1"/>
    <col min="2056" max="2056" width="8.5703125" style="9" customWidth="1"/>
    <col min="2057" max="2057" width="7.140625" style="9" customWidth="1"/>
    <col min="2058" max="2058" width="8.5703125" style="9" customWidth="1"/>
    <col min="2059" max="2059" width="10.42578125" style="9" customWidth="1"/>
    <col min="2060" max="2060" width="9.140625" style="9" customWidth="1"/>
    <col min="2061" max="2061" width="7.42578125" style="9" customWidth="1"/>
    <col min="2062" max="2062" width="11.28515625" style="9" customWidth="1"/>
    <col min="2063" max="2063" width="15.85546875" style="9" customWidth="1"/>
    <col min="2064" max="2064" width="11.28515625" style="9" customWidth="1"/>
    <col min="2065" max="2065" width="12.140625" style="9" customWidth="1"/>
    <col min="2066" max="2308" width="9.140625" style="9"/>
    <col min="2309" max="2309" width="12.5703125" style="9" customWidth="1"/>
    <col min="2310" max="2310" width="15.5703125" style="9" customWidth="1"/>
    <col min="2311" max="2311" width="10.28515625" style="9" customWidth="1"/>
    <col min="2312" max="2312" width="8.5703125" style="9" customWidth="1"/>
    <col min="2313" max="2313" width="7.140625" style="9" customWidth="1"/>
    <col min="2314" max="2314" width="8.5703125" style="9" customWidth="1"/>
    <col min="2315" max="2315" width="10.42578125" style="9" customWidth="1"/>
    <col min="2316" max="2316" width="9.140625" style="9" customWidth="1"/>
    <col min="2317" max="2317" width="7.42578125" style="9" customWidth="1"/>
    <col min="2318" max="2318" width="11.28515625" style="9" customWidth="1"/>
    <col min="2319" max="2319" width="15.85546875" style="9" customWidth="1"/>
    <col min="2320" max="2320" width="11.28515625" style="9" customWidth="1"/>
    <col min="2321" max="2321" width="12.140625" style="9" customWidth="1"/>
    <col min="2322" max="2564" width="9.140625" style="9"/>
    <col min="2565" max="2565" width="12.5703125" style="9" customWidth="1"/>
    <col min="2566" max="2566" width="15.5703125" style="9" customWidth="1"/>
    <col min="2567" max="2567" width="10.28515625" style="9" customWidth="1"/>
    <col min="2568" max="2568" width="8.5703125" style="9" customWidth="1"/>
    <col min="2569" max="2569" width="7.140625" style="9" customWidth="1"/>
    <col min="2570" max="2570" width="8.5703125" style="9" customWidth="1"/>
    <col min="2571" max="2571" width="10.42578125" style="9" customWidth="1"/>
    <col min="2572" max="2572" width="9.140625" style="9" customWidth="1"/>
    <col min="2573" max="2573" width="7.42578125" style="9" customWidth="1"/>
    <col min="2574" max="2574" width="11.28515625" style="9" customWidth="1"/>
    <col min="2575" max="2575" width="15.85546875" style="9" customWidth="1"/>
    <col min="2576" max="2576" width="11.28515625" style="9" customWidth="1"/>
    <col min="2577" max="2577" width="12.140625" style="9" customWidth="1"/>
    <col min="2578" max="2820" width="9.140625" style="9"/>
    <col min="2821" max="2821" width="12.5703125" style="9" customWidth="1"/>
    <col min="2822" max="2822" width="15.5703125" style="9" customWidth="1"/>
    <col min="2823" max="2823" width="10.28515625" style="9" customWidth="1"/>
    <col min="2824" max="2824" width="8.5703125" style="9" customWidth="1"/>
    <col min="2825" max="2825" width="7.140625" style="9" customWidth="1"/>
    <col min="2826" max="2826" width="8.5703125" style="9" customWidth="1"/>
    <col min="2827" max="2827" width="10.42578125" style="9" customWidth="1"/>
    <col min="2828" max="2828" width="9.140625" style="9" customWidth="1"/>
    <col min="2829" max="2829" width="7.42578125" style="9" customWidth="1"/>
    <col min="2830" max="2830" width="11.28515625" style="9" customWidth="1"/>
    <col min="2831" max="2831" width="15.85546875" style="9" customWidth="1"/>
    <col min="2832" max="2832" width="11.28515625" style="9" customWidth="1"/>
    <col min="2833" max="2833" width="12.140625" style="9" customWidth="1"/>
    <col min="2834" max="3076" width="9.140625" style="9"/>
    <col min="3077" max="3077" width="12.5703125" style="9" customWidth="1"/>
    <col min="3078" max="3078" width="15.5703125" style="9" customWidth="1"/>
    <col min="3079" max="3079" width="10.28515625" style="9" customWidth="1"/>
    <col min="3080" max="3080" width="8.5703125" style="9" customWidth="1"/>
    <col min="3081" max="3081" width="7.140625" style="9" customWidth="1"/>
    <col min="3082" max="3082" width="8.5703125" style="9" customWidth="1"/>
    <col min="3083" max="3083" width="10.42578125" style="9" customWidth="1"/>
    <col min="3084" max="3084" width="9.140625" style="9" customWidth="1"/>
    <col min="3085" max="3085" width="7.42578125" style="9" customWidth="1"/>
    <col min="3086" max="3086" width="11.28515625" style="9" customWidth="1"/>
    <col min="3087" max="3087" width="15.85546875" style="9" customWidth="1"/>
    <col min="3088" max="3088" width="11.28515625" style="9" customWidth="1"/>
    <col min="3089" max="3089" width="12.140625" style="9" customWidth="1"/>
    <col min="3090" max="3332" width="9.140625" style="9"/>
    <col min="3333" max="3333" width="12.5703125" style="9" customWidth="1"/>
    <col min="3334" max="3334" width="15.5703125" style="9" customWidth="1"/>
    <col min="3335" max="3335" width="10.28515625" style="9" customWidth="1"/>
    <col min="3336" max="3336" width="8.5703125" style="9" customWidth="1"/>
    <col min="3337" max="3337" width="7.140625" style="9" customWidth="1"/>
    <col min="3338" max="3338" width="8.5703125" style="9" customWidth="1"/>
    <col min="3339" max="3339" width="10.42578125" style="9" customWidth="1"/>
    <col min="3340" max="3340" width="9.140625" style="9" customWidth="1"/>
    <col min="3341" max="3341" width="7.42578125" style="9" customWidth="1"/>
    <col min="3342" max="3342" width="11.28515625" style="9" customWidth="1"/>
    <col min="3343" max="3343" width="15.85546875" style="9" customWidth="1"/>
    <col min="3344" max="3344" width="11.28515625" style="9" customWidth="1"/>
    <col min="3345" max="3345" width="12.140625" style="9" customWidth="1"/>
    <col min="3346" max="3588" width="9.140625" style="9"/>
    <col min="3589" max="3589" width="12.5703125" style="9" customWidth="1"/>
    <col min="3590" max="3590" width="15.5703125" style="9" customWidth="1"/>
    <col min="3591" max="3591" width="10.28515625" style="9" customWidth="1"/>
    <col min="3592" max="3592" width="8.5703125" style="9" customWidth="1"/>
    <col min="3593" max="3593" width="7.140625" style="9" customWidth="1"/>
    <col min="3594" max="3594" width="8.5703125" style="9" customWidth="1"/>
    <col min="3595" max="3595" width="10.42578125" style="9" customWidth="1"/>
    <col min="3596" max="3596" width="9.140625" style="9" customWidth="1"/>
    <col min="3597" max="3597" width="7.42578125" style="9" customWidth="1"/>
    <col min="3598" max="3598" width="11.28515625" style="9" customWidth="1"/>
    <col min="3599" max="3599" width="15.85546875" style="9" customWidth="1"/>
    <col min="3600" max="3600" width="11.28515625" style="9" customWidth="1"/>
    <col min="3601" max="3601" width="12.140625" style="9" customWidth="1"/>
    <col min="3602" max="3844" width="9.140625" style="9"/>
    <col min="3845" max="3845" width="12.5703125" style="9" customWidth="1"/>
    <col min="3846" max="3846" width="15.5703125" style="9" customWidth="1"/>
    <col min="3847" max="3847" width="10.28515625" style="9" customWidth="1"/>
    <col min="3848" max="3848" width="8.5703125" style="9" customWidth="1"/>
    <col min="3849" max="3849" width="7.140625" style="9" customWidth="1"/>
    <col min="3850" max="3850" width="8.5703125" style="9" customWidth="1"/>
    <col min="3851" max="3851" width="10.42578125" style="9" customWidth="1"/>
    <col min="3852" max="3852" width="9.140625" style="9" customWidth="1"/>
    <col min="3853" max="3853" width="7.42578125" style="9" customWidth="1"/>
    <col min="3854" max="3854" width="11.28515625" style="9" customWidth="1"/>
    <col min="3855" max="3855" width="15.85546875" style="9" customWidth="1"/>
    <col min="3856" max="3856" width="11.28515625" style="9" customWidth="1"/>
    <col min="3857" max="3857" width="12.140625" style="9" customWidth="1"/>
    <col min="3858" max="4100" width="9.140625" style="9"/>
    <col min="4101" max="4101" width="12.5703125" style="9" customWidth="1"/>
    <col min="4102" max="4102" width="15.5703125" style="9" customWidth="1"/>
    <col min="4103" max="4103" width="10.28515625" style="9" customWidth="1"/>
    <col min="4104" max="4104" width="8.5703125" style="9" customWidth="1"/>
    <col min="4105" max="4105" width="7.140625" style="9" customWidth="1"/>
    <col min="4106" max="4106" width="8.5703125" style="9" customWidth="1"/>
    <col min="4107" max="4107" width="10.42578125" style="9" customWidth="1"/>
    <col min="4108" max="4108" width="9.140625" style="9" customWidth="1"/>
    <col min="4109" max="4109" width="7.42578125" style="9" customWidth="1"/>
    <col min="4110" max="4110" width="11.28515625" style="9" customWidth="1"/>
    <col min="4111" max="4111" width="15.85546875" style="9" customWidth="1"/>
    <col min="4112" max="4112" width="11.28515625" style="9" customWidth="1"/>
    <col min="4113" max="4113" width="12.140625" style="9" customWidth="1"/>
    <col min="4114" max="4356" width="9.140625" style="9"/>
    <col min="4357" max="4357" width="12.5703125" style="9" customWidth="1"/>
    <col min="4358" max="4358" width="15.5703125" style="9" customWidth="1"/>
    <col min="4359" max="4359" width="10.28515625" style="9" customWidth="1"/>
    <col min="4360" max="4360" width="8.5703125" style="9" customWidth="1"/>
    <col min="4361" max="4361" width="7.140625" style="9" customWidth="1"/>
    <col min="4362" max="4362" width="8.5703125" style="9" customWidth="1"/>
    <col min="4363" max="4363" width="10.42578125" style="9" customWidth="1"/>
    <col min="4364" max="4364" width="9.140625" style="9" customWidth="1"/>
    <col min="4365" max="4365" width="7.42578125" style="9" customWidth="1"/>
    <col min="4366" max="4366" width="11.28515625" style="9" customWidth="1"/>
    <col min="4367" max="4367" width="15.85546875" style="9" customWidth="1"/>
    <col min="4368" max="4368" width="11.28515625" style="9" customWidth="1"/>
    <col min="4369" max="4369" width="12.140625" style="9" customWidth="1"/>
    <col min="4370" max="4612" width="9.140625" style="9"/>
    <col min="4613" max="4613" width="12.5703125" style="9" customWidth="1"/>
    <col min="4614" max="4614" width="15.5703125" style="9" customWidth="1"/>
    <col min="4615" max="4615" width="10.28515625" style="9" customWidth="1"/>
    <col min="4616" max="4616" width="8.5703125" style="9" customWidth="1"/>
    <col min="4617" max="4617" width="7.140625" style="9" customWidth="1"/>
    <col min="4618" max="4618" width="8.5703125" style="9" customWidth="1"/>
    <col min="4619" max="4619" width="10.42578125" style="9" customWidth="1"/>
    <col min="4620" max="4620" width="9.140625" style="9" customWidth="1"/>
    <col min="4621" max="4621" width="7.42578125" style="9" customWidth="1"/>
    <col min="4622" max="4622" width="11.28515625" style="9" customWidth="1"/>
    <col min="4623" max="4623" width="15.85546875" style="9" customWidth="1"/>
    <col min="4624" max="4624" width="11.28515625" style="9" customWidth="1"/>
    <col min="4625" max="4625" width="12.140625" style="9" customWidth="1"/>
    <col min="4626" max="4868" width="9.140625" style="9"/>
    <col min="4869" max="4869" width="12.5703125" style="9" customWidth="1"/>
    <col min="4870" max="4870" width="15.5703125" style="9" customWidth="1"/>
    <col min="4871" max="4871" width="10.28515625" style="9" customWidth="1"/>
    <col min="4872" max="4872" width="8.5703125" style="9" customWidth="1"/>
    <col min="4873" max="4873" width="7.140625" style="9" customWidth="1"/>
    <col min="4874" max="4874" width="8.5703125" style="9" customWidth="1"/>
    <col min="4875" max="4875" width="10.42578125" style="9" customWidth="1"/>
    <col min="4876" max="4876" width="9.140625" style="9" customWidth="1"/>
    <col min="4877" max="4877" width="7.42578125" style="9" customWidth="1"/>
    <col min="4878" max="4878" width="11.28515625" style="9" customWidth="1"/>
    <col min="4879" max="4879" width="15.85546875" style="9" customWidth="1"/>
    <col min="4880" max="4880" width="11.28515625" style="9" customWidth="1"/>
    <col min="4881" max="4881" width="12.140625" style="9" customWidth="1"/>
    <col min="4882" max="5124" width="9.140625" style="9"/>
    <col min="5125" max="5125" width="12.5703125" style="9" customWidth="1"/>
    <col min="5126" max="5126" width="15.5703125" style="9" customWidth="1"/>
    <col min="5127" max="5127" width="10.28515625" style="9" customWidth="1"/>
    <col min="5128" max="5128" width="8.5703125" style="9" customWidth="1"/>
    <col min="5129" max="5129" width="7.140625" style="9" customWidth="1"/>
    <col min="5130" max="5130" width="8.5703125" style="9" customWidth="1"/>
    <col min="5131" max="5131" width="10.42578125" style="9" customWidth="1"/>
    <col min="5132" max="5132" width="9.140625" style="9" customWidth="1"/>
    <col min="5133" max="5133" width="7.42578125" style="9" customWidth="1"/>
    <col min="5134" max="5134" width="11.28515625" style="9" customWidth="1"/>
    <col min="5135" max="5135" width="15.85546875" style="9" customWidth="1"/>
    <col min="5136" max="5136" width="11.28515625" style="9" customWidth="1"/>
    <col min="5137" max="5137" width="12.140625" style="9" customWidth="1"/>
    <col min="5138" max="5380" width="9.140625" style="9"/>
    <col min="5381" max="5381" width="12.5703125" style="9" customWidth="1"/>
    <col min="5382" max="5382" width="15.5703125" style="9" customWidth="1"/>
    <col min="5383" max="5383" width="10.28515625" style="9" customWidth="1"/>
    <col min="5384" max="5384" width="8.5703125" style="9" customWidth="1"/>
    <col min="5385" max="5385" width="7.140625" style="9" customWidth="1"/>
    <col min="5386" max="5386" width="8.5703125" style="9" customWidth="1"/>
    <col min="5387" max="5387" width="10.42578125" style="9" customWidth="1"/>
    <col min="5388" max="5388" width="9.140625" style="9" customWidth="1"/>
    <col min="5389" max="5389" width="7.42578125" style="9" customWidth="1"/>
    <col min="5390" max="5390" width="11.28515625" style="9" customWidth="1"/>
    <col min="5391" max="5391" width="15.85546875" style="9" customWidth="1"/>
    <col min="5392" max="5392" width="11.28515625" style="9" customWidth="1"/>
    <col min="5393" max="5393" width="12.140625" style="9" customWidth="1"/>
    <col min="5394" max="5636" width="9.140625" style="9"/>
    <col min="5637" max="5637" width="12.5703125" style="9" customWidth="1"/>
    <col min="5638" max="5638" width="15.5703125" style="9" customWidth="1"/>
    <col min="5639" max="5639" width="10.28515625" style="9" customWidth="1"/>
    <col min="5640" max="5640" width="8.5703125" style="9" customWidth="1"/>
    <col min="5641" max="5641" width="7.140625" style="9" customWidth="1"/>
    <col min="5642" max="5642" width="8.5703125" style="9" customWidth="1"/>
    <col min="5643" max="5643" width="10.42578125" style="9" customWidth="1"/>
    <col min="5644" max="5644" width="9.140625" style="9" customWidth="1"/>
    <col min="5645" max="5645" width="7.42578125" style="9" customWidth="1"/>
    <col min="5646" max="5646" width="11.28515625" style="9" customWidth="1"/>
    <col min="5647" max="5647" width="15.85546875" style="9" customWidth="1"/>
    <col min="5648" max="5648" width="11.28515625" style="9" customWidth="1"/>
    <col min="5649" max="5649" width="12.140625" style="9" customWidth="1"/>
    <col min="5650" max="5892" width="9.140625" style="9"/>
    <col min="5893" max="5893" width="12.5703125" style="9" customWidth="1"/>
    <col min="5894" max="5894" width="15.5703125" style="9" customWidth="1"/>
    <col min="5895" max="5895" width="10.28515625" style="9" customWidth="1"/>
    <col min="5896" max="5896" width="8.5703125" style="9" customWidth="1"/>
    <col min="5897" max="5897" width="7.140625" style="9" customWidth="1"/>
    <col min="5898" max="5898" width="8.5703125" style="9" customWidth="1"/>
    <col min="5899" max="5899" width="10.42578125" style="9" customWidth="1"/>
    <col min="5900" max="5900" width="9.140625" style="9" customWidth="1"/>
    <col min="5901" max="5901" width="7.42578125" style="9" customWidth="1"/>
    <col min="5902" max="5902" width="11.28515625" style="9" customWidth="1"/>
    <col min="5903" max="5903" width="15.85546875" style="9" customWidth="1"/>
    <col min="5904" max="5904" width="11.28515625" style="9" customWidth="1"/>
    <col min="5905" max="5905" width="12.140625" style="9" customWidth="1"/>
    <col min="5906" max="6148" width="9.140625" style="9"/>
    <col min="6149" max="6149" width="12.5703125" style="9" customWidth="1"/>
    <col min="6150" max="6150" width="15.5703125" style="9" customWidth="1"/>
    <col min="6151" max="6151" width="10.28515625" style="9" customWidth="1"/>
    <col min="6152" max="6152" width="8.5703125" style="9" customWidth="1"/>
    <col min="6153" max="6153" width="7.140625" style="9" customWidth="1"/>
    <col min="6154" max="6154" width="8.5703125" style="9" customWidth="1"/>
    <col min="6155" max="6155" width="10.42578125" style="9" customWidth="1"/>
    <col min="6156" max="6156" width="9.140625" style="9" customWidth="1"/>
    <col min="6157" max="6157" width="7.42578125" style="9" customWidth="1"/>
    <col min="6158" max="6158" width="11.28515625" style="9" customWidth="1"/>
    <col min="6159" max="6159" width="15.85546875" style="9" customWidth="1"/>
    <col min="6160" max="6160" width="11.28515625" style="9" customWidth="1"/>
    <col min="6161" max="6161" width="12.140625" style="9" customWidth="1"/>
    <col min="6162" max="6404" width="9.140625" style="9"/>
    <col min="6405" max="6405" width="12.5703125" style="9" customWidth="1"/>
    <col min="6406" max="6406" width="15.5703125" style="9" customWidth="1"/>
    <col min="6407" max="6407" width="10.28515625" style="9" customWidth="1"/>
    <col min="6408" max="6408" width="8.5703125" style="9" customWidth="1"/>
    <col min="6409" max="6409" width="7.140625" style="9" customWidth="1"/>
    <col min="6410" max="6410" width="8.5703125" style="9" customWidth="1"/>
    <col min="6411" max="6411" width="10.42578125" style="9" customWidth="1"/>
    <col min="6412" max="6412" width="9.140625" style="9" customWidth="1"/>
    <col min="6413" max="6413" width="7.42578125" style="9" customWidth="1"/>
    <col min="6414" max="6414" width="11.28515625" style="9" customWidth="1"/>
    <col min="6415" max="6415" width="15.85546875" style="9" customWidth="1"/>
    <col min="6416" max="6416" width="11.28515625" style="9" customWidth="1"/>
    <col min="6417" max="6417" width="12.140625" style="9" customWidth="1"/>
    <col min="6418" max="6660" width="9.140625" style="9"/>
    <col min="6661" max="6661" width="12.5703125" style="9" customWidth="1"/>
    <col min="6662" max="6662" width="15.5703125" style="9" customWidth="1"/>
    <col min="6663" max="6663" width="10.28515625" style="9" customWidth="1"/>
    <col min="6664" max="6664" width="8.5703125" style="9" customWidth="1"/>
    <col min="6665" max="6665" width="7.140625" style="9" customWidth="1"/>
    <col min="6666" max="6666" width="8.5703125" style="9" customWidth="1"/>
    <col min="6667" max="6667" width="10.42578125" style="9" customWidth="1"/>
    <col min="6668" max="6668" width="9.140625" style="9" customWidth="1"/>
    <col min="6669" max="6669" width="7.42578125" style="9" customWidth="1"/>
    <col min="6670" max="6670" width="11.28515625" style="9" customWidth="1"/>
    <col min="6671" max="6671" width="15.85546875" style="9" customWidth="1"/>
    <col min="6672" max="6672" width="11.28515625" style="9" customWidth="1"/>
    <col min="6673" max="6673" width="12.140625" style="9" customWidth="1"/>
    <col min="6674" max="6916" width="9.140625" style="9"/>
    <col min="6917" max="6917" width="12.5703125" style="9" customWidth="1"/>
    <col min="6918" max="6918" width="15.5703125" style="9" customWidth="1"/>
    <col min="6919" max="6919" width="10.28515625" style="9" customWidth="1"/>
    <col min="6920" max="6920" width="8.5703125" style="9" customWidth="1"/>
    <col min="6921" max="6921" width="7.140625" style="9" customWidth="1"/>
    <col min="6922" max="6922" width="8.5703125" style="9" customWidth="1"/>
    <col min="6923" max="6923" width="10.42578125" style="9" customWidth="1"/>
    <col min="6924" max="6924" width="9.140625" style="9" customWidth="1"/>
    <col min="6925" max="6925" width="7.42578125" style="9" customWidth="1"/>
    <col min="6926" max="6926" width="11.28515625" style="9" customWidth="1"/>
    <col min="6927" max="6927" width="15.85546875" style="9" customWidth="1"/>
    <col min="6928" max="6928" width="11.28515625" style="9" customWidth="1"/>
    <col min="6929" max="6929" width="12.140625" style="9" customWidth="1"/>
    <col min="6930" max="7172" width="9.140625" style="9"/>
    <col min="7173" max="7173" width="12.5703125" style="9" customWidth="1"/>
    <col min="7174" max="7174" width="15.5703125" style="9" customWidth="1"/>
    <col min="7175" max="7175" width="10.28515625" style="9" customWidth="1"/>
    <col min="7176" max="7176" width="8.5703125" style="9" customWidth="1"/>
    <col min="7177" max="7177" width="7.140625" style="9" customWidth="1"/>
    <col min="7178" max="7178" width="8.5703125" style="9" customWidth="1"/>
    <col min="7179" max="7179" width="10.42578125" style="9" customWidth="1"/>
    <col min="7180" max="7180" width="9.140625" style="9" customWidth="1"/>
    <col min="7181" max="7181" width="7.42578125" style="9" customWidth="1"/>
    <col min="7182" max="7182" width="11.28515625" style="9" customWidth="1"/>
    <col min="7183" max="7183" width="15.85546875" style="9" customWidth="1"/>
    <col min="7184" max="7184" width="11.28515625" style="9" customWidth="1"/>
    <col min="7185" max="7185" width="12.140625" style="9" customWidth="1"/>
    <col min="7186" max="7428" width="9.140625" style="9"/>
    <col min="7429" max="7429" width="12.5703125" style="9" customWidth="1"/>
    <col min="7430" max="7430" width="15.5703125" style="9" customWidth="1"/>
    <col min="7431" max="7431" width="10.28515625" style="9" customWidth="1"/>
    <col min="7432" max="7432" width="8.5703125" style="9" customWidth="1"/>
    <col min="7433" max="7433" width="7.140625" style="9" customWidth="1"/>
    <col min="7434" max="7434" width="8.5703125" style="9" customWidth="1"/>
    <col min="7435" max="7435" width="10.42578125" style="9" customWidth="1"/>
    <col min="7436" max="7436" width="9.140625" style="9" customWidth="1"/>
    <col min="7437" max="7437" width="7.42578125" style="9" customWidth="1"/>
    <col min="7438" max="7438" width="11.28515625" style="9" customWidth="1"/>
    <col min="7439" max="7439" width="15.85546875" style="9" customWidth="1"/>
    <col min="7440" max="7440" width="11.28515625" style="9" customWidth="1"/>
    <col min="7441" max="7441" width="12.140625" style="9" customWidth="1"/>
    <col min="7442" max="7684" width="9.140625" style="9"/>
    <col min="7685" max="7685" width="12.5703125" style="9" customWidth="1"/>
    <col min="7686" max="7686" width="15.5703125" style="9" customWidth="1"/>
    <col min="7687" max="7687" width="10.28515625" style="9" customWidth="1"/>
    <col min="7688" max="7688" width="8.5703125" style="9" customWidth="1"/>
    <col min="7689" max="7689" width="7.140625" style="9" customWidth="1"/>
    <col min="7690" max="7690" width="8.5703125" style="9" customWidth="1"/>
    <col min="7691" max="7691" width="10.42578125" style="9" customWidth="1"/>
    <col min="7692" max="7692" width="9.140625" style="9" customWidth="1"/>
    <col min="7693" max="7693" width="7.42578125" style="9" customWidth="1"/>
    <col min="7694" max="7694" width="11.28515625" style="9" customWidth="1"/>
    <col min="7695" max="7695" width="15.85546875" style="9" customWidth="1"/>
    <col min="7696" max="7696" width="11.28515625" style="9" customWidth="1"/>
    <col min="7697" max="7697" width="12.140625" style="9" customWidth="1"/>
    <col min="7698" max="7940" width="9.140625" style="9"/>
    <col min="7941" max="7941" width="12.5703125" style="9" customWidth="1"/>
    <col min="7942" max="7942" width="15.5703125" style="9" customWidth="1"/>
    <col min="7943" max="7943" width="10.28515625" style="9" customWidth="1"/>
    <col min="7944" max="7944" width="8.5703125" style="9" customWidth="1"/>
    <col min="7945" max="7945" width="7.140625" style="9" customWidth="1"/>
    <col min="7946" max="7946" width="8.5703125" style="9" customWidth="1"/>
    <col min="7947" max="7947" width="10.42578125" style="9" customWidth="1"/>
    <col min="7948" max="7948" width="9.140625" style="9" customWidth="1"/>
    <col min="7949" max="7949" width="7.42578125" style="9" customWidth="1"/>
    <col min="7950" max="7950" width="11.28515625" style="9" customWidth="1"/>
    <col min="7951" max="7951" width="15.85546875" style="9" customWidth="1"/>
    <col min="7952" max="7952" width="11.28515625" style="9" customWidth="1"/>
    <col min="7953" max="7953" width="12.140625" style="9" customWidth="1"/>
    <col min="7954" max="8196" width="9.140625" style="9"/>
    <col min="8197" max="8197" width="12.5703125" style="9" customWidth="1"/>
    <col min="8198" max="8198" width="15.5703125" style="9" customWidth="1"/>
    <col min="8199" max="8199" width="10.28515625" style="9" customWidth="1"/>
    <col min="8200" max="8200" width="8.5703125" style="9" customWidth="1"/>
    <col min="8201" max="8201" width="7.140625" style="9" customWidth="1"/>
    <col min="8202" max="8202" width="8.5703125" style="9" customWidth="1"/>
    <col min="8203" max="8203" width="10.42578125" style="9" customWidth="1"/>
    <col min="8204" max="8204" width="9.140625" style="9" customWidth="1"/>
    <col min="8205" max="8205" width="7.42578125" style="9" customWidth="1"/>
    <col min="8206" max="8206" width="11.28515625" style="9" customWidth="1"/>
    <col min="8207" max="8207" width="15.85546875" style="9" customWidth="1"/>
    <col min="8208" max="8208" width="11.28515625" style="9" customWidth="1"/>
    <col min="8209" max="8209" width="12.140625" style="9" customWidth="1"/>
    <col min="8210" max="8452" width="9.140625" style="9"/>
    <col min="8453" max="8453" width="12.5703125" style="9" customWidth="1"/>
    <col min="8454" max="8454" width="15.5703125" style="9" customWidth="1"/>
    <col min="8455" max="8455" width="10.28515625" style="9" customWidth="1"/>
    <col min="8456" max="8456" width="8.5703125" style="9" customWidth="1"/>
    <col min="8457" max="8457" width="7.140625" style="9" customWidth="1"/>
    <col min="8458" max="8458" width="8.5703125" style="9" customWidth="1"/>
    <col min="8459" max="8459" width="10.42578125" style="9" customWidth="1"/>
    <col min="8460" max="8460" width="9.140625" style="9" customWidth="1"/>
    <col min="8461" max="8461" width="7.42578125" style="9" customWidth="1"/>
    <col min="8462" max="8462" width="11.28515625" style="9" customWidth="1"/>
    <col min="8463" max="8463" width="15.85546875" style="9" customWidth="1"/>
    <col min="8464" max="8464" width="11.28515625" style="9" customWidth="1"/>
    <col min="8465" max="8465" width="12.140625" style="9" customWidth="1"/>
    <col min="8466" max="8708" width="9.140625" style="9"/>
    <col min="8709" max="8709" width="12.5703125" style="9" customWidth="1"/>
    <col min="8710" max="8710" width="15.5703125" style="9" customWidth="1"/>
    <col min="8711" max="8711" width="10.28515625" style="9" customWidth="1"/>
    <col min="8712" max="8712" width="8.5703125" style="9" customWidth="1"/>
    <col min="8713" max="8713" width="7.140625" style="9" customWidth="1"/>
    <col min="8714" max="8714" width="8.5703125" style="9" customWidth="1"/>
    <col min="8715" max="8715" width="10.42578125" style="9" customWidth="1"/>
    <col min="8716" max="8716" width="9.140625" style="9" customWidth="1"/>
    <col min="8717" max="8717" width="7.42578125" style="9" customWidth="1"/>
    <col min="8718" max="8718" width="11.28515625" style="9" customWidth="1"/>
    <col min="8719" max="8719" width="15.85546875" style="9" customWidth="1"/>
    <col min="8720" max="8720" width="11.28515625" style="9" customWidth="1"/>
    <col min="8721" max="8721" width="12.140625" style="9" customWidth="1"/>
    <col min="8722" max="8964" width="9.140625" style="9"/>
    <col min="8965" max="8965" width="12.5703125" style="9" customWidth="1"/>
    <col min="8966" max="8966" width="15.5703125" style="9" customWidth="1"/>
    <col min="8967" max="8967" width="10.28515625" style="9" customWidth="1"/>
    <col min="8968" max="8968" width="8.5703125" style="9" customWidth="1"/>
    <col min="8969" max="8969" width="7.140625" style="9" customWidth="1"/>
    <col min="8970" max="8970" width="8.5703125" style="9" customWidth="1"/>
    <col min="8971" max="8971" width="10.42578125" style="9" customWidth="1"/>
    <col min="8972" max="8972" width="9.140625" style="9" customWidth="1"/>
    <col min="8973" max="8973" width="7.42578125" style="9" customWidth="1"/>
    <col min="8974" max="8974" width="11.28515625" style="9" customWidth="1"/>
    <col min="8975" max="8975" width="15.85546875" style="9" customWidth="1"/>
    <col min="8976" max="8976" width="11.28515625" style="9" customWidth="1"/>
    <col min="8977" max="8977" width="12.140625" style="9" customWidth="1"/>
    <col min="8978" max="9220" width="9.140625" style="9"/>
    <col min="9221" max="9221" width="12.5703125" style="9" customWidth="1"/>
    <col min="9222" max="9222" width="15.5703125" style="9" customWidth="1"/>
    <col min="9223" max="9223" width="10.28515625" style="9" customWidth="1"/>
    <col min="9224" max="9224" width="8.5703125" style="9" customWidth="1"/>
    <col min="9225" max="9225" width="7.140625" style="9" customWidth="1"/>
    <col min="9226" max="9226" width="8.5703125" style="9" customWidth="1"/>
    <col min="9227" max="9227" width="10.42578125" style="9" customWidth="1"/>
    <col min="9228" max="9228" width="9.140625" style="9" customWidth="1"/>
    <col min="9229" max="9229" width="7.42578125" style="9" customWidth="1"/>
    <col min="9230" max="9230" width="11.28515625" style="9" customWidth="1"/>
    <col min="9231" max="9231" width="15.85546875" style="9" customWidth="1"/>
    <col min="9232" max="9232" width="11.28515625" style="9" customWidth="1"/>
    <col min="9233" max="9233" width="12.140625" style="9" customWidth="1"/>
    <col min="9234" max="9476" width="9.140625" style="9"/>
    <col min="9477" max="9477" width="12.5703125" style="9" customWidth="1"/>
    <col min="9478" max="9478" width="15.5703125" style="9" customWidth="1"/>
    <col min="9479" max="9479" width="10.28515625" style="9" customWidth="1"/>
    <col min="9480" max="9480" width="8.5703125" style="9" customWidth="1"/>
    <col min="9481" max="9481" width="7.140625" style="9" customWidth="1"/>
    <col min="9482" max="9482" width="8.5703125" style="9" customWidth="1"/>
    <col min="9483" max="9483" width="10.42578125" style="9" customWidth="1"/>
    <col min="9484" max="9484" width="9.140625" style="9" customWidth="1"/>
    <col min="9485" max="9485" width="7.42578125" style="9" customWidth="1"/>
    <col min="9486" max="9486" width="11.28515625" style="9" customWidth="1"/>
    <col min="9487" max="9487" width="15.85546875" style="9" customWidth="1"/>
    <col min="9488" max="9488" width="11.28515625" style="9" customWidth="1"/>
    <col min="9489" max="9489" width="12.140625" style="9" customWidth="1"/>
    <col min="9490" max="9732" width="9.140625" style="9"/>
    <col min="9733" max="9733" width="12.5703125" style="9" customWidth="1"/>
    <col min="9734" max="9734" width="15.5703125" style="9" customWidth="1"/>
    <col min="9735" max="9735" width="10.28515625" style="9" customWidth="1"/>
    <col min="9736" max="9736" width="8.5703125" style="9" customWidth="1"/>
    <col min="9737" max="9737" width="7.140625" style="9" customWidth="1"/>
    <col min="9738" max="9738" width="8.5703125" style="9" customWidth="1"/>
    <col min="9739" max="9739" width="10.42578125" style="9" customWidth="1"/>
    <col min="9740" max="9740" width="9.140625" style="9" customWidth="1"/>
    <col min="9741" max="9741" width="7.42578125" style="9" customWidth="1"/>
    <col min="9742" max="9742" width="11.28515625" style="9" customWidth="1"/>
    <col min="9743" max="9743" width="15.85546875" style="9" customWidth="1"/>
    <col min="9744" max="9744" width="11.28515625" style="9" customWidth="1"/>
    <col min="9745" max="9745" width="12.140625" style="9" customWidth="1"/>
    <col min="9746" max="9988" width="9.140625" style="9"/>
    <col min="9989" max="9989" width="12.5703125" style="9" customWidth="1"/>
    <col min="9990" max="9990" width="15.5703125" style="9" customWidth="1"/>
    <col min="9991" max="9991" width="10.28515625" style="9" customWidth="1"/>
    <col min="9992" max="9992" width="8.5703125" style="9" customWidth="1"/>
    <col min="9993" max="9993" width="7.140625" style="9" customWidth="1"/>
    <col min="9994" max="9994" width="8.5703125" style="9" customWidth="1"/>
    <col min="9995" max="9995" width="10.42578125" style="9" customWidth="1"/>
    <col min="9996" max="9996" width="9.140625" style="9" customWidth="1"/>
    <col min="9997" max="9997" width="7.42578125" style="9" customWidth="1"/>
    <col min="9998" max="9998" width="11.28515625" style="9" customWidth="1"/>
    <col min="9999" max="9999" width="15.85546875" style="9" customWidth="1"/>
    <col min="10000" max="10000" width="11.28515625" style="9" customWidth="1"/>
    <col min="10001" max="10001" width="12.140625" style="9" customWidth="1"/>
    <col min="10002" max="10244" width="9.140625" style="9"/>
    <col min="10245" max="10245" width="12.5703125" style="9" customWidth="1"/>
    <col min="10246" max="10246" width="15.5703125" style="9" customWidth="1"/>
    <col min="10247" max="10247" width="10.28515625" style="9" customWidth="1"/>
    <col min="10248" max="10248" width="8.5703125" style="9" customWidth="1"/>
    <col min="10249" max="10249" width="7.140625" style="9" customWidth="1"/>
    <col min="10250" max="10250" width="8.5703125" style="9" customWidth="1"/>
    <col min="10251" max="10251" width="10.42578125" style="9" customWidth="1"/>
    <col min="10252" max="10252" width="9.140625" style="9" customWidth="1"/>
    <col min="10253" max="10253" width="7.42578125" style="9" customWidth="1"/>
    <col min="10254" max="10254" width="11.28515625" style="9" customWidth="1"/>
    <col min="10255" max="10255" width="15.85546875" style="9" customWidth="1"/>
    <col min="10256" max="10256" width="11.28515625" style="9" customWidth="1"/>
    <col min="10257" max="10257" width="12.140625" style="9" customWidth="1"/>
    <col min="10258" max="10500" width="9.140625" style="9"/>
    <col min="10501" max="10501" width="12.5703125" style="9" customWidth="1"/>
    <col min="10502" max="10502" width="15.5703125" style="9" customWidth="1"/>
    <col min="10503" max="10503" width="10.28515625" style="9" customWidth="1"/>
    <col min="10504" max="10504" width="8.5703125" style="9" customWidth="1"/>
    <col min="10505" max="10505" width="7.140625" style="9" customWidth="1"/>
    <col min="10506" max="10506" width="8.5703125" style="9" customWidth="1"/>
    <col min="10507" max="10507" width="10.42578125" style="9" customWidth="1"/>
    <col min="10508" max="10508" width="9.140625" style="9" customWidth="1"/>
    <col min="10509" max="10509" width="7.42578125" style="9" customWidth="1"/>
    <col min="10510" max="10510" width="11.28515625" style="9" customWidth="1"/>
    <col min="10511" max="10511" width="15.85546875" style="9" customWidth="1"/>
    <col min="10512" max="10512" width="11.28515625" style="9" customWidth="1"/>
    <col min="10513" max="10513" width="12.140625" style="9" customWidth="1"/>
    <col min="10514" max="10756" width="9.140625" style="9"/>
    <col min="10757" max="10757" width="12.5703125" style="9" customWidth="1"/>
    <col min="10758" max="10758" width="15.5703125" style="9" customWidth="1"/>
    <col min="10759" max="10759" width="10.28515625" style="9" customWidth="1"/>
    <col min="10760" max="10760" width="8.5703125" style="9" customWidth="1"/>
    <col min="10761" max="10761" width="7.140625" style="9" customWidth="1"/>
    <col min="10762" max="10762" width="8.5703125" style="9" customWidth="1"/>
    <col min="10763" max="10763" width="10.42578125" style="9" customWidth="1"/>
    <col min="10764" max="10764" width="9.140625" style="9" customWidth="1"/>
    <col min="10765" max="10765" width="7.42578125" style="9" customWidth="1"/>
    <col min="10766" max="10766" width="11.28515625" style="9" customWidth="1"/>
    <col min="10767" max="10767" width="15.85546875" style="9" customWidth="1"/>
    <col min="10768" max="10768" width="11.28515625" style="9" customWidth="1"/>
    <col min="10769" max="10769" width="12.140625" style="9" customWidth="1"/>
    <col min="10770" max="11012" width="9.140625" style="9"/>
    <col min="11013" max="11013" width="12.5703125" style="9" customWidth="1"/>
    <col min="11014" max="11014" width="15.5703125" style="9" customWidth="1"/>
    <col min="11015" max="11015" width="10.28515625" style="9" customWidth="1"/>
    <col min="11016" max="11016" width="8.5703125" style="9" customWidth="1"/>
    <col min="11017" max="11017" width="7.140625" style="9" customWidth="1"/>
    <col min="11018" max="11018" width="8.5703125" style="9" customWidth="1"/>
    <col min="11019" max="11019" width="10.42578125" style="9" customWidth="1"/>
    <col min="11020" max="11020" width="9.140625" style="9" customWidth="1"/>
    <col min="11021" max="11021" width="7.42578125" style="9" customWidth="1"/>
    <col min="11022" max="11022" width="11.28515625" style="9" customWidth="1"/>
    <col min="11023" max="11023" width="15.85546875" style="9" customWidth="1"/>
    <col min="11024" max="11024" width="11.28515625" style="9" customWidth="1"/>
    <col min="11025" max="11025" width="12.140625" style="9" customWidth="1"/>
    <col min="11026" max="11268" width="9.140625" style="9"/>
    <col min="11269" max="11269" width="12.5703125" style="9" customWidth="1"/>
    <col min="11270" max="11270" width="15.5703125" style="9" customWidth="1"/>
    <col min="11271" max="11271" width="10.28515625" style="9" customWidth="1"/>
    <col min="11272" max="11272" width="8.5703125" style="9" customWidth="1"/>
    <col min="11273" max="11273" width="7.140625" style="9" customWidth="1"/>
    <col min="11274" max="11274" width="8.5703125" style="9" customWidth="1"/>
    <col min="11275" max="11275" width="10.42578125" style="9" customWidth="1"/>
    <col min="11276" max="11276" width="9.140625" style="9" customWidth="1"/>
    <col min="11277" max="11277" width="7.42578125" style="9" customWidth="1"/>
    <col min="11278" max="11278" width="11.28515625" style="9" customWidth="1"/>
    <col min="11279" max="11279" width="15.85546875" style="9" customWidth="1"/>
    <col min="11280" max="11280" width="11.28515625" style="9" customWidth="1"/>
    <col min="11281" max="11281" width="12.140625" style="9" customWidth="1"/>
    <col min="11282" max="11524" width="9.140625" style="9"/>
    <col min="11525" max="11525" width="12.5703125" style="9" customWidth="1"/>
    <col min="11526" max="11526" width="15.5703125" style="9" customWidth="1"/>
    <col min="11527" max="11527" width="10.28515625" style="9" customWidth="1"/>
    <col min="11528" max="11528" width="8.5703125" style="9" customWidth="1"/>
    <col min="11529" max="11529" width="7.140625" style="9" customWidth="1"/>
    <col min="11530" max="11530" width="8.5703125" style="9" customWidth="1"/>
    <col min="11531" max="11531" width="10.42578125" style="9" customWidth="1"/>
    <col min="11532" max="11532" width="9.140625" style="9" customWidth="1"/>
    <col min="11533" max="11533" width="7.42578125" style="9" customWidth="1"/>
    <col min="11534" max="11534" width="11.28515625" style="9" customWidth="1"/>
    <col min="11535" max="11535" width="15.85546875" style="9" customWidth="1"/>
    <col min="11536" max="11536" width="11.28515625" style="9" customWidth="1"/>
    <col min="11537" max="11537" width="12.140625" style="9" customWidth="1"/>
    <col min="11538" max="11780" width="9.140625" style="9"/>
    <col min="11781" max="11781" width="12.5703125" style="9" customWidth="1"/>
    <col min="11782" max="11782" width="15.5703125" style="9" customWidth="1"/>
    <col min="11783" max="11783" width="10.28515625" style="9" customWidth="1"/>
    <col min="11784" max="11784" width="8.5703125" style="9" customWidth="1"/>
    <col min="11785" max="11785" width="7.140625" style="9" customWidth="1"/>
    <col min="11786" max="11786" width="8.5703125" style="9" customWidth="1"/>
    <col min="11787" max="11787" width="10.42578125" style="9" customWidth="1"/>
    <col min="11788" max="11788" width="9.140625" style="9" customWidth="1"/>
    <col min="11789" max="11789" width="7.42578125" style="9" customWidth="1"/>
    <col min="11790" max="11790" width="11.28515625" style="9" customWidth="1"/>
    <col min="11791" max="11791" width="15.85546875" style="9" customWidth="1"/>
    <col min="11792" max="11792" width="11.28515625" style="9" customWidth="1"/>
    <col min="11793" max="11793" width="12.140625" style="9" customWidth="1"/>
    <col min="11794" max="12036" width="9.140625" style="9"/>
    <col min="12037" max="12037" width="12.5703125" style="9" customWidth="1"/>
    <col min="12038" max="12038" width="15.5703125" style="9" customWidth="1"/>
    <col min="12039" max="12039" width="10.28515625" style="9" customWidth="1"/>
    <col min="12040" max="12040" width="8.5703125" style="9" customWidth="1"/>
    <col min="12041" max="12041" width="7.140625" style="9" customWidth="1"/>
    <col min="12042" max="12042" width="8.5703125" style="9" customWidth="1"/>
    <col min="12043" max="12043" width="10.42578125" style="9" customWidth="1"/>
    <col min="12044" max="12044" width="9.140625" style="9" customWidth="1"/>
    <col min="12045" max="12045" width="7.42578125" style="9" customWidth="1"/>
    <col min="12046" max="12046" width="11.28515625" style="9" customWidth="1"/>
    <col min="12047" max="12047" width="15.85546875" style="9" customWidth="1"/>
    <col min="12048" max="12048" width="11.28515625" style="9" customWidth="1"/>
    <col min="12049" max="12049" width="12.140625" style="9" customWidth="1"/>
    <col min="12050" max="12292" width="9.140625" style="9"/>
    <col min="12293" max="12293" width="12.5703125" style="9" customWidth="1"/>
    <col min="12294" max="12294" width="15.5703125" style="9" customWidth="1"/>
    <col min="12295" max="12295" width="10.28515625" style="9" customWidth="1"/>
    <col min="12296" max="12296" width="8.5703125" style="9" customWidth="1"/>
    <col min="12297" max="12297" width="7.140625" style="9" customWidth="1"/>
    <col min="12298" max="12298" width="8.5703125" style="9" customWidth="1"/>
    <col min="12299" max="12299" width="10.42578125" style="9" customWidth="1"/>
    <col min="12300" max="12300" width="9.140625" style="9" customWidth="1"/>
    <col min="12301" max="12301" width="7.42578125" style="9" customWidth="1"/>
    <col min="12302" max="12302" width="11.28515625" style="9" customWidth="1"/>
    <col min="12303" max="12303" width="15.85546875" style="9" customWidth="1"/>
    <col min="12304" max="12304" width="11.28515625" style="9" customWidth="1"/>
    <col min="12305" max="12305" width="12.140625" style="9" customWidth="1"/>
    <col min="12306" max="12548" width="9.140625" style="9"/>
    <col min="12549" max="12549" width="12.5703125" style="9" customWidth="1"/>
    <col min="12550" max="12550" width="15.5703125" style="9" customWidth="1"/>
    <col min="12551" max="12551" width="10.28515625" style="9" customWidth="1"/>
    <col min="12552" max="12552" width="8.5703125" style="9" customWidth="1"/>
    <col min="12553" max="12553" width="7.140625" style="9" customWidth="1"/>
    <col min="12554" max="12554" width="8.5703125" style="9" customWidth="1"/>
    <col min="12555" max="12555" width="10.42578125" style="9" customWidth="1"/>
    <col min="12556" max="12556" width="9.140625" style="9" customWidth="1"/>
    <col min="12557" max="12557" width="7.42578125" style="9" customWidth="1"/>
    <col min="12558" max="12558" width="11.28515625" style="9" customWidth="1"/>
    <col min="12559" max="12559" width="15.85546875" style="9" customWidth="1"/>
    <col min="12560" max="12560" width="11.28515625" style="9" customWidth="1"/>
    <col min="12561" max="12561" width="12.140625" style="9" customWidth="1"/>
    <col min="12562" max="12804" width="9.140625" style="9"/>
    <col min="12805" max="12805" width="12.5703125" style="9" customWidth="1"/>
    <col min="12806" max="12806" width="15.5703125" style="9" customWidth="1"/>
    <col min="12807" max="12807" width="10.28515625" style="9" customWidth="1"/>
    <col min="12808" max="12808" width="8.5703125" style="9" customWidth="1"/>
    <col min="12809" max="12809" width="7.140625" style="9" customWidth="1"/>
    <col min="12810" max="12810" width="8.5703125" style="9" customWidth="1"/>
    <col min="12811" max="12811" width="10.42578125" style="9" customWidth="1"/>
    <col min="12812" max="12812" width="9.140625" style="9" customWidth="1"/>
    <col min="12813" max="12813" width="7.42578125" style="9" customWidth="1"/>
    <col min="12814" max="12814" width="11.28515625" style="9" customWidth="1"/>
    <col min="12815" max="12815" width="15.85546875" style="9" customWidth="1"/>
    <col min="12816" max="12816" width="11.28515625" style="9" customWidth="1"/>
    <col min="12817" max="12817" width="12.140625" style="9" customWidth="1"/>
    <col min="12818" max="13060" width="9.140625" style="9"/>
    <col min="13061" max="13061" width="12.5703125" style="9" customWidth="1"/>
    <col min="13062" max="13062" width="15.5703125" style="9" customWidth="1"/>
    <col min="13063" max="13063" width="10.28515625" style="9" customWidth="1"/>
    <col min="13064" max="13064" width="8.5703125" style="9" customWidth="1"/>
    <col min="13065" max="13065" width="7.140625" style="9" customWidth="1"/>
    <col min="13066" max="13066" width="8.5703125" style="9" customWidth="1"/>
    <col min="13067" max="13067" width="10.42578125" style="9" customWidth="1"/>
    <col min="13068" max="13068" width="9.140625" style="9" customWidth="1"/>
    <col min="13069" max="13069" width="7.42578125" style="9" customWidth="1"/>
    <col min="13070" max="13070" width="11.28515625" style="9" customWidth="1"/>
    <col min="13071" max="13071" width="15.85546875" style="9" customWidth="1"/>
    <col min="13072" max="13072" width="11.28515625" style="9" customWidth="1"/>
    <col min="13073" max="13073" width="12.140625" style="9" customWidth="1"/>
    <col min="13074" max="13316" width="9.140625" style="9"/>
    <col min="13317" max="13317" width="12.5703125" style="9" customWidth="1"/>
    <col min="13318" max="13318" width="15.5703125" style="9" customWidth="1"/>
    <col min="13319" max="13319" width="10.28515625" style="9" customWidth="1"/>
    <col min="13320" max="13320" width="8.5703125" style="9" customWidth="1"/>
    <col min="13321" max="13321" width="7.140625" style="9" customWidth="1"/>
    <col min="13322" max="13322" width="8.5703125" style="9" customWidth="1"/>
    <col min="13323" max="13323" width="10.42578125" style="9" customWidth="1"/>
    <col min="13324" max="13324" width="9.140625" style="9" customWidth="1"/>
    <col min="13325" max="13325" width="7.42578125" style="9" customWidth="1"/>
    <col min="13326" max="13326" width="11.28515625" style="9" customWidth="1"/>
    <col min="13327" max="13327" width="15.85546875" style="9" customWidth="1"/>
    <col min="13328" max="13328" width="11.28515625" style="9" customWidth="1"/>
    <col min="13329" max="13329" width="12.140625" style="9" customWidth="1"/>
    <col min="13330" max="13572" width="9.140625" style="9"/>
    <col min="13573" max="13573" width="12.5703125" style="9" customWidth="1"/>
    <col min="13574" max="13574" width="15.5703125" style="9" customWidth="1"/>
    <col min="13575" max="13575" width="10.28515625" style="9" customWidth="1"/>
    <col min="13576" max="13576" width="8.5703125" style="9" customWidth="1"/>
    <col min="13577" max="13577" width="7.140625" style="9" customWidth="1"/>
    <col min="13578" max="13578" width="8.5703125" style="9" customWidth="1"/>
    <col min="13579" max="13579" width="10.42578125" style="9" customWidth="1"/>
    <col min="13580" max="13580" width="9.140625" style="9" customWidth="1"/>
    <col min="13581" max="13581" width="7.42578125" style="9" customWidth="1"/>
    <col min="13582" max="13582" width="11.28515625" style="9" customWidth="1"/>
    <col min="13583" max="13583" width="15.85546875" style="9" customWidth="1"/>
    <col min="13584" max="13584" width="11.28515625" style="9" customWidth="1"/>
    <col min="13585" max="13585" width="12.140625" style="9" customWidth="1"/>
    <col min="13586" max="13828" width="9.140625" style="9"/>
    <col min="13829" max="13829" width="12.5703125" style="9" customWidth="1"/>
    <col min="13830" max="13830" width="15.5703125" style="9" customWidth="1"/>
    <col min="13831" max="13831" width="10.28515625" style="9" customWidth="1"/>
    <col min="13832" max="13832" width="8.5703125" style="9" customWidth="1"/>
    <col min="13833" max="13833" width="7.140625" style="9" customWidth="1"/>
    <col min="13834" max="13834" width="8.5703125" style="9" customWidth="1"/>
    <col min="13835" max="13835" width="10.42578125" style="9" customWidth="1"/>
    <col min="13836" max="13836" width="9.140625" style="9" customWidth="1"/>
    <col min="13837" max="13837" width="7.42578125" style="9" customWidth="1"/>
    <col min="13838" max="13838" width="11.28515625" style="9" customWidth="1"/>
    <col min="13839" max="13839" width="15.85546875" style="9" customWidth="1"/>
    <col min="13840" max="13840" width="11.28515625" style="9" customWidth="1"/>
    <col min="13841" max="13841" width="12.140625" style="9" customWidth="1"/>
    <col min="13842" max="14084" width="9.140625" style="9"/>
    <col min="14085" max="14085" width="12.5703125" style="9" customWidth="1"/>
    <col min="14086" max="14086" width="15.5703125" style="9" customWidth="1"/>
    <col min="14087" max="14087" width="10.28515625" style="9" customWidth="1"/>
    <col min="14088" max="14088" width="8.5703125" style="9" customWidth="1"/>
    <col min="14089" max="14089" width="7.140625" style="9" customWidth="1"/>
    <col min="14090" max="14090" width="8.5703125" style="9" customWidth="1"/>
    <col min="14091" max="14091" width="10.42578125" style="9" customWidth="1"/>
    <col min="14092" max="14092" width="9.140625" style="9" customWidth="1"/>
    <col min="14093" max="14093" width="7.42578125" style="9" customWidth="1"/>
    <col min="14094" max="14094" width="11.28515625" style="9" customWidth="1"/>
    <col min="14095" max="14095" width="15.85546875" style="9" customWidth="1"/>
    <col min="14096" max="14096" width="11.28515625" style="9" customWidth="1"/>
    <col min="14097" max="14097" width="12.140625" style="9" customWidth="1"/>
    <col min="14098" max="14340" width="9.140625" style="9"/>
    <col min="14341" max="14341" width="12.5703125" style="9" customWidth="1"/>
    <col min="14342" max="14342" width="15.5703125" style="9" customWidth="1"/>
    <col min="14343" max="14343" width="10.28515625" style="9" customWidth="1"/>
    <col min="14344" max="14344" width="8.5703125" style="9" customWidth="1"/>
    <col min="14345" max="14345" width="7.140625" style="9" customWidth="1"/>
    <col min="14346" max="14346" width="8.5703125" style="9" customWidth="1"/>
    <col min="14347" max="14347" width="10.42578125" style="9" customWidth="1"/>
    <col min="14348" max="14348" width="9.140625" style="9" customWidth="1"/>
    <col min="14349" max="14349" width="7.42578125" style="9" customWidth="1"/>
    <col min="14350" max="14350" width="11.28515625" style="9" customWidth="1"/>
    <col min="14351" max="14351" width="15.85546875" style="9" customWidth="1"/>
    <col min="14352" max="14352" width="11.28515625" style="9" customWidth="1"/>
    <col min="14353" max="14353" width="12.140625" style="9" customWidth="1"/>
    <col min="14354" max="14596" width="9.140625" style="9"/>
    <col min="14597" max="14597" width="12.5703125" style="9" customWidth="1"/>
    <col min="14598" max="14598" width="15.5703125" style="9" customWidth="1"/>
    <col min="14599" max="14599" width="10.28515625" style="9" customWidth="1"/>
    <col min="14600" max="14600" width="8.5703125" style="9" customWidth="1"/>
    <col min="14601" max="14601" width="7.140625" style="9" customWidth="1"/>
    <col min="14602" max="14602" width="8.5703125" style="9" customWidth="1"/>
    <col min="14603" max="14603" width="10.42578125" style="9" customWidth="1"/>
    <col min="14604" max="14604" width="9.140625" style="9" customWidth="1"/>
    <col min="14605" max="14605" width="7.42578125" style="9" customWidth="1"/>
    <col min="14606" max="14606" width="11.28515625" style="9" customWidth="1"/>
    <col min="14607" max="14607" width="15.85546875" style="9" customWidth="1"/>
    <col min="14608" max="14608" width="11.28515625" style="9" customWidth="1"/>
    <col min="14609" max="14609" width="12.140625" style="9" customWidth="1"/>
    <col min="14610" max="14852" width="9.140625" style="9"/>
    <col min="14853" max="14853" width="12.5703125" style="9" customWidth="1"/>
    <col min="14854" max="14854" width="15.5703125" style="9" customWidth="1"/>
    <col min="14855" max="14855" width="10.28515625" style="9" customWidth="1"/>
    <col min="14856" max="14856" width="8.5703125" style="9" customWidth="1"/>
    <col min="14857" max="14857" width="7.140625" style="9" customWidth="1"/>
    <col min="14858" max="14858" width="8.5703125" style="9" customWidth="1"/>
    <col min="14859" max="14859" width="10.42578125" style="9" customWidth="1"/>
    <col min="14860" max="14860" width="9.140625" style="9" customWidth="1"/>
    <col min="14861" max="14861" width="7.42578125" style="9" customWidth="1"/>
    <col min="14862" max="14862" width="11.28515625" style="9" customWidth="1"/>
    <col min="14863" max="14863" width="15.85546875" style="9" customWidth="1"/>
    <col min="14864" max="14864" width="11.28515625" style="9" customWidth="1"/>
    <col min="14865" max="14865" width="12.140625" style="9" customWidth="1"/>
    <col min="14866" max="15108" width="9.140625" style="9"/>
    <col min="15109" max="15109" width="12.5703125" style="9" customWidth="1"/>
    <col min="15110" max="15110" width="15.5703125" style="9" customWidth="1"/>
    <col min="15111" max="15111" width="10.28515625" style="9" customWidth="1"/>
    <col min="15112" max="15112" width="8.5703125" style="9" customWidth="1"/>
    <col min="15113" max="15113" width="7.140625" style="9" customWidth="1"/>
    <col min="15114" max="15114" width="8.5703125" style="9" customWidth="1"/>
    <col min="15115" max="15115" width="10.42578125" style="9" customWidth="1"/>
    <col min="15116" max="15116" width="9.140625" style="9" customWidth="1"/>
    <col min="15117" max="15117" width="7.42578125" style="9" customWidth="1"/>
    <col min="15118" max="15118" width="11.28515625" style="9" customWidth="1"/>
    <col min="15119" max="15119" width="15.85546875" style="9" customWidth="1"/>
    <col min="15120" max="15120" width="11.28515625" style="9" customWidth="1"/>
    <col min="15121" max="15121" width="12.140625" style="9" customWidth="1"/>
    <col min="15122" max="15364" width="9.140625" style="9"/>
    <col min="15365" max="15365" width="12.5703125" style="9" customWidth="1"/>
    <col min="15366" max="15366" width="15.5703125" style="9" customWidth="1"/>
    <col min="15367" max="15367" width="10.28515625" style="9" customWidth="1"/>
    <col min="15368" max="15368" width="8.5703125" style="9" customWidth="1"/>
    <col min="15369" max="15369" width="7.140625" style="9" customWidth="1"/>
    <col min="15370" max="15370" width="8.5703125" style="9" customWidth="1"/>
    <col min="15371" max="15371" width="10.42578125" style="9" customWidth="1"/>
    <col min="15372" max="15372" width="9.140625" style="9" customWidth="1"/>
    <col min="15373" max="15373" width="7.42578125" style="9" customWidth="1"/>
    <col min="15374" max="15374" width="11.28515625" style="9" customWidth="1"/>
    <col min="15375" max="15375" width="15.85546875" style="9" customWidth="1"/>
    <col min="15376" max="15376" width="11.28515625" style="9" customWidth="1"/>
    <col min="15377" max="15377" width="12.140625" style="9" customWidth="1"/>
    <col min="15378" max="15620" width="9.140625" style="9"/>
    <col min="15621" max="15621" width="12.5703125" style="9" customWidth="1"/>
    <col min="15622" max="15622" width="15.5703125" style="9" customWidth="1"/>
    <col min="15623" max="15623" width="10.28515625" style="9" customWidth="1"/>
    <col min="15624" max="15624" width="8.5703125" style="9" customWidth="1"/>
    <col min="15625" max="15625" width="7.140625" style="9" customWidth="1"/>
    <col min="15626" max="15626" width="8.5703125" style="9" customWidth="1"/>
    <col min="15627" max="15627" width="10.42578125" style="9" customWidth="1"/>
    <col min="15628" max="15628" width="9.140625" style="9" customWidth="1"/>
    <col min="15629" max="15629" width="7.42578125" style="9" customWidth="1"/>
    <col min="15630" max="15630" width="11.28515625" style="9" customWidth="1"/>
    <col min="15631" max="15631" width="15.85546875" style="9" customWidth="1"/>
    <col min="15632" max="15632" width="11.28515625" style="9" customWidth="1"/>
    <col min="15633" max="15633" width="12.140625" style="9" customWidth="1"/>
    <col min="15634" max="15876" width="9.140625" style="9"/>
    <col min="15877" max="15877" width="12.5703125" style="9" customWidth="1"/>
    <col min="15878" max="15878" width="15.5703125" style="9" customWidth="1"/>
    <col min="15879" max="15879" width="10.28515625" style="9" customWidth="1"/>
    <col min="15880" max="15880" width="8.5703125" style="9" customWidth="1"/>
    <col min="15881" max="15881" width="7.140625" style="9" customWidth="1"/>
    <col min="15882" max="15882" width="8.5703125" style="9" customWidth="1"/>
    <col min="15883" max="15883" width="10.42578125" style="9" customWidth="1"/>
    <col min="15884" max="15884" width="9.140625" style="9" customWidth="1"/>
    <col min="15885" max="15885" width="7.42578125" style="9" customWidth="1"/>
    <col min="15886" max="15886" width="11.28515625" style="9" customWidth="1"/>
    <col min="15887" max="15887" width="15.85546875" style="9" customWidth="1"/>
    <col min="15888" max="15888" width="11.28515625" style="9" customWidth="1"/>
    <col min="15889" max="15889" width="12.140625" style="9" customWidth="1"/>
    <col min="15890" max="16132" width="9.140625" style="9"/>
    <col min="16133" max="16133" width="12.5703125" style="9" customWidth="1"/>
    <col min="16134" max="16134" width="15.5703125" style="9" customWidth="1"/>
    <col min="16135" max="16135" width="10.28515625" style="9" customWidth="1"/>
    <col min="16136" max="16136" width="8.5703125" style="9" customWidth="1"/>
    <col min="16137" max="16137" width="7.140625" style="9" customWidth="1"/>
    <col min="16138" max="16138" width="8.5703125" style="9" customWidth="1"/>
    <col min="16139" max="16139" width="10.42578125" style="9" customWidth="1"/>
    <col min="16140" max="16140" width="9.140625" style="9" customWidth="1"/>
    <col min="16141" max="16141" width="7.42578125" style="9" customWidth="1"/>
    <col min="16142" max="16142" width="11.28515625" style="9" customWidth="1"/>
    <col min="16143" max="16143" width="15.85546875" style="9" customWidth="1"/>
    <col min="16144" max="16144" width="11.28515625" style="9" customWidth="1"/>
    <col min="16145" max="16145" width="12.140625" style="9" customWidth="1"/>
    <col min="16146" max="16384" width="9.140625" style="9"/>
  </cols>
  <sheetData>
    <row r="1" spans="1:37" s="7" customFormat="1" ht="17.25" customHeight="1">
      <c r="A1" s="1" t="s">
        <v>0</v>
      </c>
      <c r="B1" s="121" t="s">
        <v>68</v>
      </c>
      <c r="C1" s="137" t="s">
        <v>11</v>
      </c>
      <c r="D1" s="138"/>
      <c r="E1" s="138"/>
      <c r="F1" s="138"/>
      <c r="G1" s="138"/>
      <c r="H1" s="138"/>
      <c r="I1" s="138"/>
      <c r="J1" s="158" t="s">
        <v>1</v>
      </c>
      <c r="K1" s="159"/>
      <c r="L1" s="166">
        <v>0</v>
      </c>
      <c r="M1" s="167"/>
      <c r="N1" s="143"/>
      <c r="O1" s="144"/>
      <c r="P1" s="144"/>
      <c r="Q1" s="145"/>
      <c r="AF1" s="93"/>
      <c r="AG1" s="94"/>
      <c r="AH1" s="95"/>
      <c r="AI1" s="96"/>
      <c r="AJ1" s="94"/>
      <c r="AK1" s="97"/>
    </row>
    <row r="2" spans="1:37" s="7" customFormat="1" ht="18">
      <c r="A2" s="2" t="s">
        <v>2</v>
      </c>
      <c r="B2" s="122" t="s">
        <v>67</v>
      </c>
      <c r="C2" s="139"/>
      <c r="D2" s="140"/>
      <c r="E2" s="140"/>
      <c r="F2" s="140"/>
      <c r="G2" s="140"/>
      <c r="H2" s="140"/>
      <c r="I2" s="140"/>
      <c r="J2" s="160" t="s">
        <v>3</v>
      </c>
      <c r="K2" s="161"/>
      <c r="L2" s="168" t="s">
        <v>73</v>
      </c>
      <c r="M2" s="169"/>
      <c r="N2" s="146"/>
      <c r="O2" s="147"/>
      <c r="P2" s="147"/>
      <c r="Q2" s="148"/>
      <c r="AF2" s="98"/>
      <c r="AG2" s="69"/>
      <c r="AH2" s="98"/>
      <c r="AI2" s="70"/>
      <c r="AJ2" s="98"/>
      <c r="AK2" s="70"/>
    </row>
    <row r="3" spans="1:37" s="7" customFormat="1" ht="18">
      <c r="A3" s="2" t="s">
        <v>4</v>
      </c>
      <c r="B3" s="122" t="s">
        <v>66</v>
      </c>
      <c r="C3" s="139"/>
      <c r="D3" s="140"/>
      <c r="E3" s="140"/>
      <c r="F3" s="140"/>
      <c r="G3" s="140"/>
      <c r="H3" s="140"/>
      <c r="I3" s="140"/>
      <c r="J3" s="162" t="s">
        <v>5</v>
      </c>
      <c r="K3" s="163"/>
      <c r="L3" s="176" t="s">
        <v>69</v>
      </c>
      <c r="M3" s="169"/>
      <c r="N3" s="146"/>
      <c r="O3" s="147"/>
      <c r="P3" s="147"/>
      <c r="Q3" s="148"/>
      <c r="AF3" s="98"/>
      <c r="AG3" s="69"/>
      <c r="AH3" s="98"/>
      <c r="AI3" s="70"/>
      <c r="AJ3" s="98"/>
      <c r="AK3" s="70"/>
    </row>
    <row r="4" spans="1:37" s="7" customFormat="1" ht="54.75" thickBot="1">
      <c r="A4" s="3" t="s">
        <v>6</v>
      </c>
      <c r="B4" s="123" t="s">
        <v>72</v>
      </c>
      <c r="C4" s="141"/>
      <c r="D4" s="142"/>
      <c r="E4" s="142"/>
      <c r="F4" s="142"/>
      <c r="G4" s="142"/>
      <c r="H4" s="142"/>
      <c r="I4" s="142"/>
      <c r="J4" s="164" t="s">
        <v>7</v>
      </c>
      <c r="K4" s="165"/>
      <c r="L4" s="177" t="s">
        <v>65</v>
      </c>
      <c r="M4" s="178"/>
      <c r="N4" s="149"/>
      <c r="O4" s="150"/>
      <c r="P4" s="150"/>
      <c r="Q4" s="151"/>
      <c r="AF4" s="98"/>
      <c r="AG4" s="69"/>
      <c r="AH4" s="98"/>
      <c r="AI4" s="70"/>
      <c r="AJ4" s="98"/>
      <c r="AK4" s="70"/>
    </row>
    <row r="5" spans="1:37" s="7" customFormat="1" ht="18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7"/>
      <c r="AF5" s="98"/>
      <c r="AG5" s="69"/>
      <c r="AH5" s="98"/>
      <c r="AI5" s="70"/>
      <c r="AJ5" s="98"/>
      <c r="AK5" s="70"/>
    </row>
    <row r="6" spans="1:37" ht="18.75" customHeight="1">
      <c r="A6" s="8"/>
      <c r="B6" s="6" t="s">
        <v>19</v>
      </c>
      <c r="C6" s="152" t="s">
        <v>71</v>
      </c>
      <c r="D6" s="154"/>
      <c r="E6" s="154"/>
      <c r="F6" s="153"/>
      <c r="G6" s="35"/>
      <c r="H6" s="35"/>
      <c r="I6" s="10"/>
      <c r="J6" s="170" t="s">
        <v>21</v>
      </c>
      <c r="K6" s="171"/>
      <c r="L6" s="171"/>
      <c r="M6" s="171"/>
      <c r="N6" s="172"/>
      <c r="O6" s="152">
        <v>12045</v>
      </c>
      <c r="P6" s="153"/>
      <c r="Q6" s="11"/>
      <c r="AF6" s="98"/>
      <c r="AG6" s="69"/>
      <c r="AH6" s="98"/>
      <c r="AI6" s="70"/>
      <c r="AJ6" s="98"/>
      <c r="AK6" s="70"/>
    </row>
    <row r="7" spans="1:37" ht="18.75" customHeight="1">
      <c r="A7" s="12"/>
      <c r="B7" s="13"/>
      <c r="C7" s="13"/>
      <c r="D7" s="13"/>
      <c r="E7" s="13"/>
      <c r="F7" s="13"/>
      <c r="G7" s="10"/>
      <c r="H7" s="10"/>
      <c r="I7" s="10"/>
      <c r="J7" s="170" t="s">
        <v>30</v>
      </c>
      <c r="K7" s="171"/>
      <c r="L7" s="171"/>
      <c r="M7" s="171"/>
      <c r="N7" s="172"/>
      <c r="O7" s="152" t="s">
        <v>70</v>
      </c>
      <c r="P7" s="153"/>
      <c r="Q7" s="11"/>
      <c r="AF7" s="98"/>
      <c r="AG7" s="69"/>
      <c r="AH7" s="98"/>
      <c r="AI7" s="70"/>
      <c r="AJ7" s="98"/>
      <c r="AK7" s="70"/>
    </row>
    <row r="8" spans="1:37" ht="18.75" customHeight="1">
      <c r="A8" s="14"/>
      <c r="B8" s="203" t="s">
        <v>18</v>
      </c>
      <c r="C8" s="204"/>
      <c r="D8" s="205"/>
      <c r="E8" s="152" t="s">
        <v>74</v>
      </c>
      <c r="F8" s="154"/>
      <c r="G8" s="153"/>
      <c r="H8" s="10"/>
      <c r="I8" s="10"/>
      <c r="J8" s="43"/>
      <c r="K8" s="43"/>
      <c r="L8" s="35"/>
      <c r="M8" s="35"/>
      <c r="N8" s="35"/>
      <c r="O8" s="10"/>
      <c r="P8" s="10"/>
      <c r="Q8" s="11"/>
      <c r="AF8" s="98"/>
      <c r="AG8" s="69"/>
      <c r="AH8" s="98"/>
      <c r="AI8" s="70"/>
      <c r="AJ8" s="98"/>
      <c r="AK8" s="70"/>
    </row>
    <row r="9" spans="1:37" ht="18.75" customHeight="1">
      <c r="A9" s="12"/>
      <c r="B9" s="13"/>
      <c r="C9" s="13"/>
      <c r="D9" s="13"/>
      <c r="E9" s="13"/>
      <c r="F9" s="13"/>
      <c r="G9" s="10"/>
      <c r="H9" s="10"/>
      <c r="I9" s="10"/>
      <c r="J9" s="43"/>
      <c r="K9" s="43"/>
      <c r="L9" s="35"/>
      <c r="M9" s="35"/>
      <c r="N9" s="35"/>
      <c r="O9" s="10"/>
      <c r="P9" s="10"/>
      <c r="Q9" s="11"/>
      <c r="AF9" s="98"/>
      <c r="AG9" s="69"/>
      <c r="AH9" s="98"/>
      <c r="AI9" s="70"/>
      <c r="AJ9" s="98"/>
      <c r="AK9" s="70"/>
    </row>
    <row r="10" spans="1:37" ht="18.75">
      <c r="A10" s="16" t="s">
        <v>17</v>
      </c>
      <c r="B10" s="13"/>
      <c r="C10" s="13"/>
      <c r="D10" s="13"/>
      <c r="E10" s="13"/>
      <c r="F10" s="13"/>
      <c r="G10" s="10"/>
      <c r="H10" s="10"/>
      <c r="I10" s="10"/>
      <c r="J10" s="17"/>
      <c r="K10" s="17"/>
      <c r="L10" s="10"/>
      <c r="M10" s="10"/>
      <c r="N10" s="10"/>
      <c r="O10" s="10"/>
      <c r="P10" s="10"/>
      <c r="Q10" s="11"/>
      <c r="AF10" s="98"/>
      <c r="AG10" s="69"/>
      <c r="AH10" s="98"/>
      <c r="AI10" s="70"/>
      <c r="AJ10" s="98"/>
      <c r="AK10" s="70"/>
    </row>
    <row r="11" spans="1:37" ht="18.75">
      <c r="A11" s="18"/>
      <c r="B11" s="13"/>
      <c r="C11" s="13"/>
      <c r="D11" s="13"/>
      <c r="E11" s="13"/>
      <c r="F11" s="13"/>
      <c r="G11" s="10"/>
      <c r="H11" s="10"/>
      <c r="I11" s="10"/>
      <c r="J11" s="17"/>
      <c r="K11" s="43"/>
      <c r="L11" s="35"/>
      <c r="M11" s="35"/>
      <c r="N11" s="35"/>
      <c r="O11" s="10"/>
      <c r="P11" s="10"/>
      <c r="Q11" s="11"/>
      <c r="AF11" s="98"/>
      <c r="AG11" s="69"/>
      <c r="AH11" s="98"/>
      <c r="AI11" s="70"/>
      <c r="AJ11" s="98"/>
      <c r="AK11" s="70"/>
    </row>
    <row r="12" spans="1:37" ht="21.75" customHeight="1">
      <c r="A12" s="126"/>
      <c r="B12" s="209" t="s">
        <v>51</v>
      </c>
      <c r="C12" s="210"/>
      <c r="D12" s="210"/>
      <c r="E12" s="210"/>
      <c r="F12" s="210"/>
      <c r="G12" s="211"/>
      <c r="H12" s="201">
        <v>25</v>
      </c>
      <c r="I12" s="202"/>
      <c r="J12" s="19"/>
      <c r="K12" s="179">
        <f>(1.8*H12)+32</f>
        <v>77</v>
      </c>
      <c r="L12" s="180"/>
      <c r="M12" s="127" t="s">
        <v>47</v>
      </c>
      <c r="N12" s="35"/>
      <c r="O12" s="10"/>
      <c r="P12" s="10"/>
      <c r="Q12" s="11"/>
      <c r="AF12" s="98"/>
      <c r="AG12" s="69"/>
      <c r="AH12" s="98"/>
      <c r="AI12" s="70"/>
      <c r="AJ12" s="98"/>
      <c r="AK12" s="70"/>
    </row>
    <row r="13" spans="1:37" ht="18.75">
      <c r="A13" s="20"/>
      <c r="B13" s="21"/>
      <c r="C13" s="21"/>
      <c r="D13" s="21"/>
      <c r="E13" s="21"/>
      <c r="F13" s="21"/>
      <c r="G13" s="22"/>
      <c r="H13" s="23"/>
      <c r="I13" s="22"/>
      <c r="J13" s="19"/>
      <c r="K13" s="19"/>
      <c r="L13" s="35"/>
      <c r="M13" s="35"/>
      <c r="N13" s="35"/>
      <c r="O13" s="10"/>
      <c r="P13" s="10"/>
      <c r="Q13" s="11"/>
      <c r="AF13" s="98"/>
      <c r="AG13" s="69"/>
      <c r="AH13" s="98"/>
      <c r="AI13" s="70"/>
      <c r="AJ13" s="98"/>
      <c r="AK13" s="70"/>
    </row>
    <row r="14" spans="1:37" ht="37.5" customHeight="1">
      <c r="A14" s="126"/>
      <c r="B14" s="209" t="s">
        <v>48</v>
      </c>
      <c r="C14" s="210"/>
      <c r="D14" s="210"/>
      <c r="E14" s="210"/>
      <c r="F14" s="210"/>
      <c r="G14" s="211"/>
      <c r="H14" s="152">
        <v>-30</v>
      </c>
      <c r="I14" s="153"/>
      <c r="J14" s="43"/>
      <c r="K14" s="179">
        <f>(1.8*H14)+32</f>
        <v>-22</v>
      </c>
      <c r="L14" s="180"/>
      <c r="M14" s="127" t="s">
        <v>47</v>
      </c>
      <c r="N14" s="35"/>
      <c r="O14" s="10"/>
      <c r="P14" s="10"/>
      <c r="Q14" s="11"/>
      <c r="AF14" s="98"/>
      <c r="AG14" s="69"/>
      <c r="AH14" s="98"/>
      <c r="AI14" s="70"/>
      <c r="AJ14" s="98"/>
      <c r="AK14" s="70"/>
    </row>
    <row r="15" spans="1:37" ht="18.75">
      <c r="A15" s="20"/>
      <c r="B15" s="21"/>
      <c r="C15" s="21"/>
      <c r="D15" s="21"/>
      <c r="E15" s="21"/>
      <c r="F15" s="21"/>
      <c r="G15" s="22"/>
      <c r="H15" s="23"/>
      <c r="I15" s="22"/>
      <c r="J15" s="19"/>
      <c r="K15" s="19"/>
      <c r="L15" s="10"/>
      <c r="M15" s="24"/>
      <c r="N15" s="25"/>
      <c r="O15" s="10"/>
      <c r="P15" s="10"/>
      <c r="Q15" s="11"/>
      <c r="AF15" s="98"/>
      <c r="AG15" s="69"/>
      <c r="AH15" s="98"/>
      <c r="AI15" s="70"/>
      <c r="AJ15" s="98"/>
      <c r="AK15" s="70"/>
    </row>
    <row r="16" spans="1:37" ht="18" customHeight="1">
      <c r="A16" s="126"/>
      <c r="B16" s="212" t="s">
        <v>25</v>
      </c>
      <c r="C16" s="212"/>
      <c r="D16" s="212"/>
      <c r="E16" s="212"/>
      <c r="F16" s="212"/>
      <c r="G16" s="212"/>
      <c r="H16" s="199">
        <v>1</v>
      </c>
      <c r="I16" s="200"/>
      <c r="J16" s="19"/>
      <c r="K16" s="179">
        <f>H16</f>
        <v>1</v>
      </c>
      <c r="L16" s="180"/>
      <c r="M16" s="10"/>
      <c r="N16" s="25"/>
      <c r="O16" s="10"/>
      <c r="P16" s="10"/>
      <c r="Q16" s="11"/>
      <c r="AF16" s="98"/>
      <c r="AG16" s="69"/>
      <c r="AH16" s="98"/>
      <c r="AI16" s="70"/>
      <c r="AJ16" s="98"/>
      <c r="AK16" s="70"/>
    </row>
    <row r="17" spans="1:37" ht="18.75">
      <c r="A17" s="20"/>
      <c r="B17" s="21"/>
      <c r="C17" s="21"/>
      <c r="D17" s="21"/>
      <c r="E17" s="21"/>
      <c r="F17" s="21"/>
      <c r="G17" s="22"/>
      <c r="H17" s="23"/>
      <c r="I17" s="22"/>
      <c r="J17" s="19"/>
      <c r="K17" s="19"/>
      <c r="L17" s="10"/>
      <c r="M17" s="10"/>
      <c r="N17" s="10"/>
      <c r="O17" s="10"/>
      <c r="P17" s="10"/>
      <c r="Q17" s="11"/>
      <c r="AF17" s="98"/>
      <c r="AG17" s="69"/>
      <c r="AH17" s="98"/>
      <c r="AI17" s="70"/>
      <c r="AJ17" s="98"/>
      <c r="AK17" s="70"/>
    </row>
    <row r="18" spans="1:37" ht="18.75">
      <c r="A18" s="126"/>
      <c r="B18" s="212" t="s">
        <v>13</v>
      </c>
      <c r="C18" s="212"/>
      <c r="D18" s="212"/>
      <c r="E18" s="212"/>
      <c r="F18" s="212"/>
      <c r="G18" s="212"/>
      <c r="H18" s="152">
        <v>3250</v>
      </c>
      <c r="I18" s="153"/>
      <c r="J18" s="19"/>
      <c r="K18" s="181">
        <f>H18/(25.4*12)</f>
        <v>10.662729658792653</v>
      </c>
      <c r="L18" s="182"/>
      <c r="M18" s="127" t="s">
        <v>31</v>
      </c>
      <c r="N18" s="10"/>
      <c r="O18" s="10"/>
      <c r="P18" s="10"/>
      <c r="Q18" s="11"/>
      <c r="AF18" s="98"/>
      <c r="AG18" s="69"/>
      <c r="AH18" s="98"/>
      <c r="AI18" s="70"/>
      <c r="AJ18" s="98"/>
      <c r="AK18" s="70"/>
    </row>
    <row r="19" spans="1:37" ht="18.75">
      <c r="A19" s="20"/>
      <c r="B19" s="21"/>
      <c r="C19" s="21"/>
      <c r="D19" s="21"/>
      <c r="E19" s="21"/>
      <c r="F19" s="21"/>
      <c r="G19" s="22"/>
      <c r="H19" s="23"/>
      <c r="I19" s="22"/>
      <c r="J19" s="43"/>
      <c r="K19" s="43"/>
      <c r="L19" s="35"/>
      <c r="M19" s="35"/>
      <c r="N19" s="35"/>
      <c r="O19" s="35"/>
      <c r="P19" s="10"/>
      <c r="Q19" s="11"/>
      <c r="AF19" s="98"/>
      <c r="AG19" s="69"/>
      <c r="AH19" s="98"/>
      <c r="AI19" s="70"/>
      <c r="AJ19" s="98"/>
      <c r="AK19" s="70"/>
    </row>
    <row r="20" spans="1:37" ht="18.75">
      <c r="A20" s="126"/>
      <c r="B20" s="212" t="s">
        <v>12</v>
      </c>
      <c r="C20" s="212"/>
      <c r="D20" s="212"/>
      <c r="E20" s="212"/>
      <c r="F20" s="212"/>
      <c r="G20" s="212"/>
      <c r="H20" s="152">
        <v>18</v>
      </c>
      <c r="I20" s="153"/>
      <c r="J20" s="19"/>
      <c r="K20" s="183">
        <f>H20/25.4</f>
        <v>0.70866141732283472</v>
      </c>
      <c r="L20" s="184"/>
      <c r="M20" s="127" t="s">
        <v>32</v>
      </c>
      <c r="N20" s="10"/>
      <c r="O20" s="10"/>
      <c r="P20" s="10"/>
      <c r="Q20" s="11"/>
      <c r="AF20" s="98"/>
      <c r="AG20" s="69"/>
      <c r="AH20" s="98"/>
      <c r="AI20" s="70"/>
      <c r="AJ20" s="98"/>
      <c r="AK20" s="70"/>
    </row>
    <row r="21" spans="1:37" ht="18.75">
      <c r="A21" s="20"/>
      <c r="B21" s="21"/>
      <c r="C21" s="21"/>
      <c r="D21" s="21"/>
      <c r="E21" s="21"/>
      <c r="F21" s="21"/>
      <c r="G21" s="22"/>
      <c r="H21" s="23"/>
      <c r="I21" s="22"/>
      <c r="J21" s="19"/>
      <c r="K21" s="19"/>
      <c r="L21" s="10"/>
      <c r="M21" s="10"/>
      <c r="N21" s="10"/>
      <c r="O21" s="10"/>
      <c r="P21" s="10"/>
      <c r="Q21" s="11"/>
      <c r="AF21" s="98"/>
      <c r="AG21" s="69"/>
      <c r="AH21" s="99"/>
      <c r="AI21" s="70"/>
      <c r="AJ21" s="99"/>
      <c r="AK21" s="70"/>
    </row>
    <row r="22" spans="1:37" ht="18.75" customHeight="1">
      <c r="A22" s="126"/>
      <c r="B22" s="212" t="s">
        <v>49</v>
      </c>
      <c r="C22" s="212"/>
      <c r="D22" s="212"/>
      <c r="E22" s="212"/>
      <c r="F22" s="212"/>
      <c r="G22" s="212"/>
      <c r="H22" s="152" t="s">
        <v>15</v>
      </c>
      <c r="I22" s="153"/>
      <c r="J22" s="84"/>
      <c r="K22" s="61"/>
      <c r="L22" s="10"/>
      <c r="M22" s="10"/>
      <c r="N22" s="10"/>
      <c r="O22" s="10"/>
      <c r="P22" s="10"/>
      <c r="Q22" s="11"/>
      <c r="AF22" s="98"/>
      <c r="AG22" s="69"/>
      <c r="AH22" s="99"/>
      <c r="AI22" s="70"/>
      <c r="AJ22" s="99"/>
      <c r="AK22" s="70"/>
    </row>
    <row r="23" spans="1:37" ht="18.75">
      <c r="A23" s="26"/>
      <c r="B23" s="13"/>
      <c r="C23" s="13"/>
      <c r="D23" s="13"/>
      <c r="E23" s="13"/>
      <c r="F23" s="13"/>
      <c r="G23" s="22"/>
      <c r="H23" s="22"/>
      <c r="I23" s="22"/>
      <c r="J23" s="19"/>
      <c r="K23" s="19"/>
      <c r="L23" s="10"/>
      <c r="M23" s="10"/>
      <c r="N23" s="10"/>
      <c r="O23" s="10"/>
      <c r="P23" s="10"/>
      <c r="Q23" s="11"/>
      <c r="AF23" s="98"/>
      <c r="AG23" s="69"/>
      <c r="AH23" s="99"/>
      <c r="AI23" s="70"/>
      <c r="AJ23" s="99"/>
      <c r="AK23" s="70"/>
    </row>
    <row r="24" spans="1:37" ht="15" customHeight="1">
      <c r="A24" s="206" t="s">
        <v>8</v>
      </c>
      <c r="B24" s="207"/>
      <c r="C24" s="207"/>
      <c r="D24" s="207"/>
      <c r="E24" s="207"/>
      <c r="F24" s="207"/>
      <c r="G24" s="207"/>
      <c r="H24" s="207"/>
      <c r="I24" s="207"/>
      <c r="J24" s="207"/>
      <c r="K24" s="207"/>
      <c r="L24" s="207"/>
      <c r="M24" s="207"/>
      <c r="N24" s="207"/>
      <c r="O24" s="207"/>
      <c r="P24" s="207"/>
      <c r="Q24" s="208"/>
      <c r="AF24" s="98"/>
      <c r="AG24" s="69"/>
      <c r="AH24" s="99"/>
      <c r="AI24" s="70"/>
      <c r="AJ24" s="99"/>
      <c r="AK24" s="70"/>
    </row>
    <row r="25" spans="1:37" ht="18" customHeight="1">
      <c r="A25" s="26"/>
      <c r="B25" s="27"/>
      <c r="C25" s="43"/>
      <c r="D25" s="43"/>
      <c r="E25" s="43"/>
      <c r="F25" s="35"/>
      <c r="G25" s="35"/>
      <c r="H25" s="35"/>
      <c r="I25" s="22"/>
      <c r="J25" s="19"/>
      <c r="K25" s="19"/>
      <c r="L25" s="28"/>
      <c r="M25" s="28"/>
      <c r="N25" s="10"/>
      <c r="O25" s="10"/>
      <c r="P25" s="10"/>
      <c r="Q25" s="11"/>
      <c r="T25" s="59"/>
      <c r="AF25" s="98"/>
      <c r="AG25" s="69"/>
      <c r="AH25" s="99"/>
      <c r="AI25" s="70"/>
      <c r="AJ25" s="99"/>
      <c r="AK25" s="70"/>
    </row>
    <row r="26" spans="1:37" ht="18" customHeight="1">
      <c r="A26" s="26"/>
      <c r="B26" s="27"/>
      <c r="C26" s="43"/>
      <c r="D26" s="43"/>
      <c r="E26" s="43"/>
      <c r="F26" s="203" t="s">
        <v>46</v>
      </c>
      <c r="G26" s="205"/>
      <c r="H26" s="197" t="s">
        <v>33</v>
      </c>
      <c r="I26" s="198"/>
      <c r="J26" s="28"/>
      <c r="K26" s="19"/>
      <c r="L26" s="28"/>
      <c r="M26" s="28"/>
      <c r="N26" s="10"/>
      <c r="O26" s="10"/>
      <c r="P26" s="10"/>
      <c r="Q26" s="11"/>
      <c r="AF26" s="98"/>
      <c r="AG26" s="69"/>
      <c r="AH26" s="99"/>
      <c r="AI26" s="70"/>
      <c r="AJ26" s="99"/>
      <c r="AK26" s="70"/>
    </row>
    <row r="27" spans="1:37" ht="18" customHeight="1">
      <c r="A27" s="26"/>
      <c r="B27" s="27"/>
      <c r="C27" s="43"/>
      <c r="D27" s="43"/>
      <c r="E27" s="43"/>
      <c r="F27" s="35"/>
      <c r="G27" s="35"/>
      <c r="H27" s="35"/>
      <c r="I27" s="22"/>
      <c r="J27" s="19"/>
      <c r="K27" s="19"/>
      <c r="L27" s="28"/>
      <c r="M27" s="28"/>
      <c r="N27" s="10"/>
      <c r="O27" s="10"/>
      <c r="P27" s="10"/>
      <c r="Q27" s="11"/>
      <c r="AF27" s="98"/>
      <c r="AG27" s="69"/>
      <c r="AH27" s="99"/>
      <c r="AI27" s="70"/>
      <c r="AJ27" s="99"/>
      <c r="AK27" s="70"/>
    </row>
    <row r="28" spans="1:37" ht="18" customHeight="1">
      <c r="A28" s="26"/>
      <c r="B28" s="27"/>
      <c r="C28" s="43"/>
      <c r="D28" s="43"/>
      <c r="E28" s="43"/>
      <c r="F28" s="203" t="s">
        <v>46</v>
      </c>
      <c r="G28" s="205"/>
      <c r="H28" s="181">
        <f>K14-K12</f>
        <v>-99</v>
      </c>
      <c r="I28" s="182"/>
      <c r="J28" s="136" t="s">
        <v>47</v>
      </c>
      <c r="K28" s="19"/>
      <c r="L28" s="28"/>
      <c r="M28" s="28"/>
      <c r="N28" s="10"/>
      <c r="O28" s="10"/>
      <c r="P28" s="10"/>
      <c r="Q28" s="11"/>
      <c r="AF28" s="98"/>
      <c r="AG28" s="69"/>
      <c r="AH28" s="99"/>
      <c r="AI28" s="70"/>
      <c r="AJ28" s="99"/>
      <c r="AK28" s="70"/>
    </row>
    <row r="29" spans="1:37" ht="18" customHeight="1">
      <c r="A29" s="26"/>
      <c r="B29" s="27"/>
      <c r="C29" s="43"/>
      <c r="D29" s="43"/>
      <c r="E29" s="43"/>
      <c r="F29" s="35"/>
      <c r="G29" s="35"/>
      <c r="H29" s="35"/>
      <c r="I29" s="22"/>
      <c r="J29" s="19"/>
      <c r="K29" s="19"/>
      <c r="L29" s="28"/>
      <c r="M29" s="28"/>
      <c r="N29" s="10"/>
      <c r="O29" s="10"/>
      <c r="P29" s="10"/>
      <c r="Q29" s="11"/>
      <c r="AF29" s="98"/>
      <c r="AG29" s="69"/>
      <c r="AH29" s="99"/>
      <c r="AI29" s="70"/>
      <c r="AJ29" s="99"/>
      <c r="AK29" s="70"/>
    </row>
    <row r="30" spans="1:37" ht="18.75">
      <c r="A30" s="18"/>
      <c r="B30" s="213" t="s">
        <v>56</v>
      </c>
      <c r="C30" s="213"/>
      <c r="D30" s="213"/>
      <c r="E30" s="213"/>
      <c r="F30" s="213"/>
      <c r="G30" s="213"/>
      <c r="H30" s="213"/>
      <c r="I30" s="213"/>
      <c r="J30" s="187" t="s">
        <v>61</v>
      </c>
      <c r="K30" s="187"/>
      <c r="L30" s="35"/>
      <c r="M30" s="28"/>
      <c r="N30" s="10"/>
      <c r="O30" s="10"/>
      <c r="P30" s="10"/>
      <c r="Q30" s="11"/>
      <c r="AF30" s="98"/>
      <c r="AG30" s="69"/>
      <c r="AH30" s="99"/>
      <c r="AI30" s="70"/>
      <c r="AJ30" s="99"/>
      <c r="AK30" s="70"/>
    </row>
    <row r="31" spans="1:37" ht="18.75">
      <c r="A31" s="18"/>
      <c r="B31" s="43"/>
      <c r="C31" s="60"/>
      <c r="D31" s="29"/>
      <c r="E31" s="29"/>
      <c r="F31" s="29"/>
      <c r="G31" s="29"/>
      <c r="H31" s="29"/>
      <c r="I31" s="22"/>
      <c r="J31" s="30"/>
      <c r="K31" s="19"/>
      <c r="L31" s="35"/>
      <c r="M31" s="28"/>
      <c r="N31" s="10"/>
      <c r="O31" s="10"/>
      <c r="P31" s="10"/>
      <c r="Q31" s="11"/>
      <c r="AF31" s="98"/>
      <c r="AG31" s="69"/>
      <c r="AH31" s="99"/>
      <c r="AI31" s="70"/>
      <c r="AJ31" s="99"/>
      <c r="AK31" s="70"/>
    </row>
    <row r="32" spans="1:37" ht="18.75">
      <c r="A32" s="26"/>
      <c r="B32" s="58" t="s">
        <v>9</v>
      </c>
      <c r="C32" s="27"/>
      <c r="D32" s="27"/>
      <c r="E32" s="222"/>
      <c r="F32" s="222"/>
      <c r="G32" s="67"/>
      <c r="H32" s="216"/>
      <c r="I32" s="216"/>
      <c r="J32" s="19"/>
      <c r="K32" s="19"/>
      <c r="L32" s="28"/>
      <c r="M32" s="28"/>
      <c r="N32" s="10"/>
      <c r="O32" s="10"/>
      <c r="P32" s="10"/>
      <c r="Q32" s="11"/>
      <c r="AF32" s="98"/>
      <c r="AG32" s="69"/>
      <c r="AH32" s="99"/>
      <c r="AI32" s="70"/>
      <c r="AJ32" s="99"/>
      <c r="AK32" s="70"/>
    </row>
    <row r="33" spans="1:37" ht="18.75" customHeight="1">
      <c r="A33" s="26"/>
      <c r="B33" s="58"/>
      <c r="C33" s="217" t="s">
        <v>57</v>
      </c>
      <c r="D33" s="218"/>
      <c r="E33" s="219" t="s">
        <v>34</v>
      </c>
      <c r="F33" s="220"/>
      <c r="G33" s="221"/>
      <c r="H33" s="134"/>
      <c r="I33" s="134"/>
      <c r="J33" s="19"/>
      <c r="K33" s="19"/>
      <c r="L33" s="28"/>
      <c r="M33" s="28"/>
      <c r="N33" s="10"/>
      <c r="O33" s="10"/>
      <c r="P33" s="10"/>
      <c r="Q33" s="11"/>
      <c r="AF33" s="98"/>
      <c r="AG33" s="69"/>
      <c r="AH33" s="99"/>
      <c r="AI33" s="70"/>
      <c r="AJ33" s="99"/>
      <c r="AK33" s="70"/>
    </row>
    <row r="34" spans="1:37" ht="18.75">
      <c r="A34" s="26"/>
      <c r="B34" s="27"/>
      <c r="C34" s="27"/>
      <c r="D34" s="27"/>
      <c r="E34" s="27"/>
      <c r="F34" s="27"/>
      <c r="G34" s="61"/>
      <c r="H34" s="31"/>
      <c r="I34" s="22"/>
      <c r="J34" s="19"/>
      <c r="K34" s="19"/>
      <c r="L34" s="28"/>
      <c r="M34" s="28"/>
      <c r="N34" s="10"/>
      <c r="O34" s="10"/>
      <c r="P34" s="10"/>
      <c r="Q34" s="11"/>
    </row>
    <row r="35" spans="1:37" ht="18.75" customHeight="1">
      <c r="A35" s="26"/>
      <c r="B35" s="58"/>
      <c r="C35" s="83" t="s">
        <v>24</v>
      </c>
      <c r="D35" s="196" t="s">
        <v>64</v>
      </c>
      <c r="E35" s="196"/>
      <c r="F35" s="196"/>
      <c r="G35" s="196"/>
      <c r="H35" s="196"/>
      <c r="I35" s="196"/>
      <c r="J35" s="196"/>
      <c r="K35" s="196"/>
      <c r="L35" s="196"/>
      <c r="M35" s="196"/>
      <c r="N35" s="196"/>
      <c r="O35" s="196"/>
      <c r="P35" s="196"/>
      <c r="Q35" s="11"/>
    </row>
    <row r="36" spans="1:37" ht="18.75" customHeight="1">
      <c r="A36" s="26"/>
      <c r="B36" s="58"/>
      <c r="C36" s="68"/>
      <c r="D36" s="135"/>
      <c r="E36" s="135"/>
      <c r="F36" s="135"/>
      <c r="G36" s="135"/>
      <c r="H36" s="135"/>
      <c r="I36" s="135"/>
      <c r="J36" s="135"/>
      <c r="K36" s="135"/>
      <c r="L36" s="28"/>
      <c r="M36" s="28"/>
      <c r="N36" s="10"/>
      <c r="O36" s="10"/>
      <c r="P36" s="10"/>
      <c r="Q36" s="11"/>
    </row>
    <row r="37" spans="1:37" ht="18.75" customHeight="1">
      <c r="A37" s="26"/>
      <c r="B37" s="58"/>
      <c r="C37" s="71" t="s">
        <v>45</v>
      </c>
      <c r="D37" s="194">
        <f>(K16*K18)/K20^0.5</f>
        <v>12.666277660524445</v>
      </c>
      <c r="E37" s="195"/>
      <c r="F37" s="135"/>
      <c r="G37" s="135"/>
      <c r="H37" s="135"/>
      <c r="I37" s="135"/>
      <c r="J37" s="135"/>
      <c r="K37" s="135"/>
      <c r="L37" s="28"/>
      <c r="M37" s="28"/>
      <c r="N37" s="10"/>
      <c r="O37" s="10"/>
      <c r="P37" s="10"/>
      <c r="Q37" s="11"/>
    </row>
    <row r="38" spans="1:37" ht="18.75" customHeight="1">
      <c r="A38" s="26"/>
      <c r="B38" s="58"/>
      <c r="C38" s="68"/>
      <c r="D38" s="135"/>
      <c r="E38" s="135"/>
      <c r="F38" s="135"/>
      <c r="G38" s="135"/>
      <c r="H38" s="135"/>
      <c r="I38" s="135"/>
      <c r="J38" s="135"/>
      <c r="K38" s="135"/>
      <c r="L38" s="28"/>
      <c r="M38" s="28"/>
      <c r="N38" s="10"/>
      <c r="O38" s="10"/>
      <c r="P38" s="10"/>
      <c r="Q38" s="11"/>
    </row>
    <row r="39" spans="1:37" ht="18.75">
      <c r="A39" s="26"/>
      <c r="B39" s="32"/>
      <c r="C39" s="71" t="s">
        <v>24</v>
      </c>
      <c r="D39" s="214">
        <f>$C$152</f>
        <v>0.17995450970634461</v>
      </c>
      <c r="E39" s="215"/>
      <c r="F39" s="27"/>
      <c r="G39" s="61"/>
      <c r="H39" s="31"/>
      <c r="I39" s="22"/>
      <c r="J39" s="19"/>
      <c r="K39" s="19"/>
      <c r="L39" s="28"/>
      <c r="M39" s="28"/>
      <c r="N39" s="10"/>
      <c r="O39" s="10"/>
      <c r="P39" s="10"/>
      <c r="Q39" s="11"/>
    </row>
    <row r="40" spans="1:37" ht="18.75">
      <c r="A40" s="26"/>
      <c r="B40" s="32"/>
      <c r="C40" s="32"/>
      <c r="D40" s="32"/>
      <c r="E40" s="32"/>
      <c r="F40" s="33"/>
      <c r="G40" s="22"/>
      <c r="H40" s="22"/>
      <c r="I40" s="22"/>
      <c r="J40" s="19"/>
      <c r="K40" s="19"/>
      <c r="L40" s="28"/>
      <c r="M40" s="28"/>
      <c r="N40" s="10"/>
      <c r="O40" s="10"/>
      <c r="P40" s="10"/>
      <c r="Q40" s="11"/>
    </row>
    <row r="41" spans="1:37" ht="21.75">
      <c r="A41" s="26"/>
      <c r="B41" s="32"/>
      <c r="C41" s="72" t="s">
        <v>57</v>
      </c>
      <c r="D41" s="194">
        <f>ROUND($D$39,3)*$H$28</f>
        <v>-17.82</v>
      </c>
      <c r="E41" s="195"/>
      <c r="F41" s="134" t="s">
        <v>47</v>
      </c>
      <c r="G41" s="22"/>
      <c r="H41" s="22"/>
      <c r="I41" s="22"/>
      <c r="J41" s="19"/>
      <c r="K41" s="19"/>
      <c r="L41" s="28"/>
      <c r="M41" s="28"/>
      <c r="N41" s="10"/>
      <c r="O41" s="10"/>
      <c r="P41" s="10"/>
      <c r="Q41" s="11"/>
    </row>
    <row r="42" spans="1:37" ht="18.75">
      <c r="A42" s="26"/>
      <c r="B42" s="32"/>
      <c r="C42" s="32"/>
      <c r="D42" s="32"/>
      <c r="E42" s="32"/>
      <c r="F42" s="33"/>
      <c r="G42" s="22"/>
      <c r="H42" s="22"/>
      <c r="I42" s="22"/>
      <c r="J42" s="19"/>
      <c r="K42" s="19"/>
      <c r="L42" s="28"/>
      <c r="M42" s="28"/>
      <c r="N42" s="10"/>
      <c r="O42" s="10"/>
      <c r="P42" s="10"/>
      <c r="Q42" s="11"/>
    </row>
    <row r="43" spans="1:37" ht="21.75">
      <c r="A43" s="34"/>
      <c r="B43" s="40"/>
      <c r="C43" s="72" t="s">
        <v>58</v>
      </c>
      <c r="D43" s="194">
        <f>$D$41+$K$12</f>
        <v>59.18</v>
      </c>
      <c r="E43" s="195"/>
      <c r="F43" s="134" t="s">
        <v>47</v>
      </c>
      <c r="G43" s="40"/>
      <c r="H43" s="33"/>
      <c r="I43" s="37"/>
      <c r="J43" s="38"/>
      <c r="K43" s="38"/>
      <c r="L43" s="39"/>
      <c r="M43" s="39"/>
      <c r="N43" s="35"/>
      <c r="O43" s="35"/>
      <c r="P43" s="35"/>
      <c r="Q43" s="36"/>
    </row>
    <row r="44" spans="1:37" s="82" customFormat="1" ht="18.75">
      <c r="A44" s="73"/>
      <c r="B44" s="74"/>
      <c r="C44" s="75"/>
      <c r="D44" s="76"/>
      <c r="E44" s="76"/>
      <c r="F44" s="74"/>
      <c r="G44" s="74"/>
      <c r="H44" s="77"/>
      <c r="I44" s="37"/>
      <c r="J44" s="78"/>
      <c r="K44" s="78"/>
      <c r="L44" s="79"/>
      <c r="M44" s="79"/>
      <c r="N44" s="80"/>
      <c r="O44" s="80"/>
      <c r="P44" s="80"/>
      <c r="Q44" s="81"/>
    </row>
    <row r="45" spans="1:37" s="82" customFormat="1" ht="22.5">
      <c r="A45" s="73"/>
      <c r="B45" s="74"/>
      <c r="C45" s="72" t="s">
        <v>58</v>
      </c>
      <c r="D45" s="194">
        <f>($D$43-32)/1.8</f>
        <v>15.1</v>
      </c>
      <c r="E45" s="195"/>
      <c r="F45" s="134" t="s">
        <v>50</v>
      </c>
      <c r="G45" s="74"/>
      <c r="H45" s="77"/>
      <c r="I45" s="37"/>
      <c r="J45" s="78"/>
      <c r="K45" s="78"/>
      <c r="L45" s="79"/>
      <c r="M45" s="79"/>
      <c r="N45" s="80"/>
      <c r="O45" s="80"/>
      <c r="P45" s="80"/>
      <c r="Q45" s="81"/>
    </row>
    <row r="46" spans="1:37" s="82" customFormat="1" ht="18.75">
      <c r="A46" s="73"/>
      <c r="B46" s="74"/>
      <c r="C46" s="75"/>
      <c r="D46" s="76"/>
      <c r="E46" s="76"/>
      <c r="F46" s="74"/>
      <c r="G46" s="74"/>
      <c r="H46" s="77"/>
      <c r="I46" s="37"/>
      <c r="J46" s="78"/>
      <c r="K46" s="78"/>
      <c r="L46" s="79"/>
      <c r="M46" s="79"/>
      <c r="N46" s="80"/>
      <c r="O46" s="80"/>
      <c r="P46" s="80"/>
      <c r="Q46" s="81"/>
    </row>
    <row r="47" spans="1:37" ht="54" customHeight="1">
      <c r="A47" s="41"/>
      <c r="B47" s="188" t="s">
        <v>59</v>
      </c>
      <c r="C47" s="188"/>
      <c r="D47" s="188"/>
      <c r="E47" s="188"/>
      <c r="F47" s="188"/>
      <c r="G47" s="188"/>
      <c r="H47" s="188"/>
      <c r="I47" s="188"/>
      <c r="J47" s="188"/>
      <c r="K47" s="192">
        <f>IF(D45&gt;450,"CHECK INPUT DESIGN TEMPERATURE",IF($H$22="CS",$AI$100,$AK$100))</f>
        <v>-6.3116666666666678E-5</v>
      </c>
      <c r="L47" s="193"/>
      <c r="M47" s="30" t="s">
        <v>23</v>
      </c>
      <c r="N47" s="35"/>
      <c r="O47" s="35"/>
      <c r="P47" s="35"/>
      <c r="Q47" s="36"/>
    </row>
    <row r="48" spans="1:37" ht="18.75" customHeight="1">
      <c r="A48" s="129"/>
      <c r="B48" s="86"/>
      <c r="C48" s="86"/>
      <c r="D48" s="86"/>
      <c r="E48" s="86"/>
      <c r="F48" s="86"/>
      <c r="G48" s="86"/>
      <c r="H48" s="86"/>
      <c r="I48" s="86"/>
      <c r="J48" s="86"/>
      <c r="K48" s="87"/>
      <c r="L48" s="87"/>
      <c r="M48" s="85"/>
      <c r="N48" s="80"/>
      <c r="O48" s="80"/>
      <c r="P48" s="80"/>
      <c r="Q48" s="36"/>
    </row>
    <row r="49" spans="1:17" ht="18.75" customHeight="1">
      <c r="A49" s="129"/>
      <c r="B49" s="188" t="s">
        <v>52</v>
      </c>
      <c r="C49" s="188"/>
      <c r="D49" s="188"/>
      <c r="E49" s="188"/>
      <c r="F49" s="188"/>
      <c r="G49" s="188"/>
      <c r="H49" s="188"/>
      <c r="I49" s="188"/>
      <c r="J49" s="188"/>
      <c r="K49" s="185">
        <f>IF($H$22="CS",$AJ$100,$AL$100)</f>
        <v>4.4722222222222228E-5</v>
      </c>
      <c r="L49" s="186"/>
      <c r="M49" s="30" t="s">
        <v>23</v>
      </c>
      <c r="N49" s="80"/>
      <c r="O49" s="80"/>
      <c r="P49" s="80"/>
      <c r="Q49" s="36"/>
    </row>
    <row r="50" spans="1:17" ht="18.75" customHeight="1">
      <c r="A50" s="129"/>
      <c r="B50" s="86"/>
      <c r="C50" s="86"/>
      <c r="D50" s="86"/>
      <c r="E50" s="86"/>
      <c r="F50" s="86"/>
      <c r="G50" s="86"/>
      <c r="H50" s="86"/>
      <c r="I50" s="86"/>
      <c r="J50" s="86"/>
      <c r="K50" s="87"/>
      <c r="L50" s="87"/>
      <c r="M50" s="85"/>
      <c r="N50" s="80"/>
      <c r="O50" s="80"/>
      <c r="P50" s="80"/>
      <c r="Q50" s="36"/>
    </row>
    <row r="51" spans="1:17" ht="18.75" customHeight="1">
      <c r="A51" s="129"/>
      <c r="B51" s="188" t="s">
        <v>60</v>
      </c>
      <c r="C51" s="188"/>
      <c r="D51" s="188"/>
      <c r="E51" s="188"/>
      <c r="F51" s="188"/>
      <c r="G51" s="188"/>
      <c r="H51" s="188"/>
      <c r="I51" s="188"/>
      <c r="J51" s="188"/>
      <c r="K51" s="185">
        <f>ROUND(K47,6)-ROUND(K49,6)</f>
        <v>-1.08E-4</v>
      </c>
      <c r="L51" s="186"/>
      <c r="M51" s="30" t="s">
        <v>23</v>
      </c>
      <c r="N51" s="80"/>
      <c r="O51" s="80"/>
      <c r="P51" s="80"/>
      <c r="Q51" s="36"/>
    </row>
    <row r="52" spans="1:17" ht="18.75" customHeight="1">
      <c r="A52" s="129"/>
      <c r="B52" s="86"/>
      <c r="C52" s="86"/>
      <c r="D52" s="86"/>
      <c r="E52" s="86"/>
      <c r="F52" s="86"/>
      <c r="G52" s="86"/>
      <c r="H52" s="86"/>
      <c r="I52" s="86"/>
      <c r="J52" s="86"/>
      <c r="K52" s="87"/>
      <c r="L52" s="87"/>
      <c r="M52" s="85"/>
      <c r="N52" s="80"/>
      <c r="O52" s="80"/>
      <c r="P52" s="80"/>
      <c r="Q52" s="36"/>
    </row>
    <row r="53" spans="1:17" ht="18.75">
      <c r="A53" s="41"/>
      <c r="B53" s="191" t="str">
        <f>CONCATENATE("Total Expansion for Skirt Height ""h"" of ",H22," Material")</f>
        <v>Total Expansion for Skirt Height "h" of CS Material</v>
      </c>
      <c r="C53" s="191"/>
      <c r="D53" s="191"/>
      <c r="E53" s="191"/>
      <c r="F53" s="191"/>
      <c r="G53" s="191"/>
      <c r="H53" s="191"/>
      <c r="I53" s="191"/>
      <c r="J53" s="191"/>
      <c r="K53" s="174">
        <f>$H$18*$K51</f>
        <v>-0.35099999999999998</v>
      </c>
      <c r="L53" s="175"/>
      <c r="M53" s="42" t="s">
        <v>10</v>
      </c>
      <c r="N53" s="35"/>
      <c r="O53" s="35"/>
      <c r="P53" s="35"/>
      <c r="Q53" s="36"/>
    </row>
    <row r="54" spans="1:17" ht="18.75">
      <c r="A54" s="34"/>
      <c r="B54" s="40"/>
      <c r="C54" s="40"/>
      <c r="D54" s="40"/>
      <c r="E54" s="40"/>
      <c r="F54" s="35"/>
      <c r="G54" s="35"/>
      <c r="H54" s="35"/>
      <c r="I54" s="33"/>
      <c r="J54" s="38"/>
      <c r="K54" s="38"/>
      <c r="L54" s="35"/>
      <c r="M54" s="35"/>
      <c r="N54" s="35"/>
      <c r="O54" s="35"/>
      <c r="P54" s="35"/>
      <c r="Q54" s="36"/>
    </row>
    <row r="55" spans="1:17" ht="18.75">
      <c r="A55" s="34"/>
      <c r="B55" s="40"/>
      <c r="C55" s="40"/>
      <c r="D55" s="40"/>
      <c r="E55" s="40"/>
      <c r="F55" s="35"/>
      <c r="G55" s="35"/>
      <c r="H55" s="35"/>
      <c r="I55" s="33"/>
      <c r="J55" s="38"/>
      <c r="K55" s="38"/>
      <c r="L55" s="35"/>
      <c r="M55" s="35"/>
      <c r="N55" s="35"/>
      <c r="O55" s="35"/>
      <c r="P55" s="35"/>
      <c r="Q55" s="36"/>
    </row>
    <row r="56" spans="1:17" ht="15">
      <c r="A56" s="130" t="s">
        <v>54</v>
      </c>
      <c r="B56" s="131"/>
      <c r="C56" s="131"/>
      <c r="D56" s="131"/>
      <c r="E56" s="131"/>
      <c r="F56" s="131"/>
      <c r="G56" s="131"/>
      <c r="H56" s="131"/>
      <c r="I56" s="131"/>
      <c r="J56" s="132"/>
      <c r="K56" s="132"/>
      <c r="L56" s="132"/>
      <c r="M56" s="132"/>
      <c r="N56" s="132"/>
      <c r="O56" s="132"/>
      <c r="P56" s="132"/>
      <c r="Q56" s="36"/>
    </row>
    <row r="57" spans="1:17" ht="15" customHeight="1">
      <c r="A57" s="133"/>
      <c r="B57" s="189" t="s">
        <v>55</v>
      </c>
      <c r="C57" s="189"/>
      <c r="D57" s="189"/>
      <c r="E57" s="189"/>
      <c r="F57" s="189"/>
      <c r="G57" s="189"/>
      <c r="H57" s="189"/>
      <c r="I57" s="189"/>
      <c r="J57" s="189"/>
      <c r="K57" s="189"/>
      <c r="L57" s="189"/>
      <c r="M57" s="189"/>
      <c r="N57" s="189"/>
      <c r="O57" s="189"/>
      <c r="P57" s="189"/>
      <c r="Q57" s="190"/>
    </row>
    <row r="58" spans="1:17">
      <c r="A58" s="18"/>
      <c r="B58" s="43"/>
      <c r="C58" s="43"/>
      <c r="D58" s="43"/>
      <c r="E58" s="43"/>
      <c r="F58" s="35"/>
      <c r="G58" s="35"/>
      <c r="H58" s="35"/>
      <c r="I58" s="35"/>
      <c r="J58" s="43"/>
      <c r="K58" s="43"/>
      <c r="L58" s="35"/>
      <c r="M58" s="35"/>
      <c r="N58" s="35"/>
      <c r="O58" s="35"/>
      <c r="P58" s="35"/>
      <c r="Q58" s="36"/>
    </row>
    <row r="59" spans="1:17" ht="13.5" thickBot="1">
      <c r="A59" s="44"/>
      <c r="B59" s="45"/>
      <c r="C59" s="45"/>
      <c r="D59" s="45"/>
      <c r="E59" s="45"/>
      <c r="F59" s="46"/>
      <c r="G59" s="46"/>
      <c r="H59" s="46"/>
      <c r="I59" s="46"/>
      <c r="J59" s="45"/>
      <c r="K59" s="45"/>
      <c r="L59" s="46"/>
      <c r="M59" s="46"/>
      <c r="N59" s="46"/>
      <c r="O59" s="46"/>
      <c r="P59" s="46"/>
      <c r="Q59" s="47"/>
    </row>
    <row r="63" spans="1:17" hidden="1"/>
    <row r="64" spans="1:17" hidden="1"/>
    <row r="65" spans="1:38" hidden="1"/>
    <row r="66" spans="1:38" hidden="1"/>
    <row r="67" spans="1:38" ht="106.5" hidden="1" customHeight="1">
      <c r="AC67" s="100" t="s">
        <v>22</v>
      </c>
      <c r="AD67" s="101" t="s">
        <v>20</v>
      </c>
      <c r="AE67" s="101" t="s">
        <v>26</v>
      </c>
      <c r="AF67" s="102" t="s">
        <v>27</v>
      </c>
      <c r="AG67" s="101" t="s">
        <v>28</v>
      </c>
      <c r="AH67" s="100" t="s">
        <v>29</v>
      </c>
      <c r="AI67" s="101" t="s">
        <v>62</v>
      </c>
      <c r="AJ67" s="101" t="s">
        <v>40</v>
      </c>
      <c r="AK67" s="101" t="s">
        <v>63</v>
      </c>
      <c r="AL67" s="101" t="s">
        <v>41</v>
      </c>
    </row>
    <row r="68" spans="1:38" ht="18" hidden="1">
      <c r="AC68" s="103">
        <v>-325</v>
      </c>
      <c r="AD68" s="4">
        <f>(AC68-32)/1.8</f>
        <v>-198.33333333333331</v>
      </c>
      <c r="AE68" s="103">
        <v>-2.37</v>
      </c>
      <c r="AF68" s="5">
        <f>AE68/1200</f>
        <v>-1.9750000000000002E-3</v>
      </c>
      <c r="AG68" s="103">
        <v>-3.85</v>
      </c>
      <c r="AH68" s="5">
        <f>AG68/1200</f>
        <v>-3.2083333333333334E-3</v>
      </c>
      <c r="AI68" s="104" t="str">
        <f>IF($D$45&lt;AD68,$AF$68,IF(AND((AD68&lt;$D$45),(AD69&gt;=$D$45)),(AF69-AF68)/(AD69-AD68)*($D$45-AD68)+AF68," "))</f>
        <v xml:space="preserve"> </v>
      </c>
      <c r="AJ68" s="104" t="str">
        <f>IF($H$12&lt;AD68,$AF$68,IF(AND((AD68&lt;$H$12),(AD69&gt;=$H$12)),(AF69-AF68)/(AD69-AD68)*($H$12-AD68)+AF68," "))</f>
        <v xml:space="preserve"> </v>
      </c>
      <c r="AK68" s="104" t="str">
        <f>IF($D$45&lt;AD68,$AH$68,IF(AND((AD68&lt;$D$45),(AD69&gt;=$D$45)),(AH69-AH68)/(AD69-AD68)*($D$45-AD68)+AH68," "))</f>
        <v xml:space="preserve"> </v>
      </c>
      <c r="AL68" s="104" t="str">
        <f>IF($H$12&lt;AD68,$AH$68,IF(AND((AD68&lt;$H$12),(AD69&gt;=$H$12)),(AH69-AH68)/(AD69-AD68)*($H$12-AD68)+AH68," "))</f>
        <v xml:space="preserve"> </v>
      </c>
    </row>
    <row r="69" spans="1:38" ht="18" hidden="1">
      <c r="AC69" s="103">
        <v>-300</v>
      </c>
      <c r="AD69" s="4">
        <f t="shared" ref="AD69:AD99" si="0">(AC69-32)/1.8</f>
        <v>-184.44444444444443</v>
      </c>
      <c r="AE69" s="103">
        <v>-2.2400000000000002</v>
      </c>
      <c r="AF69" s="5">
        <f t="shared" ref="AF69:AF99" si="1">AE69/1200</f>
        <v>-1.8666666666666669E-3</v>
      </c>
      <c r="AG69" s="103">
        <v>-3.63</v>
      </c>
      <c r="AH69" s="5">
        <f t="shared" ref="AH69:AH99" si="2">AG69/1200</f>
        <v>-3.0249999999999999E-3</v>
      </c>
      <c r="AI69" s="104" t="str">
        <f>IF(AND((AD68&lt;$D$45),(AD69&gt;=$D$45)),(AF69-AF68)/(AD69-AD68)*($D$45-AD68)+AF68," ")</f>
        <v xml:space="preserve"> </v>
      </c>
      <c r="AJ69" s="104" t="str">
        <f>IF(AND((AD68&lt;$H$12),(AD69&gt;=$H$12)),(AF69-AF68)/(AD69-AD68)*($H$12-AD68)+AF68," ")</f>
        <v xml:space="preserve"> </v>
      </c>
      <c r="AK69" s="104" t="str">
        <f>IF(AND((AD68&lt;$D$45),(AD69&gt;=$D$45)),(AH69-AH68)/(AD69-AD68)*($D$45-AD68)+AH68," ")</f>
        <v xml:space="preserve"> </v>
      </c>
      <c r="AL69" s="104" t="str">
        <f>IF(AND((AD68&lt;$H$12),(AD69&gt;=$H$12)),(AH69-AH68)/(AD69-AD68)*($H$12-AD68)+AH68," ")</f>
        <v xml:space="preserve"> </v>
      </c>
    </row>
    <row r="70" spans="1:38" ht="18" hidden="1">
      <c r="AC70" s="103">
        <v>-275</v>
      </c>
      <c r="AD70" s="4">
        <f t="shared" si="0"/>
        <v>-170.55555555555554</v>
      </c>
      <c r="AE70" s="103">
        <v>-2.11</v>
      </c>
      <c r="AF70" s="5">
        <f t="shared" si="1"/>
        <v>-1.7583333333333333E-3</v>
      </c>
      <c r="AG70" s="103">
        <v>-3.41</v>
      </c>
      <c r="AH70" s="5">
        <f t="shared" si="2"/>
        <v>-2.8416666666666668E-3</v>
      </c>
      <c r="AI70" s="104" t="str">
        <f t="shared" ref="AI70:AI98" si="3">IF(AND((AD69&lt;$D$45),(AD70&gt;=$D$45)),(AF70-AF69)/(AD70-AD69)*($D$45-AD69)+AF69," ")</f>
        <v xml:space="preserve"> </v>
      </c>
      <c r="AJ70" s="104" t="str">
        <f t="shared" ref="AJ70:AJ98" si="4">IF(AND((AD69&lt;$H$12),(AD70&gt;=$H$12)),(AF70-AF69)/(AD70-AD69)*($H$12-AD69)+AF69," ")</f>
        <v xml:space="preserve"> </v>
      </c>
      <c r="AK70" s="104" t="str">
        <f t="shared" ref="AK70:AK98" si="5">IF(AND((AD69&lt;$D$45),(AD70&gt;=$D$45)),(AH70-AH69)/(AD70-AD69)*($D$45-AD69)+AH69," ")</f>
        <v xml:space="preserve"> </v>
      </c>
      <c r="AL70" s="104" t="str">
        <f t="shared" ref="AL70:AL98" si="6">IF(AND((AD69&lt;$H$12),(AD70&gt;=$H$12)),(AH70-AH69)/(AD70-AD69)*($H$12-AD69)+AH69," ")</f>
        <v xml:space="preserve"> </v>
      </c>
    </row>
    <row r="71" spans="1:38" ht="18" hidden="1">
      <c r="AC71" s="103">
        <v>-250</v>
      </c>
      <c r="AD71" s="4">
        <f t="shared" si="0"/>
        <v>-156.66666666666666</v>
      </c>
      <c r="AE71" s="103">
        <v>-1.98</v>
      </c>
      <c r="AF71" s="5">
        <f t="shared" si="1"/>
        <v>-1.65E-3</v>
      </c>
      <c r="AG71" s="103">
        <v>-3.19</v>
      </c>
      <c r="AH71" s="5">
        <f t="shared" si="2"/>
        <v>-2.6583333333333333E-3</v>
      </c>
      <c r="AI71" s="104" t="str">
        <f t="shared" si="3"/>
        <v xml:space="preserve"> </v>
      </c>
      <c r="AJ71" s="104" t="str">
        <f t="shared" si="4"/>
        <v xml:space="preserve"> </v>
      </c>
      <c r="AK71" s="104" t="str">
        <f t="shared" si="5"/>
        <v xml:space="preserve"> </v>
      </c>
      <c r="AL71" s="104" t="str">
        <f t="shared" si="6"/>
        <v xml:space="preserve"> </v>
      </c>
    </row>
    <row r="72" spans="1:38" ht="18.75" hidden="1">
      <c r="A72" s="62" t="s">
        <v>14</v>
      </c>
      <c r="B72" s="62" t="s">
        <v>35</v>
      </c>
      <c r="G72" s="48"/>
      <c r="AC72" s="103">
        <v>-225</v>
      </c>
      <c r="AD72" s="4">
        <f t="shared" si="0"/>
        <v>-142.77777777777777</v>
      </c>
      <c r="AE72" s="103">
        <v>-1.85</v>
      </c>
      <c r="AF72" s="5">
        <f t="shared" si="1"/>
        <v>-1.5416666666666667E-3</v>
      </c>
      <c r="AG72" s="103">
        <v>-2.96</v>
      </c>
      <c r="AH72" s="5">
        <f t="shared" si="2"/>
        <v>-2.4666666666666665E-3</v>
      </c>
      <c r="AI72" s="104" t="str">
        <f t="shared" si="3"/>
        <v xml:space="preserve"> </v>
      </c>
      <c r="AJ72" s="104" t="str">
        <f t="shared" si="4"/>
        <v xml:space="preserve"> </v>
      </c>
      <c r="AK72" s="104" t="str">
        <f t="shared" si="5"/>
        <v xml:space="preserve"> </v>
      </c>
      <c r="AL72" s="104" t="str">
        <f t="shared" si="6"/>
        <v xml:space="preserve"> </v>
      </c>
    </row>
    <row r="73" spans="1:38" ht="18.75" hidden="1">
      <c r="A73" s="63">
        <v>1</v>
      </c>
      <c r="B73" s="64" t="s">
        <v>36</v>
      </c>
      <c r="F73" s="49"/>
      <c r="G73" s="48"/>
      <c r="H73" s="48"/>
      <c r="J73" s="50"/>
      <c r="K73" s="51"/>
      <c r="L73" s="52"/>
      <c r="M73" s="52"/>
      <c r="N73" s="53"/>
      <c r="O73" s="54"/>
      <c r="P73" s="54"/>
      <c r="Q73" s="53"/>
      <c r="AC73" s="103">
        <v>-200</v>
      </c>
      <c r="AD73" s="4">
        <f t="shared" si="0"/>
        <v>-128.88888888888889</v>
      </c>
      <c r="AE73" s="103">
        <v>-1.71</v>
      </c>
      <c r="AF73" s="5">
        <f t="shared" si="1"/>
        <v>-1.4250000000000001E-3</v>
      </c>
      <c r="AG73" s="103">
        <v>-2.73</v>
      </c>
      <c r="AH73" s="5">
        <f t="shared" si="2"/>
        <v>-2.2750000000000001E-3</v>
      </c>
      <c r="AI73" s="104" t="str">
        <f t="shared" si="3"/>
        <v xml:space="preserve"> </v>
      </c>
      <c r="AJ73" s="104" t="str">
        <f t="shared" si="4"/>
        <v xml:space="preserve"> </v>
      </c>
      <c r="AK73" s="104" t="str">
        <f t="shared" si="5"/>
        <v xml:space="preserve"> </v>
      </c>
      <c r="AL73" s="104" t="str">
        <f t="shared" si="6"/>
        <v xml:space="preserve"> </v>
      </c>
    </row>
    <row r="74" spans="1:38" ht="18.75" hidden="1">
      <c r="A74" s="63">
        <v>1.7</v>
      </c>
      <c r="B74" s="64" t="s">
        <v>37</v>
      </c>
      <c r="F74" s="49"/>
      <c r="G74" s="48"/>
      <c r="H74" s="48"/>
      <c r="J74" s="50"/>
      <c r="K74" s="51"/>
      <c r="L74" s="52"/>
      <c r="M74" s="52"/>
      <c r="N74" s="53"/>
      <c r="O74" s="54"/>
      <c r="P74" s="54"/>
      <c r="Q74" s="53"/>
      <c r="AC74" s="103">
        <v>-175</v>
      </c>
      <c r="AD74" s="4">
        <f t="shared" si="0"/>
        <v>-115</v>
      </c>
      <c r="AE74" s="103">
        <v>-1.58</v>
      </c>
      <c r="AF74" s="5">
        <f t="shared" si="1"/>
        <v>-1.3166666666666667E-3</v>
      </c>
      <c r="AG74" s="103">
        <v>-2.5</v>
      </c>
      <c r="AH74" s="5">
        <f t="shared" si="2"/>
        <v>-2.0833333333333333E-3</v>
      </c>
      <c r="AI74" s="104" t="str">
        <f t="shared" si="3"/>
        <v xml:space="preserve"> </v>
      </c>
      <c r="AJ74" s="104" t="str">
        <f t="shared" si="4"/>
        <v xml:space="preserve"> </v>
      </c>
      <c r="AK74" s="104" t="str">
        <f t="shared" si="5"/>
        <v xml:space="preserve"> </v>
      </c>
      <c r="AL74" s="104" t="str">
        <f t="shared" si="6"/>
        <v xml:space="preserve"> </v>
      </c>
    </row>
    <row r="75" spans="1:38" ht="18.75" hidden="1">
      <c r="A75" s="63">
        <v>2.7</v>
      </c>
      <c r="B75" s="64" t="s">
        <v>38</v>
      </c>
      <c r="F75" s="49"/>
      <c r="G75" s="48"/>
      <c r="H75" s="48"/>
      <c r="J75" s="9"/>
      <c r="AC75" s="103">
        <v>-150</v>
      </c>
      <c r="AD75" s="4">
        <f t="shared" si="0"/>
        <v>-101.11111111111111</v>
      </c>
      <c r="AE75" s="103">
        <v>-1.45</v>
      </c>
      <c r="AF75" s="5">
        <f t="shared" si="1"/>
        <v>-1.2083333333333334E-3</v>
      </c>
      <c r="AG75" s="103">
        <v>-2.27</v>
      </c>
      <c r="AH75" s="5">
        <f t="shared" si="2"/>
        <v>-1.8916666666666667E-3</v>
      </c>
      <c r="AI75" s="104" t="str">
        <f t="shared" si="3"/>
        <v xml:space="preserve"> </v>
      </c>
      <c r="AJ75" s="104" t="str">
        <f t="shared" si="4"/>
        <v xml:space="preserve"> </v>
      </c>
      <c r="AK75" s="104" t="str">
        <f t="shared" si="5"/>
        <v xml:space="preserve"> </v>
      </c>
      <c r="AL75" s="104" t="str">
        <f t="shared" si="6"/>
        <v xml:space="preserve"> </v>
      </c>
    </row>
    <row r="76" spans="1:38" ht="18.75" hidden="1">
      <c r="A76" s="55"/>
      <c r="J76" s="50"/>
      <c r="K76" s="173"/>
      <c r="L76" s="173"/>
      <c r="M76" s="173"/>
      <c r="O76" s="54"/>
      <c r="P76" s="54"/>
      <c r="AC76" s="103">
        <v>-125</v>
      </c>
      <c r="AD76" s="4">
        <f t="shared" si="0"/>
        <v>-87.222222222222214</v>
      </c>
      <c r="AE76" s="103">
        <v>-1.3</v>
      </c>
      <c r="AF76" s="5">
        <f t="shared" si="1"/>
        <v>-1.0833333333333333E-3</v>
      </c>
      <c r="AG76" s="103">
        <v>-2.0099999999999998</v>
      </c>
      <c r="AH76" s="5">
        <f t="shared" si="2"/>
        <v>-1.6749999999999998E-3</v>
      </c>
      <c r="AI76" s="104" t="str">
        <f t="shared" si="3"/>
        <v xml:space="preserve"> </v>
      </c>
      <c r="AJ76" s="104" t="str">
        <f t="shared" si="4"/>
        <v xml:space="preserve"> </v>
      </c>
      <c r="AK76" s="104" t="str">
        <f t="shared" si="5"/>
        <v xml:space="preserve"> </v>
      </c>
      <c r="AL76" s="104" t="str">
        <f t="shared" si="6"/>
        <v xml:space="preserve"> </v>
      </c>
    </row>
    <row r="77" spans="1:38" ht="18.75" hidden="1">
      <c r="A77" s="55"/>
      <c r="O77" s="54"/>
      <c r="P77" s="54"/>
      <c r="AC77" s="103">
        <v>-100</v>
      </c>
      <c r="AD77" s="4">
        <f t="shared" si="0"/>
        <v>-73.333333333333329</v>
      </c>
      <c r="AE77" s="103">
        <v>-1.1499999999999999</v>
      </c>
      <c r="AF77" s="5">
        <f t="shared" si="1"/>
        <v>-9.5833333333333328E-4</v>
      </c>
      <c r="AG77" s="103">
        <v>-1.75</v>
      </c>
      <c r="AH77" s="5">
        <f t="shared" si="2"/>
        <v>-1.4583333333333334E-3</v>
      </c>
      <c r="AI77" s="104" t="str">
        <f t="shared" si="3"/>
        <v xml:space="preserve"> </v>
      </c>
      <c r="AJ77" s="104" t="str">
        <f t="shared" si="4"/>
        <v xml:space="preserve"> </v>
      </c>
      <c r="AK77" s="104" t="str">
        <f t="shared" si="5"/>
        <v xml:space="preserve"> </v>
      </c>
      <c r="AL77" s="104" t="str">
        <f t="shared" si="6"/>
        <v xml:space="preserve"> </v>
      </c>
    </row>
    <row r="78" spans="1:38" ht="18" hidden="1">
      <c r="A78" s="66" t="s">
        <v>39</v>
      </c>
      <c r="AC78" s="103">
        <v>-75</v>
      </c>
      <c r="AD78" s="4">
        <f t="shared" si="0"/>
        <v>-59.444444444444443</v>
      </c>
      <c r="AE78" s="103">
        <v>-1</v>
      </c>
      <c r="AF78" s="5">
        <f t="shared" si="1"/>
        <v>-8.3333333333333339E-4</v>
      </c>
      <c r="AG78" s="103">
        <v>-1.5</v>
      </c>
      <c r="AH78" s="5">
        <f t="shared" si="2"/>
        <v>-1.25E-3</v>
      </c>
      <c r="AI78" s="104" t="str">
        <f t="shared" si="3"/>
        <v xml:space="preserve"> </v>
      </c>
      <c r="AJ78" s="104" t="str">
        <f t="shared" si="4"/>
        <v xml:space="preserve"> </v>
      </c>
      <c r="AK78" s="104" t="str">
        <f t="shared" si="5"/>
        <v xml:space="preserve"> </v>
      </c>
      <c r="AL78" s="104" t="str">
        <f t="shared" si="6"/>
        <v xml:space="preserve"> </v>
      </c>
    </row>
    <row r="79" spans="1:38" ht="18" hidden="1">
      <c r="A79" s="65" t="s">
        <v>15</v>
      </c>
      <c r="AC79" s="103">
        <v>-50</v>
      </c>
      <c r="AD79" s="4">
        <f t="shared" si="0"/>
        <v>-45.555555555555557</v>
      </c>
      <c r="AE79" s="103">
        <v>-0.84</v>
      </c>
      <c r="AF79" s="5">
        <f t="shared" si="1"/>
        <v>-6.9999999999999999E-4</v>
      </c>
      <c r="AG79" s="103">
        <v>-1.24</v>
      </c>
      <c r="AH79" s="5">
        <f t="shared" si="2"/>
        <v>-1.0333333333333334E-3</v>
      </c>
      <c r="AI79" s="104" t="str">
        <f t="shared" si="3"/>
        <v xml:space="preserve"> </v>
      </c>
      <c r="AJ79" s="104" t="str">
        <f t="shared" si="4"/>
        <v xml:space="preserve"> </v>
      </c>
      <c r="AK79" s="104" t="str">
        <f t="shared" si="5"/>
        <v xml:space="preserve"> </v>
      </c>
      <c r="AL79" s="104" t="str">
        <f t="shared" si="6"/>
        <v xml:space="preserve"> </v>
      </c>
    </row>
    <row r="80" spans="1:38" ht="18" hidden="1">
      <c r="A80" s="65" t="s">
        <v>16</v>
      </c>
      <c r="J80" s="50"/>
      <c r="K80" s="51"/>
      <c r="M80" s="56"/>
      <c r="N80" s="53"/>
      <c r="O80" s="54"/>
      <c r="P80" s="54"/>
      <c r="Q80" s="53"/>
      <c r="AC80" s="103">
        <v>-25</v>
      </c>
      <c r="AD80" s="4">
        <f t="shared" si="0"/>
        <v>-31.666666666666664</v>
      </c>
      <c r="AE80" s="103">
        <v>-0.68</v>
      </c>
      <c r="AF80" s="5">
        <f t="shared" si="1"/>
        <v>-5.6666666666666671E-4</v>
      </c>
      <c r="AG80" s="103">
        <v>-0.98</v>
      </c>
      <c r="AH80" s="5">
        <f t="shared" si="2"/>
        <v>-8.166666666666666E-4</v>
      </c>
      <c r="AI80" s="104" t="str">
        <f t="shared" si="3"/>
        <v xml:space="preserve"> </v>
      </c>
      <c r="AJ80" s="104" t="str">
        <f t="shared" si="4"/>
        <v xml:space="preserve"> </v>
      </c>
      <c r="AK80" s="104" t="str">
        <f t="shared" si="5"/>
        <v xml:space="preserve"> </v>
      </c>
      <c r="AL80" s="104" t="str">
        <f t="shared" si="6"/>
        <v xml:space="preserve"> </v>
      </c>
    </row>
    <row r="81" spans="1:38" ht="18" hidden="1">
      <c r="AC81" s="103">
        <v>0</v>
      </c>
      <c r="AD81" s="4">
        <f t="shared" si="0"/>
        <v>-17.777777777777779</v>
      </c>
      <c r="AE81" s="103">
        <v>-0.49</v>
      </c>
      <c r="AF81" s="5">
        <f t="shared" si="1"/>
        <v>-4.083333333333333E-4</v>
      </c>
      <c r="AG81" s="103">
        <v>-0.72</v>
      </c>
      <c r="AH81" s="5">
        <f t="shared" si="2"/>
        <v>-5.9999999999999995E-4</v>
      </c>
      <c r="AI81" s="104" t="str">
        <f t="shared" si="3"/>
        <v xml:space="preserve"> </v>
      </c>
      <c r="AJ81" s="104" t="str">
        <f t="shared" si="4"/>
        <v xml:space="preserve"> </v>
      </c>
      <c r="AK81" s="104" t="str">
        <f t="shared" si="5"/>
        <v xml:space="preserve"> </v>
      </c>
      <c r="AL81" s="104" t="str">
        <f t="shared" si="6"/>
        <v xml:space="preserve"> </v>
      </c>
    </row>
    <row r="82" spans="1:38" ht="30" hidden="1">
      <c r="A82" s="105" t="s">
        <v>44</v>
      </c>
      <c r="B82" s="105" t="s">
        <v>42</v>
      </c>
      <c r="C82" s="106" t="s">
        <v>43</v>
      </c>
      <c r="J82" s="9"/>
      <c r="AC82" s="103">
        <v>25</v>
      </c>
      <c r="AD82" s="4">
        <f t="shared" si="0"/>
        <v>-3.8888888888888888</v>
      </c>
      <c r="AE82" s="103">
        <v>-0.32</v>
      </c>
      <c r="AF82" s="5">
        <f t="shared" si="1"/>
        <v>-2.6666666666666668E-4</v>
      </c>
      <c r="AG82" s="103">
        <v>-0.46</v>
      </c>
      <c r="AH82" s="5">
        <f t="shared" si="2"/>
        <v>-3.8333333333333334E-4</v>
      </c>
      <c r="AI82" s="104" t="str">
        <f t="shared" si="3"/>
        <v xml:space="preserve"> </v>
      </c>
      <c r="AJ82" s="104" t="str">
        <f t="shared" si="4"/>
        <v xml:space="preserve"> </v>
      </c>
      <c r="AK82" s="104" t="str">
        <f t="shared" si="5"/>
        <v xml:space="preserve"> </v>
      </c>
      <c r="AL82" s="104" t="str">
        <f t="shared" si="6"/>
        <v xml:space="preserve"> </v>
      </c>
    </row>
    <row r="83" spans="1:38" ht="18" hidden="1">
      <c r="A83" s="107">
        <v>0</v>
      </c>
      <c r="B83" s="108">
        <v>1</v>
      </c>
      <c r="C83" s="109" t="str">
        <f>IF($D$37=0,B83," ")</f>
        <v xml:space="preserve"> </v>
      </c>
      <c r="I83" s="110"/>
      <c r="J83" s="43"/>
      <c r="K83" s="43"/>
      <c r="L83" s="35"/>
      <c r="M83" s="35"/>
      <c r="N83" s="35"/>
      <c r="O83" s="35"/>
      <c r="AC83" s="103">
        <v>50</v>
      </c>
      <c r="AD83" s="4">
        <f t="shared" si="0"/>
        <v>10</v>
      </c>
      <c r="AE83" s="103">
        <v>-0.14000000000000001</v>
      </c>
      <c r="AF83" s="5">
        <f t="shared" si="1"/>
        <v>-1.1666666666666668E-4</v>
      </c>
      <c r="AG83" s="103">
        <v>-0.21</v>
      </c>
      <c r="AH83" s="5">
        <f t="shared" si="2"/>
        <v>-1.75E-4</v>
      </c>
      <c r="AI83" s="104" t="str">
        <f t="shared" si="3"/>
        <v xml:space="preserve"> </v>
      </c>
      <c r="AJ83" s="104" t="str">
        <f t="shared" si="4"/>
        <v xml:space="preserve"> </v>
      </c>
      <c r="AK83" s="104" t="str">
        <f t="shared" si="5"/>
        <v xml:space="preserve"> </v>
      </c>
      <c r="AL83" s="104" t="str">
        <f t="shared" si="6"/>
        <v xml:space="preserve"> </v>
      </c>
    </row>
    <row r="84" spans="1:38" ht="18" hidden="1">
      <c r="A84" s="111">
        <v>0.5</v>
      </c>
      <c r="B84" s="112">
        <v>0.97101449275362317</v>
      </c>
      <c r="C84" s="113" t="str">
        <f>IF(AND((A83&lt;$D$37),(A84&gt;=$D$37)),(B84-B83)/(A84-A83)*($D$37-A83)+B83," ")</f>
        <v xml:space="preserve"> </v>
      </c>
      <c r="I84" s="110"/>
      <c r="J84" s="90"/>
      <c r="K84" s="91"/>
      <c r="L84" s="35"/>
      <c r="M84" s="35"/>
      <c r="N84" s="35"/>
      <c r="O84" s="35"/>
      <c r="P84" s="54"/>
      <c r="AC84" s="103">
        <v>70</v>
      </c>
      <c r="AD84" s="4">
        <f t="shared" si="0"/>
        <v>21.111111111111111</v>
      </c>
      <c r="AE84" s="103">
        <v>0</v>
      </c>
      <c r="AF84" s="5">
        <f t="shared" si="1"/>
        <v>0</v>
      </c>
      <c r="AG84" s="103">
        <v>0</v>
      </c>
      <c r="AH84" s="5">
        <f t="shared" si="2"/>
        <v>0</v>
      </c>
      <c r="AI84" s="104">
        <f t="shared" si="3"/>
        <v>-6.3116666666666678E-5</v>
      </c>
      <c r="AJ84" s="104" t="str">
        <f t="shared" si="4"/>
        <v xml:space="preserve"> </v>
      </c>
      <c r="AK84" s="104">
        <f t="shared" si="5"/>
        <v>-9.4674999999999997E-5</v>
      </c>
      <c r="AL84" s="104" t="str">
        <f t="shared" si="6"/>
        <v xml:space="preserve"> </v>
      </c>
    </row>
    <row r="85" spans="1:38" ht="18" hidden="1">
      <c r="A85" s="111">
        <v>1</v>
      </c>
      <c r="B85" s="112">
        <v>0.92753623188405798</v>
      </c>
      <c r="C85" s="113" t="str">
        <f t="shared" ref="C85:C148" si="7">IF(AND((A84&lt;$D$37),(A85&gt;=$D$37)),(B85-B84)/(A85-A84)*($D$37-A84)+B84," ")</f>
        <v xml:space="preserve"> </v>
      </c>
      <c r="I85" s="110"/>
      <c r="J85" s="43"/>
      <c r="K85" s="43"/>
      <c r="L85" s="35"/>
      <c r="M85" s="35"/>
      <c r="N85" s="35"/>
      <c r="O85" s="92"/>
      <c r="P85" s="54"/>
      <c r="AC85" s="103">
        <v>100</v>
      </c>
      <c r="AD85" s="4">
        <f t="shared" si="0"/>
        <v>37.777777777777779</v>
      </c>
      <c r="AE85" s="103">
        <v>0.23</v>
      </c>
      <c r="AF85" s="5">
        <f t="shared" si="1"/>
        <v>1.9166666666666667E-4</v>
      </c>
      <c r="AG85" s="103">
        <v>0.34</v>
      </c>
      <c r="AH85" s="5">
        <f t="shared" si="2"/>
        <v>2.8333333333333335E-4</v>
      </c>
      <c r="AI85" s="104" t="str">
        <f t="shared" si="3"/>
        <v xml:space="preserve"> </v>
      </c>
      <c r="AJ85" s="104">
        <f t="shared" si="4"/>
        <v>4.4722222222222228E-5</v>
      </c>
      <c r="AK85" s="104" t="str">
        <f t="shared" si="5"/>
        <v xml:space="preserve"> </v>
      </c>
      <c r="AL85" s="104">
        <f t="shared" si="6"/>
        <v>6.611111111111112E-5</v>
      </c>
    </row>
    <row r="86" spans="1:38" ht="18" hidden="1">
      <c r="A86" s="111">
        <v>1.5</v>
      </c>
      <c r="B86" s="112">
        <v>0.88405797101449279</v>
      </c>
      <c r="C86" s="113" t="str">
        <f t="shared" si="7"/>
        <v xml:space="preserve"> </v>
      </c>
      <c r="I86" s="110"/>
      <c r="J86" s="43"/>
      <c r="K86" s="43"/>
      <c r="L86" s="35"/>
      <c r="M86" s="35"/>
      <c r="N86" s="35"/>
      <c r="O86" s="35"/>
      <c r="AC86" s="103">
        <v>125</v>
      </c>
      <c r="AD86" s="4">
        <f t="shared" si="0"/>
        <v>51.666666666666664</v>
      </c>
      <c r="AE86" s="103">
        <v>0.42</v>
      </c>
      <c r="AF86" s="5">
        <f t="shared" si="1"/>
        <v>3.5E-4</v>
      </c>
      <c r="AG86" s="103">
        <v>0.62</v>
      </c>
      <c r="AH86" s="5">
        <f t="shared" si="2"/>
        <v>5.1666666666666668E-4</v>
      </c>
      <c r="AI86" s="114" t="str">
        <f t="shared" si="3"/>
        <v xml:space="preserve"> </v>
      </c>
      <c r="AJ86" s="114" t="str">
        <f t="shared" si="4"/>
        <v xml:space="preserve"> </v>
      </c>
      <c r="AK86" s="114" t="str">
        <f t="shared" si="5"/>
        <v xml:space="preserve"> </v>
      </c>
      <c r="AL86" s="114" t="str">
        <f t="shared" si="6"/>
        <v xml:space="preserve"> </v>
      </c>
    </row>
    <row r="87" spans="1:38" ht="18" hidden="1">
      <c r="A87" s="111">
        <v>2</v>
      </c>
      <c r="B87" s="112">
        <v>0.82608695652173914</v>
      </c>
      <c r="C87" s="113" t="str">
        <f t="shared" si="7"/>
        <v xml:space="preserve"> </v>
      </c>
      <c r="I87" s="110"/>
      <c r="J87" s="43"/>
      <c r="K87" s="43"/>
      <c r="L87" s="35"/>
      <c r="M87" s="35"/>
      <c r="N87" s="35"/>
      <c r="O87" s="35"/>
      <c r="AC87" s="103">
        <v>150</v>
      </c>
      <c r="AD87" s="4">
        <f t="shared" si="0"/>
        <v>65.555555555555557</v>
      </c>
      <c r="AE87" s="115">
        <v>0.61</v>
      </c>
      <c r="AF87" s="5">
        <f t="shared" si="1"/>
        <v>5.0833333333333329E-4</v>
      </c>
      <c r="AG87" s="115">
        <v>0.9</v>
      </c>
      <c r="AH87" s="5">
        <f t="shared" si="2"/>
        <v>7.5000000000000002E-4</v>
      </c>
      <c r="AI87" s="104" t="str">
        <f t="shared" si="3"/>
        <v xml:space="preserve"> </v>
      </c>
      <c r="AJ87" s="104" t="str">
        <f t="shared" si="4"/>
        <v xml:space="preserve"> </v>
      </c>
      <c r="AK87" s="104" t="str">
        <f t="shared" si="5"/>
        <v xml:space="preserve"> </v>
      </c>
      <c r="AL87" s="104" t="str">
        <f t="shared" si="6"/>
        <v xml:space="preserve"> </v>
      </c>
    </row>
    <row r="88" spans="1:38" ht="18" hidden="1">
      <c r="A88" s="111">
        <v>2.5</v>
      </c>
      <c r="B88" s="112">
        <v>0.71014492753623193</v>
      </c>
      <c r="C88" s="113" t="str">
        <f t="shared" si="7"/>
        <v xml:space="preserve"> </v>
      </c>
      <c r="D88" s="57"/>
      <c r="E88" s="57"/>
      <c r="F88" s="57"/>
      <c r="I88" s="110"/>
      <c r="J88" s="43"/>
      <c r="K88" s="43"/>
      <c r="L88" s="35"/>
      <c r="M88" s="35"/>
      <c r="N88" s="35"/>
      <c r="O88" s="92"/>
      <c r="AC88" s="103">
        <v>175</v>
      </c>
      <c r="AD88" s="4">
        <f t="shared" si="0"/>
        <v>79.444444444444443</v>
      </c>
      <c r="AE88" s="115">
        <v>0.8</v>
      </c>
      <c r="AF88" s="5">
        <f t="shared" si="1"/>
        <v>6.6666666666666675E-4</v>
      </c>
      <c r="AG88" s="115">
        <v>1.18</v>
      </c>
      <c r="AH88" s="5">
        <f t="shared" si="2"/>
        <v>9.8333333333333324E-4</v>
      </c>
      <c r="AI88" s="104" t="str">
        <f t="shared" si="3"/>
        <v xml:space="preserve"> </v>
      </c>
      <c r="AJ88" s="104" t="str">
        <f t="shared" si="4"/>
        <v xml:space="preserve"> </v>
      </c>
      <c r="AK88" s="104" t="str">
        <f t="shared" si="5"/>
        <v xml:space="preserve"> </v>
      </c>
      <c r="AL88" s="104" t="str">
        <f t="shared" si="6"/>
        <v xml:space="preserve"> </v>
      </c>
    </row>
    <row r="89" spans="1:38" ht="18" hidden="1">
      <c r="A89" s="111">
        <v>3</v>
      </c>
      <c r="B89" s="112">
        <v>0.65217391304347827</v>
      </c>
      <c r="C89" s="113" t="str">
        <f t="shared" si="7"/>
        <v xml:space="preserve"> </v>
      </c>
      <c r="F89" s="57"/>
      <c r="I89" s="110"/>
      <c r="J89" s="43"/>
      <c r="K89" s="43"/>
      <c r="L89" s="35"/>
      <c r="M89" s="35"/>
      <c r="N89" s="35"/>
      <c r="O89" s="35"/>
      <c r="AC89" s="103">
        <v>200</v>
      </c>
      <c r="AD89" s="4">
        <f t="shared" si="0"/>
        <v>93.333333333333329</v>
      </c>
      <c r="AE89" s="115">
        <v>0.99</v>
      </c>
      <c r="AF89" s="5">
        <f t="shared" si="1"/>
        <v>8.25E-4</v>
      </c>
      <c r="AG89" s="115">
        <v>1.46</v>
      </c>
      <c r="AH89" s="5">
        <f t="shared" si="2"/>
        <v>1.2166666666666667E-3</v>
      </c>
      <c r="AI89" s="104" t="str">
        <f t="shared" si="3"/>
        <v xml:space="preserve"> </v>
      </c>
      <c r="AJ89" s="104" t="str">
        <f t="shared" si="4"/>
        <v xml:space="preserve"> </v>
      </c>
      <c r="AK89" s="104" t="str">
        <f t="shared" si="5"/>
        <v xml:space="preserve"> </v>
      </c>
      <c r="AL89" s="104" t="str">
        <f t="shared" si="6"/>
        <v xml:space="preserve"> </v>
      </c>
    </row>
    <row r="90" spans="1:38" ht="18" hidden="1">
      <c r="A90" s="111">
        <v>3.5</v>
      </c>
      <c r="B90" s="112">
        <v>0.59420289855072461</v>
      </c>
      <c r="C90" s="113" t="str">
        <f t="shared" si="7"/>
        <v xml:space="preserve"> </v>
      </c>
      <c r="I90" s="110"/>
      <c r="J90" s="43"/>
      <c r="K90" s="43"/>
      <c r="L90" s="35"/>
      <c r="M90" s="35"/>
      <c r="N90" s="35"/>
      <c r="O90" s="35"/>
      <c r="AC90" s="103">
        <v>225</v>
      </c>
      <c r="AD90" s="4">
        <f t="shared" si="0"/>
        <v>107.22222222222221</v>
      </c>
      <c r="AE90" s="115">
        <v>1.21</v>
      </c>
      <c r="AF90" s="5">
        <f t="shared" si="1"/>
        <v>1.0083333333333333E-3</v>
      </c>
      <c r="AG90" s="115">
        <v>1.75</v>
      </c>
      <c r="AH90" s="5">
        <f t="shared" si="2"/>
        <v>1.4583333333333334E-3</v>
      </c>
      <c r="AI90" s="104" t="str">
        <f t="shared" si="3"/>
        <v xml:space="preserve"> </v>
      </c>
      <c r="AJ90" s="104" t="str">
        <f t="shared" si="4"/>
        <v xml:space="preserve"> </v>
      </c>
      <c r="AK90" s="104" t="str">
        <f t="shared" si="5"/>
        <v xml:space="preserve"> </v>
      </c>
      <c r="AL90" s="104" t="str">
        <f t="shared" si="6"/>
        <v xml:space="preserve"> </v>
      </c>
    </row>
    <row r="91" spans="1:38" ht="18" hidden="1">
      <c r="A91" s="111">
        <v>4</v>
      </c>
      <c r="B91" s="112">
        <v>0.53623188405797106</v>
      </c>
      <c r="C91" s="113" t="str">
        <f t="shared" si="7"/>
        <v xml:space="preserve"> </v>
      </c>
      <c r="I91" s="110"/>
      <c r="J91" s="43"/>
      <c r="K91" s="43"/>
      <c r="L91" s="35"/>
      <c r="M91" s="35"/>
      <c r="N91" s="35"/>
      <c r="O91" s="35"/>
      <c r="AC91" s="103">
        <v>250</v>
      </c>
      <c r="AD91" s="4">
        <f t="shared" si="0"/>
        <v>121.11111111111111</v>
      </c>
      <c r="AE91" s="115">
        <v>1.4</v>
      </c>
      <c r="AF91" s="5">
        <f t="shared" si="1"/>
        <v>1.1666666666666665E-3</v>
      </c>
      <c r="AG91" s="115">
        <v>2.0299999999999998</v>
      </c>
      <c r="AH91" s="5">
        <f t="shared" si="2"/>
        <v>1.6916666666666664E-3</v>
      </c>
      <c r="AI91" s="104" t="str">
        <f t="shared" si="3"/>
        <v xml:space="preserve"> </v>
      </c>
      <c r="AJ91" s="104" t="str">
        <f t="shared" si="4"/>
        <v xml:space="preserve"> </v>
      </c>
      <c r="AK91" s="104" t="str">
        <f t="shared" si="5"/>
        <v xml:space="preserve"> </v>
      </c>
      <c r="AL91" s="104" t="str">
        <f t="shared" si="6"/>
        <v xml:space="preserve"> </v>
      </c>
    </row>
    <row r="92" spans="1:38" ht="18" hidden="1">
      <c r="A92" s="111">
        <v>4.5</v>
      </c>
      <c r="B92" s="112">
        <v>0.49275362318840582</v>
      </c>
      <c r="C92" s="113" t="str">
        <f t="shared" si="7"/>
        <v xml:space="preserve"> </v>
      </c>
      <c r="I92" s="110"/>
      <c r="J92" s="43"/>
      <c r="K92" s="43"/>
      <c r="L92" s="35"/>
      <c r="M92" s="35"/>
      <c r="N92" s="35"/>
      <c r="O92" s="35"/>
      <c r="AC92" s="103">
        <v>275</v>
      </c>
      <c r="AD92" s="4">
        <f t="shared" si="0"/>
        <v>135</v>
      </c>
      <c r="AE92" s="115">
        <v>1.61</v>
      </c>
      <c r="AF92" s="5">
        <f t="shared" si="1"/>
        <v>1.3416666666666668E-3</v>
      </c>
      <c r="AG92" s="115">
        <v>2.3199999999999998</v>
      </c>
      <c r="AH92" s="5">
        <f t="shared" si="2"/>
        <v>1.9333333333333331E-3</v>
      </c>
      <c r="AI92" s="104" t="str">
        <f t="shared" si="3"/>
        <v xml:space="preserve"> </v>
      </c>
      <c r="AJ92" s="104" t="str">
        <f t="shared" si="4"/>
        <v xml:space="preserve"> </v>
      </c>
      <c r="AK92" s="104" t="str">
        <f t="shared" si="5"/>
        <v xml:space="preserve"> </v>
      </c>
      <c r="AL92" s="104" t="str">
        <f t="shared" si="6"/>
        <v xml:space="preserve"> </v>
      </c>
    </row>
    <row r="93" spans="1:38" ht="18" hidden="1">
      <c r="A93" s="111">
        <v>5</v>
      </c>
      <c r="B93" s="112">
        <v>0.44927536231884058</v>
      </c>
      <c r="C93" s="113" t="str">
        <f t="shared" si="7"/>
        <v xml:space="preserve"> </v>
      </c>
      <c r="I93" s="110"/>
      <c r="J93" s="43"/>
      <c r="K93" s="43"/>
      <c r="L93" s="35"/>
      <c r="M93" s="35"/>
      <c r="N93" s="35"/>
      <c r="O93" s="35"/>
      <c r="AC93" s="103">
        <v>300</v>
      </c>
      <c r="AD93" s="4">
        <f t="shared" si="0"/>
        <v>148.88888888888889</v>
      </c>
      <c r="AE93" s="115">
        <v>1.82</v>
      </c>
      <c r="AF93" s="5">
        <f t="shared" si="1"/>
        <v>1.5166666666666668E-3</v>
      </c>
      <c r="AG93" s="115">
        <v>2.61</v>
      </c>
      <c r="AH93" s="5">
        <f t="shared" si="2"/>
        <v>2.1749999999999999E-3</v>
      </c>
      <c r="AI93" s="104" t="str">
        <f t="shared" si="3"/>
        <v xml:space="preserve"> </v>
      </c>
      <c r="AJ93" s="104" t="str">
        <f t="shared" si="4"/>
        <v xml:space="preserve"> </v>
      </c>
      <c r="AK93" s="104" t="str">
        <f t="shared" si="5"/>
        <v xml:space="preserve"> </v>
      </c>
      <c r="AL93" s="104" t="str">
        <f t="shared" si="6"/>
        <v xml:space="preserve"> </v>
      </c>
    </row>
    <row r="94" spans="1:38" ht="18" hidden="1">
      <c r="A94" s="111">
        <v>5.5</v>
      </c>
      <c r="B94" s="112">
        <v>0.40579710144927539</v>
      </c>
      <c r="C94" s="113" t="str">
        <f t="shared" si="7"/>
        <v xml:space="preserve"> </v>
      </c>
      <c r="I94" s="110"/>
      <c r="J94" s="43"/>
      <c r="K94" s="43"/>
      <c r="L94" s="35"/>
      <c r="M94" s="35"/>
      <c r="N94" s="35"/>
      <c r="O94" s="35"/>
      <c r="AC94" s="103">
        <v>325</v>
      </c>
      <c r="AD94" s="4">
        <f t="shared" si="0"/>
        <v>162.77777777777777</v>
      </c>
      <c r="AE94" s="115">
        <v>2.04</v>
      </c>
      <c r="AF94" s="5">
        <f t="shared" si="1"/>
        <v>1.7000000000000001E-3</v>
      </c>
      <c r="AG94" s="115">
        <v>2.9</v>
      </c>
      <c r="AH94" s="5">
        <f t="shared" si="2"/>
        <v>2.4166666666666668E-3</v>
      </c>
      <c r="AI94" s="104" t="str">
        <f t="shared" si="3"/>
        <v xml:space="preserve"> </v>
      </c>
      <c r="AJ94" s="104" t="str">
        <f t="shared" si="4"/>
        <v xml:space="preserve"> </v>
      </c>
      <c r="AK94" s="104" t="str">
        <f t="shared" si="5"/>
        <v xml:space="preserve"> </v>
      </c>
      <c r="AL94" s="104" t="str">
        <f t="shared" si="6"/>
        <v xml:space="preserve"> </v>
      </c>
    </row>
    <row r="95" spans="1:38" ht="18" hidden="1">
      <c r="A95" s="111">
        <v>6</v>
      </c>
      <c r="B95" s="112">
        <v>0.37681159420289856</v>
      </c>
      <c r="C95" s="113" t="str">
        <f t="shared" si="7"/>
        <v xml:space="preserve"> </v>
      </c>
      <c r="I95" s="110"/>
      <c r="J95" s="43"/>
      <c r="K95" s="43"/>
      <c r="L95" s="35"/>
      <c r="M95" s="35"/>
      <c r="N95" s="35"/>
      <c r="O95" s="35"/>
      <c r="AC95" s="103">
        <v>350</v>
      </c>
      <c r="AD95" s="4">
        <f t="shared" si="0"/>
        <v>176.66666666666666</v>
      </c>
      <c r="AE95" s="115">
        <v>2.2599999999999998</v>
      </c>
      <c r="AF95" s="5">
        <f t="shared" si="1"/>
        <v>1.8833333333333332E-3</v>
      </c>
      <c r="AG95" s="115">
        <v>3.2</v>
      </c>
      <c r="AH95" s="5">
        <f t="shared" si="2"/>
        <v>2.666666666666667E-3</v>
      </c>
      <c r="AI95" s="104" t="str">
        <f t="shared" si="3"/>
        <v xml:space="preserve"> </v>
      </c>
      <c r="AJ95" s="104" t="str">
        <f t="shared" si="4"/>
        <v xml:space="preserve"> </v>
      </c>
      <c r="AK95" s="104" t="str">
        <f t="shared" si="5"/>
        <v xml:space="preserve"> </v>
      </c>
      <c r="AL95" s="104" t="str">
        <f t="shared" si="6"/>
        <v xml:space="preserve"> </v>
      </c>
    </row>
    <row r="96" spans="1:38" ht="18" hidden="1">
      <c r="A96" s="111">
        <v>6.5</v>
      </c>
      <c r="B96" s="112">
        <v>0.34782608695652173</v>
      </c>
      <c r="C96" s="113" t="str">
        <f t="shared" si="7"/>
        <v xml:space="preserve"> </v>
      </c>
      <c r="I96" s="110"/>
      <c r="J96" s="43"/>
      <c r="K96" s="43"/>
      <c r="L96" s="35"/>
      <c r="M96" s="35"/>
      <c r="N96" s="35"/>
      <c r="O96" s="35"/>
      <c r="AC96" s="103">
        <v>375</v>
      </c>
      <c r="AD96" s="4">
        <f t="shared" si="0"/>
        <v>190.55555555555554</v>
      </c>
      <c r="AE96" s="115">
        <v>2.48</v>
      </c>
      <c r="AF96" s="5">
        <f t="shared" si="1"/>
        <v>2.0666666666666667E-3</v>
      </c>
      <c r="AG96" s="115">
        <v>3.5</v>
      </c>
      <c r="AH96" s="5">
        <f t="shared" si="2"/>
        <v>2.9166666666666668E-3</v>
      </c>
      <c r="AI96" s="104" t="str">
        <f t="shared" si="3"/>
        <v xml:space="preserve"> </v>
      </c>
      <c r="AJ96" s="104" t="str">
        <f t="shared" si="4"/>
        <v xml:space="preserve"> </v>
      </c>
      <c r="AK96" s="104" t="str">
        <f t="shared" si="5"/>
        <v xml:space="preserve"> </v>
      </c>
      <c r="AL96" s="104" t="str">
        <f t="shared" si="6"/>
        <v xml:space="preserve"> </v>
      </c>
    </row>
    <row r="97" spans="1:38" ht="18" hidden="1">
      <c r="A97" s="111">
        <v>7</v>
      </c>
      <c r="B97" s="112">
        <v>0.3188405797101449</v>
      </c>
      <c r="C97" s="113" t="str">
        <f t="shared" si="7"/>
        <v xml:space="preserve"> </v>
      </c>
      <c r="I97" s="110"/>
      <c r="J97" s="43"/>
      <c r="K97" s="43"/>
      <c r="L97" s="35"/>
      <c r="M97" s="35"/>
      <c r="N97" s="35"/>
      <c r="O97" s="35"/>
      <c r="AC97" s="103">
        <v>400</v>
      </c>
      <c r="AD97" s="4">
        <f t="shared" si="0"/>
        <v>204.44444444444443</v>
      </c>
      <c r="AE97" s="115">
        <v>2.7</v>
      </c>
      <c r="AF97" s="5">
        <f t="shared" si="1"/>
        <v>2.2500000000000003E-3</v>
      </c>
      <c r="AG97" s="115">
        <v>3.8</v>
      </c>
      <c r="AH97" s="5">
        <f t="shared" si="2"/>
        <v>3.1666666666666666E-3</v>
      </c>
      <c r="AI97" s="104" t="str">
        <f t="shared" si="3"/>
        <v xml:space="preserve"> </v>
      </c>
      <c r="AJ97" s="104" t="str">
        <f t="shared" si="4"/>
        <v xml:space="preserve"> </v>
      </c>
      <c r="AK97" s="104" t="str">
        <f t="shared" si="5"/>
        <v xml:space="preserve"> </v>
      </c>
      <c r="AL97" s="104" t="str">
        <f t="shared" si="6"/>
        <v xml:space="preserve"> </v>
      </c>
    </row>
    <row r="98" spans="1:38" ht="18" hidden="1">
      <c r="A98" s="111">
        <v>7.5</v>
      </c>
      <c r="B98" s="112">
        <v>0.29710144927536231</v>
      </c>
      <c r="C98" s="113" t="str">
        <f t="shared" si="7"/>
        <v xml:space="preserve"> </v>
      </c>
      <c r="I98" s="110"/>
      <c r="J98" s="43"/>
      <c r="K98" s="43"/>
      <c r="L98" s="35"/>
      <c r="M98" s="35"/>
      <c r="N98" s="35"/>
      <c r="O98" s="92"/>
      <c r="AC98" s="103">
        <v>425</v>
      </c>
      <c r="AD98" s="4">
        <f t="shared" si="0"/>
        <v>218.33333333333331</v>
      </c>
      <c r="AE98" s="115">
        <v>2.93</v>
      </c>
      <c r="AF98" s="5">
        <f t="shared" si="1"/>
        <v>2.4416666666666666E-3</v>
      </c>
      <c r="AG98" s="115">
        <v>4.0999999999999996</v>
      </c>
      <c r="AH98" s="5">
        <f t="shared" si="2"/>
        <v>3.4166666666666664E-3</v>
      </c>
      <c r="AI98" s="104" t="str">
        <f t="shared" si="3"/>
        <v xml:space="preserve"> </v>
      </c>
      <c r="AJ98" s="104" t="str">
        <f t="shared" si="4"/>
        <v xml:space="preserve"> </v>
      </c>
      <c r="AK98" s="104" t="str">
        <f t="shared" si="5"/>
        <v xml:space="preserve"> </v>
      </c>
      <c r="AL98" s="104" t="str">
        <f t="shared" si="6"/>
        <v xml:space="preserve"> </v>
      </c>
    </row>
    <row r="99" spans="1:38" ht="18" hidden="1">
      <c r="A99" s="111">
        <v>8</v>
      </c>
      <c r="B99" s="112">
        <v>0.27536231884057971</v>
      </c>
      <c r="C99" s="113" t="str">
        <f t="shared" si="7"/>
        <v xml:space="preserve"> </v>
      </c>
      <c r="I99" s="110"/>
      <c r="J99" s="43"/>
      <c r="K99" s="43"/>
      <c r="L99" s="35"/>
      <c r="M99" s="35"/>
      <c r="N99" s="35"/>
      <c r="O99" s="35"/>
      <c r="AC99" s="103">
        <v>450</v>
      </c>
      <c r="AD99" s="4">
        <f t="shared" si="0"/>
        <v>232.22222222222223</v>
      </c>
      <c r="AE99" s="115">
        <v>3.16</v>
      </c>
      <c r="AF99" s="5">
        <f t="shared" si="1"/>
        <v>2.6333333333333334E-3</v>
      </c>
      <c r="AG99" s="115">
        <v>4.41</v>
      </c>
      <c r="AH99" s="5">
        <f t="shared" si="2"/>
        <v>3.6750000000000003E-3</v>
      </c>
      <c r="AI99" s="104" t="str">
        <f>IF($D$45&gt;AD99,$AF$99,IF(AND((AD98&lt;$D$45),(AD99&gt;=$D$45)),(AF99-AF98)/(AD99-AD98)*($D$45-AD98)+AF98," "))</f>
        <v xml:space="preserve"> </v>
      </c>
      <c r="AJ99" s="104" t="str">
        <f>IF($H$12&gt;AD99,$AF$99,IF(AND((AD98&lt;$H$12),(AD99&gt;=$H$12)),(AF99-AF98)/(AD99-AD98)*($H$12-AD98)+AF98," "))</f>
        <v xml:space="preserve"> </v>
      </c>
      <c r="AK99" s="104" t="str">
        <f>IF($D$45&gt;AD99,$AH$99,IF(AND((AD98&lt;$D$45),(AD99&gt;=$D$45)),(AH99-AH98)/(AD99-AD98)*($D$45-AD98)+AH98," "))</f>
        <v xml:space="preserve"> </v>
      </c>
      <c r="AL99" s="104" t="str">
        <f>IF($H$12&gt;AD99,$AH$99,IF(AND((AD98&lt;$H$12),(AD99&gt;=$H$12)),(AH99-AH98)/(AD99-AD98)*($H$12-AD98)+AH98," "))</f>
        <v xml:space="preserve"> </v>
      </c>
    </row>
    <row r="100" spans="1:38" ht="15" hidden="1">
      <c r="A100" s="111">
        <v>8.5</v>
      </c>
      <c r="B100" s="112">
        <v>0.2608695652173913</v>
      </c>
      <c r="C100" s="113" t="str">
        <f t="shared" si="7"/>
        <v xml:space="preserve"> </v>
      </c>
      <c r="I100" s="110"/>
      <c r="J100" s="43"/>
      <c r="K100" s="43"/>
      <c r="L100" s="35"/>
      <c r="M100" s="35"/>
      <c r="N100" s="35"/>
      <c r="O100" s="35"/>
      <c r="AH100" s="88" t="s">
        <v>53</v>
      </c>
      <c r="AI100" s="89">
        <f>MAX(AI68:AI99)</f>
        <v>-6.3116666666666678E-5</v>
      </c>
      <c r="AJ100" s="89">
        <f>MAX(AJ68:AJ99)</f>
        <v>4.4722222222222228E-5</v>
      </c>
      <c r="AK100" s="89">
        <f t="shared" ref="AK100:AL100" si="8">MAX(AK68:AK99)</f>
        <v>-9.4674999999999997E-5</v>
      </c>
      <c r="AL100" s="89">
        <f t="shared" si="8"/>
        <v>6.611111111111112E-5</v>
      </c>
    </row>
    <row r="101" spans="1:38" ht="15" hidden="1">
      <c r="A101" s="111">
        <v>9</v>
      </c>
      <c r="B101" s="112">
        <v>0.2391304347826087</v>
      </c>
      <c r="C101" s="113" t="str">
        <f t="shared" si="7"/>
        <v xml:space="preserve"> </v>
      </c>
      <c r="I101" s="110"/>
      <c r="J101" s="43"/>
      <c r="K101" s="43"/>
      <c r="L101" s="35"/>
      <c r="M101" s="35"/>
      <c r="N101" s="35"/>
      <c r="O101" s="35"/>
    </row>
    <row r="102" spans="1:38" ht="15" hidden="1">
      <c r="A102" s="111">
        <v>9.5</v>
      </c>
      <c r="B102" s="112">
        <v>0.2318840579710145</v>
      </c>
      <c r="C102" s="113" t="str">
        <f t="shared" si="7"/>
        <v xml:space="preserve"> </v>
      </c>
      <c r="I102" s="116"/>
      <c r="J102" s="43"/>
      <c r="K102" s="43"/>
      <c r="L102" s="35"/>
      <c r="M102" s="35"/>
      <c r="N102" s="35"/>
      <c r="O102" s="92"/>
    </row>
    <row r="103" spans="1:38" ht="15" hidden="1">
      <c r="A103" s="111">
        <v>10</v>
      </c>
      <c r="B103" s="112">
        <v>0.21739130434782608</v>
      </c>
      <c r="C103" s="113" t="str">
        <f t="shared" si="7"/>
        <v xml:space="preserve"> </v>
      </c>
      <c r="I103" s="117"/>
      <c r="J103" s="43"/>
      <c r="K103" s="43"/>
      <c r="L103" s="35"/>
      <c r="M103" s="35"/>
      <c r="N103" s="35"/>
      <c r="O103" s="92"/>
    </row>
    <row r="104" spans="1:38" ht="15" hidden="1">
      <c r="A104" s="111">
        <v>10.5</v>
      </c>
      <c r="B104" s="112">
        <v>0.21014492753623187</v>
      </c>
      <c r="C104" s="113" t="str">
        <f t="shared" si="7"/>
        <v xml:space="preserve"> </v>
      </c>
      <c r="I104" s="110"/>
      <c r="J104" s="43"/>
      <c r="K104" s="43"/>
      <c r="L104" s="35"/>
      <c r="M104" s="35"/>
      <c r="N104" s="35"/>
      <c r="O104" s="35"/>
    </row>
    <row r="105" spans="1:38" ht="15" hidden="1">
      <c r="A105" s="111">
        <v>11</v>
      </c>
      <c r="B105" s="112">
        <v>0.20289855072463769</v>
      </c>
      <c r="C105" s="113" t="str">
        <f t="shared" si="7"/>
        <v xml:space="preserve"> </v>
      </c>
      <c r="I105" s="110"/>
      <c r="J105" s="43"/>
      <c r="K105" s="43"/>
      <c r="L105" s="35"/>
      <c r="M105" s="35"/>
      <c r="N105" s="35"/>
      <c r="O105" s="35"/>
    </row>
    <row r="106" spans="1:38" ht="15" hidden="1">
      <c r="A106" s="111">
        <v>11.5</v>
      </c>
      <c r="B106" s="112">
        <v>0.19565217391304349</v>
      </c>
      <c r="C106" s="113" t="str">
        <f t="shared" si="7"/>
        <v xml:space="preserve"> </v>
      </c>
      <c r="I106" s="110"/>
      <c r="J106" s="43"/>
      <c r="K106" s="43"/>
      <c r="L106" s="35"/>
      <c r="M106" s="35"/>
      <c r="N106" s="35"/>
      <c r="O106" s="92"/>
    </row>
    <row r="107" spans="1:38" ht="15" hidden="1">
      <c r="A107" s="111">
        <v>12</v>
      </c>
      <c r="B107" s="112">
        <v>0.18840579710144928</v>
      </c>
      <c r="C107" s="113" t="str">
        <f t="shared" si="7"/>
        <v xml:space="preserve"> </v>
      </c>
      <c r="I107" s="110"/>
      <c r="J107" s="43"/>
      <c r="K107" s="43"/>
      <c r="L107" s="35"/>
      <c r="M107" s="35"/>
      <c r="N107" s="35"/>
      <c r="O107" s="35"/>
    </row>
    <row r="108" spans="1:38" ht="15" hidden="1">
      <c r="A108" s="111">
        <v>12.5</v>
      </c>
      <c r="B108" s="112">
        <v>0.18115942028985507</v>
      </c>
      <c r="C108" s="113" t="str">
        <f t="shared" si="7"/>
        <v xml:space="preserve"> </v>
      </c>
      <c r="I108" s="110"/>
      <c r="J108" s="43"/>
      <c r="K108" s="43"/>
      <c r="L108" s="35"/>
      <c r="M108" s="35"/>
      <c r="N108" s="35"/>
      <c r="O108" s="35"/>
    </row>
    <row r="109" spans="1:38" ht="15" hidden="1">
      <c r="A109" s="111">
        <v>13</v>
      </c>
      <c r="B109" s="112">
        <v>0.17753623188405798</v>
      </c>
      <c r="C109" s="113">
        <f t="shared" si="7"/>
        <v>0.17995450970634461</v>
      </c>
      <c r="I109" s="110"/>
      <c r="J109" s="43"/>
      <c r="K109" s="43"/>
      <c r="L109" s="35"/>
      <c r="M109" s="35"/>
      <c r="N109" s="35"/>
      <c r="O109" s="35"/>
    </row>
    <row r="110" spans="1:38" ht="15" hidden="1">
      <c r="A110" s="111">
        <v>13.5</v>
      </c>
      <c r="B110" s="112">
        <v>0.17391304347826086</v>
      </c>
      <c r="C110" s="113" t="str">
        <f t="shared" si="7"/>
        <v xml:space="preserve"> </v>
      </c>
      <c r="I110" s="110"/>
      <c r="J110" s="43"/>
      <c r="K110" s="43"/>
      <c r="L110" s="35"/>
      <c r="M110" s="35"/>
      <c r="N110" s="35"/>
      <c r="O110" s="35"/>
    </row>
    <row r="111" spans="1:38" ht="15" hidden="1">
      <c r="A111" s="111">
        <v>14</v>
      </c>
      <c r="B111" s="112">
        <v>0.15942028985507245</v>
      </c>
      <c r="C111" s="113" t="str">
        <f t="shared" si="7"/>
        <v xml:space="preserve"> </v>
      </c>
      <c r="I111" s="110"/>
      <c r="J111" s="43"/>
      <c r="K111" s="43"/>
      <c r="L111" s="35"/>
      <c r="M111" s="35"/>
      <c r="N111" s="35"/>
      <c r="O111" s="92"/>
    </row>
    <row r="112" spans="1:38" ht="15" hidden="1">
      <c r="A112" s="111">
        <v>14.5</v>
      </c>
      <c r="B112" s="112">
        <v>0.15217391304347827</v>
      </c>
      <c r="C112" s="113" t="str">
        <f t="shared" si="7"/>
        <v xml:space="preserve"> </v>
      </c>
      <c r="I112" s="110"/>
      <c r="J112" s="43"/>
      <c r="K112" s="43"/>
      <c r="L112" s="35"/>
      <c r="M112" s="35"/>
      <c r="N112" s="35"/>
      <c r="O112" s="92"/>
    </row>
    <row r="113" spans="1:15" ht="15" hidden="1">
      <c r="A113" s="111">
        <v>15</v>
      </c>
      <c r="B113" s="112">
        <v>0.16304347826086957</v>
      </c>
      <c r="C113" s="113" t="str">
        <f t="shared" si="7"/>
        <v xml:space="preserve"> </v>
      </c>
      <c r="I113" s="110"/>
      <c r="J113" s="43"/>
      <c r="K113" s="43"/>
      <c r="L113" s="35"/>
      <c r="M113" s="35"/>
      <c r="N113" s="35"/>
      <c r="O113" s="35"/>
    </row>
    <row r="114" spans="1:15" ht="15" hidden="1">
      <c r="A114" s="111">
        <v>15.5</v>
      </c>
      <c r="B114" s="112">
        <v>0.14492753623188406</v>
      </c>
      <c r="C114" s="113" t="str">
        <f t="shared" si="7"/>
        <v xml:space="preserve"> </v>
      </c>
      <c r="I114" s="110"/>
      <c r="J114" s="43"/>
      <c r="K114" s="43"/>
      <c r="L114" s="35"/>
      <c r="M114" s="35"/>
      <c r="N114" s="35"/>
      <c r="O114" s="92"/>
    </row>
    <row r="115" spans="1:15" ht="15" hidden="1">
      <c r="A115" s="111">
        <v>16</v>
      </c>
      <c r="B115" s="112">
        <v>0.14202898550724638</v>
      </c>
      <c r="C115" s="113" t="str">
        <f t="shared" si="7"/>
        <v xml:space="preserve"> </v>
      </c>
      <c r="I115" s="110"/>
      <c r="J115" s="43"/>
      <c r="K115" s="43"/>
      <c r="L115" s="35"/>
      <c r="M115" s="35"/>
      <c r="N115" s="35"/>
      <c r="O115" s="35"/>
    </row>
    <row r="116" spans="1:15" ht="15" hidden="1">
      <c r="A116" s="111">
        <v>16.5</v>
      </c>
      <c r="B116" s="112">
        <v>0.13768115942028986</v>
      </c>
      <c r="C116" s="113" t="str">
        <f t="shared" si="7"/>
        <v xml:space="preserve"> </v>
      </c>
      <c r="I116" s="110"/>
      <c r="J116" s="43"/>
      <c r="K116" s="43"/>
      <c r="L116" s="35"/>
      <c r="M116" s="35"/>
      <c r="N116" s="35"/>
      <c r="O116" s="35"/>
    </row>
    <row r="117" spans="1:15" ht="15" hidden="1">
      <c r="A117" s="111">
        <v>17</v>
      </c>
      <c r="B117" s="112">
        <v>0.13405797101449277</v>
      </c>
      <c r="C117" s="113" t="str">
        <f t="shared" si="7"/>
        <v xml:space="preserve"> </v>
      </c>
      <c r="I117" s="110"/>
      <c r="J117" s="43"/>
      <c r="K117" s="43"/>
      <c r="L117" s="35"/>
      <c r="M117" s="35"/>
      <c r="N117" s="35"/>
      <c r="O117" s="35"/>
    </row>
    <row r="118" spans="1:15" ht="15" hidden="1">
      <c r="A118" s="111">
        <v>17.5</v>
      </c>
      <c r="B118" s="112">
        <v>0.13043478260869565</v>
      </c>
      <c r="C118" s="113" t="str">
        <f t="shared" si="7"/>
        <v xml:space="preserve"> </v>
      </c>
      <c r="I118" s="110"/>
      <c r="J118" s="43"/>
      <c r="K118" s="43"/>
      <c r="L118" s="35"/>
      <c r="M118" s="35"/>
      <c r="N118" s="35"/>
      <c r="O118" s="35"/>
    </row>
    <row r="119" spans="1:15" ht="15" hidden="1">
      <c r="A119" s="111">
        <v>18</v>
      </c>
      <c r="B119" s="112">
        <v>0.12318840579710146</v>
      </c>
      <c r="C119" s="113" t="str">
        <f t="shared" si="7"/>
        <v xml:space="preserve"> </v>
      </c>
      <c r="I119" s="110"/>
      <c r="J119" s="43"/>
      <c r="K119" s="43"/>
      <c r="L119" s="35"/>
      <c r="M119" s="35"/>
      <c r="N119" s="35"/>
      <c r="O119" s="35"/>
    </row>
    <row r="120" spans="1:15" ht="15" hidden="1">
      <c r="A120" s="111">
        <v>18.5</v>
      </c>
      <c r="B120" s="112">
        <v>0.11956521739130435</v>
      </c>
      <c r="C120" s="113" t="str">
        <f t="shared" si="7"/>
        <v xml:space="preserve"> </v>
      </c>
      <c r="I120" s="110"/>
      <c r="J120" s="43"/>
      <c r="K120" s="43"/>
      <c r="L120" s="35"/>
      <c r="M120" s="35"/>
      <c r="N120" s="35"/>
      <c r="O120" s="35"/>
    </row>
    <row r="121" spans="1:15" ht="15" hidden="1">
      <c r="A121" s="111">
        <v>19</v>
      </c>
      <c r="B121" s="112">
        <v>0.11594202898550725</v>
      </c>
      <c r="C121" s="113" t="str">
        <f t="shared" si="7"/>
        <v xml:space="preserve"> </v>
      </c>
      <c r="I121" s="110"/>
      <c r="J121" s="43"/>
      <c r="K121" s="43"/>
      <c r="L121" s="35"/>
      <c r="M121" s="35"/>
      <c r="N121" s="35"/>
      <c r="O121" s="35"/>
    </row>
    <row r="122" spans="1:15" ht="15" hidden="1">
      <c r="A122" s="111">
        <v>19.5</v>
      </c>
      <c r="B122" s="112">
        <v>0.11231884057971014</v>
      </c>
      <c r="C122" s="113" t="str">
        <f t="shared" si="7"/>
        <v xml:space="preserve"> </v>
      </c>
      <c r="I122" s="110"/>
      <c r="J122" s="43"/>
      <c r="K122" s="43"/>
      <c r="L122" s="35"/>
      <c r="M122" s="35"/>
      <c r="N122" s="35"/>
      <c r="O122" s="35"/>
    </row>
    <row r="123" spans="1:15" ht="15" hidden="1">
      <c r="A123" s="111">
        <v>20</v>
      </c>
      <c r="B123" s="112">
        <v>0.10869565217391304</v>
      </c>
      <c r="C123" s="113" t="str">
        <f t="shared" si="7"/>
        <v xml:space="preserve"> </v>
      </c>
      <c r="I123" s="110"/>
      <c r="J123" s="43"/>
      <c r="K123" s="43"/>
      <c r="L123" s="35"/>
      <c r="M123" s="35"/>
      <c r="N123" s="35"/>
      <c r="O123" s="35"/>
    </row>
    <row r="124" spans="1:15" ht="15" hidden="1">
      <c r="A124" s="111">
        <v>20.5</v>
      </c>
      <c r="B124" s="112">
        <v>0.10507246376811594</v>
      </c>
      <c r="C124" s="113" t="str">
        <f t="shared" si="7"/>
        <v xml:space="preserve"> </v>
      </c>
      <c r="I124" s="110"/>
      <c r="J124" s="43"/>
      <c r="K124" s="43"/>
      <c r="L124" s="35"/>
      <c r="M124" s="35"/>
      <c r="N124" s="35"/>
      <c r="O124" s="35"/>
    </row>
    <row r="125" spans="1:15" ht="15" hidden="1">
      <c r="A125" s="111">
        <v>21</v>
      </c>
      <c r="B125" s="112">
        <v>0.10289855072463767</v>
      </c>
      <c r="C125" s="113" t="str">
        <f t="shared" si="7"/>
        <v xml:space="preserve"> </v>
      </c>
      <c r="I125" s="110"/>
      <c r="J125" s="43"/>
      <c r="K125" s="43"/>
      <c r="L125" s="35"/>
      <c r="M125" s="35"/>
      <c r="N125" s="35"/>
      <c r="O125" s="35"/>
    </row>
    <row r="126" spans="1:15" ht="15" hidden="1">
      <c r="A126" s="111">
        <v>21.5</v>
      </c>
      <c r="B126" s="112">
        <v>0.10144927536231885</v>
      </c>
      <c r="C126" s="113" t="str">
        <f t="shared" si="7"/>
        <v xml:space="preserve"> </v>
      </c>
      <c r="I126" s="110"/>
      <c r="J126" s="43"/>
      <c r="K126" s="43"/>
      <c r="L126" s="35"/>
      <c r="M126" s="35"/>
      <c r="N126" s="35"/>
      <c r="O126" s="35"/>
    </row>
    <row r="127" spans="1:15" ht="15" hidden="1">
      <c r="A127" s="111">
        <v>22</v>
      </c>
      <c r="B127" s="112">
        <v>9.420289855072464E-2</v>
      </c>
      <c r="C127" s="113" t="str">
        <f t="shared" si="7"/>
        <v xml:space="preserve"> </v>
      </c>
      <c r="I127" s="110"/>
      <c r="J127" s="43"/>
      <c r="K127" s="43"/>
      <c r="L127" s="35"/>
      <c r="M127" s="35"/>
      <c r="N127" s="35"/>
      <c r="O127" s="35"/>
    </row>
    <row r="128" spans="1:15" ht="15" hidden="1">
      <c r="A128" s="111">
        <v>22.5</v>
      </c>
      <c r="B128" s="112">
        <v>9.0579710144927536E-2</v>
      </c>
      <c r="C128" s="113" t="str">
        <f t="shared" si="7"/>
        <v xml:space="preserve"> </v>
      </c>
      <c r="I128" s="110"/>
      <c r="J128" s="43"/>
      <c r="K128" s="43"/>
      <c r="L128" s="35"/>
      <c r="M128" s="35"/>
      <c r="N128" s="35"/>
      <c r="O128" s="35"/>
    </row>
    <row r="129" spans="1:15" ht="15" hidden="1">
      <c r="A129" s="111">
        <v>23</v>
      </c>
      <c r="B129" s="112">
        <v>8.8405797101449274E-2</v>
      </c>
      <c r="C129" s="113" t="str">
        <f t="shared" si="7"/>
        <v xml:space="preserve"> </v>
      </c>
      <c r="I129" s="110"/>
      <c r="J129" s="43"/>
      <c r="K129" s="43"/>
      <c r="L129" s="35"/>
      <c r="M129" s="35"/>
      <c r="N129" s="35"/>
      <c r="O129" s="35"/>
    </row>
    <row r="130" spans="1:15" ht="15" hidden="1">
      <c r="A130" s="111">
        <v>23.5</v>
      </c>
      <c r="B130" s="112">
        <v>8.6956521739130432E-2</v>
      </c>
      <c r="C130" s="113" t="str">
        <f t="shared" si="7"/>
        <v xml:space="preserve"> </v>
      </c>
      <c r="I130" s="110"/>
      <c r="J130" s="43"/>
      <c r="K130" s="43"/>
      <c r="L130" s="35"/>
      <c r="M130" s="35"/>
      <c r="N130" s="35"/>
      <c r="O130" s="35"/>
    </row>
    <row r="131" spans="1:15" ht="15" hidden="1">
      <c r="A131" s="111">
        <v>24</v>
      </c>
      <c r="B131" s="112">
        <v>8.5507246376811605E-2</v>
      </c>
      <c r="C131" s="113" t="str">
        <f t="shared" si="7"/>
        <v xml:space="preserve"> </v>
      </c>
      <c r="I131" s="110"/>
      <c r="J131" s="43"/>
      <c r="K131" s="43"/>
      <c r="L131" s="35"/>
      <c r="M131" s="35"/>
      <c r="N131" s="35"/>
      <c r="O131" s="35"/>
    </row>
    <row r="132" spans="1:15" ht="15" hidden="1">
      <c r="A132" s="111">
        <v>24.5</v>
      </c>
      <c r="B132" s="112">
        <v>8.4057971014492749E-2</v>
      </c>
      <c r="C132" s="113" t="str">
        <f t="shared" si="7"/>
        <v xml:space="preserve"> </v>
      </c>
      <c r="I132" s="110"/>
      <c r="J132" s="43"/>
      <c r="K132" s="43"/>
      <c r="L132" s="35"/>
      <c r="M132" s="35"/>
      <c r="N132" s="35"/>
      <c r="O132" s="35"/>
    </row>
    <row r="133" spans="1:15" ht="15" hidden="1">
      <c r="A133" s="111">
        <v>25</v>
      </c>
      <c r="B133" s="112">
        <v>8.2608695652173922E-2</v>
      </c>
      <c r="C133" s="113" t="str">
        <f t="shared" si="7"/>
        <v xml:space="preserve"> </v>
      </c>
      <c r="I133" s="110"/>
      <c r="J133" s="43"/>
      <c r="K133" s="43"/>
      <c r="L133" s="35"/>
      <c r="M133" s="35"/>
      <c r="N133" s="35"/>
      <c r="O133" s="35"/>
    </row>
    <row r="134" spans="1:15" ht="15" hidden="1">
      <c r="A134" s="111">
        <v>25.5</v>
      </c>
      <c r="B134" s="112">
        <v>8.1884057971014501E-2</v>
      </c>
      <c r="C134" s="113" t="str">
        <f t="shared" si="7"/>
        <v xml:space="preserve"> </v>
      </c>
      <c r="I134" s="110"/>
      <c r="J134" s="43"/>
      <c r="K134" s="43"/>
      <c r="L134" s="35"/>
      <c r="M134" s="35"/>
      <c r="N134" s="35"/>
      <c r="O134" s="35"/>
    </row>
    <row r="135" spans="1:15" ht="15" hidden="1">
      <c r="A135" s="111">
        <v>26</v>
      </c>
      <c r="B135" s="112">
        <v>8.1159420289855067E-2</v>
      </c>
      <c r="C135" s="113" t="str">
        <f t="shared" si="7"/>
        <v xml:space="preserve"> </v>
      </c>
      <c r="I135" s="110"/>
      <c r="J135" s="43"/>
      <c r="K135" s="43"/>
      <c r="L135" s="35"/>
      <c r="M135" s="35"/>
      <c r="N135" s="35"/>
      <c r="O135" s="35"/>
    </row>
    <row r="136" spans="1:15" ht="15" hidden="1">
      <c r="A136" s="111">
        <v>26.5</v>
      </c>
      <c r="B136" s="112">
        <v>8.0434782608695646E-2</v>
      </c>
      <c r="C136" s="113" t="str">
        <f t="shared" si="7"/>
        <v xml:space="preserve"> </v>
      </c>
      <c r="I136" s="110"/>
      <c r="J136" s="43"/>
      <c r="K136" s="43"/>
      <c r="L136" s="35"/>
      <c r="M136" s="35"/>
      <c r="N136" s="35"/>
      <c r="O136" s="35"/>
    </row>
    <row r="137" spans="1:15" ht="15" hidden="1">
      <c r="A137" s="111">
        <v>27</v>
      </c>
      <c r="B137" s="112">
        <v>7.9710144927536225E-2</v>
      </c>
      <c r="C137" s="113" t="str">
        <f t="shared" si="7"/>
        <v xml:space="preserve"> </v>
      </c>
      <c r="I137" s="110"/>
      <c r="J137" s="43"/>
      <c r="K137" s="43"/>
      <c r="L137" s="35"/>
      <c r="M137" s="35"/>
      <c r="N137" s="35"/>
      <c r="O137" s="35"/>
    </row>
    <row r="138" spans="1:15" ht="15" hidden="1">
      <c r="A138" s="111">
        <v>27.5</v>
      </c>
      <c r="B138" s="112">
        <v>7.8985507246376818E-2</v>
      </c>
      <c r="C138" s="113" t="str">
        <f t="shared" si="7"/>
        <v xml:space="preserve"> </v>
      </c>
      <c r="I138" s="110"/>
      <c r="J138" s="43"/>
      <c r="K138" s="43"/>
      <c r="L138" s="35"/>
      <c r="M138" s="35"/>
      <c r="N138" s="35"/>
      <c r="O138" s="35"/>
    </row>
    <row r="139" spans="1:15" ht="15" hidden="1">
      <c r="A139" s="111">
        <v>28</v>
      </c>
      <c r="B139" s="112">
        <v>7.8260869565217397E-2</v>
      </c>
      <c r="C139" s="113" t="str">
        <f t="shared" si="7"/>
        <v xml:space="preserve"> </v>
      </c>
      <c r="I139" s="110"/>
      <c r="J139" s="43"/>
      <c r="K139" s="43"/>
      <c r="L139" s="35"/>
      <c r="M139" s="35"/>
      <c r="N139" s="35"/>
      <c r="O139" s="35"/>
    </row>
    <row r="140" spans="1:15" ht="15" hidden="1">
      <c r="A140" s="111">
        <v>28.5</v>
      </c>
      <c r="B140" s="112">
        <v>7.7536231884057963E-2</v>
      </c>
      <c r="C140" s="113" t="str">
        <f t="shared" si="7"/>
        <v xml:space="preserve"> </v>
      </c>
      <c r="I140" s="110"/>
      <c r="J140" s="43"/>
      <c r="K140" s="43"/>
      <c r="L140" s="35"/>
      <c r="M140" s="35"/>
      <c r="N140" s="35"/>
      <c r="O140" s="35"/>
    </row>
    <row r="141" spans="1:15" ht="15" hidden="1">
      <c r="A141" s="111">
        <v>29</v>
      </c>
      <c r="B141" s="112">
        <v>7.6811594202898542E-2</v>
      </c>
      <c r="C141" s="113" t="str">
        <f t="shared" si="7"/>
        <v xml:space="preserve"> </v>
      </c>
      <c r="I141" s="110"/>
      <c r="J141" s="43"/>
      <c r="K141" s="43"/>
      <c r="L141" s="35"/>
      <c r="M141" s="35"/>
      <c r="N141" s="35"/>
      <c r="O141" s="35"/>
    </row>
    <row r="142" spans="1:15" ht="15" hidden="1">
      <c r="A142" s="111">
        <v>29.5</v>
      </c>
      <c r="B142" s="112">
        <v>7.5362318840579715E-2</v>
      </c>
      <c r="C142" s="113" t="str">
        <f t="shared" si="7"/>
        <v xml:space="preserve"> </v>
      </c>
      <c r="I142" s="110"/>
      <c r="J142" s="43"/>
      <c r="K142" s="43"/>
      <c r="L142" s="35"/>
      <c r="M142" s="35"/>
      <c r="N142" s="35"/>
      <c r="O142" s="35"/>
    </row>
    <row r="143" spans="1:15" ht="15" hidden="1">
      <c r="A143" s="111">
        <v>30</v>
      </c>
      <c r="B143" s="112">
        <v>7.3913043478260859E-2</v>
      </c>
      <c r="C143" s="113" t="str">
        <f t="shared" si="7"/>
        <v xml:space="preserve"> </v>
      </c>
      <c r="I143" s="110"/>
      <c r="J143" s="43"/>
      <c r="K143" s="43"/>
      <c r="L143" s="35"/>
      <c r="M143" s="35"/>
      <c r="N143" s="35"/>
      <c r="O143" s="35"/>
    </row>
    <row r="144" spans="1:15" ht="15" hidden="1">
      <c r="A144" s="111">
        <v>30.5</v>
      </c>
      <c r="B144" s="112">
        <v>7.2463768115942032E-2</v>
      </c>
      <c r="C144" s="113" t="str">
        <f t="shared" si="7"/>
        <v xml:space="preserve"> </v>
      </c>
      <c r="I144" s="110"/>
      <c r="J144" s="43"/>
      <c r="K144" s="43"/>
      <c r="L144" s="35"/>
      <c r="M144" s="35"/>
      <c r="N144" s="35"/>
      <c r="O144" s="35"/>
    </row>
    <row r="145" spans="1:15" ht="15" hidden="1">
      <c r="A145" s="111">
        <v>31</v>
      </c>
      <c r="B145" s="112">
        <v>7.101449275362319E-2</v>
      </c>
      <c r="C145" s="113" t="str">
        <f t="shared" si="7"/>
        <v xml:space="preserve"> </v>
      </c>
      <c r="I145" s="110"/>
      <c r="J145" s="43"/>
      <c r="K145" s="43"/>
      <c r="L145" s="35"/>
      <c r="M145" s="35"/>
      <c r="N145" s="35"/>
      <c r="O145" s="35"/>
    </row>
    <row r="146" spans="1:15" ht="15" hidden="1">
      <c r="A146" s="111">
        <v>31.5</v>
      </c>
      <c r="B146" s="112">
        <v>6.9565217391304349E-2</v>
      </c>
      <c r="C146" s="113" t="str">
        <f t="shared" si="7"/>
        <v xml:space="preserve"> </v>
      </c>
      <c r="I146" s="110"/>
      <c r="J146" s="43"/>
      <c r="K146" s="43"/>
      <c r="L146" s="35"/>
      <c r="M146" s="35"/>
      <c r="N146" s="35"/>
      <c r="O146" s="35"/>
    </row>
    <row r="147" spans="1:15" ht="15" hidden="1">
      <c r="A147" s="111">
        <v>32</v>
      </c>
      <c r="B147" s="112">
        <v>6.8115942028985507E-2</v>
      </c>
      <c r="C147" s="113" t="str">
        <f t="shared" si="7"/>
        <v xml:space="preserve"> </v>
      </c>
      <c r="I147" s="110"/>
      <c r="J147" s="43"/>
      <c r="K147" s="43"/>
      <c r="L147" s="35"/>
      <c r="M147" s="35"/>
      <c r="N147" s="35"/>
      <c r="O147" s="35"/>
    </row>
    <row r="148" spans="1:15" ht="15" hidden="1">
      <c r="A148" s="111">
        <v>32.5</v>
      </c>
      <c r="B148" s="112">
        <v>6.6666666666666666E-2</v>
      </c>
      <c r="C148" s="113" t="str">
        <f t="shared" si="7"/>
        <v xml:space="preserve"> </v>
      </c>
      <c r="I148" s="110"/>
      <c r="J148" s="43"/>
      <c r="K148" s="43"/>
      <c r="L148" s="35"/>
      <c r="M148" s="35"/>
      <c r="N148" s="35"/>
      <c r="O148" s="35"/>
    </row>
    <row r="149" spans="1:15" ht="15" hidden="1">
      <c r="A149" s="111">
        <v>33</v>
      </c>
      <c r="B149" s="112">
        <v>6.5217391304347824E-2</v>
      </c>
      <c r="C149" s="113" t="str">
        <f t="shared" ref="C149:C150" si="9">IF(AND((A148&lt;$D$37),(A149&gt;=$D$37)),(B149-B148)/(A149-A148)*($D$37-A148)+B148," ")</f>
        <v xml:space="preserve"> </v>
      </c>
      <c r="I149" s="110"/>
      <c r="J149" s="43"/>
      <c r="K149" s="43"/>
      <c r="L149" s="35"/>
      <c r="M149" s="35"/>
      <c r="N149" s="35"/>
      <c r="O149" s="35"/>
    </row>
    <row r="150" spans="1:15" ht="15" hidden="1">
      <c r="A150" s="111">
        <v>33.5</v>
      </c>
      <c r="B150" s="112">
        <v>6.3768115942028997E-2</v>
      </c>
      <c r="C150" s="113" t="str">
        <f t="shared" si="9"/>
        <v xml:space="preserve"> </v>
      </c>
      <c r="I150" s="110"/>
      <c r="J150" s="43"/>
      <c r="K150" s="43"/>
      <c r="L150" s="35"/>
      <c r="M150" s="35"/>
      <c r="N150" s="35"/>
      <c r="O150" s="35"/>
    </row>
    <row r="151" spans="1:15" ht="15" hidden="1">
      <c r="A151" s="111">
        <v>34</v>
      </c>
      <c r="B151" s="112">
        <v>6.2318840579710141E-2</v>
      </c>
      <c r="C151" s="113" t="str">
        <f>IF($D$37&gt;=A151,B151,IF(AND((A150&lt;$D$37),(A151&gt;=$D$37)),(B151-B150)/(A151-A150)*($D$37-A150)+B150," "))</f>
        <v xml:space="preserve"> </v>
      </c>
      <c r="I151" s="110"/>
      <c r="J151" s="43"/>
      <c r="K151" s="43"/>
      <c r="L151" s="35"/>
      <c r="M151" s="35"/>
      <c r="N151" s="35"/>
      <c r="O151" s="35"/>
    </row>
    <row r="152" spans="1:15" ht="15" hidden="1">
      <c r="A152" s="118"/>
      <c r="B152" s="119">
        <f>$D$37</f>
        <v>12.666277660524445</v>
      </c>
      <c r="C152" s="120">
        <f>MAX(C83:C151)</f>
        <v>0.17995450970634461</v>
      </c>
    </row>
    <row r="153" spans="1:15" hidden="1"/>
    <row r="154" spans="1:15" hidden="1"/>
    <row r="155" spans="1:15" hidden="1"/>
    <row r="156" spans="1:15" hidden="1"/>
    <row r="157" spans="1:15" hidden="1"/>
    <row r="158" spans="1:15" hidden="1"/>
    <row r="159" spans="1:15" hidden="1"/>
    <row r="160" spans="1:15" hidden="1"/>
    <row r="161" hidden="1"/>
    <row r="162" hidden="1"/>
    <row r="163" hidden="1"/>
    <row r="164" hidden="1"/>
  </sheetData>
  <sheetProtection password="E250" sheet="1" objects="1" scenarios="1"/>
  <dataConsolidate/>
  <mergeCells count="62">
    <mergeCell ref="B57:Q57"/>
    <mergeCell ref="K76:M76"/>
    <mergeCell ref="B49:J49"/>
    <mergeCell ref="K49:L49"/>
    <mergeCell ref="B51:J51"/>
    <mergeCell ref="K51:L51"/>
    <mergeCell ref="B53:J53"/>
    <mergeCell ref="K53:L53"/>
    <mergeCell ref="K47:L47"/>
    <mergeCell ref="E32:F32"/>
    <mergeCell ref="H32:I32"/>
    <mergeCell ref="C33:D33"/>
    <mergeCell ref="E33:G33"/>
    <mergeCell ref="D35:P35"/>
    <mergeCell ref="D37:E37"/>
    <mergeCell ref="D39:E39"/>
    <mergeCell ref="D41:E41"/>
    <mergeCell ref="D43:E43"/>
    <mergeCell ref="D45:E45"/>
    <mergeCell ref="B47:J47"/>
    <mergeCell ref="J30:K30"/>
    <mergeCell ref="B20:G20"/>
    <mergeCell ref="H20:I20"/>
    <mergeCell ref="K20:L20"/>
    <mergeCell ref="B22:G22"/>
    <mergeCell ref="H22:I22"/>
    <mergeCell ref="A24:Q24"/>
    <mergeCell ref="F26:G26"/>
    <mergeCell ref="H26:I26"/>
    <mergeCell ref="F28:G28"/>
    <mergeCell ref="H28:I28"/>
    <mergeCell ref="B30:I30"/>
    <mergeCell ref="B16:G16"/>
    <mergeCell ref="H16:I16"/>
    <mergeCell ref="K16:L16"/>
    <mergeCell ref="B18:G18"/>
    <mergeCell ref="H18:I18"/>
    <mergeCell ref="K18:L18"/>
    <mergeCell ref="B14:G14"/>
    <mergeCell ref="H14:I14"/>
    <mergeCell ref="K14:L14"/>
    <mergeCell ref="A5:Q5"/>
    <mergeCell ref="C6:F6"/>
    <mergeCell ref="J6:N6"/>
    <mergeCell ref="O6:P6"/>
    <mergeCell ref="J7:N7"/>
    <mergeCell ref="O7:P7"/>
    <mergeCell ref="B8:D8"/>
    <mergeCell ref="E8:G8"/>
    <mergeCell ref="B12:G12"/>
    <mergeCell ref="H12:I12"/>
    <mergeCell ref="K12:L12"/>
    <mergeCell ref="C1:I4"/>
    <mergeCell ref="J1:K1"/>
    <mergeCell ref="L1:M1"/>
    <mergeCell ref="N1:Q4"/>
    <mergeCell ref="J2:K2"/>
    <mergeCell ref="L2:M2"/>
    <mergeCell ref="J3:K3"/>
    <mergeCell ref="L3:M3"/>
    <mergeCell ref="J4:K4"/>
    <mergeCell ref="L4:M4"/>
  </mergeCells>
  <conditionalFormatting sqref="D39">
    <cfRule type="cellIs" dxfId="5" priority="6" operator="equal">
      <formula>"N"</formula>
    </cfRule>
  </conditionalFormatting>
  <conditionalFormatting sqref="D37">
    <cfRule type="cellIs" dxfId="4" priority="5" operator="equal">
      <formula>"N"</formula>
    </cfRule>
  </conditionalFormatting>
  <conditionalFormatting sqref="D43:D44 D46">
    <cfRule type="cellIs" dxfId="3" priority="4" operator="equal">
      <formula>"N"</formula>
    </cfRule>
  </conditionalFormatting>
  <conditionalFormatting sqref="D45">
    <cfRule type="cellIs" dxfId="2" priority="3" operator="equal">
      <formula>"N"</formula>
    </cfRule>
  </conditionalFormatting>
  <conditionalFormatting sqref="D41">
    <cfRule type="cellIs" dxfId="1" priority="2" operator="equal">
      <formula>"N"</formula>
    </cfRule>
  </conditionalFormatting>
  <conditionalFormatting sqref="D45:E45">
    <cfRule type="cellIs" dxfId="0" priority="1" operator="greaterThan">
      <formula>450</formula>
    </cfRule>
  </conditionalFormatting>
  <dataValidations count="3">
    <dataValidation type="list" showInputMessage="1" showErrorMessage="1" prompt="K = 1.0 for Skirt Fully Insulated_x000a__x000a_K = 1.7 for Skirt Fireback Insulated_x000a__x000a_K = 2.7 for Skirt Non Insulated" sqref="H16:I16" xr:uid="{5E9A7E46-68D3-43CD-B87F-D5C4AA5BC1CD}">
      <formula1>$A$73:$A$75</formula1>
    </dataValidation>
    <dataValidation type="list" allowBlank="1" showInputMessage="1" showErrorMessage="1" sqref="H22:I22" xr:uid="{4ECFA1D2-5F0E-42B3-A8C4-91017E4A7F9A}">
      <formula1>$A$79:$A$80</formula1>
    </dataValidation>
    <dataValidation allowBlank="1" showInputMessage="1" showErrorMessage="1" prompt="IF T' IS GREATER THAN 450 DEG. C, USER NEEDS TO CHECK INPUT DATA FOR DESIGN TEMPERATURE" sqref="H14:I14" xr:uid="{3CEBDBE6-6575-4951-A2B4-F404204E4911}"/>
  </dataValidations>
  <printOptions horizontalCentered="1"/>
  <pageMargins left="0.74803149606299202" right="0.42" top="0.43307086614173201" bottom="0.17" header="0.39370078740157499" footer="0.27"/>
  <pageSetup paperSize="9" scale="61" orientation="portrait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DESIGN</vt:lpstr>
      <vt:lpstr>OPE</vt:lpstr>
      <vt:lpstr>MDMT</vt:lpstr>
      <vt:lpstr>DESIGN!Print_Area</vt:lpstr>
      <vt:lpstr>MDMT!Print_Area</vt:lpstr>
      <vt:lpstr>OPE!Print_Area</vt:lpstr>
    </vt:vector>
  </TitlesOfParts>
  <Company>Petrofac Int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olga.shiyapova</dc:creator>
  <cp:lastModifiedBy>S, Sairam</cp:lastModifiedBy>
  <cp:lastPrinted>2020-06-17T13:47:58Z</cp:lastPrinted>
  <dcterms:created xsi:type="dcterms:W3CDTF">2012-05-13T05:20:24Z</dcterms:created>
  <dcterms:modified xsi:type="dcterms:W3CDTF">2020-06-17T13:48:19Z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15ad2b-2b08-4b4b-ab33-60fb39cd9089_Enabled">
    <vt:lpwstr>true</vt:lpwstr>
  </property>
  <property fmtid="{D5CDD505-2E9C-101B-9397-08002B2CF9AE}" pid="3" name="MSIP_Label_f115ad2b-2b08-4b4b-ab33-60fb39cd9089_SetDate">
    <vt:lpwstr>2020-01-28T13:50:37Z</vt:lpwstr>
  </property>
  <property fmtid="{D5CDD505-2E9C-101B-9397-08002B2CF9AE}" pid="4" name="MSIP_Label_f115ad2b-2b08-4b4b-ab33-60fb39cd9089_Method">
    <vt:lpwstr>Standard</vt:lpwstr>
  </property>
  <property fmtid="{D5CDD505-2E9C-101B-9397-08002B2CF9AE}" pid="5" name="MSIP_Label_f115ad2b-2b08-4b4b-ab33-60fb39cd9089_Name">
    <vt:lpwstr>f115ad2b-2b08-4b4b-ab33-60fb39cd9089</vt:lpwstr>
  </property>
  <property fmtid="{D5CDD505-2E9C-101B-9397-08002B2CF9AE}" pid="6" name="MSIP_Label_f115ad2b-2b08-4b4b-ab33-60fb39cd9089_SiteId">
    <vt:lpwstr>16a4d712-85ca-455c-bba0-139c059e16e3</vt:lpwstr>
  </property>
  <property fmtid="{D5CDD505-2E9C-101B-9397-08002B2CF9AE}" pid="7" name="MSIP_Label_f115ad2b-2b08-4b4b-ab33-60fb39cd9089_ActionId">
    <vt:lpwstr>93a51981-8228-4723-95a0-0000dc933452</vt:lpwstr>
  </property>
  <property fmtid="{D5CDD505-2E9C-101B-9397-08002B2CF9AE}" pid="8" name="MSIP_Label_f115ad2b-2b08-4b4b-ab33-60fb39cd9089_ContentBits">
    <vt:lpwstr>0</vt:lpwstr>
  </property>
</Properties>
</file>