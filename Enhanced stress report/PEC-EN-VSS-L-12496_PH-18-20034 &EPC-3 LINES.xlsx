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D:\TINRHERT\01-SYS-003_004_005 SLUG UPDATED\SYS-004\SLUG CALC\"/>
    </mc:Choice>
  </mc:AlternateContent>
  <xr:revisionPtr revIDLastSave="0" documentId="13_ncr:1_{591D5A71-76A8-4424-86E9-4A0379C13C4F}" xr6:coauthVersionLast="40" xr6:coauthVersionMax="40" xr10:uidLastSave="{00000000-0000-0000-0000-000000000000}"/>
  <bookViews>
    <workbookView xWindow="0" yWindow="0" windowWidth="28800" windowHeight="12210" activeTab="1" xr2:uid="{00000000-000D-0000-FFFF-FFFF00000000}"/>
  </bookViews>
  <sheets>
    <sheet name="1.0 Content" sheetId="1" r:id="rId1"/>
    <sheet name="2.0 Calculation" sheetId="2" r:id="rId2"/>
  </sheets>
  <externalReferences>
    <externalReference r:id="rId3"/>
    <externalReference r:id="rId4"/>
    <externalReference r:id="rId5"/>
  </externalReferences>
  <definedNames>
    <definedName name="\0">#REF!</definedName>
    <definedName name="\c">#REF!</definedName>
    <definedName name="\e">#REF!</definedName>
    <definedName name="\f">#REF!</definedName>
    <definedName name="\i">#REF!</definedName>
    <definedName name="\j">#REF!</definedName>
    <definedName name="\m">#REF!</definedName>
    <definedName name="\n">#REF!</definedName>
    <definedName name="\P">#REF!</definedName>
    <definedName name="\s">#REF!</definedName>
    <definedName name="\t">#REF!</definedName>
    <definedName name="\x">#REF!</definedName>
    <definedName name="\z">#REF!</definedName>
    <definedName name="_a5">[0]!Module1.UNITOK</definedName>
    <definedName name="_a6">[0]!UNITOK</definedName>
    <definedName name="_APP1">#REF!</definedName>
    <definedName name="_APP2">#REF!</definedName>
    <definedName name="_APP3">#REF!</definedName>
    <definedName name="_APP4">#REF!</definedName>
    <definedName name="_BYE1">#REF!</definedName>
    <definedName name="_BYE2">#REF!</definedName>
    <definedName name="_BYE3">#REF!</definedName>
    <definedName name="_BYE4">#REF!</definedName>
    <definedName name="_CAL1">#REF!</definedName>
    <definedName name="_CAL2">#REF!</definedName>
    <definedName name="_CAL3">#REF!</definedName>
    <definedName name="_CAL4">#REF!</definedName>
    <definedName name="_CAN2">[0]!_CAN2</definedName>
    <definedName name="_CAN9">[0]!_CAN9</definedName>
    <definedName name="_CHK1">#REF!</definedName>
    <definedName name="_CHK2">#REF!</definedName>
    <definedName name="_CHK3">#REF!</definedName>
    <definedName name="_CHK4">#REF!</definedName>
    <definedName name="_DAT1">#REF!</definedName>
    <definedName name="_DAT2">#REF!</definedName>
    <definedName name="_DAT3">#REF!</definedName>
    <definedName name="_DAT4">#REF!</definedName>
    <definedName name="_DCS1">#REF!</definedName>
    <definedName name="_DCS2">#REF!</definedName>
    <definedName name="_ELP1">#REF!</definedName>
    <definedName name="_ELP2">#REF!</definedName>
    <definedName name="_ELP3">#REF!</definedName>
    <definedName name="_ELP4">#REF!</definedName>
    <definedName name="_FDT1">#REF!</definedName>
    <definedName name="_FDT2">#REF!</definedName>
    <definedName name="_FDT3">#REF!</definedName>
    <definedName name="_FDT4">#REF!</definedName>
    <definedName name="_HMB1">#REF!</definedName>
    <definedName name="_HMB2">#REF!</definedName>
    <definedName name="_IMP1">#REF!</definedName>
    <definedName name="_IMP2">#REF!</definedName>
    <definedName name="_IMP5">#REF!</definedName>
    <definedName name="_LIQ1">#REF!</definedName>
    <definedName name="_LIQ2">#REF!</definedName>
    <definedName name="_LIQ3">#REF!</definedName>
    <definedName name="_LIQ4">#REF!</definedName>
    <definedName name="_ODP1">#REF!</definedName>
    <definedName name="_ODP2">#REF!</definedName>
    <definedName name="_ODP3">#REF!</definedName>
    <definedName name="_ODP4">#REF!</definedName>
    <definedName name="_OPT8">[0]!_OPT8</definedName>
    <definedName name="_OPT9">[0]!_OPT9</definedName>
    <definedName name="_RAT1">#REF!</definedName>
    <definedName name="_RAT2">#REF!</definedName>
    <definedName name="_RAT3">#REF!</definedName>
    <definedName name="_RAT4">#REF!</definedName>
    <definedName name="_REV1">"Texte 161"</definedName>
    <definedName name="_REV2">"Texte 173"</definedName>
    <definedName name="_REV3">"Texte 167"</definedName>
    <definedName name="_REV4">"Texte 179"</definedName>
    <definedName name="_UPP1">#REF!</definedName>
    <definedName name="_UPP2">#REF!</definedName>
    <definedName name="_UPP3">#REF!</definedName>
    <definedName name="_UPP4">#REF!</definedName>
    <definedName name="_VIS1">#REF!</definedName>
    <definedName name="_VIS2">#REF!</definedName>
    <definedName name="_VIS3">#REF!</definedName>
    <definedName name="_VIS4">#REF!</definedName>
    <definedName name="_VP1">#REF!</definedName>
    <definedName name="_VP2">#REF!</definedName>
    <definedName name="_VP3">#REF!</definedName>
    <definedName name="_VP4">#REF!</definedName>
    <definedName name="ABPOW1">#REF!</definedName>
    <definedName name="ABPOW2">#REF!</definedName>
    <definedName name="ABPOW3">#REF!</definedName>
    <definedName name="ABPOW4">#REF!</definedName>
    <definedName name="ABPOWR">#REF!</definedName>
    <definedName name="aff">'[1]LV induction motors'!#REF!</definedName>
    <definedName name="ANPSH1">#REF!</definedName>
    <definedName name="ANPSH2">#REF!</definedName>
    <definedName name="ANPSH3">#REF!</definedName>
    <definedName name="ANPSH4">#REF!</definedName>
    <definedName name="ANPSHR">#REF!</definedName>
    <definedName name="APAGE">#REF!</definedName>
    <definedName name="APPROUVE1">"Texte 166"</definedName>
    <definedName name="APPROUVE2">"Texte 178"</definedName>
    <definedName name="APPROUVE3">"Texte 172"</definedName>
    <definedName name="APPROUVE4">"Texte 184"</definedName>
    <definedName name="AREA">#REF!</definedName>
    <definedName name="AUTRE_REF">"Texte 152"</definedName>
    <definedName name="BLKPAGE">#REF!</definedName>
    <definedName name="BPAGE">#REF!</definedName>
    <definedName name="C_">#REF!</definedName>
    <definedName name="CAL">#REF!</definedName>
    <definedName name="CALC2A">#REF!</definedName>
    <definedName name="CALC2B">#REF!</definedName>
    <definedName name="CALC2C">#REF!</definedName>
    <definedName name="CALC3A">#REF!</definedName>
    <definedName name="CALC3B">#REF!</definedName>
    <definedName name="CALC3C">#REF!</definedName>
    <definedName name="CALC4A">#REF!</definedName>
    <definedName name="CALC4B">#REF!</definedName>
    <definedName name="CALC4C">#REF!</definedName>
    <definedName name="CALCP1">#REF!</definedName>
    <definedName name="CALCP2">#REF!</definedName>
    <definedName name="CALCP3">#REF!</definedName>
    <definedName name="CALCR1">#REF!</definedName>
    <definedName name="CALCR2">#REF!</definedName>
    <definedName name="CASE1D">#REF!</definedName>
    <definedName name="CASE1U">#REF!</definedName>
    <definedName name="CASE2D">#REF!</definedName>
    <definedName name="CASE2U">#REF!</definedName>
    <definedName name="CASE3D">#REF!</definedName>
    <definedName name="CASE3U">#REF!</definedName>
    <definedName name="CASE4D">#REF!</definedName>
    <definedName name="CASE4U">#REF!</definedName>
    <definedName name="CASENO">#REF!</definedName>
    <definedName name="CASENUM">#REF!</definedName>
    <definedName name="CASEQ">#REF!</definedName>
    <definedName name="CHCOPY">#REF!</definedName>
    <definedName name="CHECK">#REF!</definedName>
    <definedName name="CLEANUP">#REF!</definedName>
    <definedName name="CLIENT">#REF!</definedName>
    <definedName name="CLIENT1">"Texte 153"</definedName>
    <definedName name="CLIENT2">"Texte 154"</definedName>
    <definedName name="CNAME1">#REF!</definedName>
    <definedName name="CNAME2">#REF!</definedName>
    <definedName name="CNAME3">#REF!</definedName>
    <definedName name="CNAME4">#REF!</definedName>
    <definedName name="CODP1">#REF!</definedName>
    <definedName name="CODP2">#REF!</definedName>
    <definedName name="CODP3">#REF!</definedName>
    <definedName name="CODP4">#REF!</definedName>
    <definedName name="CODPR">#REF!</definedName>
    <definedName name="CON">#REF!</definedName>
    <definedName name="CORRC">#REF!</definedName>
    <definedName name="CPAGE">#REF!</definedName>
    <definedName name="_xlnm.Criteria">#REF!</definedName>
    <definedName name="CVDP1">#REF!</definedName>
    <definedName name="CVDP2">#REF!</definedName>
    <definedName name="CVDP3">#REF!</definedName>
    <definedName name="CVDP4">#REF!</definedName>
    <definedName name="CVDPR">#REF!</definedName>
    <definedName name="DATA1D">#REF!</definedName>
    <definedName name="DATA1U">#REF!</definedName>
    <definedName name="DATA2D">#REF!</definedName>
    <definedName name="DATA2U">#REF!</definedName>
    <definedName name="DATA3D">#REF!</definedName>
    <definedName name="DATA3U">#REF!</definedName>
    <definedName name="DATA4D">#REF!</definedName>
    <definedName name="DATA4U">#REF!</definedName>
    <definedName name="_xlnm.Database">#REF!</definedName>
    <definedName name="DATE">#REF!</definedName>
    <definedName name="DATE1">"Texte 162"</definedName>
    <definedName name="DATE2">"Texte 174"</definedName>
    <definedName name="DATE3">"Texte 168"</definedName>
    <definedName name="DATE4">"Texte 180"</definedName>
    <definedName name="DCCASE1">#REF!</definedName>
    <definedName name="DCCASE2">#REF!</definedName>
    <definedName name="DCDATA1">#REF!</definedName>
    <definedName name="DCDATA2">#REF!</definedName>
    <definedName name="DCDOWN">#REF!</definedName>
    <definedName name="DCEND">#REF!</definedName>
    <definedName name="DCF">#REF!</definedName>
    <definedName name="DCFILE1">#REF!</definedName>
    <definedName name="DCFILE2">#REF!</definedName>
    <definedName name="DCFNO1">#REF!</definedName>
    <definedName name="DCFNO2">#REF!</definedName>
    <definedName name="DCSNO1">#REF!</definedName>
    <definedName name="DCSNO2">#REF!</definedName>
    <definedName name="DCSTRM1">#REF!</definedName>
    <definedName name="DCSTRM2">#REF!</definedName>
    <definedName name="DCUP">#REF!</definedName>
    <definedName name="DELPS">#REF!</definedName>
    <definedName name="DENS1">#REF!</definedName>
    <definedName name="DENS2">#REF!</definedName>
    <definedName name="DENS3">#REF!</definedName>
    <definedName name="DENS4">#REF!</definedName>
    <definedName name="DENSR">#REF!</definedName>
    <definedName name="DESIGNATION1">"Texte 163"</definedName>
    <definedName name="DESIGNATION2">"Texte 175"</definedName>
    <definedName name="DESIGNATION3">"Texte 169"</definedName>
    <definedName name="DESIGNATION4">"Texte 181"</definedName>
    <definedName name="DFDP1">#REF!</definedName>
    <definedName name="DFDP2">#REF!</definedName>
    <definedName name="DFDP3">#REF!</definedName>
    <definedName name="DFDP4">#REF!</definedName>
    <definedName name="DFDPR">#REF!</definedName>
    <definedName name="DISP1">#REF!</definedName>
    <definedName name="DISP2">#REF!</definedName>
    <definedName name="DISP3">#REF!</definedName>
    <definedName name="DISP4">#REF!</definedName>
    <definedName name="DISPR">#REF!</definedName>
    <definedName name="DOCNO">#REF!</definedName>
    <definedName name="DOWNP1">#REF!</definedName>
    <definedName name="DOWNP2">#REF!</definedName>
    <definedName name="DOWNP3">#REF!</definedName>
    <definedName name="DOWNP4">#REF!</definedName>
    <definedName name="DOWNPR">#REF!</definedName>
    <definedName name="DPAGE">#REF!</definedName>
    <definedName name="DRIVE">#REF!</definedName>
    <definedName name="DRIVER">#REF!</definedName>
    <definedName name="DSTHD">#REF!</definedName>
    <definedName name="DSTHD1">#REF!</definedName>
    <definedName name="DSTHD2">#REF!</definedName>
    <definedName name="DSTHD3">#REF!</definedName>
    <definedName name="DSTHD4">#REF!</definedName>
    <definedName name="DSTHDR">#REF!</definedName>
    <definedName name="DSTITLE">#REF!</definedName>
    <definedName name="ELPR">#REF!</definedName>
    <definedName name="EPAGE">#REF!</definedName>
    <definedName name="EQDP1">#REF!</definedName>
    <definedName name="EQDP2">#REF!</definedName>
    <definedName name="EQDP3">#REF!</definedName>
    <definedName name="EQDP4">#REF!</definedName>
    <definedName name="EQDPR">#REF!</definedName>
    <definedName name="EQUIP1">#REF!</definedName>
    <definedName name="EQUIP2">#REF!</definedName>
    <definedName name="EQUIPMENTLIST">#REF!</definedName>
    <definedName name="EQUIPMENTLISTINDEX">#REF!</definedName>
    <definedName name="EQUIPNO">#REF!</definedName>
    <definedName name="ERASE1">#REF!</definedName>
    <definedName name="ERASE2">#REF!</definedName>
    <definedName name="ERASE3">#REF!</definedName>
    <definedName name="ERASE4">#REF!</definedName>
    <definedName name="ETABLI1">"Texte 164"</definedName>
    <definedName name="ETABLI2">"Texte 176"</definedName>
    <definedName name="ETABLI3">"Texte 170"</definedName>
    <definedName name="ETABLI4">"Texte 182"</definedName>
    <definedName name="EXDP1">#REF!</definedName>
    <definedName name="EXDP2">#REF!</definedName>
    <definedName name="EXDP3">#REF!</definedName>
    <definedName name="EXDP4">#REF!</definedName>
    <definedName name="EXDPR">#REF!</definedName>
    <definedName name="FILENAME">#REF!</definedName>
    <definedName name="fin">"Texte 2,Texte 3,Texte 4,Texte 5,Texte 6,Texte 7,Texte 8,Texte 9,Texte 10,Texte 11,Texte 12,Texte 13,Texte 14,Trait 15,Trait 16,Trait 17,Trait 18,Trait 19,Trait 20,Trait 21,Trait 22,Trait 23,Rectangle 24,Trait 25,Rectangle 26,Texte 1"</definedName>
    <definedName name="FLG_RATING_TEMP">#REF!</definedName>
    <definedName name="FLGMAT150">#REF!</definedName>
    <definedName name="FLGMAT1500">#REF!</definedName>
    <definedName name="FLGMAT2500">#REF!</definedName>
    <definedName name="FLGMAT300">#REF!</definedName>
    <definedName name="FLGMAT400">#REF!</definedName>
    <definedName name="FLGMAT600">#REF!</definedName>
    <definedName name="FLGMAT900">#REF!</definedName>
    <definedName name="FPAGE">#REF!</definedName>
    <definedName name="Ft_Fac">#REF!</definedName>
    <definedName name="fv">#REF!</definedName>
    <definedName name="GETCASE">#REF!</definedName>
    <definedName name="GETCN">#REF!</definedName>
    <definedName name="HEADER">#REF!</definedName>
    <definedName name="HEADINGS">#REF!</definedName>
    <definedName name="Hor_regime">#REF!</definedName>
    <definedName name="HYDP1">#REF!</definedName>
    <definedName name="HYDP2">#REF!</definedName>
    <definedName name="HYDP3">#REF!</definedName>
    <definedName name="HYDP4">#REF!</definedName>
    <definedName name="HYDPR">#REF!</definedName>
    <definedName name="I">"Texte 149"</definedName>
    <definedName name="IMP0">#REF!</definedName>
    <definedName name="IMPC1D">#REF!</definedName>
    <definedName name="IMPC1U">#REF!</definedName>
    <definedName name="IMPC2D">#REF!</definedName>
    <definedName name="IMPC2U">#REF!</definedName>
    <definedName name="IMPC3D">#REF!</definedName>
    <definedName name="IMPC3U">#REF!</definedName>
    <definedName name="IMPC4D">#REF!</definedName>
    <definedName name="IMPC4U">#REF!</definedName>
    <definedName name="IMPEND">#REF!</definedName>
    <definedName name="IMPMENU">#REF!</definedName>
    <definedName name="INDP">#REF!</definedName>
    <definedName name="ITEM">"Texte 185"</definedName>
    <definedName name="JOB">#REF!</definedName>
    <definedName name="Legend">#REF!</definedName>
    <definedName name="LIEU1">"Texte 157"</definedName>
    <definedName name="LIEU2">"Texte 158"</definedName>
    <definedName name="Liq_Crit_Col">#REF!</definedName>
    <definedName name="Liq_Crit_Head">#REF!</definedName>
    <definedName name="Liq_pr_col">#REF!</definedName>
    <definedName name="liq_pr_dr_crit">#REF!</definedName>
    <definedName name="Liq_pr_head">#REF!</definedName>
    <definedName name="Liq_Vel_Crit">#REF!</definedName>
    <definedName name="LIQR">#REF!</definedName>
    <definedName name="Lq._Fr._No.">#REF!</definedName>
    <definedName name="MACRO">#REF!</definedName>
    <definedName name="Macro1">[0]!Macro1</definedName>
    <definedName name="Macro20">[0]!Macro20</definedName>
    <definedName name="MACROS">#REF!</definedName>
    <definedName name="MARGDP1">#REF!</definedName>
    <definedName name="MARGDP2">#REF!</definedName>
    <definedName name="MARGDP3">#REF!</definedName>
    <definedName name="MARGDP4">#REF!</definedName>
    <definedName name="MARGDPR">#REF!</definedName>
    <definedName name="MARGIN1">#REF!</definedName>
    <definedName name="MARGIN2">#REF!</definedName>
    <definedName name="MARGIN3">#REF!</definedName>
    <definedName name="MARGIN4">#REF!</definedName>
    <definedName name="MARGINR">#REF!</definedName>
    <definedName name="MAXDNP">#REF!</definedName>
    <definedName name="MAXDNT">#REF!</definedName>
    <definedName name="MAXSP1">#REF!</definedName>
    <definedName name="MAXSP2">#REF!</definedName>
    <definedName name="MAXSP3">#REF!</definedName>
    <definedName name="MAXSP4">#REF!</definedName>
    <definedName name="MAXSPR">#REF!</definedName>
    <definedName name="MAXUPP">#REF!</definedName>
    <definedName name="MAXUPT">#REF!</definedName>
    <definedName name="MENU1">#REF!</definedName>
    <definedName name="METDP1">#REF!</definedName>
    <definedName name="METDP2">#REF!</definedName>
    <definedName name="METDP3">#REF!</definedName>
    <definedName name="METDP4">#REF!</definedName>
    <definedName name="METDPR">#REF!</definedName>
    <definedName name="MINDNT">#REF!</definedName>
    <definedName name="MINUPT">#REF!</definedName>
    <definedName name="MISDP1">#REF!</definedName>
    <definedName name="MISDP2">#REF!</definedName>
    <definedName name="MISDP3">#REF!</definedName>
    <definedName name="MISDP4">#REF!</definedName>
    <definedName name="MISDPR">#REF!</definedName>
    <definedName name="Module1.NOTES">[0]!Module1.NOTES</definedName>
    <definedName name="Module1.UNITOK">[0]!Module1.UNITOK</definedName>
    <definedName name="motor">#REF!</definedName>
    <definedName name="MP_CLIENTREVISION0">#REF!</definedName>
    <definedName name="MP_CLIENTREVISION1">#REF!</definedName>
    <definedName name="MP_CLIENTREVISION2">#REF!</definedName>
    <definedName name="MP_DOCAPPROVER0">#REF!</definedName>
    <definedName name="MP_DOCAPPROVER1">#REF!</definedName>
    <definedName name="MP_DOCAPPROVER2">#REF!</definedName>
    <definedName name="MP_DOCCHECKER0">#REF!</definedName>
    <definedName name="MP_DOCCHECKER1">#REF!</definedName>
    <definedName name="MP_DOCCHECKER2">#REF!</definedName>
    <definedName name="MP_DOCID">#REF!</definedName>
    <definedName name="MP_DOCISSSTADAT">#REF!</definedName>
    <definedName name="MP_DOCISSSTADAT0">#REF!</definedName>
    <definedName name="MP_DOCISSSTADAT1">#REF!</definedName>
    <definedName name="MP_DOCISSSTADAT2">#REF!</definedName>
    <definedName name="MP_DOCREVDES0">#REF!</definedName>
    <definedName name="MP_DOCREVDES1">#REF!</definedName>
    <definedName name="MP_DOCREVDES2">#REF!</definedName>
    <definedName name="MP_EQ_002">#REF!</definedName>
    <definedName name="MP_EQ_003">#REF!</definedName>
    <definedName name="MP_EQ_004">#REF!</definedName>
    <definedName name="MP_EQ_005">#REF!</definedName>
    <definedName name="MP_EQ_006">#REF!</definedName>
    <definedName name="MP_EQ_007">#REF!</definedName>
    <definedName name="MP_EQ_008">#REF!</definedName>
    <definedName name="MP_EQ_009">#REF!</definedName>
    <definedName name="MP_EQ_010">#REF!</definedName>
    <definedName name="MP_EQ_011">#REF!</definedName>
    <definedName name="MP_EQ_012">#REF!</definedName>
    <definedName name="MP_EQ_013">#REF!</definedName>
    <definedName name="MP_EQ_014">#REF!</definedName>
    <definedName name="MP_EQ_015">#REF!</definedName>
    <definedName name="MP_EQ_016">#REF!</definedName>
    <definedName name="MP_EQ_017">#REF!</definedName>
    <definedName name="MP_EQ_018">#REF!</definedName>
    <definedName name="MP_EQ_019">#REF!</definedName>
    <definedName name="MP_EQ_020">#REF!</definedName>
    <definedName name="MP_EQ_021">#REF!</definedName>
    <definedName name="MP_EQ_022">#REF!</definedName>
    <definedName name="MP_EQ_023">#REF!</definedName>
    <definedName name="MP_EQ_024">#REF!</definedName>
    <definedName name="MP_EQ_025">#REF!</definedName>
    <definedName name="MP_EQ_026">#REF!</definedName>
    <definedName name="MP_EQ_027">#REF!</definedName>
    <definedName name="MP_EQ_028">#REF!</definedName>
    <definedName name="MP_EQ_029">#REF!</definedName>
    <definedName name="MP_EQ_030">#REF!</definedName>
    <definedName name="MP_EQ_031">#REF!</definedName>
    <definedName name="MP_EQ_032">#REF!</definedName>
    <definedName name="MP_EQ_033">#REF!</definedName>
    <definedName name="MP_EQ_034">#REF!</definedName>
    <definedName name="MP_EQ_035">#REF!</definedName>
    <definedName name="MP_EQ_036">#REF!</definedName>
    <definedName name="MP_EQ_037">#REF!</definedName>
    <definedName name="MP_EQ_038">#REF!</definedName>
    <definedName name="MP_EQ_039">#REF!</definedName>
    <definedName name="MP_EQ_040">#REF!</definedName>
    <definedName name="MP_EQ_041">#REF!</definedName>
    <definedName name="MP_EQ_042">#REF!</definedName>
    <definedName name="MP_EQ_043">#REF!</definedName>
    <definedName name="MP_EQ_044">#REF!</definedName>
    <definedName name="MP_EQ_045">#REF!</definedName>
    <definedName name="MP_EQ_046">#REF!</definedName>
    <definedName name="MP_EQ_047">#REF!</definedName>
    <definedName name="MP_EQ_048">#REF!</definedName>
    <definedName name="MP_EQ_049">#REF!</definedName>
    <definedName name="MP_EQ_050">#REF!</definedName>
    <definedName name="MP_EQDESC_002">#REF!</definedName>
    <definedName name="MP_EQDESC_003">#REF!</definedName>
    <definedName name="MP_EQDESC_004">#REF!</definedName>
    <definedName name="MP_EQDESC_005">#REF!</definedName>
    <definedName name="MP_EQDESC_006">#REF!</definedName>
    <definedName name="MP_EQDESC_007">#REF!</definedName>
    <definedName name="MP_EQDESC_008">#REF!</definedName>
    <definedName name="MP_EQDESC_009">#REF!</definedName>
    <definedName name="MP_EQDESC_010">#REF!</definedName>
    <definedName name="MP_EQDESC_011">#REF!</definedName>
    <definedName name="MP_EQDESC_012">#REF!</definedName>
    <definedName name="MP_EQDESC_013">#REF!</definedName>
    <definedName name="MP_EQDESC_014">#REF!</definedName>
    <definedName name="MP_EQDESC_015">#REF!</definedName>
    <definedName name="MP_EQDESC_016">#REF!</definedName>
    <definedName name="MP_EQDESC_017">#REF!</definedName>
    <definedName name="MP_EQDESC_018">#REF!</definedName>
    <definedName name="MP_EQDESC_019">#REF!</definedName>
    <definedName name="MP_EQDESC_020">#REF!</definedName>
    <definedName name="MP_EQDESC_021">#REF!</definedName>
    <definedName name="MP_EQDESC_022">#REF!</definedName>
    <definedName name="MP_EQDESC_023">#REF!</definedName>
    <definedName name="MP_EQDESC_024">#REF!</definedName>
    <definedName name="MP_EQDESC_025">#REF!</definedName>
    <definedName name="MP_EQDESC_026">#REF!</definedName>
    <definedName name="MP_EQDESC_027">#REF!</definedName>
    <definedName name="MP_EQDESC_028">#REF!</definedName>
    <definedName name="MP_EQDESC_029">#REF!</definedName>
    <definedName name="MP_EQDESC_030">#REF!</definedName>
    <definedName name="MP_EQDESC_031">#REF!</definedName>
    <definedName name="MP_EQDESC_032">#REF!</definedName>
    <definedName name="MP_EQDESC_033">#REF!</definedName>
    <definedName name="MP_EQDESC_034">#REF!</definedName>
    <definedName name="MP_EQDESC_035">#REF!</definedName>
    <definedName name="MP_EQDESC_036">#REF!</definedName>
    <definedName name="MP_EQDESC_037">#REF!</definedName>
    <definedName name="MP_EQDESC_038">#REF!</definedName>
    <definedName name="MP_EQDESC_039">#REF!</definedName>
    <definedName name="MP_EQDESC_040">#REF!</definedName>
    <definedName name="MP_EQDESC_041">#REF!</definedName>
    <definedName name="MP_EQDESC_042">#REF!</definedName>
    <definedName name="MP_EQDESC_043">#REF!</definedName>
    <definedName name="MP_EQDESC_044">#REF!</definedName>
    <definedName name="MP_EQDESC_045">#REF!</definedName>
    <definedName name="MP_EQDESC_046">#REF!</definedName>
    <definedName name="MP_EQDESC_047">#REF!</definedName>
    <definedName name="MP_EQDESC_048">#REF!</definedName>
    <definedName name="MP_EQDESC_049">#REF!</definedName>
    <definedName name="MP_EQDESC_050">#REF!</definedName>
    <definedName name="MP_EQUIPDESC">#REF!</definedName>
    <definedName name="MP_EQUIPNR">#REF!</definedName>
    <definedName name="MP_EXTREVISION">#REF!</definedName>
    <definedName name="MP_ORIGIN0">#REF!</definedName>
    <definedName name="MP_ORIGIN1">#REF!</definedName>
    <definedName name="MP_ORIGIN2">#REF!</definedName>
    <definedName name="MP_PROCLIENT">#REF!</definedName>
    <definedName name="MP_PROJECTNAME">#REF!</definedName>
    <definedName name="MP_PROLOCATION">#REF!</definedName>
    <definedName name="MP_PROSHORTNAME">#REF!</definedName>
    <definedName name="MP_REQSUBCNO">#REF!</definedName>
    <definedName name="MP_WRDSENDERGRPCOD">#REF!</definedName>
    <definedName name="naff">[2]Alternator!#REF!</definedName>
    <definedName name="NETP1">#REF!</definedName>
    <definedName name="NETP2">#REF!</definedName>
    <definedName name="NETP3">#REF!</definedName>
    <definedName name="NETP4">#REF!</definedName>
    <definedName name="NETPR">#REF!</definedName>
    <definedName name="NOMDOC">'[1]LV induction motors'!#REF!</definedName>
    <definedName name="NoPlan">"Texte 148"</definedName>
    <definedName name="NOTE">#REF!</definedName>
    <definedName name="NOTE0">#REF!</definedName>
    <definedName name="NOTE1">#REF!</definedName>
    <definedName name="NOTE4">#REF!</definedName>
    <definedName name="NOTESPC">#REF!</definedName>
    <definedName name="NPSHAV1">#REF!</definedName>
    <definedName name="NPSHAV2">#REF!</definedName>
    <definedName name="NPSHAV3">#REF!</definedName>
    <definedName name="NPSHAV4">#REF!</definedName>
    <definedName name="NPSHAVR">#REF!</definedName>
    <definedName name="NTMENU">#REF!</definedName>
    <definedName name="NUMSPEC">[2]Alternator!#REF!</definedName>
    <definedName name="ODPR">#REF!</definedName>
    <definedName name="OUTDP">#REF!</definedName>
    <definedName name="PAGE">"Texte 150"</definedName>
    <definedName name="PAGE1">#REF!</definedName>
    <definedName name="PAGE2">#REF!</definedName>
    <definedName name="PAGE3">#REF!</definedName>
    <definedName name="PAGE4">#REF!</definedName>
    <definedName name="PAGE7">#REF!</definedName>
    <definedName name="PCALCR">#REF!</definedName>
    <definedName name="PEFF1">#REF!</definedName>
    <definedName name="PEFF2">#REF!</definedName>
    <definedName name="PEFF3">#REF!</definedName>
    <definedName name="PEFF4">#REF!</definedName>
    <definedName name="PEFFR">#REF!</definedName>
    <definedName name="PERC1">#REF!</definedName>
    <definedName name="PERC2">#REF!</definedName>
    <definedName name="PERC3">#REF!</definedName>
    <definedName name="PERC4">#REF!</definedName>
    <definedName name="PERCENT">#REF!</definedName>
    <definedName name="PERMES">#REF!</definedName>
    <definedName name="PRCALC1">#REF!</definedName>
    <definedName name="PRCALC2">#REF!</definedName>
    <definedName name="PRCALC3">#REF!</definedName>
    <definedName name="PRCALC4">#REF!</definedName>
    <definedName name="Pressure_Drop_Criteria">#REF!</definedName>
    <definedName name="Pressure_Drop_Size">#REF!</definedName>
    <definedName name="Pressure_Drop_Type">#REF!</definedName>
    <definedName name="_xlnm.Print_Area" localSheetId="0">'1.0 Content'!$A$1:$J$126</definedName>
    <definedName name="_xlnm.Print_Area" localSheetId="1">'2.0 Calculation'!$A$1:$M$50</definedName>
    <definedName name="Print_Area_MI">#REF!</definedName>
    <definedName name="_xlnm.Print_Titles" localSheetId="0">'1.0 Content'!$31:$32</definedName>
    <definedName name="PRINT1">#REF!</definedName>
    <definedName name="PRINT2">#REF!</definedName>
    <definedName name="PRINT3">#REF!</definedName>
    <definedName name="PRINTD">#REF!</definedName>
    <definedName name="PRNTEND">#REF!</definedName>
    <definedName name="PRNTMSG">#REF!</definedName>
    <definedName name="PRNTSCRN">#REF!</definedName>
    <definedName name="PROJECT">#REF!</definedName>
    <definedName name="PUMPDP1">#REF!</definedName>
    <definedName name="PUMPDP2">#REF!</definedName>
    <definedName name="PUMPDP3">#REF!</definedName>
    <definedName name="PUMPDP4">#REF!</definedName>
    <definedName name="PUMPDPR">#REF!</definedName>
    <definedName name="PUMPHD1">#REF!</definedName>
    <definedName name="PUMPHD2">#REF!</definedName>
    <definedName name="PUMPHD3">#REF!</definedName>
    <definedName name="PUMPHD4">#REF!</definedName>
    <definedName name="PUMPHDR">#REF!</definedName>
    <definedName name="QUIT">#REF!</definedName>
    <definedName name="RATED">#REF!</definedName>
    <definedName name="RATNO1">#REF!</definedName>
    <definedName name="RATNO2">#REF!</definedName>
    <definedName name="REF_CLIENT1">"Texte 155"</definedName>
    <definedName name="REF_CLIENT2">"Texte 156"</definedName>
    <definedName name="RESET">#REF!</definedName>
    <definedName name="REV">#REF!</definedName>
    <definedName name="Révision">#REF!</definedName>
    <definedName name="REVNAME1">#REF!</definedName>
    <definedName name="REVNAME2">#REF!</definedName>
    <definedName name="REVNAME3">#REF!</definedName>
    <definedName name="REVNAME4">#REF!</definedName>
    <definedName name="REVNO">#REF!</definedName>
    <definedName name="RNT">#REF!</definedName>
    <definedName name="RSOFF1">#REF!</definedName>
    <definedName name="RSOFF2">#REF!</definedName>
    <definedName name="RSOFF3">#REF!</definedName>
    <definedName name="RSOFF4">#REF!</definedName>
    <definedName name="RSOFFR">#REF!</definedName>
    <definedName name="RTBRNCH">#REF!</definedName>
    <definedName name="SAVE">#REF!</definedName>
    <definedName name="Schedule">#REF!</definedName>
    <definedName name="sds">#REF!</definedName>
    <definedName name="SERVICE">"Texte 151"</definedName>
    <definedName name="SET">#REF!</definedName>
    <definedName name="SET0">#REF!</definedName>
    <definedName name="SFDP1">#REF!</definedName>
    <definedName name="SFDP2">#REF!</definedName>
    <definedName name="SFDP3">#REF!</definedName>
    <definedName name="SFDP4">#REF!</definedName>
    <definedName name="SFDPR">#REF!</definedName>
    <definedName name="Sheet1">#REF!</definedName>
    <definedName name="Sheet2">'[3]Electrical Load List'!#REF!</definedName>
    <definedName name="Sheet3">'[3]Electrical Load List'!#REF!</definedName>
    <definedName name="Sheet4">'[3]Electrical Load List'!#REF!</definedName>
    <definedName name="Sheet5">'[3]Electrical Load List'!#REF!</definedName>
    <definedName name="Sheet6">'[3]Electrical Load List'!#REF!</definedName>
    <definedName name="SHUTR">#REF!</definedName>
    <definedName name="sigle">'[1]LV induction motors'!#REF!</definedName>
    <definedName name="SKETCH">#REF!</definedName>
    <definedName name="SKTCH1">#REF!</definedName>
    <definedName name="SKTCH2">#REF!</definedName>
    <definedName name="SRCEP1">#REF!</definedName>
    <definedName name="SRCEP2">#REF!</definedName>
    <definedName name="SRCEP3">#REF!</definedName>
    <definedName name="SRCEP4">#REF!</definedName>
    <definedName name="SRCEPR">#REF!</definedName>
    <definedName name="SSTHD">#REF!</definedName>
    <definedName name="SSTHD1">#REF!</definedName>
    <definedName name="SSTHD2">#REF!</definedName>
    <definedName name="SSTHD3">#REF!</definedName>
    <definedName name="SSTHD4">#REF!</definedName>
    <definedName name="SSTHDR">#REF!</definedName>
    <definedName name="STAN">#REF!</definedName>
    <definedName name="STRM1D">#REF!</definedName>
    <definedName name="STRM1U">#REF!</definedName>
    <definedName name="STRM2D">#REF!</definedName>
    <definedName name="STRM2U">#REF!</definedName>
    <definedName name="STRM3D">#REF!</definedName>
    <definedName name="STRM3U">#REF!</definedName>
    <definedName name="STRM4D">#REF!</definedName>
    <definedName name="STRM4U">#REF!</definedName>
    <definedName name="STRMESS">#REF!</definedName>
    <definedName name="STRMNAME">#REF!</definedName>
    <definedName name="SUBHEADER">#REF!</definedName>
    <definedName name="SUCDPR">#REF!</definedName>
    <definedName name="SUCP1">#REF!</definedName>
    <definedName name="SUCP2">#REF!</definedName>
    <definedName name="SUCP3">#REF!</definedName>
    <definedName name="SUCP4">#REF!</definedName>
    <definedName name="SYSTEM">#REF!</definedName>
    <definedName name="TEMP1">#REF!</definedName>
    <definedName name="TEMP2">#REF!</definedName>
    <definedName name="TEMP3">#REF!</definedName>
    <definedName name="TEMP4">#REF!</definedName>
    <definedName name="TEMPR">#REF!</definedName>
    <definedName name="titre1">'[1]LV induction motors'!#REF!</definedName>
    <definedName name="titre2">'[1]LV induction motors'!#REF!</definedName>
    <definedName name="titreb">'[1]LV induction motors'!#REF!</definedName>
    <definedName name="titreb2">[2]Alternator!#REF!</definedName>
    <definedName name="TKW">#REF!</definedName>
    <definedName name="UNITE1">"Texte 159"</definedName>
    <definedName name="UNITE2">"Texte 160"</definedName>
    <definedName name="UNITOK">[0]!UNITOK</definedName>
    <definedName name="UPPR">#REF!</definedName>
    <definedName name="Ver_Regime">#REF!</definedName>
    <definedName name="VERIFIE1">"Texte 165"</definedName>
    <definedName name="VERIFIE2">"Texte 177"</definedName>
    <definedName name="VERIFIE3">"Texte 171"</definedName>
    <definedName name="VERIFIE4">"Texte 183"</definedName>
    <definedName name="VFLOW1">#REF!</definedName>
    <definedName name="VFLOW2">#REF!</definedName>
    <definedName name="VFLOW3">#REF!</definedName>
    <definedName name="VFLOW4">#REF!</definedName>
    <definedName name="VFLOWR">#REF!</definedName>
    <definedName name="VISR">#REF!</definedName>
    <definedName name="VPR">#REF!</definedName>
    <definedName name="WALLTHK" localSheetId="1">#REF!</definedName>
    <definedName name="WALLTHK">#REF!</definedName>
    <definedName name="WFLOW">#REF!</definedName>
    <definedName name="WFLOW1">#REF!</definedName>
    <definedName name="WFLOW2">#REF!</definedName>
    <definedName name="WFLOW3">#REF!</definedName>
    <definedName name="WFLOW4">#REF!</definedName>
    <definedName name="WFLOWR">#REF!</definedName>
    <definedName name="Zone_impres_MI">#REF!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45" i="2" l="1"/>
  <c r="J45" i="2" s="1"/>
  <c r="H46" i="2"/>
  <c r="J46" i="2" s="1"/>
  <c r="I45" i="2" l="1"/>
  <c r="I46" i="2"/>
  <c r="H28" i="2"/>
  <c r="J28" i="2" l="1"/>
  <c r="H26" i="2" l="1"/>
  <c r="I26" i="2" s="1"/>
  <c r="J26" i="2" l="1"/>
  <c r="H44" i="2"/>
  <c r="H43" i="2"/>
  <c r="H42" i="2"/>
  <c r="H41" i="2"/>
  <c r="H40" i="2"/>
  <c r="H39" i="2"/>
  <c r="H38" i="2"/>
  <c r="H37" i="2"/>
  <c r="H36" i="2"/>
  <c r="H35" i="2"/>
  <c r="H34" i="2"/>
  <c r="H33" i="2"/>
  <c r="H32" i="2"/>
  <c r="H31" i="2"/>
  <c r="H30" i="2"/>
  <c r="H29" i="2"/>
  <c r="I28" i="2"/>
  <c r="H27" i="2"/>
  <c r="I38" i="2" l="1"/>
  <c r="J38" i="2"/>
  <c r="I30" i="2"/>
  <c r="J30" i="2"/>
  <c r="I27" i="2"/>
  <c r="J27" i="2"/>
  <c r="I35" i="2"/>
  <c r="J35" i="2"/>
  <c r="I39" i="2"/>
  <c r="J39" i="2"/>
  <c r="I43" i="2"/>
  <c r="J43" i="2"/>
  <c r="I32" i="2"/>
  <c r="J32" i="2"/>
  <c r="I40" i="2"/>
  <c r="J40" i="2"/>
  <c r="I44" i="2"/>
  <c r="J44" i="2"/>
  <c r="I29" i="2"/>
  <c r="J29" i="2"/>
  <c r="I33" i="2"/>
  <c r="J33" i="2"/>
  <c r="I37" i="2"/>
  <c r="J37" i="2"/>
  <c r="I41" i="2"/>
  <c r="J41" i="2"/>
  <c r="I36" i="2"/>
  <c r="J36" i="2"/>
  <c r="I34" i="2"/>
  <c r="J34" i="2"/>
  <c r="I42" i="2"/>
  <c r="J42" i="2"/>
  <c r="I31" i="2"/>
  <c r="J3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Banakar, Girish</author>
  </authors>
  <commentList>
    <comment ref="B4" authorId="0" shapeId="0" xr:uid="{00000000-0006-0000-0100-000001000000}">
      <text>
        <r>
          <rPr>
            <sz val="10"/>
            <color indexed="81"/>
            <rFont val="Trebuchet MS"/>
            <family val="2"/>
          </rPr>
          <t>Mention Stress Report Document Number.</t>
        </r>
      </text>
    </comment>
  </commentList>
</comments>
</file>

<file path=xl/sharedStrings.xml><?xml version="1.0" encoding="utf-8"?>
<sst xmlns="http://schemas.openxmlformats.org/spreadsheetml/2006/main" count="156" uniqueCount="134">
  <si>
    <t>Document Number</t>
  </si>
  <si>
    <t>Revision</t>
  </si>
  <si>
    <t>Applicability</t>
  </si>
  <si>
    <t>Document Type</t>
  </si>
  <si>
    <t>Spread Sheet</t>
  </si>
  <si>
    <t>REVISION / APPROVAL HISTORY</t>
  </si>
  <si>
    <t>Rev</t>
  </si>
  <si>
    <t>Date</t>
  </si>
  <si>
    <t>Description of Change</t>
  </si>
  <si>
    <t>Reviewer</t>
  </si>
  <si>
    <t>Approver</t>
  </si>
  <si>
    <t>Document  Title</t>
  </si>
  <si>
    <t>CONTENTS</t>
  </si>
  <si>
    <t>PURPOSE</t>
  </si>
  <si>
    <t>SCOPE</t>
  </si>
  <si>
    <t>DEFINITIONS AND ACRONYMS</t>
  </si>
  <si>
    <t>Definitions</t>
  </si>
  <si>
    <t>Acronyms</t>
  </si>
  <si>
    <t xml:space="preserve">REFERENCES </t>
  </si>
  <si>
    <t xml:space="preserve">RESPONSIBILITY &amp; AUTHORITY </t>
  </si>
  <si>
    <t>DESCRIPTION OF ACTIVITIES</t>
  </si>
  <si>
    <t>RECORDS</t>
  </si>
  <si>
    <t>APPENDICES</t>
  </si>
  <si>
    <t>1.0    PURPOSE</t>
  </si>
  <si>
    <t>2.0    SCOPE</t>
  </si>
  <si>
    <t>3.0     DEFINITIONS AND ACRONYMS</t>
  </si>
  <si>
    <t>3.1    Definitions</t>
  </si>
  <si>
    <t>3.2    Acronyms</t>
  </si>
  <si>
    <t xml:space="preserve">4.0    REFERENCES </t>
  </si>
  <si>
    <t xml:space="preserve">5.0    RESPONSIBILITY &amp; AUTHORITY </t>
  </si>
  <si>
    <t>6.0    DESCRIPTION OF ACTIVITIES</t>
  </si>
  <si>
    <t>7.0    RECORDS</t>
  </si>
  <si>
    <t>8.0    APPENDICES</t>
  </si>
  <si>
    <t>Records of approval are retained in the QMS</t>
  </si>
  <si>
    <t>Developer</t>
  </si>
  <si>
    <t>Approved</t>
  </si>
  <si>
    <t>Girish Banakar</t>
  </si>
  <si>
    <t>This spread sheet describes the procedure to be followed for calculating Slug Load. This needs to be used while performing stress analysis calculations for projects/proposals.</t>
  </si>
  <si>
    <t>N/A</t>
  </si>
  <si>
    <t xml:space="preserve">N/A
</t>
  </si>
  <si>
    <t>All Stress Engineers are the main users. Approval &amp; checking responsibility lies with
Lead/Area Lead Stress Engineer.</t>
  </si>
  <si>
    <t>This spread sheet is used for calculating Slug load.</t>
  </si>
  <si>
    <t>The user shall fill data in the cells highlighted yellow only.</t>
  </si>
  <si>
    <t>Spreadsheet calculates the value of cells highlighted in green.</t>
  </si>
  <si>
    <t>When Slug Load calculation is to be carried out for a specific stress system (e.g. SYS-XXX), copy only sheet "2.0 Calculation" to the appropriate folder of the stress system. Rename the Excel file as "Slug Load Calculation-SYS-XXX" .</t>
  </si>
  <si>
    <t>Excel sheets created as per steps 6.4 above need to be printed to "Abode PDF" before submitting final soft files for stress analysis. It shall not be submitted in Excel format.</t>
  </si>
  <si>
    <t>7.1</t>
  </si>
  <si>
    <t>If the calculations have to be submitted as an independent document or as part of any other document, then only sheets Appendix 1: "2.0 Calculation" shall be submitted.</t>
  </si>
  <si>
    <t>7.2</t>
  </si>
  <si>
    <t>This spreadsheet has been validated in accordance with doc. no. PEC-EN-PRO-X-0032, Software &amp; Spreadsheet Validation.</t>
  </si>
  <si>
    <t>7.3</t>
  </si>
  <si>
    <t>7.4</t>
  </si>
  <si>
    <t>The validation has been performed by the following persons:</t>
  </si>
  <si>
    <t>Discipline Engineer:</t>
  </si>
  <si>
    <t>Discipline Checker:</t>
  </si>
  <si>
    <t>Krishnan Anantha</t>
  </si>
  <si>
    <t>Independent Tester:</t>
  </si>
  <si>
    <t>Lead Discipline Engineer :</t>
  </si>
  <si>
    <t>Ratul Barkataki</t>
  </si>
  <si>
    <t>Project:</t>
  </si>
  <si>
    <t>Rev.</t>
  </si>
  <si>
    <t>Client:</t>
  </si>
  <si>
    <t>Date :</t>
  </si>
  <si>
    <t>Job No:</t>
  </si>
  <si>
    <t>Prep. By:</t>
  </si>
  <si>
    <t>Doc No:</t>
  </si>
  <si>
    <t>Chkd. By:</t>
  </si>
  <si>
    <t>[m/sec]</t>
  </si>
  <si>
    <t>[N]</t>
  </si>
  <si>
    <r>
      <t>[Kg/m</t>
    </r>
    <r>
      <rPr>
        <vertAlign val="superscript"/>
        <sz val="12"/>
        <rFont val="Trebuchet MS"/>
        <family val="2"/>
      </rPr>
      <t>3]</t>
    </r>
  </si>
  <si>
    <t>SL NO</t>
  </si>
  <si>
    <t>PIPE OUTSIDE DIA. D                       [mm]</t>
  </si>
  <si>
    <t>WALL THK, t                      [mm]</t>
  </si>
  <si>
    <t>REMARKS</t>
  </si>
  <si>
    <t>F1</t>
  </si>
  <si>
    <t>F2</t>
  </si>
  <si>
    <t>F3</t>
  </si>
  <si>
    <t>F4</t>
  </si>
  <si>
    <t>F5</t>
  </si>
  <si>
    <t>F6</t>
  </si>
  <si>
    <t>F7</t>
  </si>
  <si>
    <t>NOTES :</t>
  </si>
  <si>
    <t>1)</t>
  </si>
  <si>
    <t>PEC-EN-VSS-L-12496</t>
  </si>
  <si>
    <t>ALL</t>
  </si>
  <si>
    <r>
      <t>F</t>
    </r>
    <r>
      <rPr>
        <b/>
        <vertAlign val="subscript"/>
        <sz val="10"/>
        <rFont val="Trebuchet MS"/>
        <family val="2"/>
      </rPr>
      <t xml:space="preserve">axial </t>
    </r>
    <r>
      <rPr>
        <b/>
        <sz val="10"/>
        <rFont val="Trebuchet MS"/>
        <family val="2"/>
      </rPr>
      <t xml:space="preserve"> [N]</t>
    </r>
  </si>
  <si>
    <r>
      <t>F</t>
    </r>
    <r>
      <rPr>
        <b/>
        <vertAlign val="subscript"/>
        <sz val="10"/>
        <rFont val="Trebuchet MS"/>
        <family val="2"/>
      </rPr>
      <t xml:space="preserve">orthogonal </t>
    </r>
    <r>
      <rPr>
        <b/>
        <sz val="10"/>
        <rFont val="Trebuchet MS"/>
        <family val="2"/>
      </rPr>
      <t xml:space="preserve"> [N]</t>
    </r>
  </si>
  <si>
    <t>LOAD
CASE</t>
  </si>
  <si>
    <r>
      <t>AREA</t>
    </r>
    <r>
      <rPr>
        <b/>
        <sz val="10"/>
        <rFont val="Trebuchet MS"/>
        <family val="2"/>
      </rPr>
      <t xml:space="preserve"> [m</t>
    </r>
    <r>
      <rPr>
        <b/>
        <vertAlign val="superscript"/>
        <sz val="10"/>
        <rFont val="Trebuchet MS"/>
        <family val="2"/>
      </rPr>
      <t>2</t>
    </r>
    <r>
      <rPr>
        <b/>
        <sz val="10"/>
        <rFont val="Trebuchet MS"/>
        <family val="2"/>
      </rPr>
      <t>]</t>
    </r>
  </si>
  <si>
    <t>STRESS SYSTEM NO :</t>
  </si>
  <si>
    <t>PROCESS INPUT DATA :</t>
  </si>
  <si>
    <r>
      <t>F</t>
    </r>
    <r>
      <rPr>
        <b/>
        <vertAlign val="subscript"/>
        <sz val="12"/>
        <rFont val="Trebuchet MS"/>
        <family val="2"/>
      </rPr>
      <t xml:space="preserve">axial </t>
    </r>
    <r>
      <rPr>
        <b/>
        <sz val="12"/>
        <rFont val="Trebuchet MS"/>
        <family val="2"/>
      </rPr>
      <t>=</t>
    </r>
  </si>
  <si>
    <t>[m2]</t>
  </si>
  <si>
    <t>AREA :</t>
  </si>
  <si>
    <t xml:space="preserve"> SLUG FORCES AT EFFECTED ELBOW  &amp; TEE ARE :</t>
  </si>
  <si>
    <t>NODE NO</t>
  </si>
  <si>
    <t>ELBOW</t>
  </si>
  <si>
    <t>TEE</t>
  </si>
  <si>
    <t>Slug Load Calculation</t>
  </si>
  <si>
    <t>Suman Chakrabrorty</t>
  </si>
  <si>
    <t xml:space="preserve"> APPENDIX 1 : 2.0 Calculation.</t>
  </si>
  <si>
    <t xml:space="preserve"> ANGLE        [θ Deg]</t>
  </si>
  <si>
    <t>Slug Density "ρ" =</t>
  </si>
  <si>
    <t>Slug Velocity "V" =</t>
  </si>
  <si>
    <t>DLF "X"  =</t>
  </si>
  <si>
    <t>Note 1</t>
  </si>
  <si>
    <t>Slug Forces At Elbow :</t>
  </si>
  <si>
    <t>Slug Forces At Tee :</t>
  </si>
  <si>
    <r>
      <t>X * ρ * A * V</t>
    </r>
    <r>
      <rPr>
        <vertAlign val="superscript"/>
        <sz val="12"/>
        <rFont val="Trebuchet MS"/>
        <family val="2"/>
      </rPr>
      <t>2</t>
    </r>
  </si>
  <si>
    <r>
      <t>X * ρ * A * V</t>
    </r>
    <r>
      <rPr>
        <vertAlign val="superscript"/>
        <sz val="12"/>
        <rFont val="Trebuchet MS"/>
        <family val="2"/>
      </rPr>
      <t xml:space="preserve">2 </t>
    </r>
    <r>
      <rPr>
        <sz val="12"/>
        <rFont val="Trebuchet MS"/>
        <family val="2"/>
      </rPr>
      <t xml:space="preserve">* (1-COS θ)        [N]   </t>
    </r>
  </si>
  <si>
    <r>
      <rPr>
        <b/>
        <sz val="12"/>
        <rFont val="Trebuchet MS"/>
        <family val="2"/>
      </rPr>
      <t xml:space="preserve"> Area A =</t>
    </r>
    <r>
      <rPr>
        <sz val="12"/>
        <rFont val="Trebuchet MS"/>
        <family val="2"/>
      </rPr>
      <t xml:space="preserve">  π/4 * (D - 2 * t)</t>
    </r>
    <r>
      <rPr>
        <vertAlign val="superscript"/>
        <sz val="12"/>
        <rFont val="Trebuchet MS"/>
        <family val="2"/>
      </rPr>
      <t>2</t>
    </r>
  </si>
  <si>
    <t xml:space="preserve">ELBOW /
TEE
</t>
  </si>
  <si>
    <r>
      <t>F</t>
    </r>
    <r>
      <rPr>
        <b/>
        <vertAlign val="subscript"/>
        <sz val="12"/>
        <rFont val="Trebuchet MS"/>
        <family val="2"/>
      </rPr>
      <t>orthogonal</t>
    </r>
    <r>
      <rPr>
        <b/>
        <sz val="12"/>
        <rFont val="Trebuchet MS"/>
        <family val="2"/>
      </rPr>
      <t xml:space="preserve"> = </t>
    </r>
    <r>
      <rPr>
        <sz val="12"/>
        <rFont val="Trebuchet MS"/>
        <family val="2"/>
      </rPr>
      <t>X * ρ * A * V</t>
    </r>
    <r>
      <rPr>
        <vertAlign val="superscript"/>
        <sz val="12"/>
        <rFont val="Trebuchet MS"/>
        <family val="2"/>
      </rPr>
      <t xml:space="preserve">2 </t>
    </r>
    <r>
      <rPr>
        <sz val="12"/>
        <rFont val="Trebuchet MS"/>
        <family val="2"/>
      </rPr>
      <t>* SINθ</t>
    </r>
  </si>
  <si>
    <t>Ratul Barkataki      E.Lakshmanan
K.S.Venkatesan
G. Govindaraj
P.K.Gupta</t>
  </si>
  <si>
    <t>The validation is documented in Validation Record PEC-EN-VSR-L-12497.The check list number for validation document is EPI-SPR-011. This checklist conforms to doc. no. PEC-EN-FRM-X-0206, Spreadsheet Validation Checklist.</t>
  </si>
  <si>
    <t>DLF "X" Dynamic Load Factor = 2, shall be used in the absence of more accurate data.</t>
  </si>
  <si>
    <t>2)</t>
  </si>
  <si>
    <t>3)</t>
  </si>
  <si>
    <r>
      <t>F</t>
    </r>
    <r>
      <rPr>
        <vertAlign val="subscript"/>
        <sz val="12"/>
        <rFont val="Trebuchet MS"/>
        <family val="2"/>
      </rPr>
      <t>axial</t>
    </r>
    <r>
      <rPr>
        <sz val="12"/>
        <rFont val="Trebuchet MS"/>
        <family val="2"/>
      </rPr>
      <t xml:space="preserve"> &amp; F</t>
    </r>
    <r>
      <rPr>
        <vertAlign val="subscript"/>
        <sz val="12"/>
        <rFont val="Trebuchet MS"/>
        <family val="2"/>
      </rPr>
      <t>orthogonal</t>
    </r>
    <r>
      <rPr>
        <sz val="12"/>
        <rFont val="Trebuchet MS"/>
        <family val="2"/>
      </rPr>
      <t xml:space="preserve"> Force are applied along CAESAR II global axis as per the orientation of the ELBOW/TEE.</t>
    </r>
  </si>
  <si>
    <t>Slug Length "L" =</t>
  </si>
  <si>
    <t>[m]</t>
  </si>
  <si>
    <t>The purpose of this spreadsheet is to calculate, Slug Load at Elbow and Tee for use in Pipe Stress
Analysis calculations.</t>
  </si>
  <si>
    <t>Kollol Sengupta</t>
  </si>
  <si>
    <t>Slug Load Calculation (Validation Record)</t>
  </si>
  <si>
    <t>PEC-EN-VSR-L-12497</t>
  </si>
  <si>
    <t>Based on the slug length, all the effected elbows/tee are listed in the above table. At any given moment, only one of these elbows/tees will be experiencing slug force. CAESAR II software has limitation to handle only 9 force vectors in a single stress model. Hence for systems where number of effected points are more than 9, duplicate stress models are to be created. Depending upon total number of effected points, each stress model is named with system number with extension of effected node points considered in that stress model. Example: "SYS-202 (SLUG FORCE NODES 6620-1100)", "SYS-202 (SLUG FORCE NODES 960-270)" &amp; "SYS-202 (SLUG FORCE NODES 280-90)" are considered for slug load cases F1 TO F9 , F10 TO F18, F19 TO F21 respectively.
In case number of effected points are less than the total 21 points shown in the calculation table, user needs to delete the unused cells. In case of more points, use another calculation sheet.</t>
  </si>
  <si>
    <t>Based on the slug length, all the effected elbows/tees to be listed in the calculation sheet of Appendix-1. At any given moment, only one of the elbows/tees will be experiencing slug force. CAESAR II software has limitation to handle only 9 force vectors in a single stress model. Hence for systems where number of effected points are more than 9, duplicate stress models are to be created.</t>
  </si>
  <si>
    <t>KOC</t>
  </si>
  <si>
    <t>TINRHERT</t>
  </si>
  <si>
    <t>JI-2043</t>
  </si>
  <si>
    <t>F8</t>
  </si>
  <si>
    <t>F9</t>
  </si>
  <si>
    <t>EPC3</t>
  </si>
  <si>
    <t>SYS-004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</si>
</sst>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quot;#,##0;[Red]\-&quot;£&quot;#,##0"/>
    <numFmt numFmtId="165" formatCode="&quot;£&quot;#,##0.00;[Red]\-&quot;£&quot;#,##0.00"/>
    <numFmt numFmtId="166" formatCode="_-* #,##0_-;\-* #,##0_-;_-* &quot;-&quot;_-;_-@_-"/>
    <numFmt numFmtId="167" formatCode="_-* #,##0.00_-;\-* #,##0.00_-;_-* &quot;-&quot;??_-;_-@_-"/>
    <numFmt numFmtId="168" formatCode="0.0"/>
    <numFmt numFmtId="169" formatCode="0.00_)"/>
    <numFmt numFmtId="170" formatCode="&quot;$&quot;#,##0;\-&quot;$&quot;#,##0"/>
    <numFmt numFmtId="171" formatCode="#,##0.0_);\(#,##0.0\)"/>
    <numFmt numFmtId="172" formatCode="mm/dd/yy"/>
    <numFmt numFmtId="173" formatCode="&quot;$&quot;#,##0.0000_);\(&quot;$&quot;#,##0.0000\)"/>
    <numFmt numFmtId="174" formatCode="_-* #,##0\ &quot;F&quot;_-;\-* #,##0\ &quot;F&quot;_-;_-* &quot;-&quot;\ &quot;F&quot;_-;_-@_-"/>
    <numFmt numFmtId="175" formatCode="_-* #,##0\ _F_-;\-* #,##0\ _F_-;_-* &quot;-&quot;\ _F_-;_-@_-"/>
    <numFmt numFmtId="176" formatCode="_-* #,##0.00\ &quot;F&quot;_-;\-* #,##0.00\ &quot;F&quot;_-;_-* &quot;-&quot;??\ &quot;F&quot;_-;_-@_-"/>
    <numFmt numFmtId="177" formatCode="_-* #,##0.00\ _F_-;\-* #,##0.00\ _F_-;_-* &quot;-&quot;??\ _F_-;_-@_-"/>
    <numFmt numFmtId="178" formatCode="0.0000"/>
  </numFmts>
  <fonts count="49">
    <font>
      <sz val="11"/>
      <color theme="1"/>
      <name val="Calibri"/>
      <family val="2"/>
      <scheme val="minor"/>
    </font>
    <font>
      <sz val="10"/>
      <name val="Arial"/>
      <family val="2"/>
    </font>
    <font>
      <b/>
      <sz val="10"/>
      <name val="Trebuchet MS"/>
      <family val="2"/>
    </font>
    <font>
      <sz val="11"/>
      <name val="Trebuchet MS"/>
      <family val="2"/>
    </font>
    <font>
      <b/>
      <sz val="11"/>
      <name val="Trebuchet MS"/>
      <family val="2"/>
    </font>
    <font>
      <b/>
      <sz val="16"/>
      <name val="Trebuchet MS"/>
      <family val="2"/>
    </font>
    <font>
      <i/>
      <sz val="11"/>
      <name val="Trebuchet MS"/>
      <family val="2"/>
    </font>
    <font>
      <b/>
      <sz val="12"/>
      <name val="Trebuchet MS"/>
      <family val="2"/>
    </font>
    <font>
      <b/>
      <sz val="24"/>
      <name val="Trebuchet MS"/>
      <family val="2"/>
    </font>
    <font>
      <sz val="9"/>
      <name val="Trebuchet MS"/>
      <family val="2"/>
    </font>
    <font>
      <sz val="10"/>
      <name val="Arial"/>
      <family val="2"/>
    </font>
    <font>
      <sz val="8"/>
      <name val="Times New Roman"/>
      <family val="1"/>
    </font>
    <font>
      <sz val="10"/>
      <name val="MS Serif"/>
      <family val="1"/>
    </font>
    <font>
      <sz val="10"/>
      <name val="Courier"/>
      <family val="3"/>
    </font>
    <font>
      <sz val="10"/>
      <color indexed="16"/>
      <name val="MS Serif"/>
      <family val="1"/>
    </font>
    <font>
      <sz val="10"/>
      <name val="Times New Roman"/>
      <family val="1"/>
    </font>
    <font>
      <sz val="8"/>
      <name val="Arial"/>
      <family val="2"/>
    </font>
    <font>
      <b/>
      <sz val="12"/>
      <name val="Arial"/>
      <family val="2"/>
    </font>
    <font>
      <sz val="10"/>
      <color indexed="12"/>
      <name val="Arial"/>
      <family val="2"/>
    </font>
    <font>
      <sz val="12"/>
      <name val="Helv"/>
    </font>
    <font>
      <sz val="12"/>
      <color indexed="9"/>
      <name val="Helv"/>
    </font>
    <font>
      <b/>
      <i/>
      <sz val="16"/>
      <name val="Helv"/>
    </font>
    <font>
      <sz val="10"/>
      <name val="Tms Rmn"/>
    </font>
    <font>
      <sz val="10"/>
      <name val="MS Sans Serif"/>
      <family val="2"/>
    </font>
    <font>
      <sz val="8"/>
      <name val="Helv"/>
    </font>
    <font>
      <sz val="8"/>
      <name val="Arial MT"/>
    </font>
    <font>
      <b/>
      <sz val="8"/>
      <color indexed="8"/>
      <name val="Helv"/>
    </font>
    <font>
      <i/>
      <sz val="10"/>
      <color indexed="39"/>
      <name val="Times New Roman"/>
      <family val="1"/>
    </font>
    <font>
      <b/>
      <sz val="9"/>
      <name val="Trebuchet MS"/>
      <family val="2"/>
    </font>
    <font>
      <sz val="10"/>
      <name val="Trebuchet MS"/>
      <family val="2"/>
    </font>
    <font>
      <i/>
      <sz val="11"/>
      <color theme="1"/>
      <name val="Trebuchet MS"/>
      <family val="2"/>
    </font>
    <font>
      <i/>
      <sz val="12"/>
      <name val="Trebuchet MS"/>
      <family val="2"/>
    </font>
    <font>
      <sz val="12"/>
      <name val="CG Times"/>
    </font>
    <font>
      <sz val="12"/>
      <name val="Trebuchet MS"/>
      <family val="2"/>
    </font>
    <font>
      <b/>
      <u/>
      <sz val="12"/>
      <name val="Trebuchet MS"/>
      <family val="2"/>
    </font>
    <font>
      <sz val="12"/>
      <name val="Times New Roman"/>
      <family val="1"/>
    </font>
    <font>
      <b/>
      <sz val="14"/>
      <name val="Times New Roman"/>
      <family val="1"/>
    </font>
    <font>
      <b/>
      <sz val="14"/>
      <name val="Trebuchet MS"/>
      <family val="2"/>
    </font>
    <font>
      <b/>
      <vertAlign val="subscript"/>
      <sz val="12"/>
      <name val="Trebuchet MS"/>
      <family val="2"/>
    </font>
    <font>
      <vertAlign val="superscript"/>
      <sz val="12"/>
      <name val="Trebuchet MS"/>
      <family val="2"/>
    </font>
    <font>
      <b/>
      <sz val="14"/>
      <name val="Arial"/>
      <family val="2"/>
    </font>
    <font>
      <u/>
      <sz val="10"/>
      <color indexed="12"/>
      <name val="Arial"/>
      <family val="2"/>
    </font>
    <font>
      <b/>
      <vertAlign val="superscript"/>
      <sz val="10"/>
      <name val="Trebuchet MS"/>
      <family val="2"/>
    </font>
    <font>
      <b/>
      <vertAlign val="subscript"/>
      <sz val="10"/>
      <name val="Trebuchet MS"/>
      <family val="2"/>
    </font>
    <font>
      <b/>
      <sz val="10"/>
      <name val="Arial"/>
      <family val="2"/>
    </font>
    <font>
      <vertAlign val="subscript"/>
      <sz val="12"/>
      <name val="Trebuchet MS"/>
      <family val="2"/>
    </font>
    <font>
      <sz val="12"/>
      <name val="Arial"/>
      <family val="2"/>
    </font>
    <font>
      <sz val="10"/>
      <color indexed="81"/>
      <name val="Trebuchet MS"/>
      <family val="2"/>
    </font>
    <font>
      <u/>
      <sz val="11"/>
      <color theme="10"/>
      <name val="Calibri"/>
      <family val="2"/>
      <scheme val="minor"/>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rgb="FFFFFF00"/>
        <bgColor indexed="64"/>
      </patternFill>
    </fill>
    <fill>
      <patternFill patternType="solid">
        <fgColor rgb="FF92D050"/>
        <bgColor indexed="64"/>
      </patternFill>
    </fill>
    <fill>
      <patternFill patternType="solid">
        <fgColor indexed="43"/>
        <bgColor indexed="64"/>
      </patternFill>
    </fill>
    <fill>
      <patternFill patternType="solid">
        <fgColor indexed="9"/>
        <bgColor indexed="64"/>
      </patternFill>
    </fill>
  </fills>
  <borders count="40">
    <border>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s>
  <cellStyleXfs count="51">
    <xf numFmtId="0" fontId="0" fillId="0" borderId="0"/>
    <xf numFmtId="0" fontId="1" fillId="0" borderId="0"/>
    <xf numFmtId="0" fontId="11" fillId="0" borderId="0">
      <alignment horizontal="center" wrapText="1"/>
      <protection locked="0"/>
    </xf>
    <xf numFmtId="0" fontId="10" fillId="0" borderId="0" applyFill="0" applyBorder="0">
      <alignment vertical="center"/>
    </xf>
    <xf numFmtId="173" fontId="10" fillId="0" borderId="0" applyFill="0" applyBorder="0" applyAlignment="0"/>
    <xf numFmtId="0" fontId="12" fillId="0" borderId="0" applyNumberFormat="0" applyAlignment="0">
      <alignment horizontal="left"/>
    </xf>
    <xf numFmtId="0" fontId="13" fillId="0" borderId="0" applyNumberFormat="0" applyAlignment="0"/>
    <xf numFmtId="165" fontId="10" fillId="0" borderId="0" applyFill="0" applyBorder="0" applyAlignment="0" applyProtection="0"/>
    <xf numFmtId="164" fontId="10" fillId="0" borderId="0" applyFill="0" applyBorder="0" applyAlignment="0" applyProtection="0"/>
    <xf numFmtId="0" fontId="14" fillId="0" borderId="0" applyNumberFormat="0" applyAlignment="0">
      <alignment horizontal="left"/>
    </xf>
    <xf numFmtId="0" fontId="15" fillId="0" borderId="1" applyNumberFormat="0" applyFill="0" applyBorder="0" applyAlignment="0" applyProtection="0">
      <protection locked="0"/>
    </xf>
    <xf numFmtId="38" fontId="16" fillId="2" borderId="0" applyNumberFormat="0" applyBorder="0" applyAlignment="0" applyProtection="0"/>
    <xf numFmtId="0" fontId="17" fillId="0" borderId="2" applyNumberFormat="0" applyAlignment="0" applyProtection="0">
      <alignment horizontal="left" vertical="center"/>
    </xf>
    <xf numFmtId="0" fontId="17" fillId="0" borderId="3">
      <alignment horizontal="left" vertical="center"/>
    </xf>
    <xf numFmtId="0" fontId="17" fillId="0" borderId="0"/>
    <xf numFmtId="10" fontId="16" fillId="3" borderId="4" applyNumberFormat="0" applyBorder="0" applyAlignment="0" applyProtection="0"/>
    <xf numFmtId="0" fontId="18" fillId="0" borderId="0">
      <alignment horizontal="center"/>
    </xf>
    <xf numFmtId="171" fontId="19" fillId="4" borderId="0"/>
    <xf numFmtId="171" fontId="20" fillId="5" borderId="0"/>
    <xf numFmtId="175" fontId="10" fillId="0" borderId="0" applyFont="0" applyFill="0" applyBorder="0" applyAlignment="0" applyProtection="0"/>
    <xf numFmtId="177" fontId="10" fillId="0" borderId="0" applyFont="0" applyFill="0" applyBorder="0" applyAlignment="0" applyProtection="0"/>
    <xf numFmtId="174" fontId="10" fillId="0" borderId="0" applyFont="0" applyFill="0" applyBorder="0" applyAlignment="0" applyProtection="0"/>
    <xf numFmtId="176" fontId="10" fillId="0" borderId="0" applyFont="0" applyFill="0" applyBorder="0" applyAlignment="0" applyProtection="0"/>
    <xf numFmtId="169" fontId="21" fillId="0" borderId="0"/>
    <xf numFmtId="0" fontId="10" fillId="0" borderId="0"/>
    <xf numFmtId="168" fontId="18" fillId="0" borderId="0">
      <alignment horizontal="center"/>
    </xf>
    <xf numFmtId="167" fontId="10" fillId="0" borderId="0" applyFont="0" applyFill="0" applyBorder="0" applyAlignment="0" applyProtection="0"/>
    <xf numFmtId="166" fontId="10" fillId="0" borderId="0" applyFont="0" applyFill="0" applyBorder="0" applyAlignment="0" applyProtection="0"/>
    <xf numFmtId="14" fontId="11" fillId="0" borderId="0">
      <alignment horizontal="center" wrapText="1"/>
      <protection locked="0"/>
    </xf>
    <xf numFmtId="10" fontId="10" fillId="0" borderId="0" applyFont="0" applyFill="0" applyBorder="0" applyAlignment="0" applyProtection="0"/>
    <xf numFmtId="9" fontId="10" fillId="0" borderId="0" applyFont="0" applyFill="0" applyBorder="0" applyAlignment="0" applyProtection="0"/>
    <xf numFmtId="170" fontId="22" fillId="0" borderId="0"/>
    <xf numFmtId="0" fontId="23" fillId="0" borderId="0" applyNumberFormat="0" applyFont="0" applyFill="0" applyBorder="0" applyAlignment="0" applyProtection="0">
      <alignment horizontal="left"/>
    </xf>
    <xf numFmtId="172" fontId="24" fillId="0" borderId="0" applyNumberFormat="0" applyFill="0" applyBorder="0" applyAlignment="0" applyProtection="0">
      <alignment horizontal="left"/>
    </xf>
    <xf numFmtId="0" fontId="25" fillId="0" borderId="5" applyAlignment="0">
      <alignment horizontal="left"/>
    </xf>
    <xf numFmtId="40" fontId="26" fillId="0" borderId="0" applyBorder="0">
      <alignment horizontal="right"/>
    </xf>
    <xf numFmtId="168" fontId="27" fillId="0" borderId="0" applyNumberFormat="0" applyFont="0" applyFill="0" applyAlignment="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32" fillId="0" borderId="0"/>
    <xf numFmtId="0" fontId="10" fillId="0" borderId="0"/>
    <xf numFmtId="0" fontId="40" fillId="0" borderId="29" applyFill="0" applyBorder="0"/>
    <xf numFmtId="0" fontId="41"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8" fillId="0" borderId="0" applyNumberFormat="0" applyFill="0" applyBorder="0" applyAlignment="0" applyProtection="0"/>
  </cellStyleXfs>
  <cellXfs count="202">
    <xf numFmtId="0" fontId="0" fillId="0" borderId="0" xfId="0"/>
    <xf numFmtId="0" fontId="0" fillId="0" borderId="14" xfId="0" applyBorder="1"/>
    <xf numFmtId="0" fontId="0" fillId="0" borderId="13" xfId="0" applyBorder="1"/>
    <xf numFmtId="0" fontId="0" fillId="0" borderId="12" xfId="0" applyBorder="1"/>
    <xf numFmtId="0" fontId="0" fillId="0" borderId="0" xfId="0" applyBorder="1"/>
    <xf numFmtId="0" fontId="0" fillId="0" borderId="6" xfId="0" applyBorder="1"/>
    <xf numFmtId="0" fontId="0" fillId="0" borderId="7" xfId="0" applyBorder="1"/>
    <xf numFmtId="0" fontId="0" fillId="0" borderId="10" xfId="0" applyBorder="1"/>
    <xf numFmtId="0" fontId="0" fillId="0" borderId="8" xfId="0" applyBorder="1"/>
    <xf numFmtId="0" fontId="0" fillId="0" borderId="9" xfId="0" applyBorder="1"/>
    <xf numFmtId="0" fontId="7" fillId="0" borderId="7" xfId="38" applyFont="1" applyBorder="1" applyAlignment="1"/>
    <xf numFmtId="0" fontId="7" fillId="0" borderId="0" xfId="38" applyFont="1" applyBorder="1" applyAlignment="1"/>
    <xf numFmtId="0" fontId="4" fillId="0" borderId="0" xfId="42" applyFont="1" applyBorder="1" applyAlignment="1">
      <alignment horizontal="center"/>
    </xf>
    <xf numFmtId="0" fontId="9" fillId="0" borderId="0" xfId="42" applyFont="1" applyBorder="1" applyAlignment="1">
      <alignment horizontal="center"/>
    </xf>
    <xf numFmtId="0" fontId="3" fillId="0" borderId="0" xfId="0" applyFont="1" applyBorder="1"/>
    <xf numFmtId="0" fontId="6" fillId="0" borderId="0" xfId="0" applyFont="1" applyBorder="1"/>
    <xf numFmtId="0" fontId="29" fillId="0" borderId="0" xfId="0" applyFont="1" applyBorder="1"/>
    <xf numFmtId="0" fontId="4" fillId="0" borderId="4" xfId="39" applyFont="1" applyBorder="1" applyAlignment="1">
      <alignment horizontal="center" vertical="center" wrapText="1"/>
    </xf>
    <xf numFmtId="0" fontId="4" fillId="0" borderId="0" xfId="40" applyFont="1" applyBorder="1"/>
    <xf numFmtId="0" fontId="9" fillId="0" borderId="0" xfId="40" applyFont="1" applyBorder="1"/>
    <xf numFmtId="0" fontId="6" fillId="0" borderId="0" xfId="0" applyFont="1" applyBorder="1" applyAlignment="1">
      <alignment horizontal="left" vertical="top" wrapText="1"/>
    </xf>
    <xf numFmtId="0" fontId="3" fillId="0" borderId="0" xfId="0" applyFont="1" applyBorder="1" applyAlignment="1">
      <alignment horizontal="left" vertical="top"/>
    </xf>
    <xf numFmtId="0" fontId="3" fillId="0" borderId="4" xfId="39" applyFont="1" applyBorder="1" applyAlignment="1">
      <alignment horizontal="center" vertical="center" wrapText="1"/>
    </xf>
    <xf numFmtId="0" fontId="3" fillId="0" borderId="4" xfId="39" applyFont="1" applyBorder="1" applyAlignment="1">
      <alignment horizontal="left" vertical="center" wrapText="1"/>
    </xf>
    <xf numFmtId="0" fontId="30" fillId="0" borderId="4" xfId="0" applyFont="1" applyBorder="1" applyAlignment="1">
      <alignment vertical="center" wrapText="1"/>
    </xf>
    <xf numFmtId="0" fontId="4" fillId="0" borderId="0" xfId="0" applyFont="1" applyBorder="1" applyAlignment="1">
      <alignment horizontal="left" vertical="top"/>
    </xf>
    <xf numFmtId="0" fontId="3" fillId="6" borderId="4" xfId="24" applyFont="1" applyFill="1" applyBorder="1" applyAlignment="1">
      <alignment horizontal="left" vertical="center" wrapText="1"/>
    </xf>
    <xf numFmtId="0" fontId="3" fillId="7" borderId="4" xfId="24" applyFont="1" applyFill="1" applyBorder="1" applyAlignment="1">
      <alignment horizontal="left" vertical="center" wrapText="1"/>
    </xf>
    <xf numFmtId="0" fontId="3" fillId="0" borderId="0" xfId="24" applyFont="1" applyBorder="1" applyAlignment="1">
      <alignment horizontal="left" vertical="center" wrapText="1"/>
    </xf>
    <xf numFmtId="0" fontId="3" fillId="0" borderId="0" xfId="24" applyFont="1" applyBorder="1" applyAlignment="1">
      <alignment horizontal="left" vertical="top"/>
    </xf>
    <xf numFmtId="0" fontId="3" fillId="0" borderId="0" xfId="24" applyFont="1" applyBorder="1" applyAlignment="1">
      <alignment horizontal="left" vertical="top" wrapText="1"/>
    </xf>
    <xf numFmtId="49" fontId="3" fillId="0" borderId="0" xfId="24" applyNumberFormat="1" applyFont="1" applyBorder="1" applyAlignment="1">
      <alignment horizontal="left" vertical="top"/>
    </xf>
    <xf numFmtId="0" fontId="3" fillId="0" borderId="0" xfId="24" applyFont="1" applyBorder="1" applyAlignment="1">
      <alignment horizontal="justify" vertical="top" wrapText="1"/>
    </xf>
    <xf numFmtId="0" fontId="3" fillId="0" borderId="0" xfId="24" applyFont="1" applyFill="1" applyBorder="1" applyAlignment="1">
      <alignment vertical="top" wrapText="1"/>
    </xf>
    <xf numFmtId="0" fontId="3" fillId="0" borderId="0" xfId="24" applyFont="1" applyBorder="1" applyAlignment="1">
      <alignment vertical="top"/>
    </xf>
    <xf numFmtId="0" fontId="3" fillId="0" borderId="4" xfId="39" applyFont="1" applyBorder="1" applyAlignment="1">
      <alignment horizontal="center" vertical="top" wrapText="1"/>
    </xf>
    <xf numFmtId="0" fontId="4" fillId="0" borderId="38" xfId="39" applyFont="1" applyBorder="1" applyAlignment="1">
      <alignment horizontal="center" vertical="center" wrapText="1"/>
    </xf>
    <xf numFmtId="0" fontId="28" fillId="0" borderId="4" xfId="41" applyFont="1" applyBorder="1" applyAlignment="1">
      <alignment horizontal="center" vertical="center" wrapText="1"/>
    </xf>
    <xf numFmtId="178" fontId="29" fillId="7" borderId="15" xfId="45" applyNumberFormat="1" applyFont="1" applyFill="1" applyBorder="1" applyAlignment="1" applyProtection="1">
      <alignment horizontal="center" vertical="center"/>
      <protection hidden="1"/>
    </xf>
    <xf numFmtId="0" fontId="3" fillId="0" borderId="0" xfId="24" applyFont="1" applyBorder="1" applyAlignment="1">
      <alignment horizontal="left" vertical="center" wrapText="1"/>
    </xf>
    <xf numFmtId="0" fontId="31" fillId="0" borderId="16" xfId="44" applyFont="1" applyBorder="1" applyAlignment="1" applyProtection="1">
      <alignment horizontal="right" vertical="center"/>
      <protection hidden="1"/>
    </xf>
    <xf numFmtId="0" fontId="31" fillId="0" borderId="19" xfId="46" applyFont="1" applyBorder="1" applyAlignment="1" applyProtection="1">
      <alignment horizontal="right" vertical="center"/>
      <protection hidden="1"/>
    </xf>
    <xf numFmtId="0" fontId="10" fillId="0" borderId="0" xfId="46" applyProtection="1">
      <protection hidden="1"/>
    </xf>
    <xf numFmtId="0" fontId="31" fillId="0" borderId="21" xfId="44" applyFont="1" applyBorder="1" applyAlignment="1" applyProtection="1">
      <alignment horizontal="right" vertical="center"/>
      <protection hidden="1"/>
    </xf>
    <xf numFmtId="0" fontId="31" fillId="0" borderId="22" xfId="46" applyFont="1" applyBorder="1" applyAlignment="1" applyProtection="1">
      <alignment horizontal="right" vertical="center"/>
      <protection hidden="1"/>
    </xf>
    <xf numFmtId="0" fontId="31" fillId="0" borderId="22" xfId="45" applyFont="1" applyBorder="1" applyAlignment="1" applyProtection="1">
      <alignment horizontal="right" vertical="center"/>
      <protection hidden="1"/>
    </xf>
    <xf numFmtId="0" fontId="31" fillId="0" borderId="23" xfId="44" applyFont="1" applyBorder="1" applyAlignment="1" applyProtection="1">
      <alignment horizontal="right" vertical="center"/>
      <protection hidden="1"/>
    </xf>
    <xf numFmtId="0" fontId="31" fillId="0" borderId="27" xfId="45" applyFont="1" applyBorder="1" applyAlignment="1" applyProtection="1">
      <alignment horizontal="right" vertical="center"/>
      <protection hidden="1"/>
    </xf>
    <xf numFmtId="0" fontId="10" fillId="0" borderId="29" xfId="45" applyFont="1" applyBorder="1" applyProtection="1">
      <protection hidden="1"/>
    </xf>
    <xf numFmtId="0" fontId="10" fillId="0" borderId="0" xfId="45" applyFont="1" applyBorder="1" applyProtection="1">
      <protection hidden="1"/>
    </xf>
    <xf numFmtId="0" fontId="10" fillId="0" borderId="20" xfId="45" applyFont="1" applyBorder="1" applyProtection="1">
      <protection hidden="1"/>
    </xf>
    <xf numFmtId="0" fontId="10" fillId="0" borderId="21" xfId="45" applyFont="1" applyBorder="1" applyProtection="1">
      <protection hidden="1"/>
    </xf>
    <xf numFmtId="0" fontId="33" fillId="9" borderId="4" xfId="45" applyFont="1" applyFill="1" applyBorder="1" applyAlignment="1" applyProtection="1">
      <alignment horizontal="right" vertical="center"/>
      <protection hidden="1"/>
    </xf>
    <xf numFmtId="0" fontId="10" fillId="0" borderId="1" xfId="45" applyFont="1" applyBorder="1" applyProtection="1">
      <protection hidden="1"/>
    </xf>
    <xf numFmtId="0" fontId="10" fillId="0" borderId="0" xfId="45" applyFont="1" applyProtection="1">
      <protection hidden="1"/>
    </xf>
    <xf numFmtId="0" fontId="10" fillId="0" borderId="31" xfId="45" applyFont="1" applyBorder="1" applyProtection="1">
      <protection hidden="1"/>
    </xf>
    <xf numFmtId="0" fontId="37" fillId="0" borderId="36" xfId="45" applyFont="1" applyBorder="1" applyProtection="1">
      <protection hidden="1"/>
    </xf>
    <xf numFmtId="0" fontId="37" fillId="0" borderId="0" xfId="45" applyFont="1" applyBorder="1" applyProtection="1">
      <protection hidden="1"/>
    </xf>
    <xf numFmtId="0" fontId="36" fillId="0" borderId="0" xfId="45" applyFont="1" applyBorder="1" applyAlignment="1" applyProtection="1">
      <alignment horizontal="center"/>
      <protection hidden="1"/>
    </xf>
    <xf numFmtId="0" fontId="33" fillId="0" borderId="4" xfId="45" applyFont="1" applyBorder="1" applyProtection="1">
      <protection hidden="1"/>
    </xf>
    <xf numFmtId="0" fontId="32" fillId="0" borderId="0" xfId="45" applyBorder="1" applyProtection="1">
      <protection hidden="1"/>
    </xf>
    <xf numFmtId="0" fontId="10" fillId="0" borderId="0" xfId="45" applyFont="1" applyAlignment="1" applyProtection="1">
      <alignment horizontal="center"/>
      <protection hidden="1"/>
    </xf>
    <xf numFmtId="0" fontId="32" fillId="0" borderId="1" xfId="45" applyBorder="1" applyProtection="1">
      <protection hidden="1"/>
    </xf>
    <xf numFmtId="0" fontId="10" fillId="0" borderId="0" xfId="45" applyFont="1" applyBorder="1" applyAlignment="1" applyProtection="1">
      <alignment horizontal="center"/>
      <protection hidden="1"/>
    </xf>
    <xf numFmtId="0" fontId="35" fillId="0" borderId="37" xfId="45" applyFont="1" applyBorder="1" applyAlignment="1" applyProtection="1">
      <alignment vertical="center" wrapText="1"/>
      <protection hidden="1"/>
    </xf>
    <xf numFmtId="0" fontId="35" fillId="0" borderId="9" xfId="45" applyFont="1" applyBorder="1" applyAlignment="1" applyProtection="1">
      <alignment vertical="center" wrapText="1"/>
      <protection hidden="1"/>
    </xf>
    <xf numFmtId="0" fontId="32" fillId="0" borderId="0" xfId="45" applyBorder="1" applyAlignment="1" applyProtection="1">
      <alignment horizontal="center" vertical="center" wrapText="1"/>
      <protection hidden="1"/>
    </xf>
    <xf numFmtId="0" fontId="35" fillId="0" borderId="0" xfId="45" applyFont="1" applyFill="1" applyBorder="1" applyProtection="1">
      <protection hidden="1"/>
    </xf>
    <xf numFmtId="0" fontId="35" fillId="0" borderId="0" xfId="45" applyFont="1" applyBorder="1" applyProtection="1">
      <protection hidden="1"/>
    </xf>
    <xf numFmtId="0" fontId="33" fillId="0" borderId="0" xfId="45" applyFont="1" applyAlignment="1" applyProtection="1">
      <alignment vertical="center" wrapText="1"/>
      <protection hidden="1"/>
    </xf>
    <xf numFmtId="0" fontId="7" fillId="0" borderId="31" xfId="45" applyFont="1" applyFill="1" applyBorder="1" applyAlignment="1" applyProtection="1">
      <alignment horizontal="right" vertical="center"/>
      <protection hidden="1"/>
    </xf>
    <xf numFmtId="0" fontId="10" fillId="0" borderId="1" xfId="45" applyFont="1" applyBorder="1" applyAlignment="1" applyProtection="1">
      <alignment horizontal="center"/>
      <protection hidden="1"/>
    </xf>
    <xf numFmtId="0" fontId="33" fillId="0" borderId="31" xfId="45" applyFont="1" applyBorder="1" applyAlignment="1" applyProtection="1">
      <alignment vertical="center" wrapText="1"/>
      <protection hidden="1"/>
    </xf>
    <xf numFmtId="0" fontId="7" fillId="0" borderId="0" xfId="45" applyFont="1" applyFill="1" applyBorder="1" applyAlignment="1" applyProtection="1">
      <alignment horizontal="right" vertical="center"/>
      <protection hidden="1"/>
    </xf>
    <xf numFmtId="0" fontId="33" fillId="0" borderId="0" xfId="45" applyFont="1" applyFill="1" applyBorder="1" applyAlignment="1" applyProtection="1">
      <alignment vertical="center" wrapText="1"/>
      <protection hidden="1"/>
    </xf>
    <xf numFmtId="0" fontId="33" fillId="0" borderId="0" xfId="45" applyFont="1" applyBorder="1" applyAlignment="1" applyProtection="1">
      <alignment horizontal="left" vertical="center" wrapText="1"/>
      <protection hidden="1"/>
    </xf>
    <xf numFmtId="0" fontId="32" fillId="0" borderId="0" xfId="45" applyAlignment="1" applyProtection="1">
      <alignment vertical="center" wrapText="1"/>
      <protection hidden="1"/>
    </xf>
    <xf numFmtId="0" fontId="35" fillId="0" borderId="31" xfId="45" applyFont="1" applyBorder="1" applyAlignment="1" applyProtection="1">
      <alignment vertical="center" wrapText="1"/>
      <protection hidden="1"/>
    </xf>
    <xf numFmtId="0" fontId="33" fillId="0" borderId="0" xfId="45" applyFont="1" applyBorder="1" applyAlignment="1" applyProtection="1">
      <alignment vertical="center"/>
      <protection hidden="1"/>
    </xf>
    <xf numFmtId="0" fontId="7" fillId="0" borderId="31" xfId="45" applyFont="1" applyBorder="1" applyAlignment="1" applyProtection="1">
      <alignment horizontal="right" vertical="center" wrapText="1"/>
      <protection hidden="1"/>
    </xf>
    <xf numFmtId="0" fontId="7" fillId="0" borderId="0" xfId="45" applyFont="1" applyBorder="1" applyAlignment="1" applyProtection="1">
      <alignment horizontal="right" vertical="center" wrapText="1"/>
      <protection hidden="1"/>
    </xf>
    <xf numFmtId="0" fontId="10" fillId="0" borderId="36" xfId="45" applyFont="1" applyBorder="1" applyProtection="1">
      <protection hidden="1"/>
    </xf>
    <xf numFmtId="0" fontId="10" fillId="0" borderId="13" xfId="45" applyFont="1" applyBorder="1" applyProtection="1">
      <protection hidden="1"/>
    </xf>
    <xf numFmtId="0" fontId="10" fillId="0" borderId="13" xfId="45" applyFont="1" applyBorder="1" applyAlignment="1" applyProtection="1">
      <alignment horizontal="center"/>
      <protection hidden="1"/>
    </xf>
    <xf numFmtId="0" fontId="10" fillId="0" borderId="34" xfId="45" applyFont="1" applyBorder="1" applyProtection="1">
      <protection hidden="1"/>
    </xf>
    <xf numFmtId="0" fontId="2" fillId="0" borderId="30" xfId="45" applyFont="1" applyBorder="1" applyAlignment="1" applyProtection="1">
      <alignment horizontal="center" vertical="center" wrapText="1"/>
      <protection hidden="1"/>
    </xf>
    <xf numFmtId="0" fontId="2" fillId="0" borderId="4" xfId="45" applyFont="1" applyBorder="1" applyAlignment="1" applyProtection="1">
      <alignment horizontal="center" vertical="center" wrapText="1"/>
      <protection hidden="1"/>
    </xf>
    <xf numFmtId="0" fontId="10" fillId="0" borderId="0" xfId="45" applyFont="1" applyAlignment="1" applyProtection="1">
      <alignment horizontal="center" vertical="center"/>
      <protection hidden="1"/>
    </xf>
    <xf numFmtId="0" fontId="7" fillId="0" borderId="31" xfId="45" applyFont="1" applyBorder="1" applyProtection="1">
      <protection hidden="1"/>
    </xf>
    <xf numFmtId="0" fontId="33" fillId="0" borderId="31" xfId="45" applyFont="1" applyBorder="1" applyAlignment="1" applyProtection="1">
      <alignment horizontal="right" vertical="top"/>
      <protection hidden="1"/>
    </xf>
    <xf numFmtId="0" fontId="44" fillId="0" borderId="0" xfId="45" applyFont="1" applyAlignment="1" applyProtection="1">
      <alignment horizontal="center"/>
      <protection hidden="1"/>
    </xf>
    <xf numFmtId="0" fontId="33" fillId="8" borderId="19" xfId="46" applyFont="1" applyFill="1" applyBorder="1" applyAlignment="1" applyProtection="1">
      <alignment horizontal="center" vertical="center"/>
      <protection locked="0"/>
    </xf>
    <xf numFmtId="0" fontId="33" fillId="8" borderId="22" xfId="46" applyFont="1" applyFill="1" applyBorder="1" applyAlignment="1" applyProtection="1">
      <alignment horizontal="center" vertical="center"/>
      <protection locked="0"/>
    </xf>
    <xf numFmtId="0" fontId="33" fillId="8" borderId="27" xfId="46" applyFont="1" applyFill="1" applyBorder="1" applyAlignment="1" applyProtection="1">
      <alignment horizontal="center" vertical="center"/>
      <protection locked="0"/>
    </xf>
    <xf numFmtId="0" fontId="7" fillId="8" borderId="4" xfId="45" applyFont="1" applyFill="1" applyBorder="1" applyAlignment="1" applyProtection="1">
      <alignment horizontal="left" vertical="center"/>
      <protection locked="0"/>
    </xf>
    <xf numFmtId="0" fontId="7" fillId="8" borderId="4" xfId="45" applyFont="1" applyFill="1" applyBorder="1" applyAlignment="1" applyProtection="1">
      <alignment vertical="top"/>
      <protection locked="0"/>
    </xf>
    <xf numFmtId="0" fontId="33" fillId="8" borderId="4" xfId="45" applyFont="1" applyFill="1" applyBorder="1" applyAlignment="1" applyProtection="1">
      <alignment horizontal="center" vertical="center"/>
      <protection locked="0"/>
    </xf>
    <xf numFmtId="0" fontId="29" fillId="8" borderId="15" xfId="45" applyFont="1" applyFill="1" applyBorder="1" applyAlignment="1" applyProtection="1">
      <alignment horizontal="center" vertical="center"/>
      <protection locked="0"/>
    </xf>
    <xf numFmtId="1" fontId="29" fillId="8" borderId="4" xfId="45" applyNumberFormat="1" applyFont="1" applyFill="1" applyBorder="1" applyAlignment="1" applyProtection="1">
      <alignment horizontal="center" vertical="center"/>
      <protection locked="0"/>
    </xf>
    <xf numFmtId="0" fontId="4" fillId="0" borderId="0" xfId="0" applyFont="1" applyBorder="1" applyAlignment="1">
      <alignment horizontal="left" vertical="top"/>
    </xf>
    <xf numFmtId="0" fontId="3" fillId="0" borderId="0" xfId="0" applyFont="1" applyBorder="1" applyAlignment="1">
      <alignment horizontal="left" vertical="top"/>
    </xf>
    <xf numFmtId="0" fontId="33" fillId="0" borderId="33" xfId="0" applyFont="1" applyBorder="1" applyAlignment="1" applyProtection="1">
      <alignment horizontal="right" vertical="top"/>
      <protection hidden="1"/>
    </xf>
    <xf numFmtId="0" fontId="46" fillId="0" borderId="0" xfId="45" applyFont="1" applyBorder="1" applyProtection="1">
      <protection hidden="1"/>
    </xf>
    <xf numFmtId="0" fontId="46" fillId="0" borderId="0" xfId="45" applyFont="1" applyBorder="1" applyAlignment="1" applyProtection="1">
      <alignment horizontal="center"/>
      <protection hidden="1"/>
    </xf>
    <xf numFmtId="0" fontId="46" fillId="0" borderId="1" xfId="45" applyFont="1" applyBorder="1" applyProtection="1">
      <protection hidden="1"/>
    </xf>
    <xf numFmtId="0" fontId="7" fillId="0" borderId="31" xfId="45" applyFont="1" applyFill="1" applyBorder="1" applyAlignment="1" applyProtection="1">
      <alignment horizontal="left" vertical="center"/>
      <protection hidden="1"/>
    </xf>
    <xf numFmtId="0" fontId="33" fillId="0" borderId="31" xfId="45" applyFont="1" applyBorder="1" applyAlignment="1" applyProtection="1">
      <alignment horizontal="left" vertical="center"/>
      <protection hidden="1"/>
    </xf>
    <xf numFmtId="0" fontId="3" fillId="0" borderId="0" xfId="0" applyFont="1" applyBorder="1" applyAlignment="1">
      <alignment horizontal="left" vertical="top"/>
    </xf>
    <xf numFmtId="0" fontId="4" fillId="0" borderId="0" xfId="45" applyFont="1" applyBorder="1" applyAlignment="1" applyProtection="1">
      <alignment horizontal="right"/>
      <protection hidden="1"/>
    </xf>
    <xf numFmtId="1" fontId="29" fillId="7" borderId="15" xfId="45" applyNumberFormat="1" applyFont="1" applyFill="1" applyBorder="1" applyAlignment="1" applyProtection="1">
      <alignment horizontal="center" vertical="center"/>
      <protection hidden="1"/>
    </xf>
    <xf numFmtId="0" fontId="33" fillId="0" borderId="0" xfId="45" applyFont="1" applyFill="1" applyBorder="1" applyAlignment="1" applyProtection="1">
      <alignment horizontal="left" vertical="center" wrapText="1"/>
      <protection hidden="1"/>
    </xf>
    <xf numFmtId="0" fontId="2" fillId="0" borderId="15" xfId="45" applyFont="1" applyBorder="1" applyAlignment="1" applyProtection="1">
      <alignment horizontal="center" vertical="center" wrapText="1"/>
      <protection hidden="1"/>
    </xf>
    <xf numFmtId="0" fontId="3" fillId="0" borderId="0" xfId="0" applyFont="1" applyBorder="1" applyAlignment="1"/>
    <xf numFmtId="0" fontId="48" fillId="0" borderId="0" xfId="50"/>
    <xf numFmtId="0" fontId="29" fillId="0" borderId="30" xfId="45" applyFont="1" applyBorder="1" applyAlignment="1" applyProtection="1">
      <alignment horizontal="center" vertical="center"/>
      <protection hidden="1"/>
    </xf>
    <xf numFmtId="15" fontId="3" fillId="0" borderId="4" xfId="39" applyNumberFormat="1" applyFont="1" applyBorder="1" applyAlignment="1">
      <alignment horizontal="center" vertical="top" wrapText="1"/>
    </xf>
    <xf numFmtId="0" fontId="3" fillId="0" borderId="0" xfId="24" applyFont="1" applyBorder="1" applyAlignment="1">
      <alignment vertical="center" wrapText="1"/>
    </xf>
    <xf numFmtId="0" fontId="3" fillId="0" borderId="7" xfId="24" applyFont="1" applyBorder="1" applyAlignment="1">
      <alignment vertical="center" wrapText="1"/>
    </xf>
    <xf numFmtId="0" fontId="3" fillId="0" borderId="0" xfId="24" applyFont="1" applyFill="1" applyBorder="1" applyAlignment="1">
      <alignment vertical="center" wrapText="1"/>
    </xf>
    <xf numFmtId="0" fontId="29" fillId="0" borderId="0" xfId="0" applyFont="1" applyBorder="1" applyAlignment="1">
      <alignment horizontal="left" wrapText="1"/>
    </xf>
    <xf numFmtId="0" fontId="4" fillId="0" borderId="0" xfId="0" applyFont="1" applyBorder="1" applyAlignment="1">
      <alignment horizontal="left" vertical="top"/>
    </xf>
    <xf numFmtId="0" fontId="3" fillId="0" borderId="13" xfId="0" applyFont="1" applyBorder="1" applyAlignment="1">
      <alignment horizontal="left"/>
    </xf>
    <xf numFmtId="0" fontId="3" fillId="0" borderId="0" xfId="24" applyFont="1" applyBorder="1" applyAlignment="1">
      <alignment horizontal="justify" vertical="center" wrapText="1"/>
    </xf>
    <xf numFmtId="0" fontId="3" fillId="0" borderId="0" xfId="24" applyFont="1" applyFill="1" applyBorder="1" applyAlignment="1">
      <alignment horizontal="justify" vertical="center" wrapText="1"/>
    </xf>
    <xf numFmtId="0" fontId="3" fillId="0" borderId="0" xfId="24" applyFont="1" applyAlignment="1">
      <alignment horizontal="left" vertical="center" wrapText="1"/>
    </xf>
    <xf numFmtId="0" fontId="3" fillId="0" borderId="0" xfId="24" applyFont="1" applyFill="1" applyBorder="1" applyAlignment="1">
      <alignment horizontal="left" vertical="center" wrapText="1"/>
    </xf>
    <xf numFmtId="0" fontId="3" fillId="0" borderId="0" xfId="0" applyFont="1" applyBorder="1" applyAlignment="1">
      <alignment horizontal="left" wrapText="1"/>
    </xf>
    <xf numFmtId="0" fontId="3" fillId="0" borderId="0" xfId="0" applyFont="1" applyBorder="1" applyAlignment="1">
      <alignment horizontal="left"/>
    </xf>
    <xf numFmtId="0" fontId="3" fillId="0" borderId="0" xfId="0" applyFont="1" applyBorder="1" applyAlignment="1">
      <alignment horizontal="left" vertical="top" wrapText="1"/>
    </xf>
    <xf numFmtId="0" fontId="3" fillId="0" borderId="0" xfId="0" applyFont="1" applyBorder="1" applyAlignment="1">
      <alignment horizontal="left" vertical="top"/>
    </xf>
    <xf numFmtId="0" fontId="3" fillId="0" borderId="0" xfId="0" applyFont="1" applyBorder="1" applyAlignment="1">
      <alignment vertical="center" wrapText="1"/>
    </xf>
    <xf numFmtId="0" fontId="4" fillId="0" borderId="0" xfId="43" applyFont="1" applyBorder="1" applyAlignment="1">
      <alignment horizontal="left"/>
    </xf>
    <xf numFmtId="0" fontId="5" fillId="0" borderId="6" xfId="37" applyFont="1" applyBorder="1" applyAlignment="1">
      <alignment horizontal="center" vertical="center"/>
    </xf>
    <xf numFmtId="0" fontId="5" fillId="0" borderId="0" xfId="37" applyFont="1" applyBorder="1" applyAlignment="1">
      <alignment horizontal="center" vertical="center"/>
    </xf>
    <xf numFmtId="0" fontId="2" fillId="0" borderId="15" xfId="1" applyFont="1" applyFill="1" applyBorder="1" applyAlignment="1">
      <alignment horizontal="left"/>
    </xf>
    <xf numFmtId="0" fontId="2" fillId="0" borderId="3" xfId="1" applyFont="1" applyFill="1" applyBorder="1" applyAlignment="1">
      <alignment horizontal="left"/>
    </xf>
    <xf numFmtId="0" fontId="2" fillId="0" borderId="11" xfId="1" applyFont="1" applyFill="1" applyBorder="1" applyAlignment="1">
      <alignment horizontal="left"/>
    </xf>
    <xf numFmtId="0" fontId="2" fillId="0" borderId="15" xfId="1" applyFont="1" applyFill="1" applyBorder="1" applyAlignment="1">
      <alignment horizontal="left" vertical="center"/>
    </xf>
    <xf numFmtId="0" fontId="2" fillId="0" borderId="3" xfId="1" applyFont="1" applyFill="1" applyBorder="1" applyAlignment="1">
      <alignment horizontal="left" vertical="center"/>
    </xf>
    <xf numFmtId="0" fontId="2" fillId="0" borderId="11" xfId="1" applyFont="1" applyFill="1" applyBorder="1" applyAlignment="1">
      <alignment horizontal="left" vertical="center"/>
    </xf>
    <xf numFmtId="0" fontId="2" fillId="0" borderId="15" xfId="1" applyFont="1" applyFill="1" applyBorder="1" applyAlignment="1">
      <alignment horizontal="left" vertical="center" wrapText="1"/>
    </xf>
    <xf numFmtId="0" fontId="2" fillId="0" borderId="4" xfId="1" applyFont="1" applyFill="1" applyBorder="1" applyAlignment="1">
      <alignment horizontal="left"/>
    </xf>
    <xf numFmtId="0" fontId="0" fillId="0" borderId="6" xfId="0" applyBorder="1" applyAlignment="1">
      <alignment horizontal="center"/>
    </xf>
    <xf numFmtId="0" fontId="0" fillId="0" borderId="0" xfId="0" applyBorder="1" applyAlignment="1">
      <alignment horizontal="center"/>
    </xf>
    <xf numFmtId="0" fontId="8" fillId="0" borderId="8" xfId="1" applyFont="1" applyFill="1" applyBorder="1" applyAlignment="1">
      <alignment horizontal="center" vertical="center" wrapText="1"/>
    </xf>
    <xf numFmtId="0" fontId="8" fillId="0" borderId="9" xfId="1" applyFont="1" applyFill="1" applyBorder="1" applyAlignment="1">
      <alignment horizontal="center" vertical="center" wrapText="1"/>
    </xf>
    <xf numFmtId="0" fontId="8" fillId="0" borderId="10" xfId="1" applyFont="1" applyFill="1" applyBorder="1" applyAlignment="1">
      <alignment horizontal="center" vertical="center" wrapText="1"/>
    </xf>
    <xf numFmtId="0" fontId="8" fillId="0" borderId="6" xfId="1" applyFont="1" applyFill="1" applyBorder="1" applyAlignment="1">
      <alignment horizontal="center" vertical="center" wrapText="1"/>
    </xf>
    <xf numFmtId="0" fontId="8" fillId="0" borderId="0" xfId="1" applyFont="1" applyFill="1" applyBorder="1" applyAlignment="1">
      <alignment horizontal="center" vertical="center" wrapText="1"/>
    </xf>
    <xf numFmtId="0" fontId="8" fillId="0" borderId="7" xfId="1" applyFont="1" applyFill="1" applyBorder="1" applyAlignment="1">
      <alignment horizontal="center" vertical="center" wrapText="1"/>
    </xf>
    <xf numFmtId="0" fontId="8" fillId="0" borderId="12" xfId="1" applyFont="1" applyFill="1" applyBorder="1" applyAlignment="1">
      <alignment horizontal="center" vertical="center" wrapText="1"/>
    </xf>
    <xf numFmtId="0" fontId="8" fillId="0" borderId="13" xfId="1" applyFont="1" applyFill="1" applyBorder="1" applyAlignment="1">
      <alignment horizontal="center" vertical="center" wrapText="1"/>
    </xf>
    <xf numFmtId="0" fontId="8" fillId="0" borderId="14" xfId="1" applyFont="1" applyFill="1" applyBorder="1" applyAlignment="1">
      <alignment horizontal="center" vertical="center" wrapText="1"/>
    </xf>
    <xf numFmtId="0" fontId="7" fillId="0" borderId="0" xfId="38" applyFont="1" applyBorder="1" applyAlignment="1">
      <alignment horizontal="center"/>
    </xf>
    <xf numFmtId="0" fontId="4" fillId="0" borderId="4" xfId="39" applyFont="1" applyBorder="1" applyAlignment="1">
      <alignment horizontal="justify" vertical="center" wrapText="1"/>
    </xf>
    <xf numFmtId="0" fontId="6" fillId="0" borderId="4" xfId="39" applyFont="1" applyBorder="1" applyAlignment="1">
      <alignment horizontal="center" vertical="center" wrapText="1"/>
    </xf>
    <xf numFmtId="0" fontId="28" fillId="0" borderId="4" xfId="41" applyFont="1" applyBorder="1" applyAlignment="1">
      <alignment horizontal="center" vertical="center" wrapText="1"/>
    </xf>
    <xf numFmtId="0" fontId="7" fillId="0" borderId="4" xfId="41" applyFont="1" applyBorder="1" applyAlignment="1">
      <alignment horizontal="center"/>
    </xf>
    <xf numFmtId="0" fontId="9" fillId="0" borderId="0" xfId="43" applyFont="1" applyBorder="1" applyAlignment="1">
      <alignment horizontal="left"/>
    </xf>
    <xf numFmtId="0" fontId="4" fillId="0" borderId="0" xfId="45" applyFont="1" applyBorder="1" applyAlignment="1" applyProtection="1">
      <alignment horizontal="right"/>
      <protection hidden="1"/>
    </xf>
    <xf numFmtId="0" fontId="33" fillId="0" borderId="0" xfId="45" applyFont="1" applyBorder="1" applyAlignment="1" applyProtection="1">
      <alignment vertical="center" wrapText="1"/>
      <protection hidden="1"/>
    </xf>
    <xf numFmtId="0" fontId="33" fillId="0" borderId="1" xfId="45" applyFont="1" applyBorder="1" applyAlignment="1" applyProtection="1">
      <alignment vertical="center" wrapText="1"/>
      <protection hidden="1"/>
    </xf>
    <xf numFmtId="1" fontId="29" fillId="7" borderId="15" xfId="45" applyNumberFormat="1" applyFont="1" applyFill="1" applyBorder="1" applyAlignment="1" applyProtection="1">
      <alignment horizontal="center" vertical="center"/>
      <protection hidden="1"/>
    </xf>
    <xf numFmtId="1" fontId="29" fillId="7" borderId="11" xfId="45" applyNumberFormat="1" applyFont="1" applyFill="1" applyBorder="1" applyAlignment="1" applyProtection="1">
      <alignment horizontal="center" vertical="center"/>
      <protection hidden="1"/>
    </xf>
    <xf numFmtId="0" fontId="10" fillId="0" borderId="15" xfId="45" applyFont="1" applyBorder="1" applyAlignment="1" applyProtection="1">
      <alignment horizontal="center" vertical="center"/>
      <protection hidden="1"/>
    </xf>
    <xf numFmtId="0" fontId="10" fillId="0" borderId="32" xfId="45" applyFont="1" applyBorder="1" applyAlignment="1" applyProtection="1">
      <alignment horizontal="center" vertical="center"/>
      <protection hidden="1"/>
    </xf>
    <xf numFmtId="0" fontId="10" fillId="0" borderId="18" xfId="46" applyBorder="1" applyAlignment="1" applyProtection="1">
      <alignment horizontal="center"/>
      <protection hidden="1"/>
    </xf>
    <xf numFmtId="0" fontId="10" fillId="0" borderId="17" xfId="46" applyBorder="1" applyAlignment="1" applyProtection="1">
      <alignment horizontal="center"/>
      <protection hidden="1"/>
    </xf>
    <xf numFmtId="0" fontId="10" fillId="0" borderId="20" xfId="46" applyBorder="1" applyAlignment="1" applyProtection="1">
      <alignment horizontal="center"/>
      <protection hidden="1"/>
    </xf>
    <xf numFmtId="0" fontId="10" fillId="0" borderId="6" xfId="46" applyBorder="1" applyAlignment="1" applyProtection="1">
      <alignment horizontal="center"/>
      <protection hidden="1"/>
    </xf>
    <xf numFmtId="0" fontId="10" fillId="0" borderId="0" xfId="46" applyBorder="1" applyAlignment="1" applyProtection="1">
      <alignment horizontal="center"/>
      <protection hidden="1"/>
    </xf>
    <xf numFmtId="0" fontId="10" fillId="0" borderId="1" xfId="46" applyBorder="1" applyAlignment="1" applyProtection="1">
      <alignment horizontal="center"/>
      <protection hidden="1"/>
    </xf>
    <xf numFmtId="0" fontId="10" fillId="0" borderId="26" xfId="46" applyBorder="1" applyAlignment="1" applyProtection="1">
      <alignment horizontal="center"/>
      <protection hidden="1"/>
    </xf>
    <xf numFmtId="0" fontId="10" fillId="0" borderId="24" xfId="46" applyBorder="1" applyAlignment="1" applyProtection="1">
      <alignment horizontal="center"/>
      <protection hidden="1"/>
    </xf>
    <xf numFmtId="0" fontId="10" fillId="0" borderId="28" xfId="46" applyBorder="1" applyAlignment="1" applyProtection="1">
      <alignment horizontal="center"/>
      <protection hidden="1"/>
    </xf>
    <xf numFmtId="0" fontId="33" fillId="9" borderId="15" xfId="45" applyFont="1" applyFill="1" applyBorder="1" applyAlignment="1" applyProtection="1">
      <alignment horizontal="right" vertical="center" wrapText="1"/>
      <protection hidden="1"/>
    </xf>
    <xf numFmtId="0" fontId="33" fillId="9" borderId="3" xfId="45" applyFont="1" applyFill="1" applyBorder="1" applyAlignment="1" applyProtection="1">
      <alignment horizontal="right" vertical="center" wrapText="1"/>
      <protection hidden="1"/>
    </xf>
    <xf numFmtId="0" fontId="33" fillId="9" borderId="11" xfId="45" applyFont="1" applyFill="1" applyBorder="1" applyAlignment="1" applyProtection="1">
      <alignment horizontal="right" vertical="center" wrapText="1"/>
      <protection hidden="1"/>
    </xf>
    <xf numFmtId="0" fontId="33" fillId="8" borderId="18" xfId="45" applyFont="1" applyFill="1" applyBorder="1" applyAlignment="1" applyProtection="1">
      <alignment horizontal="left" vertical="center" wrapText="1"/>
      <protection locked="0"/>
    </xf>
    <xf numFmtId="0" fontId="33" fillId="8" borderId="39" xfId="45" applyFont="1" applyFill="1" applyBorder="1" applyAlignment="1" applyProtection="1">
      <alignment horizontal="left" vertical="center" wrapText="1"/>
      <protection locked="0"/>
    </xf>
    <xf numFmtId="0" fontId="33" fillId="8" borderId="6" xfId="45" applyFont="1" applyFill="1" applyBorder="1" applyAlignment="1" applyProtection="1">
      <alignment horizontal="left" vertical="center" wrapText="1"/>
      <protection locked="0"/>
    </xf>
    <xf numFmtId="0" fontId="33" fillId="8" borderId="7" xfId="45" applyFont="1" applyFill="1" applyBorder="1" applyAlignment="1" applyProtection="1">
      <alignment horizontal="left" vertical="center" wrapText="1"/>
      <protection locked="0"/>
    </xf>
    <xf numFmtId="0" fontId="33" fillId="8" borderId="26" xfId="45" applyFont="1" applyFill="1" applyBorder="1" applyAlignment="1" applyProtection="1">
      <alignment horizontal="left" vertical="center" wrapText="1"/>
      <protection locked="0"/>
    </xf>
    <xf numFmtId="0" fontId="33" fillId="8" borderId="25" xfId="45" applyFont="1" applyFill="1" applyBorder="1" applyAlignment="1" applyProtection="1">
      <alignment horizontal="left" vertical="center" wrapText="1"/>
      <protection locked="0"/>
    </xf>
    <xf numFmtId="0" fontId="34" fillId="0" borderId="18" xfId="46" applyFont="1" applyBorder="1" applyAlignment="1" applyProtection="1">
      <alignment horizontal="center" vertical="center" wrapText="1"/>
      <protection hidden="1"/>
    </xf>
    <xf numFmtId="0" fontId="34" fillId="0" borderId="17" xfId="46" applyFont="1" applyBorder="1" applyAlignment="1" applyProtection="1">
      <alignment horizontal="center" vertical="center" wrapText="1"/>
      <protection hidden="1"/>
    </xf>
    <xf numFmtId="0" fontId="34" fillId="0" borderId="6" xfId="46" applyFont="1" applyBorder="1" applyAlignment="1" applyProtection="1">
      <alignment horizontal="center" vertical="center" wrapText="1"/>
      <protection hidden="1"/>
    </xf>
    <xf numFmtId="0" fontId="34" fillId="0" borderId="0" xfId="46" applyFont="1" applyBorder="1" applyAlignment="1" applyProtection="1">
      <alignment horizontal="center" vertical="center" wrapText="1"/>
      <protection hidden="1"/>
    </xf>
    <xf numFmtId="0" fontId="34" fillId="0" borderId="26" xfId="46" applyFont="1" applyBorder="1" applyAlignment="1" applyProtection="1">
      <alignment horizontal="center" vertical="center" wrapText="1"/>
      <protection hidden="1"/>
    </xf>
    <xf numFmtId="0" fontId="34" fillId="0" borderId="24" xfId="46" applyFont="1" applyBorder="1" applyAlignment="1" applyProtection="1">
      <alignment horizontal="center" vertical="center" wrapText="1"/>
      <protection hidden="1"/>
    </xf>
    <xf numFmtId="0" fontId="33" fillId="0" borderId="0" xfId="45" applyFont="1" applyFill="1" applyBorder="1" applyAlignment="1" applyProtection="1">
      <alignment horizontal="left" vertical="center" wrapText="1"/>
      <protection hidden="1"/>
    </xf>
    <xf numFmtId="0" fontId="2" fillId="0" borderId="15" xfId="45" applyFont="1" applyBorder="1" applyAlignment="1" applyProtection="1">
      <alignment horizontal="center" vertical="center" wrapText="1"/>
      <protection hidden="1"/>
    </xf>
    <xf numFmtId="0" fontId="2" fillId="0" borderId="32" xfId="45" applyFont="1" applyBorder="1" applyAlignment="1" applyProtection="1">
      <alignment horizontal="center" vertical="center" wrapText="1"/>
      <protection hidden="1"/>
    </xf>
    <xf numFmtId="0" fontId="33" fillId="0" borderId="0" xfId="45" applyFont="1" applyBorder="1" applyAlignment="1" applyProtection="1">
      <alignment horizontal="justify" vertical="top" wrapText="1"/>
      <protection hidden="1"/>
    </xf>
    <xf numFmtId="0" fontId="33" fillId="0" borderId="1" xfId="45" applyFont="1" applyBorder="1" applyAlignment="1" applyProtection="1">
      <alignment horizontal="justify" vertical="top" wrapText="1"/>
      <protection hidden="1"/>
    </xf>
    <xf numFmtId="0" fontId="33" fillId="0" borderId="24" xfId="45" applyFont="1" applyBorder="1" applyAlignment="1" applyProtection="1">
      <alignment vertical="center" wrapText="1"/>
      <protection hidden="1"/>
    </xf>
    <xf numFmtId="0" fontId="33" fillId="0" borderId="28" xfId="45" applyFont="1" applyBorder="1" applyAlignment="1" applyProtection="1">
      <alignment vertical="center" wrapText="1"/>
      <protection hidden="1"/>
    </xf>
    <xf numFmtId="0" fontId="2" fillId="0" borderId="11" xfId="45" applyFont="1" applyBorder="1" applyAlignment="1" applyProtection="1">
      <alignment horizontal="center" vertical="center" wrapText="1"/>
      <protection hidden="1"/>
    </xf>
    <xf numFmtId="0" fontId="33" fillId="0" borderId="35" xfId="45" applyFont="1" applyBorder="1" applyAlignment="1" applyProtection="1">
      <alignment horizontal="right" vertical="center" wrapText="1"/>
      <protection hidden="1"/>
    </xf>
    <xf numFmtId="0" fontId="33" fillId="0" borderId="11" xfId="45" applyFont="1" applyBorder="1" applyAlignment="1" applyProtection="1">
      <alignment horizontal="right" vertical="center" wrapText="1"/>
      <protection hidden="1"/>
    </xf>
    <xf numFmtId="0" fontId="7" fillId="0" borderId="31" xfId="45" applyFont="1" applyBorder="1" applyAlignment="1" applyProtection="1">
      <alignment horizontal="left" vertical="center" wrapText="1"/>
      <protection hidden="1"/>
    </xf>
    <xf numFmtId="0" fontId="7" fillId="0" borderId="0" xfId="45" applyFont="1" applyBorder="1" applyAlignment="1" applyProtection="1">
      <alignment horizontal="left" vertical="center" wrapText="1"/>
      <protection hidden="1"/>
    </xf>
  </cellXfs>
  <cellStyles count="51">
    <cellStyle name="args.style" xfId="2" xr:uid="{00000000-0005-0000-0000-000000000000}"/>
    <cellStyle name="ARIAL" xfId="47" xr:uid="{00000000-0005-0000-0000-000001000000}"/>
    <cellStyle name="Arial10" xfId="3" xr:uid="{00000000-0005-0000-0000-000002000000}"/>
    <cellStyle name="Calc Currency (0)" xfId="4" xr:uid="{00000000-0005-0000-0000-000003000000}"/>
    <cellStyle name="Copied" xfId="5" xr:uid="{00000000-0005-0000-0000-000004000000}"/>
    <cellStyle name="COST1" xfId="6" xr:uid="{00000000-0005-0000-0000-000005000000}"/>
    <cellStyle name="Dollars" xfId="7" xr:uid="{00000000-0005-0000-0000-000006000000}"/>
    <cellStyle name="Dollars(0)" xfId="8" xr:uid="{00000000-0005-0000-0000-000007000000}"/>
    <cellStyle name="Entered" xfId="9" xr:uid="{00000000-0005-0000-0000-000008000000}"/>
    <cellStyle name="FORM" xfId="10" xr:uid="{00000000-0005-0000-0000-000009000000}"/>
    <cellStyle name="Grey" xfId="11" xr:uid="{00000000-0005-0000-0000-00000A000000}"/>
    <cellStyle name="Header1" xfId="12" xr:uid="{00000000-0005-0000-0000-00000B000000}"/>
    <cellStyle name="Header2" xfId="13" xr:uid="{00000000-0005-0000-0000-00000C000000}"/>
    <cellStyle name="header3" xfId="14" xr:uid="{00000000-0005-0000-0000-00000D000000}"/>
    <cellStyle name="Hyperlink" xfId="50" builtinId="8"/>
    <cellStyle name="Hyperlink 2" xfId="48" xr:uid="{00000000-0005-0000-0000-00000F000000}"/>
    <cellStyle name="Hyperlink 2 2" xfId="49" xr:uid="{00000000-0005-0000-0000-000010000000}"/>
    <cellStyle name="Input [yellow]" xfId="15" xr:uid="{00000000-0005-0000-0000-000011000000}"/>
    <cellStyle name="Input Cell" xfId="16" xr:uid="{00000000-0005-0000-0000-000012000000}"/>
    <cellStyle name="Input Cells" xfId="17" xr:uid="{00000000-0005-0000-0000-000013000000}"/>
    <cellStyle name="Linked Cells" xfId="18" xr:uid="{00000000-0005-0000-0000-000014000000}"/>
    <cellStyle name="Milliers [0]_!!!GO" xfId="19" xr:uid="{00000000-0005-0000-0000-000015000000}"/>
    <cellStyle name="Milliers_!!!GO" xfId="20" xr:uid="{00000000-0005-0000-0000-000016000000}"/>
    <cellStyle name="Monétaire [0]_!!!GO" xfId="21" xr:uid="{00000000-0005-0000-0000-000017000000}"/>
    <cellStyle name="Monétaire_!!!GO" xfId="22" xr:uid="{00000000-0005-0000-0000-000018000000}"/>
    <cellStyle name="Normal" xfId="0" builtinId="0"/>
    <cellStyle name="Normal - Style1" xfId="23" xr:uid="{00000000-0005-0000-0000-00001A000000}"/>
    <cellStyle name="Normal 10" xfId="40" xr:uid="{00000000-0005-0000-0000-00001B000000}"/>
    <cellStyle name="Normal 11" xfId="45" xr:uid="{00000000-0005-0000-0000-00001C000000}"/>
    <cellStyle name="Normal 2" xfId="24" xr:uid="{00000000-0005-0000-0000-00001D000000}"/>
    <cellStyle name="Normal 3" xfId="1" xr:uid="{00000000-0005-0000-0000-00001E000000}"/>
    <cellStyle name="Normal 4" xfId="37" xr:uid="{00000000-0005-0000-0000-00001F000000}"/>
    <cellStyle name="Normal 5" xfId="39" xr:uid="{00000000-0005-0000-0000-000020000000}"/>
    <cellStyle name="Normal 6" xfId="41" xr:uid="{00000000-0005-0000-0000-000021000000}"/>
    <cellStyle name="Normal 7" xfId="38" xr:uid="{00000000-0005-0000-0000-000022000000}"/>
    <cellStyle name="Normal 8" xfId="42" xr:uid="{00000000-0005-0000-0000-000023000000}"/>
    <cellStyle name="Normal 9" xfId="43" xr:uid="{00000000-0005-0000-0000-000024000000}"/>
    <cellStyle name="Normal Input" xfId="25" xr:uid="{00000000-0005-0000-0000-000025000000}"/>
    <cellStyle name="Normal_CALCULATION LOG 2" xfId="46" xr:uid="{00000000-0005-0000-0000-000026000000}"/>
    <cellStyle name="Normal_SHJ-BMS-EN-VSS-L-2654 2" xfId="44" xr:uid="{00000000-0005-0000-0000-000027000000}"/>
    <cellStyle name="Œ…‹æØ‚è [0.00]_Region Orders (2)" xfId="26" xr:uid="{00000000-0005-0000-0000-000028000000}"/>
    <cellStyle name="Œ…‹æØ‚è_Region Orders (2)" xfId="27" xr:uid="{00000000-0005-0000-0000-000029000000}"/>
    <cellStyle name="per.style" xfId="28" xr:uid="{00000000-0005-0000-0000-00002A000000}"/>
    <cellStyle name="Percent [2]" xfId="29" xr:uid="{00000000-0005-0000-0000-00002B000000}"/>
    <cellStyle name="Percent 2" xfId="30" xr:uid="{00000000-0005-0000-0000-00002C000000}"/>
    <cellStyle name="pricing" xfId="31" xr:uid="{00000000-0005-0000-0000-00002D000000}"/>
    <cellStyle name="PSChar" xfId="32" xr:uid="{00000000-0005-0000-0000-00002E000000}"/>
    <cellStyle name="RevList" xfId="33" xr:uid="{00000000-0005-0000-0000-00002F000000}"/>
    <cellStyle name="STANDARD" xfId="34" xr:uid="{00000000-0005-0000-0000-000030000000}"/>
    <cellStyle name="Subtotal" xfId="35" xr:uid="{00000000-0005-0000-0000-000031000000}"/>
    <cellStyle name="Unprotected" xfId="36"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6</xdr:col>
      <xdr:colOff>333375</xdr:colOff>
      <xdr:row>1</xdr:row>
      <xdr:rowOff>9525</xdr:rowOff>
    </xdr:from>
    <xdr:to>
      <xdr:col>8</xdr:col>
      <xdr:colOff>9780</xdr:colOff>
      <xdr:row>3</xdr:row>
      <xdr:rowOff>9768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53300" y="209550"/>
          <a:ext cx="1829055" cy="600318"/>
        </a:xfrm>
        <a:prstGeom prst="rect">
          <a:avLst/>
        </a:prstGeom>
      </xdr:spPr>
    </xdr:pic>
    <xdr:clientData/>
  </xdr:twoCellAnchor>
  <xdr:twoCellAnchor editAs="oneCell">
    <xdr:from>
      <xdr:col>6</xdr:col>
      <xdr:colOff>371475</xdr:colOff>
      <xdr:row>30</xdr:row>
      <xdr:rowOff>19050</xdr:rowOff>
    </xdr:from>
    <xdr:to>
      <xdr:col>8</xdr:col>
      <xdr:colOff>47880</xdr:colOff>
      <xdr:row>31</xdr:row>
      <xdr:rowOff>295518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95900" y="12734925"/>
          <a:ext cx="1829055" cy="6003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31371</xdr:colOff>
      <xdr:row>8</xdr:row>
      <xdr:rowOff>203947</xdr:rowOff>
    </xdr:from>
    <xdr:to>
      <xdr:col>12</xdr:col>
      <xdr:colOff>186015</xdr:colOff>
      <xdr:row>18</xdr:row>
      <xdr:rowOff>218515</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3348312" y="2142565"/>
          <a:ext cx="4199968" cy="2054038"/>
          <a:chOff x="3319210" y="4016441"/>
          <a:chExt cx="3998233" cy="2248276"/>
        </a:xfrm>
      </xdr:grpSpPr>
      <mc:AlternateContent xmlns:mc="http://schemas.openxmlformats.org/markup-compatibility/2006">
        <mc:Choice xmlns:a14="http://schemas.microsoft.com/office/drawing/2010/main" Requires="a14">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3319210" y="4032292"/>
                <a:ext cx="2277599" cy="2191361"/>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mc:Choice>
        <mc:Fallback/>
      </mc:AlternateContent>
      <xdr:pic>
        <xdr:nvPicPr>
          <xdr:cNvPr id="4" name="Picture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58971" y="4016441"/>
            <a:ext cx="1658472" cy="224827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8</xdr:col>
      <xdr:colOff>117663</xdr:colOff>
      <xdr:row>1</xdr:row>
      <xdr:rowOff>78441</xdr:rowOff>
    </xdr:from>
    <xdr:to>
      <xdr:col>12</xdr:col>
      <xdr:colOff>237317</xdr:colOff>
      <xdr:row>3</xdr:row>
      <xdr:rowOff>190500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56463" y="383241"/>
          <a:ext cx="1843679" cy="6096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ivek\vivek_common\JI-163\ELECTRICAL\1490B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ivek\vivek_common\JI-163\ELECTRICAL\1483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RNE\ENG\MEC\ENQUIRY\MC22AVFU\DATA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2"/>
      <sheetName val="LV induction motors"/>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2"/>
      <sheetName val="Alternator"/>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Data"/>
      <sheetName val="Electrical Load List"/>
      <sheetName val="TWO PASS"/>
      <sheetName val="THREE PASS"/>
      <sheetName val="Air Cooler-E"/>
      <sheetName val="Sheet No-7 Electrical Consumer "/>
      <sheetName val="Sheet No-6 Measurement list"/>
      <sheetName val="Alternator"/>
      <sheetName val="Units"/>
      <sheetName val="LC#1"/>
      <sheetName val="물량집계(전기)"/>
      <sheetName val="물량집계(계장)"/>
      <sheetName val="BOQ"/>
      <sheetName val="Settings"/>
      <sheetName val="FIRE"/>
      <sheetName val="Cab_Commodity Code."/>
      <sheetName val="노임단가"/>
      <sheetName val="Page 1 - Front Sheet"/>
      <sheetName val="Tank2"/>
      <sheetName val="names"/>
      <sheetName val="PRICE COMP"/>
      <sheetName val="QAP173- "/>
      <sheetName val="PRICE-COMP"/>
      <sheetName val="COMP- DOUBLE PAGE"/>
      <sheetName val="PUMPS"/>
      <sheetName val="REACTORS"/>
      <sheetName val="AGITATORS"/>
      <sheetName val="M 11"/>
      <sheetName val="Process_Data"/>
      <sheetName val="Electrical_Load_List"/>
      <sheetName val="eq_data"/>
      <sheetName val="BILAL2"/>
      <sheetName val="AVS"/>
      <sheetName val="Front Sheet"/>
      <sheetName val="general"/>
      <sheetName val="MAT"/>
      <sheetName val="PLC BOM"/>
      <sheetName val="PJTGP"/>
      <sheetName val="COVER"/>
      <sheetName val="Data"/>
      <sheetName val="LV induction motors"/>
      <sheetName val="Datasheet"/>
      <sheetName val="Pump Seal Changes"/>
      <sheetName val="DATA1"/>
      <sheetName val="Project Details"/>
      <sheetName val="Page4"/>
      <sheetName val="JB Uniqe_Total_OLD"/>
      <sheetName val="DRS_Data"/>
      <sheetName val="Lot-2_Pack"/>
      <sheetName val="MEC"/>
      <sheetName val="CPU Loading SCS1130 "/>
      <sheetName val=""/>
      <sheetName val="OIL SYST DATA SHTS"/>
      <sheetName val="A1 Thru A11- LUMP SUM CONSTR"/>
      <sheetName val="업무담당"/>
      <sheetName val="기준정보"/>
      <sheetName val="RE9604"/>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apb017aaashjuae:8004/2009/ControlDocument/PEC-EN-VSR-L-12497"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image" Target="../media/image2.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8"/>
  <sheetViews>
    <sheetView view="pageBreakPreview" topLeftCell="A7" zoomScaleNormal="100" zoomScaleSheetLayoutView="100" workbookViewId="0">
      <selection activeCell="I12" sqref="I12"/>
    </sheetView>
  </sheetViews>
  <sheetFormatPr defaultRowHeight="15"/>
  <cols>
    <col min="1" max="1" width="3.7109375" customWidth="1"/>
    <col min="2" max="2" width="5.7109375" customWidth="1"/>
    <col min="3" max="3" width="8" customWidth="1"/>
    <col min="4" max="4" width="15" customWidth="1"/>
    <col min="5" max="5" width="24.7109375" customWidth="1"/>
    <col min="6" max="7" width="16.7109375" customWidth="1"/>
    <col min="8" max="8" width="15.5703125" customWidth="1"/>
    <col min="9" max="9" width="6.42578125" customWidth="1"/>
    <col min="10" max="10" width="3.7109375" customWidth="1"/>
  </cols>
  <sheetData>
    <row r="1" spans="2:9" ht="15.75" customHeight="1">
      <c r="B1" s="134" t="s">
        <v>0</v>
      </c>
      <c r="C1" s="135"/>
      <c r="D1" s="136"/>
      <c r="E1" s="141" t="s">
        <v>83</v>
      </c>
      <c r="F1" s="141"/>
      <c r="G1" s="144"/>
      <c r="H1" s="145"/>
      <c r="I1" s="146"/>
    </row>
    <row r="2" spans="2:9" ht="15.75" customHeight="1">
      <c r="B2" s="134" t="s">
        <v>1</v>
      </c>
      <c r="C2" s="135"/>
      <c r="D2" s="136"/>
      <c r="E2" s="141">
        <v>0</v>
      </c>
      <c r="F2" s="141"/>
      <c r="G2" s="147"/>
      <c r="H2" s="148"/>
      <c r="I2" s="149"/>
    </row>
    <row r="3" spans="2:9" ht="31.5" customHeight="1">
      <c r="B3" s="137" t="s">
        <v>2</v>
      </c>
      <c r="C3" s="138"/>
      <c r="D3" s="139"/>
      <c r="E3" s="140" t="s">
        <v>84</v>
      </c>
      <c r="F3" s="139"/>
      <c r="G3" s="147"/>
      <c r="H3" s="148"/>
      <c r="I3" s="149"/>
    </row>
    <row r="4" spans="2:9" ht="15.75" customHeight="1">
      <c r="B4" s="134" t="s">
        <v>3</v>
      </c>
      <c r="C4" s="135"/>
      <c r="D4" s="136"/>
      <c r="E4" s="141" t="s">
        <v>4</v>
      </c>
      <c r="F4" s="141"/>
      <c r="G4" s="150"/>
      <c r="H4" s="151"/>
      <c r="I4" s="152"/>
    </row>
    <row r="5" spans="2:9">
      <c r="B5" s="5"/>
      <c r="C5" s="4"/>
      <c r="D5" s="4"/>
      <c r="E5" s="4"/>
      <c r="F5" s="4"/>
      <c r="G5" s="4"/>
      <c r="H5" s="4"/>
      <c r="I5" s="6"/>
    </row>
    <row r="6" spans="2:9">
      <c r="B6" s="5"/>
      <c r="C6" s="4"/>
      <c r="D6" s="4"/>
      <c r="E6" s="4"/>
      <c r="F6" s="4"/>
      <c r="G6" s="4"/>
      <c r="H6" s="4"/>
      <c r="I6" s="6"/>
    </row>
    <row r="7" spans="2:9" ht="48.75" customHeight="1">
      <c r="B7" s="142"/>
      <c r="C7" s="143"/>
      <c r="D7" s="143"/>
      <c r="E7" s="143"/>
      <c r="F7" s="143"/>
      <c r="G7" s="143"/>
      <c r="H7" s="143"/>
      <c r="I7" s="6"/>
    </row>
    <row r="8" spans="2:9" ht="33.75" customHeight="1">
      <c r="B8" s="132"/>
      <c r="C8" s="133"/>
      <c r="D8" s="133"/>
      <c r="E8" s="133"/>
      <c r="F8" s="133"/>
      <c r="G8" s="133"/>
      <c r="H8" s="133"/>
      <c r="I8" s="6"/>
    </row>
    <row r="9" spans="2:9" ht="55.5" customHeight="1">
      <c r="B9" s="132"/>
      <c r="C9" s="133"/>
      <c r="D9" s="133"/>
      <c r="E9" s="133"/>
      <c r="F9" s="133"/>
      <c r="G9" s="133"/>
      <c r="H9" s="133"/>
      <c r="I9" s="6"/>
    </row>
    <row r="10" spans="2:9" ht="55.5" customHeight="1">
      <c r="B10" s="132" t="s">
        <v>98</v>
      </c>
      <c r="C10" s="133"/>
      <c r="D10" s="133"/>
      <c r="E10" s="133"/>
      <c r="F10" s="133"/>
      <c r="G10" s="133"/>
      <c r="H10" s="133"/>
      <c r="I10" s="6"/>
    </row>
    <row r="11" spans="2:9" ht="55.5" customHeight="1">
      <c r="B11" s="132"/>
      <c r="C11" s="133"/>
      <c r="D11" s="133"/>
      <c r="E11" s="133"/>
      <c r="F11" s="133"/>
      <c r="G11" s="133"/>
      <c r="H11" s="133"/>
      <c r="I11" s="6"/>
    </row>
    <row r="12" spans="2:9" ht="55.5" customHeight="1">
      <c r="B12" s="132"/>
      <c r="C12" s="133"/>
      <c r="D12" s="133"/>
      <c r="E12" s="133"/>
      <c r="F12" s="133"/>
      <c r="G12" s="133"/>
      <c r="H12" s="133"/>
      <c r="I12" s="6"/>
    </row>
    <row r="13" spans="2:9" ht="55.5" customHeight="1">
      <c r="B13" s="132"/>
      <c r="C13" s="133"/>
      <c r="D13" s="133"/>
      <c r="E13" s="133"/>
      <c r="F13" s="133"/>
      <c r="G13" s="133"/>
      <c r="H13" s="133"/>
      <c r="I13" s="6"/>
    </row>
    <row r="14" spans="2:9" ht="29.25" customHeight="1">
      <c r="B14" s="5"/>
      <c r="C14" s="4"/>
      <c r="D14" s="4"/>
      <c r="E14" s="4"/>
      <c r="F14" s="4"/>
      <c r="G14" s="4"/>
      <c r="H14" s="4"/>
      <c r="I14" s="6"/>
    </row>
    <row r="15" spans="2:9" ht="32.25" customHeight="1">
      <c r="B15" s="5"/>
      <c r="C15" s="4"/>
      <c r="D15" s="4"/>
      <c r="E15" s="4"/>
      <c r="F15" s="4"/>
      <c r="G15" s="4"/>
      <c r="H15" s="4"/>
      <c r="I15" s="6"/>
    </row>
    <row r="16" spans="2:9" ht="30.75" customHeight="1">
      <c r="B16" s="5"/>
      <c r="C16" s="4"/>
      <c r="D16" s="4"/>
      <c r="E16" s="4"/>
      <c r="F16" s="4"/>
      <c r="G16" s="4"/>
      <c r="H16" s="4"/>
      <c r="I16" s="6"/>
    </row>
    <row r="17" spans="1:10">
      <c r="B17" s="5"/>
      <c r="C17" s="4"/>
      <c r="D17" s="4"/>
      <c r="E17" s="4"/>
      <c r="F17" s="4"/>
      <c r="G17" s="4"/>
      <c r="H17" s="4"/>
      <c r="I17" s="6"/>
    </row>
    <row r="18" spans="1:10" ht="25.5" customHeight="1">
      <c r="B18" s="5"/>
      <c r="C18" s="154" t="s">
        <v>5</v>
      </c>
      <c r="D18" s="154"/>
      <c r="E18" s="154"/>
      <c r="F18" s="154"/>
      <c r="G18" s="154"/>
      <c r="H18" s="154"/>
      <c r="I18" s="6"/>
    </row>
    <row r="19" spans="1:10" ht="28.5" customHeight="1">
      <c r="B19" s="5"/>
      <c r="C19" s="17"/>
      <c r="D19" s="17"/>
      <c r="E19" s="17"/>
      <c r="F19" s="17"/>
      <c r="G19" s="17"/>
      <c r="H19" s="17"/>
      <c r="I19" s="6"/>
    </row>
    <row r="20" spans="1:10" ht="28.5" customHeight="1">
      <c r="B20" s="5"/>
      <c r="C20" s="22"/>
      <c r="D20" s="22"/>
      <c r="E20" s="23"/>
      <c r="F20" s="23"/>
      <c r="G20" s="23"/>
      <c r="H20" s="23"/>
      <c r="I20" s="6"/>
    </row>
    <row r="21" spans="1:10" ht="28.5" customHeight="1">
      <c r="B21" s="5"/>
      <c r="C21" s="22"/>
      <c r="D21" s="22"/>
      <c r="E21" s="23"/>
      <c r="F21" s="23"/>
      <c r="G21" s="23"/>
      <c r="H21" s="23"/>
      <c r="I21" s="6"/>
    </row>
    <row r="22" spans="1:10" ht="28.5" customHeight="1">
      <c r="B22" s="5"/>
      <c r="C22" s="22"/>
      <c r="D22" s="22"/>
      <c r="E22" s="23"/>
      <c r="F22" s="23"/>
      <c r="G22" s="23"/>
      <c r="H22" s="23"/>
      <c r="I22" s="6"/>
    </row>
    <row r="23" spans="1:10" ht="28.5" customHeight="1">
      <c r="B23" s="5"/>
      <c r="C23" s="22"/>
      <c r="D23" s="22"/>
      <c r="E23" s="23"/>
      <c r="F23" s="23"/>
      <c r="G23" s="23"/>
      <c r="H23" s="23"/>
      <c r="I23" s="6"/>
    </row>
    <row r="24" spans="1:10" ht="45" customHeight="1">
      <c r="B24" s="5"/>
      <c r="C24" s="22"/>
      <c r="D24" s="22"/>
      <c r="E24" s="24"/>
      <c r="F24" s="23"/>
      <c r="G24" s="23"/>
      <c r="H24" s="23"/>
      <c r="I24" s="6"/>
    </row>
    <row r="25" spans="1:10" ht="86.25" customHeight="1">
      <c r="B25" s="5"/>
      <c r="C25" s="35">
        <v>0</v>
      </c>
      <c r="D25" s="115">
        <v>41562</v>
      </c>
      <c r="E25" s="35" t="s">
        <v>35</v>
      </c>
      <c r="F25" s="35" t="s">
        <v>36</v>
      </c>
      <c r="G25" s="35" t="s">
        <v>113</v>
      </c>
      <c r="H25" s="35" t="s">
        <v>122</v>
      </c>
      <c r="I25" s="6"/>
    </row>
    <row r="26" spans="1:10" ht="36" customHeight="1">
      <c r="B26" s="5"/>
      <c r="C26" s="17" t="s">
        <v>6</v>
      </c>
      <c r="D26" s="17" t="s">
        <v>7</v>
      </c>
      <c r="E26" s="17" t="s">
        <v>8</v>
      </c>
      <c r="F26" s="17" t="s">
        <v>34</v>
      </c>
      <c r="G26" s="36" t="s">
        <v>9</v>
      </c>
      <c r="H26" s="36" t="s">
        <v>10</v>
      </c>
      <c r="I26" s="6"/>
    </row>
    <row r="27" spans="1:10" ht="33.75" customHeight="1">
      <c r="B27" s="5"/>
      <c r="C27" s="155" t="s">
        <v>33</v>
      </c>
      <c r="D27" s="155"/>
      <c r="E27" s="155"/>
      <c r="F27" s="155"/>
      <c r="G27" s="155"/>
      <c r="H27" s="155"/>
      <c r="I27" s="6"/>
    </row>
    <row r="28" spans="1:10">
      <c r="B28" s="5"/>
      <c r="C28" s="4"/>
      <c r="D28" s="4"/>
      <c r="E28" s="4"/>
      <c r="F28" s="4"/>
      <c r="G28" s="4"/>
      <c r="H28" s="4"/>
      <c r="I28" s="6"/>
    </row>
    <row r="29" spans="1:10">
      <c r="B29" s="5"/>
      <c r="C29" s="4"/>
      <c r="D29" s="4"/>
      <c r="E29" s="4"/>
      <c r="F29" s="4"/>
      <c r="G29" s="4"/>
      <c r="H29" s="4"/>
      <c r="I29" s="6"/>
    </row>
    <row r="30" spans="1:10">
      <c r="A30" s="4"/>
      <c r="B30" s="3"/>
      <c r="C30" s="2"/>
      <c r="D30" s="2"/>
      <c r="E30" s="2"/>
      <c r="F30" s="2"/>
      <c r="G30" s="2"/>
      <c r="H30" s="2"/>
      <c r="I30" s="1"/>
      <c r="J30" s="4"/>
    </row>
    <row r="31" spans="1:10" ht="25.5" customHeight="1">
      <c r="B31" s="156" t="s">
        <v>0</v>
      </c>
      <c r="C31" s="156"/>
      <c r="D31" s="156"/>
      <c r="E31" s="37" t="s">
        <v>11</v>
      </c>
      <c r="F31" s="37" t="s">
        <v>1</v>
      </c>
      <c r="G31" s="157"/>
      <c r="H31" s="157"/>
      <c r="I31" s="157"/>
    </row>
    <row r="32" spans="1:10" ht="24.75" customHeight="1">
      <c r="B32" s="156" t="s">
        <v>83</v>
      </c>
      <c r="C32" s="156"/>
      <c r="D32" s="156"/>
      <c r="E32" s="37" t="s">
        <v>98</v>
      </c>
      <c r="F32" s="37">
        <v>0</v>
      </c>
      <c r="G32" s="157"/>
      <c r="H32" s="157"/>
      <c r="I32" s="157"/>
    </row>
    <row r="33" spans="2:9" ht="36.75" customHeight="1">
      <c r="B33" s="8"/>
      <c r="C33" s="9"/>
      <c r="D33" s="9"/>
      <c r="E33" s="9"/>
      <c r="F33" s="9"/>
      <c r="G33" s="4"/>
      <c r="H33" s="4"/>
      <c r="I33" s="6"/>
    </row>
    <row r="34" spans="2:9" ht="54" customHeight="1">
      <c r="B34" s="5"/>
      <c r="C34" s="153" t="s">
        <v>12</v>
      </c>
      <c r="D34" s="153"/>
      <c r="E34" s="153"/>
      <c r="F34" s="153"/>
      <c r="G34" s="153"/>
      <c r="H34" s="11"/>
      <c r="I34" s="10"/>
    </row>
    <row r="35" spans="2:9" ht="28.5" customHeight="1">
      <c r="B35" s="5"/>
      <c r="C35" s="4"/>
      <c r="D35" s="4"/>
      <c r="E35" s="4"/>
      <c r="F35" s="4"/>
      <c r="G35" s="4"/>
      <c r="H35" s="4"/>
      <c r="I35" s="6"/>
    </row>
    <row r="36" spans="2:9" ht="32.25" customHeight="1">
      <c r="B36" s="5"/>
      <c r="C36" s="12">
        <v>1</v>
      </c>
      <c r="D36" s="131" t="s">
        <v>13</v>
      </c>
      <c r="E36" s="131"/>
      <c r="F36" s="131"/>
      <c r="G36" s="131"/>
      <c r="H36" s="18">
        <v>3</v>
      </c>
      <c r="I36" s="6"/>
    </row>
    <row r="37" spans="2:9" ht="30.75" customHeight="1">
      <c r="B37" s="5"/>
      <c r="C37" s="12">
        <v>2</v>
      </c>
      <c r="D37" s="131" t="s">
        <v>14</v>
      </c>
      <c r="E37" s="131"/>
      <c r="F37" s="131"/>
      <c r="G37" s="131"/>
      <c r="H37" s="18">
        <v>3</v>
      </c>
      <c r="I37" s="6"/>
    </row>
    <row r="38" spans="2:9" ht="30.75" customHeight="1">
      <c r="B38" s="5"/>
      <c r="C38" s="12">
        <v>3</v>
      </c>
      <c r="D38" s="131" t="s">
        <v>15</v>
      </c>
      <c r="E38" s="131"/>
      <c r="F38" s="131"/>
      <c r="G38" s="131"/>
      <c r="H38" s="18">
        <v>3</v>
      </c>
      <c r="I38" s="6"/>
    </row>
    <row r="39" spans="2:9" ht="21" customHeight="1">
      <c r="B39" s="5"/>
      <c r="C39" s="13">
        <v>3.1</v>
      </c>
      <c r="D39" s="158" t="s">
        <v>16</v>
      </c>
      <c r="E39" s="158"/>
      <c r="F39" s="158"/>
      <c r="G39" s="158"/>
      <c r="H39" s="19">
        <v>3</v>
      </c>
      <c r="I39" s="6"/>
    </row>
    <row r="40" spans="2:9" ht="20.25" customHeight="1">
      <c r="B40" s="5"/>
      <c r="C40" s="13">
        <v>3.2</v>
      </c>
      <c r="D40" s="158" t="s">
        <v>17</v>
      </c>
      <c r="E40" s="158"/>
      <c r="F40" s="158"/>
      <c r="G40" s="158"/>
      <c r="H40" s="19">
        <v>3</v>
      </c>
      <c r="I40" s="6"/>
    </row>
    <row r="41" spans="2:9" ht="26.25" customHeight="1">
      <c r="B41" s="5"/>
      <c r="C41" s="12">
        <v>4</v>
      </c>
      <c r="D41" s="131" t="s">
        <v>18</v>
      </c>
      <c r="E41" s="131"/>
      <c r="F41" s="131"/>
      <c r="G41" s="131"/>
      <c r="H41" s="18">
        <v>3</v>
      </c>
      <c r="I41" s="6"/>
    </row>
    <row r="42" spans="2:9" ht="27.75" customHeight="1">
      <c r="B42" s="5"/>
      <c r="C42" s="12">
        <v>5</v>
      </c>
      <c r="D42" s="131" t="s">
        <v>19</v>
      </c>
      <c r="E42" s="131"/>
      <c r="F42" s="131"/>
      <c r="G42" s="131"/>
      <c r="H42" s="18">
        <v>3</v>
      </c>
      <c r="I42" s="6"/>
    </row>
    <row r="43" spans="2:9" ht="27" customHeight="1">
      <c r="B43" s="5"/>
      <c r="C43" s="12">
        <v>6</v>
      </c>
      <c r="D43" s="131" t="s">
        <v>20</v>
      </c>
      <c r="E43" s="131"/>
      <c r="F43" s="131"/>
      <c r="G43" s="131"/>
      <c r="H43" s="18">
        <v>3</v>
      </c>
      <c r="I43" s="6"/>
    </row>
    <row r="44" spans="2:9" ht="28.5" customHeight="1">
      <c r="B44" s="5"/>
      <c r="C44" s="12">
        <v>7</v>
      </c>
      <c r="D44" s="131" t="s">
        <v>21</v>
      </c>
      <c r="E44" s="131"/>
      <c r="F44" s="131"/>
      <c r="G44" s="131"/>
      <c r="H44" s="18">
        <v>3</v>
      </c>
      <c r="I44" s="6"/>
    </row>
    <row r="45" spans="2:9" ht="28.5" customHeight="1">
      <c r="B45" s="5"/>
      <c r="C45" s="12">
        <v>8</v>
      </c>
      <c r="D45" s="131" t="s">
        <v>22</v>
      </c>
      <c r="E45" s="131"/>
      <c r="F45" s="131"/>
      <c r="G45" s="131"/>
      <c r="H45" s="18">
        <v>3</v>
      </c>
      <c r="I45" s="6"/>
    </row>
    <row r="46" spans="2:9">
      <c r="B46" s="5"/>
      <c r="C46" s="4"/>
      <c r="D46" s="4"/>
      <c r="E46" s="4"/>
      <c r="F46" s="4"/>
      <c r="G46" s="4"/>
      <c r="H46" s="4"/>
      <c r="I46" s="6"/>
    </row>
    <row r="47" spans="2:9">
      <c r="B47" s="5"/>
      <c r="C47" s="4"/>
      <c r="D47" s="4"/>
      <c r="E47" s="4"/>
      <c r="F47" s="4"/>
      <c r="G47" s="4"/>
      <c r="H47" s="4"/>
      <c r="I47" s="6"/>
    </row>
    <row r="48" spans="2:9">
      <c r="B48" s="5"/>
      <c r="C48" s="4"/>
      <c r="D48" s="4"/>
      <c r="E48" s="4"/>
      <c r="F48" s="4"/>
      <c r="G48" s="4"/>
      <c r="H48" s="4"/>
      <c r="I48" s="6"/>
    </row>
    <row r="49" spans="2:9">
      <c r="B49" s="5"/>
      <c r="C49" s="4"/>
      <c r="D49" s="4"/>
      <c r="E49" s="4"/>
      <c r="F49" s="4"/>
      <c r="G49" s="4"/>
      <c r="H49" s="4"/>
      <c r="I49" s="6"/>
    </row>
    <row r="50" spans="2:9">
      <c r="B50" s="5"/>
      <c r="C50" s="4"/>
      <c r="D50" s="4"/>
      <c r="E50" s="4"/>
      <c r="F50" s="4"/>
      <c r="G50" s="4"/>
      <c r="H50" s="4"/>
      <c r="I50" s="6"/>
    </row>
    <row r="51" spans="2:9">
      <c r="B51" s="5"/>
      <c r="C51" s="4"/>
      <c r="D51" s="4"/>
      <c r="E51" s="4"/>
      <c r="F51" s="4"/>
      <c r="G51" s="4"/>
      <c r="H51" s="4"/>
      <c r="I51" s="6"/>
    </row>
    <row r="52" spans="2:9">
      <c r="B52" s="5"/>
      <c r="C52" s="4"/>
      <c r="D52" s="4"/>
      <c r="E52" s="4"/>
      <c r="F52" s="4"/>
      <c r="G52" s="4"/>
      <c r="H52" s="4"/>
      <c r="I52" s="6"/>
    </row>
    <row r="53" spans="2:9">
      <c r="B53" s="5"/>
      <c r="C53" s="4"/>
      <c r="D53" s="4"/>
      <c r="E53" s="4"/>
      <c r="F53" s="4"/>
      <c r="G53" s="4"/>
      <c r="H53" s="4"/>
      <c r="I53" s="6"/>
    </row>
    <row r="54" spans="2:9">
      <c r="B54" s="5"/>
      <c r="C54" s="4"/>
      <c r="D54" s="4"/>
      <c r="E54" s="4"/>
      <c r="F54" s="4"/>
      <c r="G54" s="4"/>
      <c r="H54" s="4"/>
      <c r="I54" s="6"/>
    </row>
    <row r="55" spans="2:9">
      <c r="B55" s="5"/>
      <c r="C55" s="4"/>
      <c r="D55" s="4"/>
      <c r="E55" s="4"/>
      <c r="F55" s="4"/>
      <c r="G55" s="4"/>
      <c r="H55" s="4"/>
      <c r="I55" s="6"/>
    </row>
    <row r="56" spans="2:9">
      <c r="B56" s="5"/>
      <c r="C56" s="4"/>
      <c r="D56" s="4"/>
      <c r="E56" s="4"/>
      <c r="F56" s="4"/>
      <c r="G56" s="4"/>
      <c r="H56" s="4"/>
      <c r="I56" s="6"/>
    </row>
    <row r="57" spans="2:9">
      <c r="B57" s="5"/>
      <c r="C57" s="4"/>
      <c r="D57" s="4"/>
      <c r="E57" s="4"/>
      <c r="F57" s="4"/>
      <c r="G57" s="4"/>
      <c r="H57" s="4"/>
      <c r="I57" s="6"/>
    </row>
    <row r="58" spans="2:9">
      <c r="B58" s="5"/>
      <c r="C58" s="4"/>
      <c r="D58" s="4"/>
      <c r="E58" s="4"/>
      <c r="F58" s="4"/>
      <c r="G58" s="4"/>
      <c r="H58" s="4"/>
      <c r="I58" s="6"/>
    </row>
    <row r="59" spans="2:9" ht="9.75" customHeight="1">
      <c r="B59" s="5"/>
      <c r="C59" s="4"/>
      <c r="D59" s="4"/>
      <c r="E59" s="4"/>
      <c r="F59" s="4"/>
      <c r="G59" s="4"/>
      <c r="H59" s="4"/>
      <c r="I59" s="6"/>
    </row>
    <row r="60" spans="2:9" ht="1.5" customHeight="1">
      <c r="B60" s="5"/>
      <c r="C60" s="4"/>
      <c r="D60" s="4"/>
      <c r="E60" s="4"/>
      <c r="F60" s="4"/>
      <c r="G60" s="4"/>
      <c r="H60" s="4"/>
      <c r="I60" s="6"/>
    </row>
    <row r="61" spans="2:9">
      <c r="B61" s="5"/>
      <c r="C61" s="4"/>
      <c r="D61" s="4"/>
      <c r="E61" s="4"/>
      <c r="F61" s="4"/>
      <c r="G61" s="4"/>
      <c r="H61" s="4"/>
      <c r="I61" s="6"/>
    </row>
    <row r="62" spans="2:9">
      <c r="B62" s="5"/>
      <c r="C62" s="4"/>
      <c r="D62" s="4"/>
      <c r="E62" s="4"/>
      <c r="F62" s="4"/>
      <c r="G62" s="4"/>
      <c r="H62" s="4"/>
      <c r="I62" s="6"/>
    </row>
    <row r="63" spans="2:9">
      <c r="B63" s="5"/>
      <c r="C63" s="4"/>
      <c r="D63" s="4"/>
      <c r="E63" s="4"/>
      <c r="F63" s="4"/>
      <c r="G63" s="4"/>
      <c r="H63" s="4"/>
      <c r="I63" s="6"/>
    </row>
    <row r="64" spans="2:9">
      <c r="B64" s="5"/>
      <c r="C64" s="4"/>
      <c r="D64" s="4"/>
      <c r="E64" s="4"/>
      <c r="F64" s="4"/>
      <c r="G64" s="4"/>
      <c r="H64" s="4"/>
      <c r="I64" s="6"/>
    </row>
    <row r="65" spans="2:9">
      <c r="B65" s="5"/>
      <c r="C65" s="4"/>
      <c r="D65" s="4"/>
      <c r="E65" s="4"/>
      <c r="F65" s="4"/>
      <c r="G65" s="4"/>
      <c r="H65" s="4"/>
      <c r="I65" s="6"/>
    </row>
    <row r="66" spans="2:9">
      <c r="B66" s="5"/>
      <c r="C66" s="4"/>
      <c r="D66" s="4"/>
      <c r="E66" s="4"/>
      <c r="F66" s="4"/>
      <c r="G66" s="4"/>
      <c r="H66" s="4"/>
      <c r="I66" s="6"/>
    </row>
    <row r="67" spans="2:9">
      <c r="B67" s="5"/>
      <c r="C67" s="4"/>
      <c r="D67" s="4"/>
      <c r="E67" s="4"/>
      <c r="F67" s="4"/>
      <c r="G67" s="4"/>
      <c r="H67" s="4"/>
      <c r="I67" s="6"/>
    </row>
    <row r="68" spans="2:9">
      <c r="B68" s="5"/>
      <c r="C68" s="4"/>
      <c r="D68" s="4"/>
      <c r="E68" s="4"/>
      <c r="F68" s="4"/>
      <c r="G68" s="4"/>
      <c r="H68" s="4"/>
      <c r="I68" s="6"/>
    </row>
    <row r="69" spans="2:9" ht="3" customHeight="1">
      <c r="B69" s="5"/>
      <c r="C69" s="4"/>
      <c r="D69" s="4"/>
      <c r="E69" s="4"/>
      <c r="F69" s="4"/>
      <c r="G69" s="4"/>
      <c r="H69" s="4"/>
      <c r="I69" s="6"/>
    </row>
    <row r="70" spans="2:9">
      <c r="B70" s="5"/>
      <c r="C70" s="4"/>
      <c r="D70" s="4"/>
      <c r="E70" s="4"/>
      <c r="F70" s="4"/>
      <c r="G70" s="4"/>
      <c r="H70" s="4"/>
      <c r="I70" s="6"/>
    </row>
    <row r="71" spans="2:9">
      <c r="B71" s="5"/>
      <c r="C71" s="4"/>
      <c r="D71" s="4"/>
      <c r="E71" s="4"/>
      <c r="F71" s="4"/>
      <c r="G71" s="4"/>
      <c r="H71" s="4"/>
      <c r="I71" s="6"/>
    </row>
    <row r="72" spans="2:9">
      <c r="B72" s="5"/>
      <c r="C72" s="4"/>
      <c r="D72" s="4"/>
      <c r="E72" s="4"/>
      <c r="F72" s="4"/>
      <c r="G72" s="4"/>
      <c r="H72" s="4"/>
      <c r="I72" s="6"/>
    </row>
    <row r="73" spans="2:9">
      <c r="B73" s="5"/>
      <c r="C73" s="4"/>
      <c r="D73" s="4"/>
      <c r="E73" s="4"/>
      <c r="F73" s="4"/>
      <c r="G73" s="4"/>
      <c r="H73" s="4"/>
      <c r="I73" s="6"/>
    </row>
    <row r="74" spans="2:9">
      <c r="B74" s="5"/>
      <c r="C74" s="4"/>
      <c r="D74" s="4"/>
      <c r="E74" s="4"/>
      <c r="F74" s="4"/>
      <c r="G74" s="4"/>
      <c r="H74" s="4"/>
      <c r="I74" s="6"/>
    </row>
    <row r="75" spans="2:9">
      <c r="B75" s="5"/>
      <c r="C75" s="4"/>
      <c r="D75" s="4"/>
      <c r="E75" s="4"/>
      <c r="F75" s="4"/>
      <c r="G75" s="4"/>
      <c r="H75" s="4"/>
      <c r="I75" s="6"/>
    </row>
    <row r="76" spans="2:9">
      <c r="B76" s="5"/>
      <c r="C76" s="4"/>
      <c r="D76" s="4"/>
      <c r="E76" s="4"/>
      <c r="F76" s="4"/>
      <c r="G76" s="4"/>
      <c r="H76" s="4"/>
      <c r="I76" s="6"/>
    </row>
    <row r="77" spans="2:9">
      <c r="B77" s="5"/>
      <c r="C77" s="4"/>
      <c r="D77" s="4"/>
      <c r="E77" s="4"/>
      <c r="F77" s="4"/>
      <c r="G77" s="4"/>
      <c r="H77" s="4"/>
      <c r="I77" s="6"/>
    </row>
    <row r="78" spans="2:9">
      <c r="B78" s="5"/>
      <c r="C78" s="4"/>
      <c r="D78" s="4"/>
      <c r="E78" s="4"/>
      <c r="F78" s="4"/>
      <c r="G78" s="4"/>
      <c r="H78" s="4"/>
      <c r="I78" s="6"/>
    </row>
    <row r="79" spans="2:9">
      <c r="B79" s="5"/>
      <c r="C79" s="4"/>
      <c r="D79" s="4"/>
      <c r="E79" s="4"/>
      <c r="F79" s="4"/>
      <c r="G79" s="4"/>
      <c r="H79" s="4"/>
      <c r="I79" s="6"/>
    </row>
    <row r="80" spans="2:9">
      <c r="B80" s="5"/>
      <c r="C80" s="4"/>
      <c r="D80" s="4"/>
      <c r="E80" s="4"/>
      <c r="F80" s="4"/>
      <c r="G80" s="4"/>
      <c r="H80" s="4"/>
      <c r="I80" s="6"/>
    </row>
    <row r="81" spans="2:9">
      <c r="B81" s="5"/>
      <c r="C81" s="4"/>
      <c r="D81" s="4"/>
      <c r="E81" s="4"/>
      <c r="F81" s="4"/>
      <c r="G81" s="4"/>
      <c r="H81" s="4"/>
      <c r="I81" s="6"/>
    </row>
    <row r="82" spans="2:9">
      <c r="B82" s="3"/>
      <c r="C82" s="2"/>
      <c r="D82" s="2"/>
      <c r="E82" s="2"/>
      <c r="F82" s="2"/>
      <c r="G82" s="2"/>
      <c r="H82" s="2"/>
      <c r="I82" s="1"/>
    </row>
    <row r="83" spans="2:9" ht="12" customHeight="1">
      <c r="B83" s="8"/>
      <c r="C83" s="9"/>
      <c r="D83" s="9"/>
      <c r="E83" s="9"/>
      <c r="F83" s="9"/>
      <c r="G83" s="9"/>
      <c r="H83" s="9"/>
      <c r="I83" s="7"/>
    </row>
    <row r="84" spans="2:9" ht="12" customHeight="1">
      <c r="B84" s="5"/>
      <c r="C84" s="4"/>
      <c r="D84" s="4"/>
      <c r="E84" s="4"/>
      <c r="F84" s="4"/>
      <c r="G84" s="4"/>
      <c r="H84" s="4"/>
      <c r="I84" s="6"/>
    </row>
    <row r="85" spans="2:9" ht="16.5">
      <c r="B85" s="5"/>
      <c r="C85" s="120" t="s">
        <v>23</v>
      </c>
      <c r="D85" s="120"/>
      <c r="E85" s="120"/>
      <c r="F85" s="120"/>
      <c r="G85" s="120"/>
      <c r="H85" s="120"/>
      <c r="I85" s="6"/>
    </row>
    <row r="86" spans="2:9" ht="33.75" customHeight="1">
      <c r="B86" s="5"/>
      <c r="C86" s="130" t="s">
        <v>121</v>
      </c>
      <c r="D86" s="130"/>
      <c r="E86" s="130"/>
      <c r="F86" s="130"/>
      <c r="G86" s="130"/>
      <c r="H86" s="130"/>
      <c r="I86" s="6"/>
    </row>
    <row r="87" spans="2:9" ht="9.9499999999999993" customHeight="1">
      <c r="B87" s="5"/>
      <c r="C87" s="14"/>
      <c r="D87" s="14"/>
      <c r="E87" s="14"/>
      <c r="F87" s="14"/>
      <c r="G87" s="14"/>
      <c r="H87" s="14"/>
      <c r="I87" s="6"/>
    </row>
    <row r="88" spans="2:9" ht="16.5">
      <c r="B88" s="5"/>
      <c r="C88" s="120" t="s">
        <v>24</v>
      </c>
      <c r="D88" s="120"/>
      <c r="E88" s="120"/>
      <c r="F88" s="120"/>
      <c r="G88" s="120"/>
      <c r="H88" s="120"/>
      <c r="I88" s="6"/>
    </row>
    <row r="89" spans="2:9" ht="35.25" customHeight="1">
      <c r="B89" s="5"/>
      <c r="C89" s="130" t="s">
        <v>37</v>
      </c>
      <c r="D89" s="130"/>
      <c r="E89" s="130"/>
      <c r="F89" s="130"/>
      <c r="G89" s="130"/>
      <c r="H89" s="130"/>
      <c r="I89" s="6"/>
    </row>
    <row r="90" spans="2:9" ht="9.9499999999999993" customHeight="1">
      <c r="B90" s="5"/>
      <c r="C90" s="14"/>
      <c r="D90" s="14"/>
      <c r="E90" s="14"/>
      <c r="F90" s="14"/>
      <c r="G90" s="14"/>
      <c r="H90" s="14"/>
      <c r="I90" s="6"/>
    </row>
    <row r="91" spans="2:9" ht="16.5">
      <c r="B91" s="5"/>
      <c r="C91" s="120" t="s">
        <v>25</v>
      </c>
      <c r="D91" s="120"/>
      <c r="E91" s="120"/>
      <c r="F91" s="120"/>
      <c r="G91" s="120"/>
      <c r="H91" s="120"/>
      <c r="I91" s="6"/>
    </row>
    <row r="92" spans="2:9" ht="14.1" customHeight="1">
      <c r="B92" s="5"/>
      <c r="C92" s="128" t="s">
        <v>38</v>
      </c>
      <c r="D92" s="128"/>
      <c r="E92" s="128"/>
      <c r="F92" s="128"/>
      <c r="G92" s="128"/>
      <c r="H92" s="128"/>
      <c r="I92" s="6"/>
    </row>
    <row r="93" spans="2:9" ht="9.9499999999999993" customHeight="1">
      <c r="B93" s="5"/>
      <c r="C93" s="14"/>
      <c r="D93" s="14"/>
      <c r="E93" s="14"/>
      <c r="F93" s="14"/>
      <c r="G93" s="14"/>
      <c r="H93" s="14"/>
      <c r="I93" s="6"/>
    </row>
    <row r="94" spans="2:9" ht="16.5">
      <c r="B94" s="5"/>
      <c r="C94" s="120" t="s">
        <v>26</v>
      </c>
      <c r="D94" s="120"/>
      <c r="E94" s="120"/>
      <c r="F94" s="120"/>
      <c r="G94" s="120"/>
      <c r="H94" s="120"/>
      <c r="I94" s="6"/>
    </row>
    <row r="95" spans="2:9" ht="14.1" customHeight="1">
      <c r="B95" s="5"/>
      <c r="C95" s="129" t="s">
        <v>38</v>
      </c>
      <c r="D95" s="129"/>
      <c r="E95" s="129"/>
      <c r="F95" s="129"/>
      <c r="G95" s="129"/>
      <c r="H95" s="129"/>
      <c r="I95" s="6"/>
    </row>
    <row r="96" spans="2:9" ht="9.9499999999999993" customHeight="1">
      <c r="B96" s="5"/>
      <c r="C96" s="21"/>
      <c r="D96" s="21"/>
      <c r="E96" s="21"/>
      <c r="F96" s="107"/>
      <c r="G96" s="21"/>
      <c r="H96" s="21"/>
      <c r="I96" s="6"/>
    </row>
    <row r="97" spans="2:9" ht="16.5">
      <c r="B97" s="5"/>
      <c r="C97" s="120" t="s">
        <v>27</v>
      </c>
      <c r="D97" s="120"/>
      <c r="E97" s="120"/>
      <c r="F97" s="120"/>
      <c r="G97" s="120"/>
      <c r="H97" s="120"/>
      <c r="I97" s="6"/>
    </row>
    <row r="98" spans="2:9" ht="14.1" customHeight="1">
      <c r="B98" s="5"/>
      <c r="C98" s="128" t="s">
        <v>39</v>
      </c>
      <c r="D98" s="128"/>
      <c r="E98" s="128"/>
      <c r="F98" s="128"/>
      <c r="G98" s="128"/>
      <c r="H98" s="128"/>
      <c r="I98" s="6"/>
    </row>
    <row r="99" spans="2:9" ht="9.9499999999999993" customHeight="1">
      <c r="B99" s="5"/>
      <c r="C99" s="20"/>
      <c r="D99" s="20"/>
      <c r="E99" s="20"/>
      <c r="F99" s="20"/>
      <c r="G99" s="20"/>
      <c r="H99" s="20"/>
      <c r="I99" s="6"/>
    </row>
    <row r="100" spans="2:9" ht="16.5">
      <c r="B100" s="5"/>
      <c r="C100" s="120" t="s">
        <v>28</v>
      </c>
      <c r="D100" s="120"/>
      <c r="E100" s="120"/>
      <c r="F100" s="120"/>
      <c r="G100" s="120"/>
      <c r="H100" s="120"/>
      <c r="I100" s="6"/>
    </row>
    <row r="101" spans="2:9" ht="16.5">
      <c r="B101" s="5"/>
      <c r="C101" s="113" t="s">
        <v>124</v>
      </c>
      <c r="D101" s="112"/>
      <c r="E101" s="107" t="s">
        <v>123</v>
      </c>
      <c r="F101" s="112"/>
      <c r="G101" s="112"/>
      <c r="H101" s="112"/>
      <c r="I101" s="6"/>
    </row>
    <row r="102" spans="2:9" ht="9.9499999999999993" customHeight="1">
      <c r="B102" s="5"/>
      <c r="C102" s="15"/>
      <c r="D102" s="14"/>
      <c r="E102" s="14"/>
      <c r="F102" s="14"/>
      <c r="G102" s="14"/>
      <c r="H102" s="14"/>
      <c r="I102" s="6"/>
    </row>
    <row r="103" spans="2:9" ht="16.5">
      <c r="B103" s="5"/>
      <c r="C103" s="120" t="s">
        <v>29</v>
      </c>
      <c r="D103" s="120"/>
      <c r="E103" s="120"/>
      <c r="F103" s="120"/>
      <c r="G103" s="120"/>
      <c r="H103" s="120"/>
      <c r="I103" s="6"/>
    </row>
    <row r="104" spans="2:9" ht="36" customHeight="1">
      <c r="B104" s="5"/>
      <c r="C104" s="126" t="s">
        <v>40</v>
      </c>
      <c r="D104" s="127"/>
      <c r="E104" s="127"/>
      <c r="F104" s="127"/>
      <c r="G104" s="127"/>
      <c r="H104" s="127"/>
      <c r="I104" s="6"/>
    </row>
    <row r="105" spans="2:9" ht="9.9499999999999993" customHeight="1">
      <c r="B105" s="5"/>
      <c r="C105" s="15"/>
      <c r="D105" s="14"/>
      <c r="E105" s="14"/>
      <c r="F105" s="14"/>
      <c r="G105" s="14"/>
      <c r="H105" s="14"/>
      <c r="I105" s="6"/>
    </row>
    <row r="106" spans="2:9" ht="16.5">
      <c r="B106" s="5"/>
      <c r="C106" s="120" t="s">
        <v>30</v>
      </c>
      <c r="D106" s="120"/>
      <c r="E106" s="120"/>
      <c r="F106" s="120"/>
      <c r="G106" s="120"/>
      <c r="H106" s="120"/>
      <c r="I106" s="6"/>
    </row>
    <row r="107" spans="2:9" ht="16.5">
      <c r="B107" s="5"/>
      <c r="C107" s="29">
        <v>6.1</v>
      </c>
      <c r="D107" s="116" t="s">
        <v>41</v>
      </c>
      <c r="E107" s="116"/>
      <c r="F107" s="116"/>
      <c r="G107" s="116"/>
      <c r="H107" s="116"/>
      <c r="I107" s="6"/>
    </row>
    <row r="108" spans="2:9" ht="16.5">
      <c r="B108" s="5"/>
      <c r="C108" s="30">
        <v>6.2</v>
      </c>
      <c r="D108" s="116" t="s">
        <v>42</v>
      </c>
      <c r="E108" s="116"/>
      <c r="F108" s="117"/>
      <c r="G108" s="26"/>
      <c r="H108" s="28"/>
      <c r="I108" s="6"/>
    </row>
    <row r="109" spans="2:9" ht="16.5">
      <c r="B109" s="5"/>
      <c r="C109" s="29">
        <v>6.3</v>
      </c>
      <c r="D109" s="116" t="s">
        <v>43</v>
      </c>
      <c r="E109" s="116"/>
      <c r="F109" s="117"/>
      <c r="G109" s="27"/>
      <c r="H109" s="25"/>
      <c r="I109" s="6"/>
    </row>
    <row r="110" spans="2:9" ht="49.5" customHeight="1">
      <c r="B110" s="5"/>
      <c r="C110" s="30">
        <v>6.4</v>
      </c>
      <c r="D110" s="118" t="s">
        <v>44</v>
      </c>
      <c r="E110" s="118"/>
      <c r="F110" s="118"/>
      <c r="G110" s="118"/>
      <c r="H110" s="118"/>
      <c r="I110" s="6"/>
    </row>
    <row r="111" spans="2:9" ht="31.5" customHeight="1">
      <c r="B111" s="5"/>
      <c r="C111" s="29">
        <v>6.5</v>
      </c>
      <c r="D111" s="116" t="s">
        <v>45</v>
      </c>
      <c r="E111" s="116"/>
      <c r="F111" s="116"/>
      <c r="G111" s="116"/>
      <c r="H111" s="116"/>
      <c r="I111" s="6"/>
    </row>
    <row r="112" spans="2:9" ht="85.5" customHeight="1">
      <c r="B112" s="5"/>
      <c r="C112" s="29">
        <v>6.6</v>
      </c>
      <c r="D112" s="122" t="s">
        <v>126</v>
      </c>
      <c r="E112" s="122"/>
      <c r="F112" s="122"/>
      <c r="G112" s="122"/>
      <c r="H112" s="122"/>
      <c r="I112" s="6"/>
    </row>
    <row r="113" spans="2:9" ht="12.75" customHeight="1">
      <c r="B113" s="5"/>
      <c r="C113" s="29"/>
      <c r="D113" s="39"/>
      <c r="E113" s="39"/>
      <c r="F113" s="39"/>
      <c r="G113" s="39"/>
      <c r="H113" s="39"/>
      <c r="I113" s="6"/>
    </row>
    <row r="114" spans="2:9" ht="16.5">
      <c r="B114" s="5"/>
      <c r="C114" s="120" t="s">
        <v>31</v>
      </c>
      <c r="D114" s="120"/>
      <c r="E114" s="120"/>
      <c r="F114" s="120"/>
      <c r="G114" s="120"/>
      <c r="H114" s="120"/>
      <c r="I114" s="6"/>
    </row>
    <row r="115" spans="2:9" ht="36.75" customHeight="1">
      <c r="B115" s="5"/>
      <c r="C115" s="31" t="s">
        <v>46</v>
      </c>
      <c r="D115" s="122" t="s">
        <v>47</v>
      </c>
      <c r="E115" s="122"/>
      <c r="F115" s="122"/>
      <c r="G115" s="122"/>
      <c r="H115" s="122"/>
      <c r="I115" s="6"/>
    </row>
    <row r="116" spans="2:9" ht="33" customHeight="1">
      <c r="B116" s="5"/>
      <c r="C116" s="31" t="s">
        <v>48</v>
      </c>
      <c r="D116" s="123" t="s">
        <v>49</v>
      </c>
      <c r="E116" s="123"/>
      <c r="F116" s="123"/>
      <c r="G116" s="123"/>
      <c r="H116" s="123"/>
      <c r="I116" s="6"/>
    </row>
    <row r="117" spans="2:9" ht="50.25" customHeight="1">
      <c r="B117" s="5"/>
      <c r="C117" s="31" t="s">
        <v>50</v>
      </c>
      <c r="D117" s="123" t="s">
        <v>114</v>
      </c>
      <c r="E117" s="123"/>
      <c r="F117" s="123"/>
      <c r="G117" s="123"/>
      <c r="H117" s="123"/>
      <c r="I117" s="6"/>
    </row>
    <row r="118" spans="2:9" ht="16.5">
      <c r="B118" s="5"/>
      <c r="C118" s="31" t="s">
        <v>51</v>
      </c>
      <c r="D118" s="122" t="s">
        <v>52</v>
      </c>
      <c r="E118" s="122"/>
      <c r="F118" s="122"/>
      <c r="G118" s="122"/>
      <c r="H118" s="122"/>
      <c r="I118" s="6"/>
    </row>
    <row r="119" spans="2:9" ht="16.5">
      <c r="B119" s="5"/>
      <c r="C119" s="31"/>
      <c r="D119" s="124" t="s">
        <v>53</v>
      </c>
      <c r="E119" s="124"/>
      <c r="F119" s="33" t="s">
        <v>36</v>
      </c>
      <c r="G119" s="32"/>
      <c r="H119" s="32"/>
      <c r="I119" s="6"/>
    </row>
    <row r="120" spans="2:9" ht="16.5" customHeight="1">
      <c r="B120" s="5"/>
      <c r="C120" s="31"/>
      <c r="D120" s="124" t="s">
        <v>54</v>
      </c>
      <c r="E120" s="124"/>
      <c r="F120" s="125" t="s">
        <v>99</v>
      </c>
      <c r="G120" s="125"/>
      <c r="H120" s="32"/>
      <c r="I120" s="6"/>
    </row>
    <row r="121" spans="2:9" ht="16.5" customHeight="1">
      <c r="B121" s="5"/>
      <c r="C121" s="31"/>
      <c r="D121" s="124" t="s">
        <v>56</v>
      </c>
      <c r="E121" s="124"/>
      <c r="F121" s="125" t="s">
        <v>55</v>
      </c>
      <c r="G121" s="125"/>
      <c r="H121" s="32"/>
      <c r="I121" s="6"/>
    </row>
    <row r="122" spans="2:9" ht="16.5">
      <c r="B122" s="5"/>
      <c r="C122" s="25"/>
      <c r="D122" s="29" t="s">
        <v>57</v>
      </c>
      <c r="E122" s="34"/>
      <c r="F122" s="34" t="s">
        <v>58</v>
      </c>
      <c r="G122" s="25"/>
      <c r="H122" s="25"/>
      <c r="I122" s="6"/>
    </row>
    <row r="123" spans="2:9" ht="9.9499999999999993" customHeight="1">
      <c r="B123" s="5"/>
      <c r="C123" s="15"/>
      <c r="D123" s="14"/>
      <c r="E123" s="14"/>
      <c r="F123" s="125"/>
      <c r="G123" s="125"/>
      <c r="H123" s="14"/>
      <c r="I123" s="6"/>
    </row>
    <row r="124" spans="2:9" ht="16.5">
      <c r="B124" s="5"/>
      <c r="C124" s="120" t="s">
        <v>32</v>
      </c>
      <c r="D124" s="120"/>
      <c r="E124" s="120"/>
      <c r="F124" s="120"/>
      <c r="G124" s="120"/>
      <c r="H124" s="120"/>
      <c r="I124" s="6"/>
    </row>
    <row r="125" spans="2:9" ht="16.5">
      <c r="B125" s="5"/>
      <c r="C125" s="100" t="s">
        <v>100</v>
      </c>
      <c r="D125" s="99"/>
      <c r="E125" s="99"/>
      <c r="F125" s="99"/>
      <c r="G125" s="99"/>
      <c r="H125" s="99"/>
      <c r="I125" s="6"/>
    </row>
    <row r="126" spans="2:9" ht="12" customHeight="1">
      <c r="B126" s="3"/>
      <c r="C126" s="121"/>
      <c r="D126" s="121"/>
      <c r="E126" s="121"/>
      <c r="F126" s="121"/>
      <c r="G126" s="121"/>
      <c r="H126" s="121"/>
      <c r="I126" s="1"/>
    </row>
    <row r="128" spans="2:9" ht="15.75">
      <c r="B128" s="16"/>
      <c r="C128" s="119"/>
      <c r="D128" s="119"/>
      <c r="E128" s="119"/>
      <c r="F128" s="119"/>
      <c r="G128" s="119"/>
      <c r="H128" s="119"/>
      <c r="I128" s="119"/>
    </row>
  </sheetData>
  <mergeCells count="63">
    <mergeCell ref="D112:H112"/>
    <mergeCell ref="C34:G34"/>
    <mergeCell ref="C18:H18"/>
    <mergeCell ref="C27:H27"/>
    <mergeCell ref="B31:D31"/>
    <mergeCell ref="D37:G37"/>
    <mergeCell ref="B32:D32"/>
    <mergeCell ref="G31:I32"/>
    <mergeCell ref="D39:G39"/>
    <mergeCell ref="D40:G40"/>
    <mergeCell ref="D44:G44"/>
    <mergeCell ref="D36:G36"/>
    <mergeCell ref="D45:G45"/>
    <mergeCell ref="D42:G42"/>
    <mergeCell ref="D41:G41"/>
    <mergeCell ref="D43:G43"/>
    <mergeCell ref="D38:G38"/>
    <mergeCell ref="B12:H13"/>
    <mergeCell ref="B1:D1"/>
    <mergeCell ref="B2:D2"/>
    <mergeCell ref="B3:D3"/>
    <mergeCell ref="B4:D4"/>
    <mergeCell ref="E3:F3"/>
    <mergeCell ref="E4:F4"/>
    <mergeCell ref="E1:F1"/>
    <mergeCell ref="B7:H7"/>
    <mergeCell ref="B8:H9"/>
    <mergeCell ref="E2:F2"/>
    <mergeCell ref="G1:I4"/>
    <mergeCell ref="B10:H11"/>
    <mergeCell ref="C85:H85"/>
    <mergeCell ref="C86:H86"/>
    <mergeCell ref="C88:H88"/>
    <mergeCell ref="C89:H89"/>
    <mergeCell ref="C91:H91"/>
    <mergeCell ref="C100:H100"/>
    <mergeCell ref="C103:H103"/>
    <mergeCell ref="C104:H104"/>
    <mergeCell ref="C106:H106"/>
    <mergeCell ref="C92:H92"/>
    <mergeCell ref="C94:H94"/>
    <mergeCell ref="C95:H95"/>
    <mergeCell ref="C97:H97"/>
    <mergeCell ref="C98:H98"/>
    <mergeCell ref="C128:I128"/>
    <mergeCell ref="C114:H114"/>
    <mergeCell ref="C124:H124"/>
    <mergeCell ref="C126:H126"/>
    <mergeCell ref="D115:H115"/>
    <mergeCell ref="D116:H116"/>
    <mergeCell ref="D117:H117"/>
    <mergeCell ref="D118:H118"/>
    <mergeCell ref="D119:E119"/>
    <mergeCell ref="D120:E120"/>
    <mergeCell ref="F120:G120"/>
    <mergeCell ref="D121:E121"/>
    <mergeCell ref="F121:G121"/>
    <mergeCell ref="F123:G123"/>
    <mergeCell ref="D107:H107"/>
    <mergeCell ref="D108:F108"/>
    <mergeCell ref="D109:F109"/>
    <mergeCell ref="D110:H110"/>
    <mergeCell ref="D111:H111"/>
  </mergeCells>
  <hyperlinks>
    <hyperlink ref="C101" r:id="rId1" display="http://apb017aaashjuae:8004/2009/ControlDocument/PEC-EN-VSR-L-12497" xr:uid="{00000000-0004-0000-0000-000000000000}"/>
  </hyperlinks>
  <pageMargins left="0.7" right="0.7" top="0.75" bottom="0.75" header="0.3" footer="0.3"/>
  <pageSetup paperSize="9" scale="75" orientation="portrait" r:id="rId2"/>
  <headerFooter>
    <oddFooter>&amp;C&amp;"Trebuchet MS,Regular"&amp;9Page &amp;P of &amp;N</oddFooter>
  </headerFooter>
  <rowBreaks count="2" manualBreakCount="2">
    <brk id="30" max="9" man="1"/>
    <brk id="82" max="9" man="1"/>
  </rowBreaks>
  <ignoredErrors>
    <ignoredError sqref="C115:C118" numberStoredAsText="1"/>
  </ignoredError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8"/>
  <sheetViews>
    <sheetView tabSelected="1" topLeftCell="A10" zoomScale="85" zoomScaleNormal="85" zoomScaleSheetLayoutView="85" workbookViewId="0">
      <selection activeCell="T39" sqref="T39"/>
    </sheetView>
  </sheetViews>
  <sheetFormatPr defaultRowHeight="12.75"/>
  <cols>
    <col min="1" max="1" width="11" style="54" customWidth="1"/>
    <col min="2" max="2" width="9.7109375" style="54" customWidth="1"/>
    <col min="3" max="3" width="11.5703125" style="61" customWidth="1"/>
    <col min="4" max="6" width="8.7109375" style="54" customWidth="1"/>
    <col min="7" max="7" width="11.28515625" style="61" customWidth="1"/>
    <col min="8" max="8" width="14.85546875" style="61" customWidth="1"/>
    <col min="9" max="9" width="8.7109375" style="54" customWidth="1"/>
    <col min="10" max="13" width="5.7109375" style="54" customWidth="1"/>
    <col min="14" max="256" width="9.140625" style="54"/>
    <col min="257" max="257" width="12.5703125" style="54" customWidth="1"/>
    <col min="258" max="258" width="15.5703125" style="54" customWidth="1"/>
    <col min="259" max="259" width="10.28515625" style="54" customWidth="1"/>
    <col min="260" max="260" width="8.5703125" style="54" customWidth="1"/>
    <col min="261" max="261" width="7.140625" style="54" customWidth="1"/>
    <col min="262" max="262" width="8.5703125" style="54" customWidth="1"/>
    <col min="263" max="263" width="10.42578125" style="54" customWidth="1"/>
    <col min="264" max="264" width="9.140625" style="54" customWidth="1"/>
    <col min="265" max="265" width="7.42578125" style="54" customWidth="1"/>
    <col min="266" max="266" width="11.28515625" style="54" customWidth="1"/>
    <col min="267" max="267" width="15.85546875" style="54" customWidth="1"/>
    <col min="268" max="268" width="11.28515625" style="54" customWidth="1"/>
    <col min="269" max="269" width="12.140625" style="54" customWidth="1"/>
    <col min="270" max="512" width="9.140625" style="54"/>
    <col min="513" max="513" width="12.5703125" style="54" customWidth="1"/>
    <col min="514" max="514" width="15.5703125" style="54" customWidth="1"/>
    <col min="515" max="515" width="10.28515625" style="54" customWidth="1"/>
    <col min="516" max="516" width="8.5703125" style="54" customWidth="1"/>
    <col min="517" max="517" width="7.140625" style="54" customWidth="1"/>
    <col min="518" max="518" width="8.5703125" style="54" customWidth="1"/>
    <col min="519" max="519" width="10.42578125" style="54" customWidth="1"/>
    <col min="520" max="520" width="9.140625" style="54" customWidth="1"/>
    <col min="521" max="521" width="7.42578125" style="54" customWidth="1"/>
    <col min="522" max="522" width="11.28515625" style="54" customWidth="1"/>
    <col min="523" max="523" width="15.85546875" style="54" customWidth="1"/>
    <col min="524" max="524" width="11.28515625" style="54" customWidth="1"/>
    <col min="525" max="525" width="12.140625" style="54" customWidth="1"/>
    <col min="526" max="768" width="9.140625" style="54"/>
    <col min="769" max="769" width="12.5703125" style="54" customWidth="1"/>
    <col min="770" max="770" width="15.5703125" style="54" customWidth="1"/>
    <col min="771" max="771" width="10.28515625" style="54" customWidth="1"/>
    <col min="772" max="772" width="8.5703125" style="54" customWidth="1"/>
    <col min="773" max="773" width="7.140625" style="54" customWidth="1"/>
    <col min="774" max="774" width="8.5703125" style="54" customWidth="1"/>
    <col min="775" max="775" width="10.42578125" style="54" customWidth="1"/>
    <col min="776" max="776" width="9.140625" style="54" customWidth="1"/>
    <col min="777" max="777" width="7.42578125" style="54" customWidth="1"/>
    <col min="778" max="778" width="11.28515625" style="54" customWidth="1"/>
    <col min="779" max="779" width="15.85546875" style="54" customWidth="1"/>
    <col min="780" max="780" width="11.28515625" style="54" customWidth="1"/>
    <col min="781" max="781" width="12.140625" style="54" customWidth="1"/>
    <col min="782" max="1024" width="9.140625" style="54"/>
    <col min="1025" max="1025" width="12.5703125" style="54" customWidth="1"/>
    <col min="1026" max="1026" width="15.5703125" style="54" customWidth="1"/>
    <col min="1027" max="1027" width="10.28515625" style="54" customWidth="1"/>
    <col min="1028" max="1028" width="8.5703125" style="54" customWidth="1"/>
    <col min="1029" max="1029" width="7.140625" style="54" customWidth="1"/>
    <col min="1030" max="1030" width="8.5703125" style="54" customWidth="1"/>
    <col min="1031" max="1031" width="10.42578125" style="54" customWidth="1"/>
    <col min="1032" max="1032" width="9.140625" style="54" customWidth="1"/>
    <col min="1033" max="1033" width="7.42578125" style="54" customWidth="1"/>
    <col min="1034" max="1034" width="11.28515625" style="54" customWidth="1"/>
    <col min="1035" max="1035" width="15.85546875" style="54" customWidth="1"/>
    <col min="1036" max="1036" width="11.28515625" style="54" customWidth="1"/>
    <col min="1037" max="1037" width="12.140625" style="54" customWidth="1"/>
    <col min="1038" max="1280" width="9.140625" style="54"/>
    <col min="1281" max="1281" width="12.5703125" style="54" customWidth="1"/>
    <col min="1282" max="1282" width="15.5703125" style="54" customWidth="1"/>
    <col min="1283" max="1283" width="10.28515625" style="54" customWidth="1"/>
    <col min="1284" max="1284" width="8.5703125" style="54" customWidth="1"/>
    <col min="1285" max="1285" width="7.140625" style="54" customWidth="1"/>
    <col min="1286" max="1286" width="8.5703125" style="54" customWidth="1"/>
    <col min="1287" max="1287" width="10.42578125" style="54" customWidth="1"/>
    <col min="1288" max="1288" width="9.140625" style="54" customWidth="1"/>
    <col min="1289" max="1289" width="7.42578125" style="54" customWidth="1"/>
    <col min="1290" max="1290" width="11.28515625" style="54" customWidth="1"/>
    <col min="1291" max="1291" width="15.85546875" style="54" customWidth="1"/>
    <col min="1292" max="1292" width="11.28515625" style="54" customWidth="1"/>
    <col min="1293" max="1293" width="12.140625" style="54" customWidth="1"/>
    <col min="1294" max="1536" width="9.140625" style="54"/>
    <col min="1537" max="1537" width="12.5703125" style="54" customWidth="1"/>
    <col min="1538" max="1538" width="15.5703125" style="54" customWidth="1"/>
    <col min="1539" max="1539" width="10.28515625" style="54" customWidth="1"/>
    <col min="1540" max="1540" width="8.5703125" style="54" customWidth="1"/>
    <col min="1541" max="1541" width="7.140625" style="54" customWidth="1"/>
    <col min="1542" max="1542" width="8.5703125" style="54" customWidth="1"/>
    <col min="1543" max="1543" width="10.42578125" style="54" customWidth="1"/>
    <col min="1544" max="1544" width="9.140625" style="54" customWidth="1"/>
    <col min="1545" max="1545" width="7.42578125" style="54" customWidth="1"/>
    <col min="1546" max="1546" width="11.28515625" style="54" customWidth="1"/>
    <col min="1547" max="1547" width="15.85546875" style="54" customWidth="1"/>
    <col min="1548" max="1548" width="11.28515625" style="54" customWidth="1"/>
    <col min="1549" max="1549" width="12.140625" style="54" customWidth="1"/>
    <col min="1550" max="1792" width="9.140625" style="54"/>
    <col min="1793" max="1793" width="12.5703125" style="54" customWidth="1"/>
    <col min="1794" max="1794" width="15.5703125" style="54" customWidth="1"/>
    <col min="1795" max="1795" width="10.28515625" style="54" customWidth="1"/>
    <col min="1796" max="1796" width="8.5703125" style="54" customWidth="1"/>
    <col min="1797" max="1797" width="7.140625" style="54" customWidth="1"/>
    <col min="1798" max="1798" width="8.5703125" style="54" customWidth="1"/>
    <col min="1799" max="1799" width="10.42578125" style="54" customWidth="1"/>
    <col min="1800" max="1800" width="9.140625" style="54" customWidth="1"/>
    <col min="1801" max="1801" width="7.42578125" style="54" customWidth="1"/>
    <col min="1802" max="1802" width="11.28515625" style="54" customWidth="1"/>
    <col min="1803" max="1803" width="15.85546875" style="54" customWidth="1"/>
    <col min="1804" max="1804" width="11.28515625" style="54" customWidth="1"/>
    <col min="1805" max="1805" width="12.140625" style="54" customWidth="1"/>
    <col min="1806" max="2048" width="9.140625" style="54"/>
    <col min="2049" max="2049" width="12.5703125" style="54" customWidth="1"/>
    <col min="2050" max="2050" width="15.5703125" style="54" customWidth="1"/>
    <col min="2051" max="2051" width="10.28515625" style="54" customWidth="1"/>
    <col min="2052" max="2052" width="8.5703125" style="54" customWidth="1"/>
    <col min="2053" max="2053" width="7.140625" style="54" customWidth="1"/>
    <col min="2054" max="2054" width="8.5703125" style="54" customWidth="1"/>
    <col min="2055" max="2055" width="10.42578125" style="54" customWidth="1"/>
    <col min="2056" max="2056" width="9.140625" style="54" customWidth="1"/>
    <col min="2057" max="2057" width="7.42578125" style="54" customWidth="1"/>
    <col min="2058" max="2058" width="11.28515625" style="54" customWidth="1"/>
    <col min="2059" max="2059" width="15.85546875" style="54" customWidth="1"/>
    <col min="2060" max="2060" width="11.28515625" style="54" customWidth="1"/>
    <col min="2061" max="2061" width="12.140625" style="54" customWidth="1"/>
    <col min="2062" max="2304" width="9.140625" style="54"/>
    <col min="2305" max="2305" width="12.5703125" style="54" customWidth="1"/>
    <col min="2306" max="2306" width="15.5703125" style="54" customWidth="1"/>
    <col min="2307" max="2307" width="10.28515625" style="54" customWidth="1"/>
    <col min="2308" max="2308" width="8.5703125" style="54" customWidth="1"/>
    <col min="2309" max="2309" width="7.140625" style="54" customWidth="1"/>
    <col min="2310" max="2310" width="8.5703125" style="54" customWidth="1"/>
    <col min="2311" max="2311" width="10.42578125" style="54" customWidth="1"/>
    <col min="2312" max="2312" width="9.140625" style="54" customWidth="1"/>
    <col min="2313" max="2313" width="7.42578125" style="54" customWidth="1"/>
    <col min="2314" max="2314" width="11.28515625" style="54" customWidth="1"/>
    <col min="2315" max="2315" width="15.85546875" style="54" customWidth="1"/>
    <col min="2316" max="2316" width="11.28515625" style="54" customWidth="1"/>
    <col min="2317" max="2317" width="12.140625" style="54" customWidth="1"/>
    <col min="2318" max="2560" width="9.140625" style="54"/>
    <col min="2561" max="2561" width="12.5703125" style="54" customWidth="1"/>
    <col min="2562" max="2562" width="15.5703125" style="54" customWidth="1"/>
    <col min="2563" max="2563" width="10.28515625" style="54" customWidth="1"/>
    <col min="2564" max="2564" width="8.5703125" style="54" customWidth="1"/>
    <col min="2565" max="2565" width="7.140625" style="54" customWidth="1"/>
    <col min="2566" max="2566" width="8.5703125" style="54" customWidth="1"/>
    <col min="2567" max="2567" width="10.42578125" style="54" customWidth="1"/>
    <col min="2568" max="2568" width="9.140625" style="54" customWidth="1"/>
    <col min="2569" max="2569" width="7.42578125" style="54" customWidth="1"/>
    <col min="2570" max="2570" width="11.28515625" style="54" customWidth="1"/>
    <col min="2571" max="2571" width="15.85546875" style="54" customWidth="1"/>
    <col min="2572" max="2572" width="11.28515625" style="54" customWidth="1"/>
    <col min="2573" max="2573" width="12.140625" style="54" customWidth="1"/>
    <col min="2574" max="2816" width="9.140625" style="54"/>
    <col min="2817" max="2817" width="12.5703125" style="54" customWidth="1"/>
    <col min="2818" max="2818" width="15.5703125" style="54" customWidth="1"/>
    <col min="2819" max="2819" width="10.28515625" style="54" customWidth="1"/>
    <col min="2820" max="2820" width="8.5703125" style="54" customWidth="1"/>
    <col min="2821" max="2821" width="7.140625" style="54" customWidth="1"/>
    <col min="2822" max="2822" width="8.5703125" style="54" customWidth="1"/>
    <col min="2823" max="2823" width="10.42578125" style="54" customWidth="1"/>
    <col min="2824" max="2824" width="9.140625" style="54" customWidth="1"/>
    <col min="2825" max="2825" width="7.42578125" style="54" customWidth="1"/>
    <col min="2826" max="2826" width="11.28515625" style="54" customWidth="1"/>
    <col min="2827" max="2827" width="15.85546875" style="54" customWidth="1"/>
    <col min="2828" max="2828" width="11.28515625" style="54" customWidth="1"/>
    <col min="2829" max="2829" width="12.140625" style="54" customWidth="1"/>
    <col min="2830" max="3072" width="9.140625" style="54"/>
    <col min="3073" max="3073" width="12.5703125" style="54" customWidth="1"/>
    <col min="3074" max="3074" width="15.5703125" style="54" customWidth="1"/>
    <col min="3075" max="3075" width="10.28515625" style="54" customWidth="1"/>
    <col min="3076" max="3076" width="8.5703125" style="54" customWidth="1"/>
    <col min="3077" max="3077" width="7.140625" style="54" customWidth="1"/>
    <col min="3078" max="3078" width="8.5703125" style="54" customWidth="1"/>
    <col min="3079" max="3079" width="10.42578125" style="54" customWidth="1"/>
    <col min="3080" max="3080" width="9.140625" style="54" customWidth="1"/>
    <col min="3081" max="3081" width="7.42578125" style="54" customWidth="1"/>
    <col min="3082" max="3082" width="11.28515625" style="54" customWidth="1"/>
    <col min="3083" max="3083" width="15.85546875" style="54" customWidth="1"/>
    <col min="3084" max="3084" width="11.28515625" style="54" customWidth="1"/>
    <col min="3085" max="3085" width="12.140625" style="54" customWidth="1"/>
    <col min="3086" max="3328" width="9.140625" style="54"/>
    <col min="3329" max="3329" width="12.5703125" style="54" customWidth="1"/>
    <col min="3330" max="3330" width="15.5703125" style="54" customWidth="1"/>
    <col min="3331" max="3331" width="10.28515625" style="54" customWidth="1"/>
    <col min="3332" max="3332" width="8.5703125" style="54" customWidth="1"/>
    <col min="3333" max="3333" width="7.140625" style="54" customWidth="1"/>
    <col min="3334" max="3334" width="8.5703125" style="54" customWidth="1"/>
    <col min="3335" max="3335" width="10.42578125" style="54" customWidth="1"/>
    <col min="3336" max="3336" width="9.140625" style="54" customWidth="1"/>
    <col min="3337" max="3337" width="7.42578125" style="54" customWidth="1"/>
    <col min="3338" max="3338" width="11.28515625" style="54" customWidth="1"/>
    <col min="3339" max="3339" width="15.85546875" style="54" customWidth="1"/>
    <col min="3340" max="3340" width="11.28515625" style="54" customWidth="1"/>
    <col min="3341" max="3341" width="12.140625" style="54" customWidth="1"/>
    <col min="3342" max="3584" width="9.140625" style="54"/>
    <col min="3585" max="3585" width="12.5703125" style="54" customWidth="1"/>
    <col min="3586" max="3586" width="15.5703125" style="54" customWidth="1"/>
    <col min="3587" max="3587" width="10.28515625" style="54" customWidth="1"/>
    <col min="3588" max="3588" width="8.5703125" style="54" customWidth="1"/>
    <col min="3589" max="3589" width="7.140625" style="54" customWidth="1"/>
    <col min="3590" max="3590" width="8.5703125" style="54" customWidth="1"/>
    <col min="3591" max="3591" width="10.42578125" style="54" customWidth="1"/>
    <col min="3592" max="3592" width="9.140625" style="54" customWidth="1"/>
    <col min="3593" max="3593" width="7.42578125" style="54" customWidth="1"/>
    <col min="3594" max="3594" width="11.28515625" style="54" customWidth="1"/>
    <col min="3595" max="3595" width="15.85546875" style="54" customWidth="1"/>
    <col min="3596" max="3596" width="11.28515625" style="54" customWidth="1"/>
    <col min="3597" max="3597" width="12.140625" style="54" customWidth="1"/>
    <col min="3598" max="3840" width="9.140625" style="54"/>
    <col min="3841" max="3841" width="12.5703125" style="54" customWidth="1"/>
    <col min="3842" max="3842" width="15.5703125" style="54" customWidth="1"/>
    <col min="3843" max="3843" width="10.28515625" style="54" customWidth="1"/>
    <col min="3844" max="3844" width="8.5703125" style="54" customWidth="1"/>
    <col min="3845" max="3845" width="7.140625" style="54" customWidth="1"/>
    <col min="3846" max="3846" width="8.5703125" style="54" customWidth="1"/>
    <col min="3847" max="3847" width="10.42578125" style="54" customWidth="1"/>
    <col min="3848" max="3848" width="9.140625" style="54" customWidth="1"/>
    <col min="3849" max="3849" width="7.42578125" style="54" customWidth="1"/>
    <col min="3850" max="3850" width="11.28515625" style="54" customWidth="1"/>
    <col min="3851" max="3851" width="15.85546875" style="54" customWidth="1"/>
    <col min="3852" max="3852" width="11.28515625" style="54" customWidth="1"/>
    <col min="3853" max="3853" width="12.140625" style="54" customWidth="1"/>
    <col min="3854" max="4096" width="9.140625" style="54"/>
    <col min="4097" max="4097" width="12.5703125" style="54" customWidth="1"/>
    <col min="4098" max="4098" width="15.5703125" style="54" customWidth="1"/>
    <col min="4099" max="4099" width="10.28515625" style="54" customWidth="1"/>
    <col min="4100" max="4100" width="8.5703125" style="54" customWidth="1"/>
    <col min="4101" max="4101" width="7.140625" style="54" customWidth="1"/>
    <col min="4102" max="4102" width="8.5703125" style="54" customWidth="1"/>
    <col min="4103" max="4103" width="10.42578125" style="54" customWidth="1"/>
    <col min="4104" max="4104" width="9.140625" style="54" customWidth="1"/>
    <col min="4105" max="4105" width="7.42578125" style="54" customWidth="1"/>
    <col min="4106" max="4106" width="11.28515625" style="54" customWidth="1"/>
    <col min="4107" max="4107" width="15.85546875" style="54" customWidth="1"/>
    <col min="4108" max="4108" width="11.28515625" style="54" customWidth="1"/>
    <col min="4109" max="4109" width="12.140625" style="54" customWidth="1"/>
    <col min="4110" max="4352" width="9.140625" style="54"/>
    <col min="4353" max="4353" width="12.5703125" style="54" customWidth="1"/>
    <col min="4354" max="4354" width="15.5703125" style="54" customWidth="1"/>
    <col min="4355" max="4355" width="10.28515625" style="54" customWidth="1"/>
    <col min="4356" max="4356" width="8.5703125" style="54" customWidth="1"/>
    <col min="4357" max="4357" width="7.140625" style="54" customWidth="1"/>
    <col min="4358" max="4358" width="8.5703125" style="54" customWidth="1"/>
    <col min="4359" max="4359" width="10.42578125" style="54" customWidth="1"/>
    <col min="4360" max="4360" width="9.140625" style="54" customWidth="1"/>
    <col min="4361" max="4361" width="7.42578125" style="54" customWidth="1"/>
    <col min="4362" max="4362" width="11.28515625" style="54" customWidth="1"/>
    <col min="4363" max="4363" width="15.85546875" style="54" customWidth="1"/>
    <col min="4364" max="4364" width="11.28515625" style="54" customWidth="1"/>
    <col min="4365" max="4365" width="12.140625" style="54" customWidth="1"/>
    <col min="4366" max="4608" width="9.140625" style="54"/>
    <col min="4609" max="4609" width="12.5703125" style="54" customWidth="1"/>
    <col min="4610" max="4610" width="15.5703125" style="54" customWidth="1"/>
    <col min="4611" max="4611" width="10.28515625" style="54" customWidth="1"/>
    <col min="4612" max="4612" width="8.5703125" style="54" customWidth="1"/>
    <col min="4613" max="4613" width="7.140625" style="54" customWidth="1"/>
    <col min="4614" max="4614" width="8.5703125" style="54" customWidth="1"/>
    <col min="4615" max="4615" width="10.42578125" style="54" customWidth="1"/>
    <col min="4616" max="4616" width="9.140625" style="54" customWidth="1"/>
    <col min="4617" max="4617" width="7.42578125" style="54" customWidth="1"/>
    <col min="4618" max="4618" width="11.28515625" style="54" customWidth="1"/>
    <col min="4619" max="4619" width="15.85546875" style="54" customWidth="1"/>
    <col min="4620" max="4620" width="11.28515625" style="54" customWidth="1"/>
    <col min="4621" max="4621" width="12.140625" style="54" customWidth="1"/>
    <col min="4622" max="4864" width="9.140625" style="54"/>
    <col min="4865" max="4865" width="12.5703125" style="54" customWidth="1"/>
    <col min="4866" max="4866" width="15.5703125" style="54" customWidth="1"/>
    <col min="4867" max="4867" width="10.28515625" style="54" customWidth="1"/>
    <col min="4868" max="4868" width="8.5703125" style="54" customWidth="1"/>
    <col min="4869" max="4869" width="7.140625" style="54" customWidth="1"/>
    <col min="4870" max="4870" width="8.5703125" style="54" customWidth="1"/>
    <col min="4871" max="4871" width="10.42578125" style="54" customWidth="1"/>
    <col min="4872" max="4872" width="9.140625" style="54" customWidth="1"/>
    <col min="4873" max="4873" width="7.42578125" style="54" customWidth="1"/>
    <col min="4874" max="4874" width="11.28515625" style="54" customWidth="1"/>
    <col min="4875" max="4875" width="15.85546875" style="54" customWidth="1"/>
    <col min="4876" max="4876" width="11.28515625" style="54" customWidth="1"/>
    <col min="4877" max="4877" width="12.140625" style="54" customWidth="1"/>
    <col min="4878" max="5120" width="9.140625" style="54"/>
    <col min="5121" max="5121" width="12.5703125" style="54" customWidth="1"/>
    <col min="5122" max="5122" width="15.5703125" style="54" customWidth="1"/>
    <col min="5123" max="5123" width="10.28515625" style="54" customWidth="1"/>
    <col min="5124" max="5124" width="8.5703125" style="54" customWidth="1"/>
    <col min="5125" max="5125" width="7.140625" style="54" customWidth="1"/>
    <col min="5126" max="5126" width="8.5703125" style="54" customWidth="1"/>
    <col min="5127" max="5127" width="10.42578125" style="54" customWidth="1"/>
    <col min="5128" max="5128" width="9.140625" style="54" customWidth="1"/>
    <col min="5129" max="5129" width="7.42578125" style="54" customWidth="1"/>
    <col min="5130" max="5130" width="11.28515625" style="54" customWidth="1"/>
    <col min="5131" max="5131" width="15.85546875" style="54" customWidth="1"/>
    <col min="5132" max="5132" width="11.28515625" style="54" customWidth="1"/>
    <col min="5133" max="5133" width="12.140625" style="54" customWidth="1"/>
    <col min="5134" max="5376" width="9.140625" style="54"/>
    <col min="5377" max="5377" width="12.5703125" style="54" customWidth="1"/>
    <col min="5378" max="5378" width="15.5703125" style="54" customWidth="1"/>
    <col min="5379" max="5379" width="10.28515625" style="54" customWidth="1"/>
    <col min="5380" max="5380" width="8.5703125" style="54" customWidth="1"/>
    <col min="5381" max="5381" width="7.140625" style="54" customWidth="1"/>
    <col min="5382" max="5382" width="8.5703125" style="54" customWidth="1"/>
    <col min="5383" max="5383" width="10.42578125" style="54" customWidth="1"/>
    <col min="5384" max="5384" width="9.140625" style="54" customWidth="1"/>
    <col min="5385" max="5385" width="7.42578125" style="54" customWidth="1"/>
    <col min="5386" max="5386" width="11.28515625" style="54" customWidth="1"/>
    <col min="5387" max="5387" width="15.85546875" style="54" customWidth="1"/>
    <col min="5388" max="5388" width="11.28515625" style="54" customWidth="1"/>
    <col min="5389" max="5389" width="12.140625" style="54" customWidth="1"/>
    <col min="5390" max="5632" width="9.140625" style="54"/>
    <col min="5633" max="5633" width="12.5703125" style="54" customWidth="1"/>
    <col min="5634" max="5634" width="15.5703125" style="54" customWidth="1"/>
    <col min="5635" max="5635" width="10.28515625" style="54" customWidth="1"/>
    <col min="5636" max="5636" width="8.5703125" style="54" customWidth="1"/>
    <col min="5637" max="5637" width="7.140625" style="54" customWidth="1"/>
    <col min="5638" max="5638" width="8.5703125" style="54" customWidth="1"/>
    <col min="5639" max="5639" width="10.42578125" style="54" customWidth="1"/>
    <col min="5640" max="5640" width="9.140625" style="54" customWidth="1"/>
    <col min="5641" max="5641" width="7.42578125" style="54" customWidth="1"/>
    <col min="5642" max="5642" width="11.28515625" style="54" customWidth="1"/>
    <col min="5643" max="5643" width="15.85546875" style="54" customWidth="1"/>
    <col min="5644" max="5644" width="11.28515625" style="54" customWidth="1"/>
    <col min="5645" max="5645" width="12.140625" style="54" customWidth="1"/>
    <col min="5646" max="5888" width="9.140625" style="54"/>
    <col min="5889" max="5889" width="12.5703125" style="54" customWidth="1"/>
    <col min="5890" max="5890" width="15.5703125" style="54" customWidth="1"/>
    <col min="5891" max="5891" width="10.28515625" style="54" customWidth="1"/>
    <col min="5892" max="5892" width="8.5703125" style="54" customWidth="1"/>
    <col min="5893" max="5893" width="7.140625" style="54" customWidth="1"/>
    <col min="5894" max="5894" width="8.5703125" style="54" customWidth="1"/>
    <col min="5895" max="5895" width="10.42578125" style="54" customWidth="1"/>
    <col min="5896" max="5896" width="9.140625" style="54" customWidth="1"/>
    <col min="5897" max="5897" width="7.42578125" style="54" customWidth="1"/>
    <col min="5898" max="5898" width="11.28515625" style="54" customWidth="1"/>
    <col min="5899" max="5899" width="15.85546875" style="54" customWidth="1"/>
    <col min="5900" max="5900" width="11.28515625" style="54" customWidth="1"/>
    <col min="5901" max="5901" width="12.140625" style="54" customWidth="1"/>
    <col min="5902" max="6144" width="9.140625" style="54"/>
    <col min="6145" max="6145" width="12.5703125" style="54" customWidth="1"/>
    <col min="6146" max="6146" width="15.5703125" style="54" customWidth="1"/>
    <col min="6147" max="6147" width="10.28515625" style="54" customWidth="1"/>
    <col min="6148" max="6148" width="8.5703125" style="54" customWidth="1"/>
    <col min="6149" max="6149" width="7.140625" style="54" customWidth="1"/>
    <col min="6150" max="6150" width="8.5703125" style="54" customWidth="1"/>
    <col min="6151" max="6151" width="10.42578125" style="54" customWidth="1"/>
    <col min="6152" max="6152" width="9.140625" style="54" customWidth="1"/>
    <col min="6153" max="6153" width="7.42578125" style="54" customWidth="1"/>
    <col min="6154" max="6154" width="11.28515625" style="54" customWidth="1"/>
    <col min="6155" max="6155" width="15.85546875" style="54" customWidth="1"/>
    <col min="6156" max="6156" width="11.28515625" style="54" customWidth="1"/>
    <col min="6157" max="6157" width="12.140625" style="54" customWidth="1"/>
    <col min="6158" max="6400" width="9.140625" style="54"/>
    <col min="6401" max="6401" width="12.5703125" style="54" customWidth="1"/>
    <col min="6402" max="6402" width="15.5703125" style="54" customWidth="1"/>
    <col min="6403" max="6403" width="10.28515625" style="54" customWidth="1"/>
    <col min="6404" max="6404" width="8.5703125" style="54" customWidth="1"/>
    <col min="6405" max="6405" width="7.140625" style="54" customWidth="1"/>
    <col min="6406" max="6406" width="8.5703125" style="54" customWidth="1"/>
    <col min="6407" max="6407" width="10.42578125" style="54" customWidth="1"/>
    <col min="6408" max="6408" width="9.140625" style="54" customWidth="1"/>
    <col min="6409" max="6409" width="7.42578125" style="54" customWidth="1"/>
    <col min="6410" max="6410" width="11.28515625" style="54" customWidth="1"/>
    <col min="6411" max="6411" width="15.85546875" style="54" customWidth="1"/>
    <col min="6412" max="6412" width="11.28515625" style="54" customWidth="1"/>
    <col min="6413" max="6413" width="12.140625" style="54" customWidth="1"/>
    <col min="6414" max="6656" width="9.140625" style="54"/>
    <col min="6657" max="6657" width="12.5703125" style="54" customWidth="1"/>
    <col min="6658" max="6658" width="15.5703125" style="54" customWidth="1"/>
    <col min="6659" max="6659" width="10.28515625" style="54" customWidth="1"/>
    <col min="6660" max="6660" width="8.5703125" style="54" customWidth="1"/>
    <col min="6661" max="6661" width="7.140625" style="54" customWidth="1"/>
    <col min="6662" max="6662" width="8.5703125" style="54" customWidth="1"/>
    <col min="6663" max="6663" width="10.42578125" style="54" customWidth="1"/>
    <col min="6664" max="6664" width="9.140625" style="54" customWidth="1"/>
    <col min="6665" max="6665" width="7.42578125" style="54" customWidth="1"/>
    <col min="6666" max="6666" width="11.28515625" style="54" customWidth="1"/>
    <col min="6667" max="6667" width="15.85546875" style="54" customWidth="1"/>
    <col min="6668" max="6668" width="11.28515625" style="54" customWidth="1"/>
    <col min="6669" max="6669" width="12.140625" style="54" customWidth="1"/>
    <col min="6670" max="6912" width="9.140625" style="54"/>
    <col min="6913" max="6913" width="12.5703125" style="54" customWidth="1"/>
    <col min="6914" max="6914" width="15.5703125" style="54" customWidth="1"/>
    <col min="6915" max="6915" width="10.28515625" style="54" customWidth="1"/>
    <col min="6916" max="6916" width="8.5703125" style="54" customWidth="1"/>
    <col min="6917" max="6917" width="7.140625" style="54" customWidth="1"/>
    <col min="6918" max="6918" width="8.5703125" style="54" customWidth="1"/>
    <col min="6919" max="6919" width="10.42578125" style="54" customWidth="1"/>
    <col min="6920" max="6920" width="9.140625" style="54" customWidth="1"/>
    <col min="6921" max="6921" width="7.42578125" style="54" customWidth="1"/>
    <col min="6922" max="6922" width="11.28515625" style="54" customWidth="1"/>
    <col min="6923" max="6923" width="15.85546875" style="54" customWidth="1"/>
    <col min="6924" max="6924" width="11.28515625" style="54" customWidth="1"/>
    <col min="6925" max="6925" width="12.140625" style="54" customWidth="1"/>
    <col min="6926" max="7168" width="9.140625" style="54"/>
    <col min="7169" max="7169" width="12.5703125" style="54" customWidth="1"/>
    <col min="7170" max="7170" width="15.5703125" style="54" customWidth="1"/>
    <col min="7171" max="7171" width="10.28515625" style="54" customWidth="1"/>
    <col min="7172" max="7172" width="8.5703125" style="54" customWidth="1"/>
    <col min="7173" max="7173" width="7.140625" style="54" customWidth="1"/>
    <col min="7174" max="7174" width="8.5703125" style="54" customWidth="1"/>
    <col min="7175" max="7175" width="10.42578125" style="54" customWidth="1"/>
    <col min="7176" max="7176" width="9.140625" style="54" customWidth="1"/>
    <col min="7177" max="7177" width="7.42578125" style="54" customWidth="1"/>
    <col min="7178" max="7178" width="11.28515625" style="54" customWidth="1"/>
    <col min="7179" max="7179" width="15.85546875" style="54" customWidth="1"/>
    <col min="7180" max="7180" width="11.28515625" style="54" customWidth="1"/>
    <col min="7181" max="7181" width="12.140625" style="54" customWidth="1"/>
    <col min="7182" max="7424" width="9.140625" style="54"/>
    <col min="7425" max="7425" width="12.5703125" style="54" customWidth="1"/>
    <col min="7426" max="7426" width="15.5703125" style="54" customWidth="1"/>
    <col min="7427" max="7427" width="10.28515625" style="54" customWidth="1"/>
    <col min="7428" max="7428" width="8.5703125" style="54" customWidth="1"/>
    <col min="7429" max="7429" width="7.140625" style="54" customWidth="1"/>
    <col min="7430" max="7430" width="8.5703125" style="54" customWidth="1"/>
    <col min="7431" max="7431" width="10.42578125" style="54" customWidth="1"/>
    <col min="7432" max="7432" width="9.140625" style="54" customWidth="1"/>
    <col min="7433" max="7433" width="7.42578125" style="54" customWidth="1"/>
    <col min="7434" max="7434" width="11.28515625" style="54" customWidth="1"/>
    <col min="7435" max="7435" width="15.85546875" style="54" customWidth="1"/>
    <col min="7436" max="7436" width="11.28515625" style="54" customWidth="1"/>
    <col min="7437" max="7437" width="12.140625" style="54" customWidth="1"/>
    <col min="7438" max="7680" width="9.140625" style="54"/>
    <col min="7681" max="7681" width="12.5703125" style="54" customWidth="1"/>
    <col min="7682" max="7682" width="15.5703125" style="54" customWidth="1"/>
    <col min="7683" max="7683" width="10.28515625" style="54" customWidth="1"/>
    <col min="7684" max="7684" width="8.5703125" style="54" customWidth="1"/>
    <col min="7685" max="7685" width="7.140625" style="54" customWidth="1"/>
    <col min="7686" max="7686" width="8.5703125" style="54" customWidth="1"/>
    <col min="7687" max="7687" width="10.42578125" style="54" customWidth="1"/>
    <col min="7688" max="7688" width="9.140625" style="54" customWidth="1"/>
    <col min="7689" max="7689" width="7.42578125" style="54" customWidth="1"/>
    <col min="7690" max="7690" width="11.28515625" style="54" customWidth="1"/>
    <col min="7691" max="7691" width="15.85546875" style="54" customWidth="1"/>
    <col min="7692" max="7692" width="11.28515625" style="54" customWidth="1"/>
    <col min="7693" max="7693" width="12.140625" style="54" customWidth="1"/>
    <col min="7694" max="7936" width="9.140625" style="54"/>
    <col min="7937" max="7937" width="12.5703125" style="54" customWidth="1"/>
    <col min="7938" max="7938" width="15.5703125" style="54" customWidth="1"/>
    <col min="7939" max="7939" width="10.28515625" style="54" customWidth="1"/>
    <col min="7940" max="7940" width="8.5703125" style="54" customWidth="1"/>
    <col min="7941" max="7941" width="7.140625" style="54" customWidth="1"/>
    <col min="7942" max="7942" width="8.5703125" style="54" customWidth="1"/>
    <col min="7943" max="7943" width="10.42578125" style="54" customWidth="1"/>
    <col min="7944" max="7944" width="9.140625" style="54" customWidth="1"/>
    <col min="7945" max="7945" width="7.42578125" style="54" customWidth="1"/>
    <col min="7946" max="7946" width="11.28515625" style="54" customWidth="1"/>
    <col min="7947" max="7947" width="15.85546875" style="54" customWidth="1"/>
    <col min="7948" max="7948" width="11.28515625" style="54" customWidth="1"/>
    <col min="7949" max="7949" width="12.140625" style="54" customWidth="1"/>
    <col min="7950" max="8192" width="9.140625" style="54"/>
    <col min="8193" max="8193" width="12.5703125" style="54" customWidth="1"/>
    <col min="8194" max="8194" width="15.5703125" style="54" customWidth="1"/>
    <col min="8195" max="8195" width="10.28515625" style="54" customWidth="1"/>
    <col min="8196" max="8196" width="8.5703125" style="54" customWidth="1"/>
    <col min="8197" max="8197" width="7.140625" style="54" customWidth="1"/>
    <col min="8198" max="8198" width="8.5703125" style="54" customWidth="1"/>
    <col min="8199" max="8199" width="10.42578125" style="54" customWidth="1"/>
    <col min="8200" max="8200" width="9.140625" style="54" customWidth="1"/>
    <col min="8201" max="8201" width="7.42578125" style="54" customWidth="1"/>
    <col min="8202" max="8202" width="11.28515625" style="54" customWidth="1"/>
    <col min="8203" max="8203" width="15.85546875" style="54" customWidth="1"/>
    <col min="8204" max="8204" width="11.28515625" style="54" customWidth="1"/>
    <col min="8205" max="8205" width="12.140625" style="54" customWidth="1"/>
    <col min="8206" max="8448" width="9.140625" style="54"/>
    <col min="8449" max="8449" width="12.5703125" style="54" customWidth="1"/>
    <col min="8450" max="8450" width="15.5703125" style="54" customWidth="1"/>
    <col min="8451" max="8451" width="10.28515625" style="54" customWidth="1"/>
    <col min="8452" max="8452" width="8.5703125" style="54" customWidth="1"/>
    <col min="8453" max="8453" width="7.140625" style="54" customWidth="1"/>
    <col min="8454" max="8454" width="8.5703125" style="54" customWidth="1"/>
    <col min="8455" max="8455" width="10.42578125" style="54" customWidth="1"/>
    <col min="8456" max="8456" width="9.140625" style="54" customWidth="1"/>
    <col min="8457" max="8457" width="7.42578125" style="54" customWidth="1"/>
    <col min="8458" max="8458" width="11.28515625" style="54" customWidth="1"/>
    <col min="8459" max="8459" width="15.85546875" style="54" customWidth="1"/>
    <col min="8460" max="8460" width="11.28515625" style="54" customWidth="1"/>
    <col min="8461" max="8461" width="12.140625" style="54" customWidth="1"/>
    <col min="8462" max="8704" width="9.140625" style="54"/>
    <col min="8705" max="8705" width="12.5703125" style="54" customWidth="1"/>
    <col min="8706" max="8706" width="15.5703125" style="54" customWidth="1"/>
    <col min="8707" max="8707" width="10.28515625" style="54" customWidth="1"/>
    <col min="8708" max="8708" width="8.5703125" style="54" customWidth="1"/>
    <col min="8709" max="8709" width="7.140625" style="54" customWidth="1"/>
    <col min="8710" max="8710" width="8.5703125" style="54" customWidth="1"/>
    <col min="8711" max="8711" width="10.42578125" style="54" customWidth="1"/>
    <col min="8712" max="8712" width="9.140625" style="54" customWidth="1"/>
    <col min="8713" max="8713" width="7.42578125" style="54" customWidth="1"/>
    <col min="8714" max="8714" width="11.28515625" style="54" customWidth="1"/>
    <col min="8715" max="8715" width="15.85546875" style="54" customWidth="1"/>
    <col min="8716" max="8716" width="11.28515625" style="54" customWidth="1"/>
    <col min="8717" max="8717" width="12.140625" style="54" customWidth="1"/>
    <col min="8718" max="8960" width="9.140625" style="54"/>
    <col min="8961" max="8961" width="12.5703125" style="54" customWidth="1"/>
    <col min="8962" max="8962" width="15.5703125" style="54" customWidth="1"/>
    <col min="8963" max="8963" width="10.28515625" style="54" customWidth="1"/>
    <col min="8964" max="8964" width="8.5703125" style="54" customWidth="1"/>
    <col min="8965" max="8965" width="7.140625" style="54" customWidth="1"/>
    <col min="8966" max="8966" width="8.5703125" style="54" customWidth="1"/>
    <col min="8967" max="8967" width="10.42578125" style="54" customWidth="1"/>
    <col min="8968" max="8968" width="9.140625" style="54" customWidth="1"/>
    <col min="8969" max="8969" width="7.42578125" style="54" customWidth="1"/>
    <col min="8970" max="8970" width="11.28515625" style="54" customWidth="1"/>
    <col min="8971" max="8971" width="15.85546875" style="54" customWidth="1"/>
    <col min="8972" max="8972" width="11.28515625" style="54" customWidth="1"/>
    <col min="8973" max="8973" width="12.140625" style="54" customWidth="1"/>
    <col min="8974" max="9216" width="9.140625" style="54"/>
    <col min="9217" max="9217" width="12.5703125" style="54" customWidth="1"/>
    <col min="9218" max="9218" width="15.5703125" style="54" customWidth="1"/>
    <col min="9219" max="9219" width="10.28515625" style="54" customWidth="1"/>
    <col min="9220" max="9220" width="8.5703125" style="54" customWidth="1"/>
    <col min="9221" max="9221" width="7.140625" style="54" customWidth="1"/>
    <col min="9222" max="9222" width="8.5703125" style="54" customWidth="1"/>
    <col min="9223" max="9223" width="10.42578125" style="54" customWidth="1"/>
    <col min="9224" max="9224" width="9.140625" style="54" customWidth="1"/>
    <col min="9225" max="9225" width="7.42578125" style="54" customWidth="1"/>
    <col min="9226" max="9226" width="11.28515625" style="54" customWidth="1"/>
    <col min="9227" max="9227" width="15.85546875" style="54" customWidth="1"/>
    <col min="9228" max="9228" width="11.28515625" style="54" customWidth="1"/>
    <col min="9229" max="9229" width="12.140625" style="54" customWidth="1"/>
    <col min="9230" max="9472" width="9.140625" style="54"/>
    <col min="9473" max="9473" width="12.5703125" style="54" customWidth="1"/>
    <col min="9474" max="9474" width="15.5703125" style="54" customWidth="1"/>
    <col min="9475" max="9475" width="10.28515625" style="54" customWidth="1"/>
    <col min="9476" max="9476" width="8.5703125" style="54" customWidth="1"/>
    <col min="9477" max="9477" width="7.140625" style="54" customWidth="1"/>
    <col min="9478" max="9478" width="8.5703125" style="54" customWidth="1"/>
    <col min="9479" max="9479" width="10.42578125" style="54" customWidth="1"/>
    <col min="9480" max="9480" width="9.140625" style="54" customWidth="1"/>
    <col min="9481" max="9481" width="7.42578125" style="54" customWidth="1"/>
    <col min="9482" max="9482" width="11.28515625" style="54" customWidth="1"/>
    <col min="9483" max="9483" width="15.85546875" style="54" customWidth="1"/>
    <col min="9484" max="9484" width="11.28515625" style="54" customWidth="1"/>
    <col min="9485" max="9485" width="12.140625" style="54" customWidth="1"/>
    <col min="9486" max="9728" width="9.140625" style="54"/>
    <col min="9729" max="9729" width="12.5703125" style="54" customWidth="1"/>
    <col min="9730" max="9730" width="15.5703125" style="54" customWidth="1"/>
    <col min="9731" max="9731" width="10.28515625" style="54" customWidth="1"/>
    <col min="9732" max="9732" width="8.5703125" style="54" customWidth="1"/>
    <col min="9733" max="9733" width="7.140625" style="54" customWidth="1"/>
    <col min="9734" max="9734" width="8.5703125" style="54" customWidth="1"/>
    <col min="9735" max="9735" width="10.42578125" style="54" customWidth="1"/>
    <col min="9736" max="9736" width="9.140625" style="54" customWidth="1"/>
    <col min="9737" max="9737" width="7.42578125" style="54" customWidth="1"/>
    <col min="9738" max="9738" width="11.28515625" style="54" customWidth="1"/>
    <col min="9739" max="9739" width="15.85546875" style="54" customWidth="1"/>
    <col min="9740" max="9740" width="11.28515625" style="54" customWidth="1"/>
    <col min="9741" max="9741" width="12.140625" style="54" customWidth="1"/>
    <col min="9742" max="9984" width="9.140625" style="54"/>
    <col min="9985" max="9985" width="12.5703125" style="54" customWidth="1"/>
    <col min="9986" max="9986" width="15.5703125" style="54" customWidth="1"/>
    <col min="9987" max="9987" width="10.28515625" style="54" customWidth="1"/>
    <col min="9988" max="9988" width="8.5703125" style="54" customWidth="1"/>
    <col min="9989" max="9989" width="7.140625" style="54" customWidth="1"/>
    <col min="9990" max="9990" width="8.5703125" style="54" customWidth="1"/>
    <col min="9991" max="9991" width="10.42578125" style="54" customWidth="1"/>
    <col min="9992" max="9992" width="9.140625" style="54" customWidth="1"/>
    <col min="9993" max="9993" width="7.42578125" style="54" customWidth="1"/>
    <col min="9994" max="9994" width="11.28515625" style="54" customWidth="1"/>
    <col min="9995" max="9995" width="15.85546875" style="54" customWidth="1"/>
    <col min="9996" max="9996" width="11.28515625" style="54" customWidth="1"/>
    <col min="9997" max="9997" width="12.140625" style="54" customWidth="1"/>
    <col min="9998" max="10240" width="9.140625" style="54"/>
    <col min="10241" max="10241" width="12.5703125" style="54" customWidth="1"/>
    <col min="10242" max="10242" width="15.5703125" style="54" customWidth="1"/>
    <col min="10243" max="10243" width="10.28515625" style="54" customWidth="1"/>
    <col min="10244" max="10244" width="8.5703125" style="54" customWidth="1"/>
    <col min="10245" max="10245" width="7.140625" style="54" customWidth="1"/>
    <col min="10246" max="10246" width="8.5703125" style="54" customWidth="1"/>
    <col min="10247" max="10247" width="10.42578125" style="54" customWidth="1"/>
    <col min="10248" max="10248" width="9.140625" style="54" customWidth="1"/>
    <col min="10249" max="10249" width="7.42578125" style="54" customWidth="1"/>
    <col min="10250" max="10250" width="11.28515625" style="54" customWidth="1"/>
    <col min="10251" max="10251" width="15.85546875" style="54" customWidth="1"/>
    <col min="10252" max="10252" width="11.28515625" style="54" customWidth="1"/>
    <col min="10253" max="10253" width="12.140625" style="54" customWidth="1"/>
    <col min="10254" max="10496" width="9.140625" style="54"/>
    <col min="10497" max="10497" width="12.5703125" style="54" customWidth="1"/>
    <col min="10498" max="10498" width="15.5703125" style="54" customWidth="1"/>
    <col min="10499" max="10499" width="10.28515625" style="54" customWidth="1"/>
    <col min="10500" max="10500" width="8.5703125" style="54" customWidth="1"/>
    <col min="10501" max="10501" width="7.140625" style="54" customWidth="1"/>
    <col min="10502" max="10502" width="8.5703125" style="54" customWidth="1"/>
    <col min="10503" max="10503" width="10.42578125" style="54" customWidth="1"/>
    <col min="10504" max="10504" width="9.140625" style="54" customWidth="1"/>
    <col min="10505" max="10505" width="7.42578125" style="54" customWidth="1"/>
    <col min="10506" max="10506" width="11.28515625" style="54" customWidth="1"/>
    <col min="10507" max="10507" width="15.85546875" style="54" customWidth="1"/>
    <col min="10508" max="10508" width="11.28515625" style="54" customWidth="1"/>
    <col min="10509" max="10509" width="12.140625" style="54" customWidth="1"/>
    <col min="10510" max="10752" width="9.140625" style="54"/>
    <col min="10753" max="10753" width="12.5703125" style="54" customWidth="1"/>
    <col min="10754" max="10754" width="15.5703125" style="54" customWidth="1"/>
    <col min="10755" max="10755" width="10.28515625" style="54" customWidth="1"/>
    <col min="10756" max="10756" width="8.5703125" style="54" customWidth="1"/>
    <col min="10757" max="10757" width="7.140625" style="54" customWidth="1"/>
    <col min="10758" max="10758" width="8.5703125" style="54" customWidth="1"/>
    <col min="10759" max="10759" width="10.42578125" style="54" customWidth="1"/>
    <col min="10760" max="10760" width="9.140625" style="54" customWidth="1"/>
    <col min="10761" max="10761" width="7.42578125" style="54" customWidth="1"/>
    <col min="10762" max="10762" width="11.28515625" style="54" customWidth="1"/>
    <col min="10763" max="10763" width="15.85546875" style="54" customWidth="1"/>
    <col min="10764" max="10764" width="11.28515625" style="54" customWidth="1"/>
    <col min="10765" max="10765" width="12.140625" style="54" customWidth="1"/>
    <col min="10766" max="11008" width="9.140625" style="54"/>
    <col min="11009" max="11009" width="12.5703125" style="54" customWidth="1"/>
    <col min="11010" max="11010" width="15.5703125" style="54" customWidth="1"/>
    <col min="11011" max="11011" width="10.28515625" style="54" customWidth="1"/>
    <col min="11012" max="11012" width="8.5703125" style="54" customWidth="1"/>
    <col min="11013" max="11013" width="7.140625" style="54" customWidth="1"/>
    <col min="11014" max="11014" width="8.5703125" style="54" customWidth="1"/>
    <col min="11015" max="11015" width="10.42578125" style="54" customWidth="1"/>
    <col min="11016" max="11016" width="9.140625" style="54" customWidth="1"/>
    <col min="11017" max="11017" width="7.42578125" style="54" customWidth="1"/>
    <col min="11018" max="11018" width="11.28515625" style="54" customWidth="1"/>
    <col min="11019" max="11019" width="15.85546875" style="54" customWidth="1"/>
    <col min="11020" max="11020" width="11.28515625" style="54" customWidth="1"/>
    <col min="11021" max="11021" width="12.140625" style="54" customWidth="1"/>
    <col min="11022" max="11264" width="9.140625" style="54"/>
    <col min="11265" max="11265" width="12.5703125" style="54" customWidth="1"/>
    <col min="11266" max="11266" width="15.5703125" style="54" customWidth="1"/>
    <col min="11267" max="11267" width="10.28515625" style="54" customWidth="1"/>
    <col min="11268" max="11268" width="8.5703125" style="54" customWidth="1"/>
    <col min="11269" max="11269" width="7.140625" style="54" customWidth="1"/>
    <col min="11270" max="11270" width="8.5703125" style="54" customWidth="1"/>
    <col min="11271" max="11271" width="10.42578125" style="54" customWidth="1"/>
    <col min="11272" max="11272" width="9.140625" style="54" customWidth="1"/>
    <col min="11273" max="11273" width="7.42578125" style="54" customWidth="1"/>
    <col min="11274" max="11274" width="11.28515625" style="54" customWidth="1"/>
    <col min="11275" max="11275" width="15.85546875" style="54" customWidth="1"/>
    <col min="11276" max="11276" width="11.28515625" style="54" customWidth="1"/>
    <col min="11277" max="11277" width="12.140625" style="54" customWidth="1"/>
    <col min="11278" max="11520" width="9.140625" style="54"/>
    <col min="11521" max="11521" width="12.5703125" style="54" customWidth="1"/>
    <col min="11522" max="11522" width="15.5703125" style="54" customWidth="1"/>
    <col min="11523" max="11523" width="10.28515625" style="54" customWidth="1"/>
    <col min="11524" max="11524" width="8.5703125" style="54" customWidth="1"/>
    <col min="11525" max="11525" width="7.140625" style="54" customWidth="1"/>
    <col min="11526" max="11526" width="8.5703125" style="54" customWidth="1"/>
    <col min="11527" max="11527" width="10.42578125" style="54" customWidth="1"/>
    <col min="11528" max="11528" width="9.140625" style="54" customWidth="1"/>
    <col min="11529" max="11529" width="7.42578125" style="54" customWidth="1"/>
    <col min="11530" max="11530" width="11.28515625" style="54" customWidth="1"/>
    <col min="11531" max="11531" width="15.85546875" style="54" customWidth="1"/>
    <col min="11532" max="11532" width="11.28515625" style="54" customWidth="1"/>
    <col min="11533" max="11533" width="12.140625" style="54" customWidth="1"/>
    <col min="11534" max="11776" width="9.140625" style="54"/>
    <col min="11777" max="11777" width="12.5703125" style="54" customWidth="1"/>
    <col min="11778" max="11778" width="15.5703125" style="54" customWidth="1"/>
    <col min="11779" max="11779" width="10.28515625" style="54" customWidth="1"/>
    <col min="11780" max="11780" width="8.5703125" style="54" customWidth="1"/>
    <col min="11781" max="11781" width="7.140625" style="54" customWidth="1"/>
    <col min="11782" max="11782" width="8.5703125" style="54" customWidth="1"/>
    <col min="11783" max="11783" width="10.42578125" style="54" customWidth="1"/>
    <col min="11784" max="11784" width="9.140625" style="54" customWidth="1"/>
    <col min="11785" max="11785" width="7.42578125" style="54" customWidth="1"/>
    <col min="11786" max="11786" width="11.28515625" style="54" customWidth="1"/>
    <col min="11787" max="11787" width="15.85546875" style="54" customWidth="1"/>
    <col min="11788" max="11788" width="11.28515625" style="54" customWidth="1"/>
    <col min="11789" max="11789" width="12.140625" style="54" customWidth="1"/>
    <col min="11790" max="12032" width="9.140625" style="54"/>
    <col min="12033" max="12033" width="12.5703125" style="54" customWidth="1"/>
    <col min="12034" max="12034" width="15.5703125" style="54" customWidth="1"/>
    <col min="12035" max="12035" width="10.28515625" style="54" customWidth="1"/>
    <col min="12036" max="12036" width="8.5703125" style="54" customWidth="1"/>
    <col min="12037" max="12037" width="7.140625" style="54" customWidth="1"/>
    <col min="12038" max="12038" width="8.5703125" style="54" customWidth="1"/>
    <col min="12039" max="12039" width="10.42578125" style="54" customWidth="1"/>
    <col min="12040" max="12040" width="9.140625" style="54" customWidth="1"/>
    <col min="12041" max="12041" width="7.42578125" style="54" customWidth="1"/>
    <col min="12042" max="12042" width="11.28515625" style="54" customWidth="1"/>
    <col min="12043" max="12043" width="15.85546875" style="54" customWidth="1"/>
    <col min="12044" max="12044" width="11.28515625" style="54" customWidth="1"/>
    <col min="12045" max="12045" width="12.140625" style="54" customWidth="1"/>
    <col min="12046" max="12288" width="9.140625" style="54"/>
    <col min="12289" max="12289" width="12.5703125" style="54" customWidth="1"/>
    <col min="12290" max="12290" width="15.5703125" style="54" customWidth="1"/>
    <col min="12291" max="12291" width="10.28515625" style="54" customWidth="1"/>
    <col min="12292" max="12292" width="8.5703125" style="54" customWidth="1"/>
    <col min="12293" max="12293" width="7.140625" style="54" customWidth="1"/>
    <col min="12294" max="12294" width="8.5703125" style="54" customWidth="1"/>
    <col min="12295" max="12295" width="10.42578125" style="54" customWidth="1"/>
    <col min="12296" max="12296" width="9.140625" style="54" customWidth="1"/>
    <col min="12297" max="12297" width="7.42578125" style="54" customWidth="1"/>
    <col min="12298" max="12298" width="11.28515625" style="54" customWidth="1"/>
    <col min="12299" max="12299" width="15.85546875" style="54" customWidth="1"/>
    <col min="12300" max="12300" width="11.28515625" style="54" customWidth="1"/>
    <col min="12301" max="12301" width="12.140625" style="54" customWidth="1"/>
    <col min="12302" max="12544" width="9.140625" style="54"/>
    <col min="12545" max="12545" width="12.5703125" style="54" customWidth="1"/>
    <col min="12546" max="12546" width="15.5703125" style="54" customWidth="1"/>
    <col min="12547" max="12547" width="10.28515625" style="54" customWidth="1"/>
    <col min="12548" max="12548" width="8.5703125" style="54" customWidth="1"/>
    <col min="12549" max="12549" width="7.140625" style="54" customWidth="1"/>
    <col min="12550" max="12550" width="8.5703125" style="54" customWidth="1"/>
    <col min="12551" max="12551" width="10.42578125" style="54" customWidth="1"/>
    <col min="12552" max="12552" width="9.140625" style="54" customWidth="1"/>
    <col min="12553" max="12553" width="7.42578125" style="54" customWidth="1"/>
    <col min="12554" max="12554" width="11.28515625" style="54" customWidth="1"/>
    <col min="12555" max="12555" width="15.85546875" style="54" customWidth="1"/>
    <col min="12556" max="12556" width="11.28515625" style="54" customWidth="1"/>
    <col min="12557" max="12557" width="12.140625" style="54" customWidth="1"/>
    <col min="12558" max="12800" width="9.140625" style="54"/>
    <col min="12801" max="12801" width="12.5703125" style="54" customWidth="1"/>
    <col min="12802" max="12802" width="15.5703125" style="54" customWidth="1"/>
    <col min="12803" max="12803" width="10.28515625" style="54" customWidth="1"/>
    <col min="12804" max="12804" width="8.5703125" style="54" customWidth="1"/>
    <col min="12805" max="12805" width="7.140625" style="54" customWidth="1"/>
    <col min="12806" max="12806" width="8.5703125" style="54" customWidth="1"/>
    <col min="12807" max="12807" width="10.42578125" style="54" customWidth="1"/>
    <col min="12808" max="12808" width="9.140625" style="54" customWidth="1"/>
    <col min="12809" max="12809" width="7.42578125" style="54" customWidth="1"/>
    <col min="12810" max="12810" width="11.28515625" style="54" customWidth="1"/>
    <col min="12811" max="12811" width="15.85546875" style="54" customWidth="1"/>
    <col min="12812" max="12812" width="11.28515625" style="54" customWidth="1"/>
    <col min="12813" max="12813" width="12.140625" style="54" customWidth="1"/>
    <col min="12814" max="13056" width="9.140625" style="54"/>
    <col min="13057" max="13057" width="12.5703125" style="54" customWidth="1"/>
    <col min="13058" max="13058" width="15.5703125" style="54" customWidth="1"/>
    <col min="13059" max="13059" width="10.28515625" style="54" customWidth="1"/>
    <col min="13060" max="13060" width="8.5703125" style="54" customWidth="1"/>
    <col min="13061" max="13061" width="7.140625" style="54" customWidth="1"/>
    <col min="13062" max="13062" width="8.5703125" style="54" customWidth="1"/>
    <col min="13063" max="13063" width="10.42578125" style="54" customWidth="1"/>
    <col min="13064" max="13064" width="9.140625" style="54" customWidth="1"/>
    <col min="13065" max="13065" width="7.42578125" style="54" customWidth="1"/>
    <col min="13066" max="13066" width="11.28515625" style="54" customWidth="1"/>
    <col min="13067" max="13067" width="15.85546875" style="54" customWidth="1"/>
    <col min="13068" max="13068" width="11.28515625" style="54" customWidth="1"/>
    <col min="13069" max="13069" width="12.140625" style="54" customWidth="1"/>
    <col min="13070" max="13312" width="9.140625" style="54"/>
    <col min="13313" max="13313" width="12.5703125" style="54" customWidth="1"/>
    <col min="13314" max="13314" width="15.5703125" style="54" customWidth="1"/>
    <col min="13315" max="13315" width="10.28515625" style="54" customWidth="1"/>
    <col min="13316" max="13316" width="8.5703125" style="54" customWidth="1"/>
    <col min="13317" max="13317" width="7.140625" style="54" customWidth="1"/>
    <col min="13318" max="13318" width="8.5703125" style="54" customWidth="1"/>
    <col min="13319" max="13319" width="10.42578125" style="54" customWidth="1"/>
    <col min="13320" max="13320" width="9.140625" style="54" customWidth="1"/>
    <col min="13321" max="13321" width="7.42578125" style="54" customWidth="1"/>
    <col min="13322" max="13322" width="11.28515625" style="54" customWidth="1"/>
    <col min="13323" max="13323" width="15.85546875" style="54" customWidth="1"/>
    <col min="13324" max="13324" width="11.28515625" style="54" customWidth="1"/>
    <col min="13325" max="13325" width="12.140625" style="54" customWidth="1"/>
    <col min="13326" max="13568" width="9.140625" style="54"/>
    <col min="13569" max="13569" width="12.5703125" style="54" customWidth="1"/>
    <col min="13570" max="13570" width="15.5703125" style="54" customWidth="1"/>
    <col min="13571" max="13571" width="10.28515625" style="54" customWidth="1"/>
    <col min="13572" max="13572" width="8.5703125" style="54" customWidth="1"/>
    <col min="13573" max="13573" width="7.140625" style="54" customWidth="1"/>
    <col min="13574" max="13574" width="8.5703125" style="54" customWidth="1"/>
    <col min="13575" max="13575" width="10.42578125" style="54" customWidth="1"/>
    <col min="13576" max="13576" width="9.140625" style="54" customWidth="1"/>
    <col min="13577" max="13577" width="7.42578125" style="54" customWidth="1"/>
    <col min="13578" max="13578" width="11.28515625" style="54" customWidth="1"/>
    <col min="13579" max="13579" width="15.85546875" style="54" customWidth="1"/>
    <col min="13580" max="13580" width="11.28515625" style="54" customWidth="1"/>
    <col min="13581" max="13581" width="12.140625" style="54" customWidth="1"/>
    <col min="13582" max="13824" width="9.140625" style="54"/>
    <col min="13825" max="13825" width="12.5703125" style="54" customWidth="1"/>
    <col min="13826" max="13826" width="15.5703125" style="54" customWidth="1"/>
    <col min="13827" max="13827" width="10.28515625" style="54" customWidth="1"/>
    <col min="13828" max="13828" width="8.5703125" style="54" customWidth="1"/>
    <col min="13829" max="13829" width="7.140625" style="54" customWidth="1"/>
    <col min="13830" max="13830" width="8.5703125" style="54" customWidth="1"/>
    <col min="13831" max="13831" width="10.42578125" style="54" customWidth="1"/>
    <col min="13832" max="13832" width="9.140625" style="54" customWidth="1"/>
    <col min="13833" max="13833" width="7.42578125" style="54" customWidth="1"/>
    <col min="13834" max="13834" width="11.28515625" style="54" customWidth="1"/>
    <col min="13835" max="13835" width="15.85546875" style="54" customWidth="1"/>
    <col min="13836" max="13836" width="11.28515625" style="54" customWidth="1"/>
    <col min="13837" max="13837" width="12.140625" style="54" customWidth="1"/>
    <col min="13838" max="14080" width="9.140625" style="54"/>
    <col min="14081" max="14081" width="12.5703125" style="54" customWidth="1"/>
    <col min="14082" max="14082" width="15.5703125" style="54" customWidth="1"/>
    <col min="14083" max="14083" width="10.28515625" style="54" customWidth="1"/>
    <col min="14084" max="14084" width="8.5703125" style="54" customWidth="1"/>
    <col min="14085" max="14085" width="7.140625" style="54" customWidth="1"/>
    <col min="14086" max="14086" width="8.5703125" style="54" customWidth="1"/>
    <col min="14087" max="14087" width="10.42578125" style="54" customWidth="1"/>
    <col min="14088" max="14088" width="9.140625" style="54" customWidth="1"/>
    <col min="14089" max="14089" width="7.42578125" style="54" customWidth="1"/>
    <col min="14090" max="14090" width="11.28515625" style="54" customWidth="1"/>
    <col min="14091" max="14091" width="15.85546875" style="54" customWidth="1"/>
    <col min="14092" max="14092" width="11.28515625" style="54" customWidth="1"/>
    <col min="14093" max="14093" width="12.140625" style="54" customWidth="1"/>
    <col min="14094" max="14336" width="9.140625" style="54"/>
    <col min="14337" max="14337" width="12.5703125" style="54" customWidth="1"/>
    <col min="14338" max="14338" width="15.5703125" style="54" customWidth="1"/>
    <col min="14339" max="14339" width="10.28515625" style="54" customWidth="1"/>
    <col min="14340" max="14340" width="8.5703125" style="54" customWidth="1"/>
    <col min="14341" max="14341" width="7.140625" style="54" customWidth="1"/>
    <col min="14342" max="14342" width="8.5703125" style="54" customWidth="1"/>
    <col min="14343" max="14343" width="10.42578125" style="54" customWidth="1"/>
    <col min="14344" max="14344" width="9.140625" style="54" customWidth="1"/>
    <col min="14345" max="14345" width="7.42578125" style="54" customWidth="1"/>
    <col min="14346" max="14346" width="11.28515625" style="54" customWidth="1"/>
    <col min="14347" max="14347" width="15.85546875" style="54" customWidth="1"/>
    <col min="14348" max="14348" width="11.28515625" style="54" customWidth="1"/>
    <col min="14349" max="14349" width="12.140625" style="54" customWidth="1"/>
    <col min="14350" max="14592" width="9.140625" style="54"/>
    <col min="14593" max="14593" width="12.5703125" style="54" customWidth="1"/>
    <col min="14594" max="14594" width="15.5703125" style="54" customWidth="1"/>
    <col min="14595" max="14595" width="10.28515625" style="54" customWidth="1"/>
    <col min="14596" max="14596" width="8.5703125" style="54" customWidth="1"/>
    <col min="14597" max="14597" width="7.140625" style="54" customWidth="1"/>
    <col min="14598" max="14598" width="8.5703125" style="54" customWidth="1"/>
    <col min="14599" max="14599" width="10.42578125" style="54" customWidth="1"/>
    <col min="14600" max="14600" width="9.140625" style="54" customWidth="1"/>
    <col min="14601" max="14601" width="7.42578125" style="54" customWidth="1"/>
    <col min="14602" max="14602" width="11.28515625" style="54" customWidth="1"/>
    <col min="14603" max="14603" width="15.85546875" style="54" customWidth="1"/>
    <col min="14604" max="14604" width="11.28515625" style="54" customWidth="1"/>
    <col min="14605" max="14605" width="12.140625" style="54" customWidth="1"/>
    <col min="14606" max="14848" width="9.140625" style="54"/>
    <col min="14849" max="14849" width="12.5703125" style="54" customWidth="1"/>
    <col min="14850" max="14850" width="15.5703125" style="54" customWidth="1"/>
    <col min="14851" max="14851" width="10.28515625" style="54" customWidth="1"/>
    <col min="14852" max="14852" width="8.5703125" style="54" customWidth="1"/>
    <col min="14853" max="14853" width="7.140625" style="54" customWidth="1"/>
    <col min="14854" max="14854" width="8.5703125" style="54" customWidth="1"/>
    <col min="14855" max="14855" width="10.42578125" style="54" customWidth="1"/>
    <col min="14856" max="14856" width="9.140625" style="54" customWidth="1"/>
    <col min="14857" max="14857" width="7.42578125" style="54" customWidth="1"/>
    <col min="14858" max="14858" width="11.28515625" style="54" customWidth="1"/>
    <col min="14859" max="14859" width="15.85546875" style="54" customWidth="1"/>
    <col min="14860" max="14860" width="11.28515625" style="54" customWidth="1"/>
    <col min="14861" max="14861" width="12.140625" style="54" customWidth="1"/>
    <col min="14862" max="15104" width="9.140625" style="54"/>
    <col min="15105" max="15105" width="12.5703125" style="54" customWidth="1"/>
    <col min="15106" max="15106" width="15.5703125" style="54" customWidth="1"/>
    <col min="15107" max="15107" width="10.28515625" style="54" customWidth="1"/>
    <col min="15108" max="15108" width="8.5703125" style="54" customWidth="1"/>
    <col min="15109" max="15109" width="7.140625" style="54" customWidth="1"/>
    <col min="15110" max="15110" width="8.5703125" style="54" customWidth="1"/>
    <col min="15111" max="15111" width="10.42578125" style="54" customWidth="1"/>
    <col min="15112" max="15112" width="9.140625" style="54" customWidth="1"/>
    <col min="15113" max="15113" width="7.42578125" style="54" customWidth="1"/>
    <col min="15114" max="15114" width="11.28515625" style="54" customWidth="1"/>
    <col min="15115" max="15115" width="15.85546875" style="54" customWidth="1"/>
    <col min="15116" max="15116" width="11.28515625" style="54" customWidth="1"/>
    <col min="15117" max="15117" width="12.140625" style="54" customWidth="1"/>
    <col min="15118" max="15360" width="9.140625" style="54"/>
    <col min="15361" max="15361" width="12.5703125" style="54" customWidth="1"/>
    <col min="15362" max="15362" width="15.5703125" style="54" customWidth="1"/>
    <col min="15363" max="15363" width="10.28515625" style="54" customWidth="1"/>
    <col min="15364" max="15364" width="8.5703125" style="54" customWidth="1"/>
    <col min="15365" max="15365" width="7.140625" style="54" customWidth="1"/>
    <col min="15366" max="15366" width="8.5703125" style="54" customWidth="1"/>
    <col min="15367" max="15367" width="10.42578125" style="54" customWidth="1"/>
    <col min="15368" max="15368" width="9.140625" style="54" customWidth="1"/>
    <col min="15369" max="15369" width="7.42578125" style="54" customWidth="1"/>
    <col min="15370" max="15370" width="11.28515625" style="54" customWidth="1"/>
    <col min="15371" max="15371" width="15.85546875" style="54" customWidth="1"/>
    <col min="15372" max="15372" width="11.28515625" style="54" customWidth="1"/>
    <col min="15373" max="15373" width="12.140625" style="54" customWidth="1"/>
    <col min="15374" max="15616" width="9.140625" style="54"/>
    <col min="15617" max="15617" width="12.5703125" style="54" customWidth="1"/>
    <col min="15618" max="15618" width="15.5703125" style="54" customWidth="1"/>
    <col min="15619" max="15619" width="10.28515625" style="54" customWidth="1"/>
    <col min="15620" max="15620" width="8.5703125" style="54" customWidth="1"/>
    <col min="15621" max="15621" width="7.140625" style="54" customWidth="1"/>
    <col min="15622" max="15622" width="8.5703125" style="54" customWidth="1"/>
    <col min="15623" max="15623" width="10.42578125" style="54" customWidth="1"/>
    <col min="15624" max="15624" width="9.140625" style="54" customWidth="1"/>
    <col min="15625" max="15625" width="7.42578125" style="54" customWidth="1"/>
    <col min="15626" max="15626" width="11.28515625" style="54" customWidth="1"/>
    <col min="15627" max="15627" width="15.85546875" style="54" customWidth="1"/>
    <col min="15628" max="15628" width="11.28515625" style="54" customWidth="1"/>
    <col min="15629" max="15629" width="12.140625" style="54" customWidth="1"/>
    <col min="15630" max="15872" width="9.140625" style="54"/>
    <col min="15873" max="15873" width="12.5703125" style="54" customWidth="1"/>
    <col min="15874" max="15874" width="15.5703125" style="54" customWidth="1"/>
    <col min="15875" max="15875" width="10.28515625" style="54" customWidth="1"/>
    <col min="15876" max="15876" width="8.5703125" style="54" customWidth="1"/>
    <col min="15877" max="15877" width="7.140625" style="54" customWidth="1"/>
    <col min="15878" max="15878" width="8.5703125" style="54" customWidth="1"/>
    <col min="15879" max="15879" width="10.42578125" style="54" customWidth="1"/>
    <col min="15880" max="15880" width="9.140625" style="54" customWidth="1"/>
    <col min="15881" max="15881" width="7.42578125" style="54" customWidth="1"/>
    <col min="15882" max="15882" width="11.28515625" style="54" customWidth="1"/>
    <col min="15883" max="15883" width="15.85546875" style="54" customWidth="1"/>
    <col min="15884" max="15884" width="11.28515625" style="54" customWidth="1"/>
    <col min="15885" max="15885" width="12.140625" style="54" customWidth="1"/>
    <col min="15886" max="16128" width="9.140625" style="54"/>
    <col min="16129" max="16129" width="12.5703125" style="54" customWidth="1"/>
    <col min="16130" max="16130" width="15.5703125" style="54" customWidth="1"/>
    <col min="16131" max="16131" width="10.28515625" style="54" customWidth="1"/>
    <col min="16132" max="16132" width="8.5703125" style="54" customWidth="1"/>
    <col min="16133" max="16133" width="7.140625" style="54" customWidth="1"/>
    <col min="16134" max="16134" width="8.5703125" style="54" customWidth="1"/>
    <col min="16135" max="16135" width="10.42578125" style="54" customWidth="1"/>
    <col min="16136" max="16136" width="9.140625" style="54" customWidth="1"/>
    <col min="16137" max="16137" width="7.42578125" style="54" customWidth="1"/>
    <col min="16138" max="16138" width="11.28515625" style="54" customWidth="1"/>
    <col min="16139" max="16139" width="15.85546875" style="54" customWidth="1"/>
    <col min="16140" max="16140" width="11.28515625" style="54" customWidth="1"/>
    <col min="16141" max="16141" width="12.140625" style="54" customWidth="1"/>
    <col min="16142" max="16384" width="9.140625" style="54"/>
  </cols>
  <sheetData>
    <row r="1" spans="1:13" s="42" customFormat="1" ht="20.100000000000001" customHeight="1">
      <c r="A1" s="40" t="s">
        <v>59</v>
      </c>
      <c r="B1" s="178" t="s">
        <v>128</v>
      </c>
      <c r="C1" s="179"/>
      <c r="D1" s="184" t="s">
        <v>98</v>
      </c>
      <c r="E1" s="185"/>
      <c r="F1" s="185"/>
      <c r="G1" s="41" t="s">
        <v>60</v>
      </c>
      <c r="H1" s="91">
        <v>1</v>
      </c>
      <c r="I1" s="166"/>
      <c r="J1" s="167"/>
      <c r="K1" s="167"/>
      <c r="L1" s="167"/>
      <c r="M1" s="168"/>
    </row>
    <row r="2" spans="1:13" s="42" customFormat="1" ht="20.100000000000001" customHeight="1">
      <c r="A2" s="43" t="s">
        <v>61</v>
      </c>
      <c r="B2" s="180" t="s">
        <v>127</v>
      </c>
      <c r="C2" s="181"/>
      <c r="D2" s="186"/>
      <c r="E2" s="187"/>
      <c r="F2" s="187"/>
      <c r="G2" s="44" t="s">
        <v>62</v>
      </c>
      <c r="H2" s="92"/>
      <c r="I2" s="169"/>
      <c r="J2" s="170"/>
      <c r="K2" s="170"/>
      <c r="L2" s="170"/>
      <c r="M2" s="171"/>
    </row>
    <row r="3" spans="1:13" s="42" customFormat="1" ht="20.100000000000001" customHeight="1">
      <c r="A3" s="43" t="s">
        <v>63</v>
      </c>
      <c r="B3" s="180" t="s">
        <v>129</v>
      </c>
      <c r="C3" s="181"/>
      <c r="D3" s="186"/>
      <c r="E3" s="187"/>
      <c r="F3" s="187"/>
      <c r="G3" s="45" t="s">
        <v>64</v>
      </c>
      <c r="H3" s="92"/>
      <c r="I3" s="169"/>
      <c r="J3" s="170"/>
      <c r="K3" s="170"/>
      <c r="L3" s="170"/>
      <c r="M3" s="171"/>
    </row>
    <row r="4" spans="1:13" s="42" customFormat="1" ht="34.5" customHeight="1" thickBot="1">
      <c r="A4" s="46" t="s">
        <v>65</v>
      </c>
      <c r="B4" s="182"/>
      <c r="C4" s="183"/>
      <c r="D4" s="188"/>
      <c r="E4" s="189"/>
      <c r="F4" s="189"/>
      <c r="G4" s="47" t="s">
        <v>66</v>
      </c>
      <c r="H4" s="93"/>
      <c r="I4" s="172"/>
      <c r="J4" s="173"/>
      <c r="K4" s="173"/>
      <c r="L4" s="173"/>
      <c r="M4" s="174"/>
    </row>
    <row r="5" spans="1:13" s="42" customFormat="1" ht="12" customHeight="1">
      <c r="A5" s="48"/>
      <c r="B5" s="49"/>
      <c r="C5" s="49"/>
      <c r="D5" s="49"/>
      <c r="E5" s="49"/>
      <c r="F5" s="49"/>
      <c r="G5" s="49"/>
      <c r="H5" s="49"/>
      <c r="I5" s="49"/>
      <c r="J5" s="49"/>
      <c r="K5" s="49"/>
      <c r="L5" s="49"/>
      <c r="M5" s="50"/>
    </row>
    <row r="6" spans="1:13" ht="18" customHeight="1">
      <c r="A6" s="51"/>
      <c r="B6" s="52" t="s">
        <v>93</v>
      </c>
      <c r="C6" s="94" t="s">
        <v>132</v>
      </c>
      <c r="D6" s="49"/>
      <c r="E6" s="175" t="s">
        <v>89</v>
      </c>
      <c r="F6" s="176"/>
      <c r="G6" s="177"/>
      <c r="H6" s="95" t="s">
        <v>133</v>
      </c>
      <c r="I6" s="49"/>
      <c r="J6" s="49"/>
      <c r="K6" s="49"/>
      <c r="L6" s="49"/>
      <c r="M6" s="53"/>
    </row>
    <row r="7" spans="1:13" ht="12" customHeight="1">
      <c r="A7" s="55"/>
      <c r="B7" s="49"/>
      <c r="C7" s="49"/>
      <c r="D7" s="49"/>
      <c r="E7" s="49"/>
      <c r="F7" s="49"/>
      <c r="G7" s="49"/>
      <c r="H7" s="49"/>
      <c r="I7" s="49"/>
      <c r="J7" s="49"/>
      <c r="K7" s="49"/>
      <c r="L7" s="49"/>
      <c r="M7" s="53"/>
    </row>
    <row r="8" spans="1:13" ht="18" customHeight="1">
      <c r="A8" s="56" t="s">
        <v>90</v>
      </c>
      <c r="B8" s="57"/>
      <c r="C8" s="58"/>
      <c r="D8" s="49"/>
      <c r="E8" s="49"/>
      <c r="F8" s="159" t="s">
        <v>94</v>
      </c>
      <c r="G8" s="159"/>
      <c r="H8" s="159"/>
      <c r="I8" s="159"/>
      <c r="J8" s="159"/>
      <c r="K8" s="159"/>
      <c r="L8" s="159"/>
      <c r="M8" s="53"/>
    </row>
    <row r="9" spans="1:13" ht="18" customHeight="1">
      <c r="A9" s="198" t="s">
        <v>119</v>
      </c>
      <c r="B9" s="199"/>
      <c r="C9" s="96">
        <v>0</v>
      </c>
      <c r="D9" s="59" t="s">
        <v>120</v>
      </c>
      <c r="E9" s="49"/>
      <c r="F9" s="108"/>
      <c r="G9" s="108"/>
      <c r="H9" s="108"/>
      <c r="I9" s="108"/>
      <c r="J9" s="108"/>
      <c r="K9" s="108"/>
      <c r="L9" s="108"/>
      <c r="M9" s="53"/>
    </row>
    <row r="10" spans="1:13" ht="18" customHeight="1">
      <c r="A10" s="198" t="s">
        <v>103</v>
      </c>
      <c r="B10" s="199"/>
      <c r="C10" s="96">
        <v>4.78</v>
      </c>
      <c r="D10" s="59" t="s">
        <v>67</v>
      </c>
      <c r="E10" s="49"/>
      <c r="F10" s="60"/>
      <c r="K10" s="60"/>
      <c r="L10" s="60"/>
      <c r="M10" s="62"/>
    </row>
    <row r="11" spans="1:13" ht="19.5" customHeight="1">
      <c r="A11" s="198" t="s">
        <v>102</v>
      </c>
      <c r="B11" s="199"/>
      <c r="C11" s="96">
        <v>1020</v>
      </c>
      <c r="D11" s="59" t="s">
        <v>69</v>
      </c>
      <c r="E11" s="49"/>
      <c r="F11" s="49"/>
      <c r="M11" s="53"/>
    </row>
    <row r="12" spans="1:13" ht="18" customHeight="1">
      <c r="A12" s="198" t="s">
        <v>104</v>
      </c>
      <c r="B12" s="199"/>
      <c r="C12" s="96">
        <v>2</v>
      </c>
      <c r="D12" s="59" t="s">
        <v>105</v>
      </c>
      <c r="E12" s="49"/>
      <c r="F12" s="49"/>
      <c r="G12" s="63"/>
      <c r="H12" s="63"/>
      <c r="I12" s="49"/>
      <c r="J12" s="49"/>
      <c r="K12" s="49"/>
      <c r="L12" s="49"/>
      <c r="M12" s="53"/>
    </row>
    <row r="13" spans="1:13" ht="12" customHeight="1">
      <c r="A13" s="64"/>
      <c r="B13" s="65"/>
      <c r="C13" s="66"/>
      <c r="D13" s="67"/>
      <c r="E13" s="68"/>
      <c r="F13" s="49"/>
      <c r="G13" s="63"/>
      <c r="H13" s="63"/>
      <c r="I13" s="49"/>
      <c r="J13" s="49"/>
      <c r="K13" s="49"/>
      <c r="L13" s="49"/>
      <c r="M13" s="53"/>
    </row>
    <row r="14" spans="1:13" ht="18" customHeight="1">
      <c r="A14" s="200" t="s">
        <v>106</v>
      </c>
      <c r="B14" s="201"/>
      <c r="C14" s="201"/>
      <c r="D14" s="49"/>
      <c r="E14" s="49"/>
      <c r="G14" s="69"/>
      <c r="M14" s="53"/>
    </row>
    <row r="15" spans="1:13" ht="20.100000000000001" customHeight="1">
      <c r="A15" s="70" t="s">
        <v>91</v>
      </c>
      <c r="B15" s="190" t="s">
        <v>109</v>
      </c>
      <c r="C15" s="190"/>
      <c r="D15" s="190"/>
      <c r="E15" s="190"/>
      <c r="F15" s="69"/>
      <c r="I15" s="61"/>
      <c r="J15" s="61"/>
      <c r="K15" s="61"/>
      <c r="L15" s="61"/>
      <c r="M15" s="71"/>
    </row>
    <row r="16" spans="1:13" ht="9.9499999999999993" customHeight="1">
      <c r="A16" s="72"/>
      <c r="B16" s="73"/>
      <c r="C16" s="110"/>
      <c r="D16" s="110"/>
      <c r="E16" s="110"/>
      <c r="F16" s="69"/>
      <c r="I16" s="61"/>
      <c r="J16" s="61"/>
      <c r="K16" s="61"/>
      <c r="L16" s="61"/>
      <c r="M16" s="71"/>
    </row>
    <row r="17" spans="1:13" ht="20.100000000000001" customHeight="1">
      <c r="A17" s="105" t="s">
        <v>112</v>
      </c>
      <c r="B17" s="74"/>
      <c r="C17" s="74"/>
      <c r="D17" s="74"/>
      <c r="E17" s="110" t="s">
        <v>68</v>
      </c>
      <c r="F17" s="69"/>
      <c r="K17" s="49"/>
      <c r="L17" s="49"/>
      <c r="M17" s="53"/>
    </row>
    <row r="18" spans="1:13" ht="9.9499999999999993" customHeight="1">
      <c r="A18" s="70"/>
      <c r="B18" s="73"/>
      <c r="C18" s="110"/>
      <c r="D18" s="75"/>
      <c r="E18" s="74"/>
      <c r="F18" s="69"/>
      <c r="K18" s="49"/>
      <c r="L18" s="49"/>
      <c r="M18" s="53"/>
    </row>
    <row r="19" spans="1:13" ht="20.100000000000001" customHeight="1">
      <c r="A19" s="106" t="s">
        <v>110</v>
      </c>
      <c r="B19" s="49"/>
      <c r="C19" s="66"/>
      <c r="D19" s="67"/>
      <c r="E19" s="110" t="s">
        <v>92</v>
      </c>
      <c r="F19" s="76"/>
      <c r="G19" s="63"/>
      <c r="H19" s="63"/>
      <c r="I19" s="49"/>
      <c r="J19" s="49"/>
      <c r="K19" s="49"/>
      <c r="L19" s="49"/>
      <c r="M19" s="53"/>
    </row>
    <row r="20" spans="1:13" ht="9.9499999999999993" customHeight="1">
      <c r="A20" s="77"/>
      <c r="B20" s="78"/>
      <c r="C20" s="66"/>
      <c r="D20" s="67"/>
      <c r="E20" s="74"/>
      <c r="F20" s="76"/>
      <c r="G20" s="63"/>
      <c r="H20" s="63"/>
      <c r="I20" s="49"/>
      <c r="J20" s="49"/>
      <c r="K20" s="49"/>
      <c r="L20" s="49"/>
      <c r="M20" s="53"/>
    </row>
    <row r="21" spans="1:13" ht="18" customHeight="1">
      <c r="A21" s="200" t="s">
        <v>107</v>
      </c>
      <c r="B21" s="201"/>
      <c r="C21" s="201"/>
      <c r="D21" s="67"/>
      <c r="E21" s="49"/>
      <c r="F21" s="76"/>
      <c r="G21" s="63"/>
      <c r="H21" s="63"/>
      <c r="I21" s="49"/>
      <c r="J21" s="49"/>
      <c r="K21" s="49"/>
      <c r="L21" s="49"/>
      <c r="M21" s="53"/>
    </row>
    <row r="22" spans="1:13" ht="9.9499999999999993" customHeight="1">
      <c r="A22" s="79"/>
      <c r="B22" s="80"/>
      <c r="C22" s="66"/>
      <c r="D22" s="67"/>
      <c r="E22" s="49"/>
      <c r="F22" s="76"/>
      <c r="G22" s="63"/>
      <c r="H22" s="63"/>
      <c r="I22" s="49"/>
      <c r="J22" s="49"/>
      <c r="K22" s="49"/>
      <c r="L22" s="49"/>
      <c r="M22" s="53"/>
    </row>
    <row r="23" spans="1:13" ht="20.100000000000001" customHeight="1">
      <c r="A23" s="70" t="s">
        <v>91</v>
      </c>
      <c r="B23" s="190" t="s">
        <v>108</v>
      </c>
      <c r="C23" s="190"/>
      <c r="D23" s="49"/>
      <c r="E23" s="74" t="s">
        <v>68</v>
      </c>
      <c r="F23" s="76"/>
      <c r="G23" s="63"/>
      <c r="H23" s="63"/>
      <c r="I23" s="49"/>
      <c r="J23" s="49"/>
      <c r="K23" s="49"/>
      <c r="L23" s="49"/>
      <c r="M23" s="53"/>
    </row>
    <row r="24" spans="1:13">
      <c r="A24" s="81"/>
      <c r="B24" s="82"/>
      <c r="C24" s="83"/>
      <c r="D24" s="82"/>
      <c r="E24" s="82"/>
      <c r="F24" s="49"/>
      <c r="G24" s="63"/>
      <c r="H24" s="63"/>
      <c r="I24" s="49"/>
      <c r="J24" s="49"/>
      <c r="K24" s="49"/>
      <c r="L24" s="49"/>
      <c r="M24" s="84"/>
    </row>
    <row r="25" spans="1:13" s="87" customFormat="1" ht="63.75" customHeight="1">
      <c r="A25" s="85" t="s">
        <v>70</v>
      </c>
      <c r="B25" s="86" t="s">
        <v>87</v>
      </c>
      <c r="C25" s="86" t="s">
        <v>111</v>
      </c>
      <c r="D25" s="111" t="s">
        <v>95</v>
      </c>
      <c r="E25" s="111" t="s">
        <v>71</v>
      </c>
      <c r="F25" s="111" t="s">
        <v>72</v>
      </c>
      <c r="G25" s="111" t="s">
        <v>101</v>
      </c>
      <c r="H25" s="111" t="s">
        <v>88</v>
      </c>
      <c r="I25" s="111" t="s">
        <v>85</v>
      </c>
      <c r="J25" s="191" t="s">
        <v>86</v>
      </c>
      <c r="K25" s="197"/>
      <c r="L25" s="191" t="s">
        <v>73</v>
      </c>
      <c r="M25" s="192"/>
    </row>
    <row r="26" spans="1:13" s="61" customFormat="1" ht="18" customHeight="1">
      <c r="A26" s="114">
        <v>1</v>
      </c>
      <c r="B26" s="97" t="s">
        <v>75</v>
      </c>
      <c r="C26" s="97" t="s">
        <v>96</v>
      </c>
      <c r="D26" s="97">
        <v>25750</v>
      </c>
      <c r="E26" s="97">
        <v>168.28</v>
      </c>
      <c r="F26" s="97">
        <v>18.262599999999999</v>
      </c>
      <c r="G26" s="98">
        <v>90</v>
      </c>
      <c r="H26" s="38">
        <f t="shared" ref="H26:H44" si="0">PI()*(E26-2*F26)^2/(4*10^6)</f>
        <v>1.3633983797330758E-2</v>
      </c>
      <c r="I26" s="109">
        <f>IF(C26="ELBOW",($C12*$C$11*H26*$C$10^2*(1-COS(G26*PI()/180))),($C12*$C$11*H26*$C$10^2))</f>
        <v>635.49001940566143</v>
      </c>
      <c r="J26" s="162">
        <f>IF(C26="ELBOW",($C12*$C$11*H26*$C$10^2*(SIN(G26*PI()/180))),"0")</f>
        <v>635.49001940566154</v>
      </c>
      <c r="K26" s="163"/>
      <c r="L26" s="164"/>
      <c r="M26" s="165"/>
    </row>
    <row r="27" spans="1:13" ht="18" customHeight="1">
      <c r="A27" s="114">
        <v>2</v>
      </c>
      <c r="B27" s="97" t="s">
        <v>76</v>
      </c>
      <c r="C27" s="97" t="s">
        <v>96</v>
      </c>
      <c r="D27" s="97">
        <v>25720</v>
      </c>
      <c r="E27" s="97">
        <v>168.28</v>
      </c>
      <c r="F27" s="97">
        <v>18.262599999999999</v>
      </c>
      <c r="G27" s="98">
        <v>90</v>
      </c>
      <c r="H27" s="38">
        <f t="shared" si="0"/>
        <v>1.3633983797330758E-2</v>
      </c>
      <c r="I27" s="109">
        <f>IF(C27="ELBOW",($C12*$C$11*H27*$C$10^2*(1-COS(G27*PI()/180))),($C12*$C$11*H27*$C$10^2))</f>
        <v>635.49001940566143</v>
      </c>
      <c r="J27" s="162">
        <f>IF(C27="ELBOW",($C12*$C$11*H27*$C$10^2*(SIN(G27*PI()/180))),"0")</f>
        <v>635.49001940566154</v>
      </c>
      <c r="K27" s="163"/>
      <c r="L27" s="164"/>
      <c r="M27" s="165"/>
    </row>
    <row r="28" spans="1:13" ht="18" customHeight="1">
      <c r="A28" s="114">
        <v>3</v>
      </c>
      <c r="B28" s="97" t="s">
        <v>77</v>
      </c>
      <c r="C28" s="97" t="s">
        <v>97</v>
      </c>
      <c r="D28" s="97">
        <v>25620</v>
      </c>
      <c r="E28" s="97">
        <v>168.28</v>
      </c>
      <c r="F28" s="97">
        <v>18.262599999999999</v>
      </c>
      <c r="G28" s="98"/>
      <c r="H28" s="38">
        <f>PI()*(E28-2*F28)^2/(4*10^6)</f>
        <v>1.3633983797330758E-2</v>
      </c>
      <c r="I28" s="109">
        <f>IF(C28="ELBOW",($C12*$C$11*H28*$C$10^2*(1-COS(G28*PI()/180))),($C12*$C$11*H28*$C$10^2))</f>
        <v>635.49001940566154</v>
      </c>
      <c r="J28" s="162" t="str">
        <f>IF(C28="ELBOW",($C12*$C$11*H28*$C$10^2*(SIN(G28*PI()/180))),"0")</f>
        <v>0</v>
      </c>
      <c r="K28" s="163"/>
      <c r="L28" s="164"/>
      <c r="M28" s="165"/>
    </row>
    <row r="29" spans="1:13" ht="18" customHeight="1">
      <c r="A29" s="114">
        <v>4</v>
      </c>
      <c r="B29" s="97" t="s">
        <v>78</v>
      </c>
      <c r="C29" s="97" t="s">
        <v>96</v>
      </c>
      <c r="D29" s="97">
        <v>25860</v>
      </c>
      <c r="E29" s="97">
        <v>168.28</v>
      </c>
      <c r="F29" s="97">
        <v>18.262599999999999</v>
      </c>
      <c r="G29" s="98">
        <v>90</v>
      </c>
      <c r="H29" s="38">
        <f t="shared" si="0"/>
        <v>1.3633983797330758E-2</v>
      </c>
      <c r="I29" s="109">
        <f>IF(C29="ELBOW",($C12*$C$11*H29*$C$10^2*(1-COS(G29*PI()/180))),($C12*$C$11*H29*$C$10^2))</f>
        <v>635.49001940566143</v>
      </c>
      <c r="J29" s="162">
        <f>IF(C29="ELBOW",($C12*$C$11*H29*$C$10^2*(SIN(G29*PI()/180))),"0")</f>
        <v>635.49001940566154</v>
      </c>
      <c r="K29" s="163"/>
      <c r="L29" s="164"/>
      <c r="M29" s="165"/>
    </row>
    <row r="30" spans="1:13" ht="18" customHeight="1">
      <c r="A30" s="114">
        <v>5</v>
      </c>
      <c r="B30" s="97" t="s">
        <v>79</v>
      </c>
      <c r="C30" s="97" t="s">
        <v>96</v>
      </c>
      <c r="D30" s="97">
        <v>3590</v>
      </c>
      <c r="E30" s="97">
        <v>168.28</v>
      </c>
      <c r="F30" s="97">
        <v>7.1120000000000001</v>
      </c>
      <c r="G30" s="98">
        <v>90</v>
      </c>
      <c r="H30" s="38">
        <f t="shared" si="0"/>
        <v>1.8640051853664807E-2</v>
      </c>
      <c r="I30" s="109">
        <f>IF(C30="ELBOW",($C12*$C$11*H30*$C$10^2*(1-COS(G30*PI()/180))),($C12*$C$11*H30*$C$10^2))</f>
        <v>868.82653597748083</v>
      </c>
      <c r="J30" s="162">
        <f>IF(C30="ELBOW",($C12*$C$11*H30*$C$10^2*(SIN(G30*PI()/180))),"0")</f>
        <v>868.82653597748094</v>
      </c>
      <c r="K30" s="163"/>
      <c r="L30" s="164"/>
      <c r="M30" s="165"/>
    </row>
    <row r="31" spans="1:13" ht="18" customHeight="1">
      <c r="A31" s="114">
        <v>6</v>
      </c>
      <c r="B31" s="97" t="s">
        <v>80</v>
      </c>
      <c r="C31" s="97" t="s">
        <v>96</v>
      </c>
      <c r="D31" s="97">
        <v>3530</v>
      </c>
      <c r="E31" s="97">
        <v>168.28</v>
      </c>
      <c r="F31" s="97">
        <v>7.1120000000000001</v>
      </c>
      <c r="G31" s="98">
        <v>90</v>
      </c>
      <c r="H31" s="38">
        <f t="shared" si="0"/>
        <v>1.8640051853664807E-2</v>
      </c>
      <c r="I31" s="109">
        <f>IF(C31="ELBOW",($C12*$C$11*H31*$C$10^2*(1-COS(G31*PI()/180))),($C12*$C$11*H31*$C$10^2))</f>
        <v>868.82653597748083</v>
      </c>
      <c r="J31" s="162">
        <f>IF(C31="ELBOW",($C12*$C$11*H31*$C$10^2*(SIN(G31*PI()/180))),"0")</f>
        <v>868.82653597748094</v>
      </c>
      <c r="K31" s="163"/>
      <c r="L31" s="164"/>
      <c r="M31" s="165"/>
    </row>
    <row r="32" spans="1:13" ht="18" customHeight="1">
      <c r="A32" s="114">
        <v>7</v>
      </c>
      <c r="B32" s="97" t="s">
        <v>130</v>
      </c>
      <c r="C32" s="97" t="s">
        <v>96</v>
      </c>
      <c r="D32" s="97">
        <v>3520</v>
      </c>
      <c r="E32" s="97">
        <v>168.28</v>
      </c>
      <c r="F32" s="97">
        <v>7.1120000000000001</v>
      </c>
      <c r="G32" s="98">
        <v>90</v>
      </c>
      <c r="H32" s="38">
        <f t="shared" si="0"/>
        <v>1.8640051853664807E-2</v>
      </c>
      <c r="I32" s="109">
        <f>IF(C32="ELBOW",($C12*$C$11*H32*$C$10^2*(1-COS(G32*PI()/180))),($C12*$C$11*H32*$C$10^2))</f>
        <v>868.82653597748083</v>
      </c>
      <c r="J32" s="162">
        <f>IF(C32="ELBOW",($C12*$C$11*H32*$C$10^2*(SIN(G32*PI()/180))),"0")</f>
        <v>868.82653597748094</v>
      </c>
      <c r="K32" s="163"/>
      <c r="L32" s="164"/>
      <c r="M32" s="165"/>
    </row>
    <row r="33" spans="1:13" ht="18" customHeight="1">
      <c r="A33" s="114">
        <v>8</v>
      </c>
      <c r="B33" s="97" t="s">
        <v>131</v>
      </c>
      <c r="C33" s="97" t="s">
        <v>96</v>
      </c>
      <c r="D33" s="97">
        <v>3500</v>
      </c>
      <c r="E33" s="97">
        <v>168.28</v>
      </c>
      <c r="F33" s="97">
        <v>7.1120000000000001</v>
      </c>
      <c r="G33" s="98">
        <v>90</v>
      </c>
      <c r="H33" s="38">
        <f t="shared" si="0"/>
        <v>1.8640051853664807E-2</v>
      </c>
      <c r="I33" s="109">
        <f>IF(C33="ELBOW",($C12*$C$11*H33*$C$10^2*(1-COS(G33*PI()/180))),($C12*$C$11*H33*$C$10^2))</f>
        <v>868.82653597748083</v>
      </c>
      <c r="J33" s="162">
        <f>IF(C33="ELBOW",($C12*$C$11*H33*$C$10^2*(SIN(G33*PI()/180))),"0")</f>
        <v>868.82653597748094</v>
      </c>
      <c r="K33" s="163"/>
      <c r="L33" s="164"/>
      <c r="M33" s="165"/>
    </row>
    <row r="34" spans="1:13" ht="18" customHeight="1">
      <c r="A34" s="114">
        <v>9</v>
      </c>
      <c r="B34" s="97" t="s">
        <v>74</v>
      </c>
      <c r="C34" s="97" t="s">
        <v>97</v>
      </c>
      <c r="D34" s="97">
        <v>2930</v>
      </c>
      <c r="E34" s="97">
        <v>168.28</v>
      </c>
      <c r="F34" s="97">
        <v>7.1120000000000001</v>
      </c>
      <c r="G34" s="98"/>
      <c r="H34" s="38">
        <f t="shared" si="0"/>
        <v>1.8640051853664807E-2</v>
      </c>
      <c r="I34" s="109">
        <f>IF(C34="ELBOW",($C12*$C$11*H34*$C$10^2*(1-COS(G34*PI()/180))),($C12*$C$11*H34*$C$10^2))</f>
        <v>868.82653597748094</v>
      </c>
      <c r="J34" s="162" t="str">
        <f>IF(C34="ELBOW",($C12*$C$11*H34*$C$10^2*(SIN(G34*PI()/180))),"0")</f>
        <v>0</v>
      </c>
      <c r="K34" s="163"/>
      <c r="L34" s="164"/>
      <c r="M34" s="165"/>
    </row>
    <row r="35" spans="1:13" ht="18" customHeight="1">
      <c r="A35" s="114">
        <v>10</v>
      </c>
      <c r="B35" s="97" t="s">
        <v>75</v>
      </c>
      <c r="C35" s="97"/>
      <c r="D35" s="97"/>
      <c r="E35" s="97"/>
      <c r="F35" s="97"/>
      <c r="G35" s="98"/>
      <c r="H35" s="38">
        <f t="shared" si="0"/>
        <v>0</v>
      </c>
      <c r="I35" s="109">
        <f>IF(C35="ELBOW",($C12*$C$11*H35*$C$10^2*(1-COS(G35*PI()/180))),($C12*$C$11*H35*$C$10^2))</f>
        <v>0</v>
      </c>
      <c r="J35" s="162" t="str">
        <f>IF(C35="ELBOW",($C12*$C$11*H35*$C$10^2*(SIN(G35*PI()/180))),"0")</f>
        <v>0</v>
      </c>
      <c r="K35" s="163"/>
      <c r="L35" s="164"/>
      <c r="M35" s="165"/>
    </row>
    <row r="36" spans="1:13" ht="18" customHeight="1">
      <c r="A36" s="114">
        <v>11</v>
      </c>
      <c r="B36" s="97" t="s">
        <v>76</v>
      </c>
      <c r="C36" s="97"/>
      <c r="D36" s="97"/>
      <c r="E36" s="97"/>
      <c r="F36" s="97"/>
      <c r="G36" s="98"/>
      <c r="H36" s="38">
        <f t="shared" si="0"/>
        <v>0</v>
      </c>
      <c r="I36" s="109">
        <f>IF(C36="ELBOW",($C12*$C$11*H36*$C$10^2*(1-COS(G36*PI()/180))),($C12*$C$11*H36*$C$10^2))</f>
        <v>0</v>
      </c>
      <c r="J36" s="162" t="str">
        <f>IF(C36="ELBOW",($C12*$C$11*H36*$C$10^2*(SIN(G36*PI()/180))),"0")</f>
        <v>0</v>
      </c>
      <c r="K36" s="163"/>
      <c r="L36" s="164"/>
      <c r="M36" s="165"/>
    </row>
    <row r="37" spans="1:13" ht="18" customHeight="1">
      <c r="A37" s="114">
        <v>12</v>
      </c>
      <c r="B37" s="97" t="s">
        <v>77</v>
      </c>
      <c r="C37" s="97"/>
      <c r="D37" s="97"/>
      <c r="E37" s="97"/>
      <c r="F37" s="97"/>
      <c r="G37" s="98"/>
      <c r="H37" s="38">
        <f t="shared" si="0"/>
        <v>0</v>
      </c>
      <c r="I37" s="109">
        <f>IF(C37="ELBOW",($C12*$C$11*H37*$C$10^2*(1-COS(G37*PI()/180))),($C12*$C$11*H37*$C$10^2))</f>
        <v>0</v>
      </c>
      <c r="J37" s="162" t="str">
        <f>IF(C37="ELBOW",($C12*$C$11*H37*$C$10^2*(SIN(G37*PI()/180))),"0")</f>
        <v>0</v>
      </c>
      <c r="K37" s="163"/>
      <c r="L37" s="164"/>
      <c r="M37" s="165"/>
    </row>
    <row r="38" spans="1:13" ht="18" customHeight="1">
      <c r="A38" s="114">
        <v>13</v>
      </c>
      <c r="B38" s="97" t="s">
        <v>78</v>
      </c>
      <c r="C38" s="97"/>
      <c r="D38" s="97"/>
      <c r="E38" s="97"/>
      <c r="F38" s="97"/>
      <c r="G38" s="98"/>
      <c r="H38" s="38">
        <f t="shared" si="0"/>
        <v>0</v>
      </c>
      <c r="I38" s="109">
        <f>IF(C38="ELBOW",($C12*$C$11*H38*$C$10^2*(1-COS(G38*PI()/180))),($C12*$C$11*H38*$C$10^2))</f>
        <v>0</v>
      </c>
      <c r="J38" s="162" t="str">
        <f>IF(C38="ELBOW",($C12*$C$11*H38*$C$10^2*(SIN(G38*PI()/180))),"0")</f>
        <v>0</v>
      </c>
      <c r="K38" s="163"/>
      <c r="L38" s="164"/>
      <c r="M38" s="165"/>
    </row>
    <row r="39" spans="1:13" ht="18" customHeight="1">
      <c r="A39" s="114">
        <v>14</v>
      </c>
      <c r="B39" s="97"/>
      <c r="C39" s="97"/>
      <c r="D39" s="97"/>
      <c r="E39" s="97"/>
      <c r="F39" s="97"/>
      <c r="G39" s="98"/>
      <c r="H39" s="38">
        <f t="shared" si="0"/>
        <v>0</v>
      </c>
      <c r="I39" s="109">
        <f>IF(C39="ELBOW",($C12*$C$11*H39*$C$10^2*(1-COS(G39*PI()/180))),($C12*$C$11*H39*$C$10^2))</f>
        <v>0</v>
      </c>
      <c r="J39" s="162" t="str">
        <f>IF(C39="ELBOW",($C12*$C$11*H39*$C$10^2*(SIN(G39*PI()/180))),"0")</f>
        <v>0</v>
      </c>
      <c r="K39" s="163"/>
      <c r="L39" s="164"/>
      <c r="M39" s="165"/>
    </row>
    <row r="40" spans="1:13" ht="18" customHeight="1">
      <c r="A40" s="114">
        <v>15</v>
      </c>
      <c r="B40" s="97"/>
      <c r="C40" s="97"/>
      <c r="D40" s="97"/>
      <c r="E40" s="97"/>
      <c r="F40" s="97"/>
      <c r="G40" s="98"/>
      <c r="H40" s="38">
        <f t="shared" si="0"/>
        <v>0</v>
      </c>
      <c r="I40" s="109">
        <f>IF(C40="ELBOW",($C12*$C$11*H40*$C$10^2*(1-COS(G40*PI()/180))),($C12*$C$11*H40*$C$10^2))</f>
        <v>0</v>
      </c>
      <c r="J40" s="162" t="str">
        <f>IF(C40="ELBOW",($C12*$C$11*H40*$C$10^2*(SIN(G40*PI()/180))),"0")</f>
        <v>0</v>
      </c>
      <c r="K40" s="163"/>
      <c r="L40" s="164"/>
      <c r="M40" s="165"/>
    </row>
    <row r="41" spans="1:13" ht="18" customHeight="1">
      <c r="A41" s="114">
        <v>16</v>
      </c>
      <c r="B41" s="97"/>
      <c r="C41" s="97"/>
      <c r="D41" s="97"/>
      <c r="E41" s="97"/>
      <c r="F41" s="97"/>
      <c r="G41" s="98"/>
      <c r="H41" s="38">
        <f t="shared" si="0"/>
        <v>0</v>
      </c>
      <c r="I41" s="109">
        <f>IF(C41="ELBOW",($C12*$C$11*H41*$C$10^2*(1-COS(G41*PI()/180))),($C12*$C$11*H41*$C$10^2))</f>
        <v>0</v>
      </c>
      <c r="J41" s="162" t="str">
        <f>IF(C41="ELBOW",($C12*$C$11*H41*$C$10^2*(SIN(G41*PI()/180))),"0")</f>
        <v>0</v>
      </c>
      <c r="K41" s="163"/>
      <c r="L41" s="164"/>
      <c r="M41" s="165"/>
    </row>
    <row r="42" spans="1:13" ht="18" customHeight="1">
      <c r="A42" s="114">
        <v>17</v>
      </c>
      <c r="B42" s="97"/>
      <c r="C42" s="97"/>
      <c r="D42" s="97"/>
      <c r="E42" s="97"/>
      <c r="F42" s="97"/>
      <c r="G42" s="98"/>
      <c r="H42" s="38">
        <f t="shared" si="0"/>
        <v>0</v>
      </c>
      <c r="I42" s="109">
        <f>IF(C42="ELBOW",($C12*$C$11*H42*$C$10^2*(1-COS(G42*PI()/180))),($C12*$C$11*H42*$C$10^2))</f>
        <v>0</v>
      </c>
      <c r="J42" s="162" t="str">
        <f>IF(C42="ELBOW",($C12*$C$11*H42*$C$10^2*(SIN(G42*PI()/180))),"0")</f>
        <v>0</v>
      </c>
      <c r="K42" s="163"/>
      <c r="L42" s="164"/>
      <c r="M42" s="165"/>
    </row>
    <row r="43" spans="1:13" ht="18" customHeight="1">
      <c r="A43" s="114">
        <v>18</v>
      </c>
      <c r="B43" s="97"/>
      <c r="C43" s="97"/>
      <c r="D43" s="97"/>
      <c r="E43" s="97"/>
      <c r="F43" s="97"/>
      <c r="G43" s="98"/>
      <c r="H43" s="38">
        <f t="shared" si="0"/>
        <v>0</v>
      </c>
      <c r="I43" s="109">
        <f>IF(C43="ELBOW",($C12*$C$11*H43*$C$10^2*(1-COS(G43*PI()/180))),($C12*$C$11*H43*$C$10^2))</f>
        <v>0</v>
      </c>
      <c r="J43" s="162" t="str">
        <f>IF(C43="ELBOW",($C12*$C$11*H43*$C$10^2*(SIN(G43*PI()/180))),"0")</f>
        <v>0</v>
      </c>
      <c r="K43" s="163"/>
      <c r="L43" s="164"/>
      <c r="M43" s="165"/>
    </row>
    <row r="44" spans="1:13" ht="18" customHeight="1">
      <c r="A44" s="114">
        <v>19</v>
      </c>
      <c r="B44" s="97"/>
      <c r="C44" s="97"/>
      <c r="D44" s="97"/>
      <c r="E44" s="97"/>
      <c r="F44" s="97"/>
      <c r="G44" s="98"/>
      <c r="H44" s="38">
        <f t="shared" si="0"/>
        <v>0</v>
      </c>
      <c r="I44" s="109">
        <f>IF(C44="ELBOW",($C12*$C$11*H44*$C$10^2*(1-COS(G44*PI()/180))),($C12*$C$11*H44*$C$10^2))</f>
        <v>0</v>
      </c>
      <c r="J44" s="162" t="str">
        <f>IF(C44="ELBOW",($C12*$C$11*H44*$C$10^2*(SIN(G44*PI()/180))),"0")</f>
        <v>0</v>
      </c>
      <c r="K44" s="163"/>
      <c r="L44" s="164"/>
      <c r="M44" s="165"/>
    </row>
    <row r="45" spans="1:13" ht="18" customHeight="1">
      <c r="A45" s="114">
        <v>20</v>
      </c>
      <c r="B45" s="97"/>
      <c r="C45" s="97"/>
      <c r="D45" s="97"/>
      <c r="E45" s="97"/>
      <c r="F45" s="97"/>
      <c r="G45" s="98"/>
      <c r="H45" s="38">
        <f t="shared" ref="H45" si="1">PI()*(E45-2*F45)^2/(4*10^6)</f>
        <v>0</v>
      </c>
      <c r="I45" s="109">
        <f>IF(C45="ELBOW",($C12*$C$11*H45*$C$10^2*(1-COS(G45*PI()/180))),($C12*$C$11*H45*$C$10^2))</f>
        <v>0</v>
      </c>
      <c r="J45" s="162" t="str">
        <f>IF(C45="ELBOW",($C12*$C$11*H45*$C$10^2*(SIN(G45*PI()/180))),"0")</f>
        <v>0</v>
      </c>
      <c r="K45" s="163"/>
      <c r="L45" s="164"/>
      <c r="M45" s="165"/>
    </row>
    <row r="46" spans="1:13" ht="15">
      <c r="A46" s="114">
        <v>21</v>
      </c>
      <c r="B46" s="97"/>
      <c r="C46" s="97"/>
      <c r="D46" s="97"/>
      <c r="E46" s="97"/>
      <c r="F46" s="97"/>
      <c r="G46" s="98"/>
      <c r="H46" s="38">
        <f t="shared" ref="H46" si="2">PI()*(E46-2*F46)^2/(4*10^6)</f>
        <v>0</v>
      </c>
      <c r="I46" s="109">
        <f>IF(C46="ELBOW",($C12*$C$11*H46*$C$10^2*(1-COS(G46*PI()/180))),($C12*$C$11*H46*$C$10^2))</f>
        <v>0</v>
      </c>
      <c r="J46" s="162" t="str">
        <f>IF(C46="ELBOW",($C12*$C$11*H46*$C$10^2*(SIN(G46*PI()/180))),"0")</f>
        <v>0</v>
      </c>
      <c r="K46" s="163"/>
      <c r="L46" s="164"/>
      <c r="M46" s="165"/>
    </row>
    <row r="47" spans="1:13" ht="18">
      <c r="A47" s="88" t="s">
        <v>81</v>
      </c>
      <c r="B47" s="102"/>
      <c r="C47" s="103"/>
      <c r="D47" s="102"/>
      <c r="E47" s="102"/>
      <c r="F47" s="102"/>
      <c r="G47" s="103"/>
      <c r="H47" s="103"/>
      <c r="I47" s="102"/>
      <c r="J47" s="102"/>
      <c r="K47" s="102"/>
      <c r="L47" s="102"/>
      <c r="M47" s="104"/>
    </row>
    <row r="48" spans="1:13" ht="18" customHeight="1">
      <c r="A48" s="89" t="s">
        <v>82</v>
      </c>
      <c r="B48" s="160" t="s">
        <v>115</v>
      </c>
      <c r="C48" s="160"/>
      <c r="D48" s="160"/>
      <c r="E48" s="160"/>
      <c r="F48" s="160"/>
      <c r="G48" s="160"/>
      <c r="H48" s="160"/>
      <c r="I48" s="160"/>
      <c r="J48" s="160"/>
      <c r="K48" s="160"/>
      <c r="L48" s="160"/>
      <c r="M48" s="161"/>
    </row>
    <row r="49" spans="1:13" ht="194.25" customHeight="1">
      <c r="A49" s="89" t="s">
        <v>116</v>
      </c>
      <c r="B49" s="193" t="s">
        <v>125</v>
      </c>
      <c r="C49" s="193"/>
      <c r="D49" s="193"/>
      <c r="E49" s="193"/>
      <c r="F49" s="193"/>
      <c r="G49" s="193"/>
      <c r="H49" s="193"/>
      <c r="I49" s="193"/>
      <c r="J49" s="193"/>
      <c r="K49" s="193"/>
      <c r="L49" s="193"/>
      <c r="M49" s="194"/>
    </row>
    <row r="50" spans="1:13" ht="38.25" customHeight="1" thickBot="1">
      <c r="A50" s="101" t="s">
        <v>117</v>
      </c>
      <c r="B50" s="195" t="s">
        <v>118</v>
      </c>
      <c r="C50" s="195"/>
      <c r="D50" s="195"/>
      <c r="E50" s="195"/>
      <c r="F50" s="195"/>
      <c r="G50" s="195"/>
      <c r="H50" s="195"/>
      <c r="I50" s="195"/>
      <c r="J50" s="195"/>
      <c r="K50" s="195"/>
      <c r="L50" s="195"/>
      <c r="M50" s="196"/>
    </row>
    <row r="51" spans="1:13" ht="12.75" customHeight="1">
      <c r="A51" s="49"/>
      <c r="B51" s="49"/>
      <c r="C51" s="63"/>
      <c r="D51" s="49"/>
      <c r="E51" s="49"/>
      <c r="F51" s="49"/>
      <c r="G51" s="63"/>
      <c r="H51" s="63"/>
      <c r="I51" s="49"/>
      <c r="J51" s="49"/>
      <c r="K51" s="49"/>
      <c r="L51" s="49"/>
      <c r="M51" s="49"/>
    </row>
    <row r="52" spans="1:13" ht="12.75" customHeight="1">
      <c r="A52" s="49"/>
      <c r="B52" s="49"/>
      <c r="C52" s="63"/>
      <c r="D52" s="49"/>
      <c r="E52" s="49"/>
      <c r="F52" s="49"/>
      <c r="G52" s="63"/>
      <c r="H52" s="63"/>
      <c r="I52" s="49"/>
      <c r="J52" s="49"/>
      <c r="K52" s="49"/>
      <c r="L52" s="49"/>
      <c r="M52" s="49"/>
    </row>
    <row r="53" spans="1:13">
      <c r="A53" s="49"/>
      <c r="B53" s="49"/>
      <c r="C53" s="63"/>
      <c r="D53" s="49"/>
      <c r="E53" s="49"/>
      <c r="F53" s="49"/>
      <c r="G53" s="63"/>
      <c r="H53" s="63"/>
      <c r="I53" s="49"/>
      <c r="J53" s="49"/>
      <c r="K53" s="49"/>
      <c r="L53" s="49"/>
      <c r="M53" s="49"/>
    </row>
    <row r="54" spans="1:13">
      <c r="A54" s="49"/>
      <c r="B54" s="49"/>
      <c r="C54" s="63"/>
      <c r="D54" s="49"/>
      <c r="E54" s="49"/>
      <c r="F54" s="49"/>
      <c r="G54" s="63"/>
      <c r="H54" s="63"/>
      <c r="I54" s="49"/>
      <c r="J54" s="49"/>
      <c r="K54" s="49"/>
      <c r="L54" s="49"/>
      <c r="M54" s="49"/>
    </row>
    <row r="55" spans="1:13">
      <c r="A55" s="49"/>
      <c r="B55" s="49"/>
      <c r="C55" s="63"/>
      <c r="D55" s="49"/>
      <c r="E55" s="49"/>
      <c r="F55" s="49"/>
      <c r="G55" s="63"/>
      <c r="H55" s="63"/>
      <c r="I55" s="49"/>
      <c r="J55" s="49"/>
      <c r="K55" s="49"/>
      <c r="L55" s="49"/>
      <c r="M55" s="49"/>
    </row>
    <row r="56" spans="1:13" hidden="1"/>
    <row r="57" spans="1:13" hidden="1">
      <c r="C57" s="90" t="s">
        <v>96</v>
      </c>
    </row>
    <row r="58" spans="1:13" hidden="1">
      <c r="C58" s="90" t="s">
        <v>97</v>
      </c>
    </row>
  </sheetData>
  <sheetProtection password="E250" sheet="1" objects="1" scenarios="1"/>
  <mergeCells count="63">
    <mergeCell ref="A9:B9"/>
    <mergeCell ref="J46:K46"/>
    <mergeCell ref="J45:K45"/>
    <mergeCell ref="L45:M45"/>
    <mergeCell ref="L46:M46"/>
    <mergeCell ref="L35:M35"/>
    <mergeCell ref="L42:M42"/>
    <mergeCell ref="L36:M36"/>
    <mergeCell ref="L37:M37"/>
    <mergeCell ref="L31:M31"/>
    <mergeCell ref="A10:B10"/>
    <mergeCell ref="A11:B11"/>
    <mergeCell ref="A12:B12"/>
    <mergeCell ref="L32:M32"/>
    <mergeCell ref="A14:C14"/>
    <mergeCell ref="A21:C21"/>
    <mergeCell ref="B49:M49"/>
    <mergeCell ref="B50:M50"/>
    <mergeCell ref="J42:K42"/>
    <mergeCell ref="J25:K25"/>
    <mergeCell ref="J26:K26"/>
    <mergeCell ref="J27:K27"/>
    <mergeCell ref="J28:K28"/>
    <mergeCell ref="J29:K29"/>
    <mergeCell ref="J30:K30"/>
    <mergeCell ref="J31:K31"/>
    <mergeCell ref="J32:K32"/>
    <mergeCell ref="J33:K33"/>
    <mergeCell ref="J34:K34"/>
    <mergeCell ref="J35:K35"/>
    <mergeCell ref="L33:M33"/>
    <mergeCell ref="L34:M34"/>
    <mergeCell ref="B15:E15"/>
    <mergeCell ref="B23:C23"/>
    <mergeCell ref="L30:M30"/>
    <mergeCell ref="L25:M25"/>
    <mergeCell ref="L26:M26"/>
    <mergeCell ref="L27:M27"/>
    <mergeCell ref="L28:M28"/>
    <mergeCell ref="L29:M29"/>
    <mergeCell ref="I1:M4"/>
    <mergeCell ref="E6:G6"/>
    <mergeCell ref="B1:C1"/>
    <mergeCell ref="B2:C2"/>
    <mergeCell ref="B3:C3"/>
    <mergeCell ref="B4:C4"/>
    <mergeCell ref="D1:F4"/>
    <mergeCell ref="F8:L8"/>
    <mergeCell ref="B48:M48"/>
    <mergeCell ref="J38:K38"/>
    <mergeCell ref="L38:M38"/>
    <mergeCell ref="J39:K39"/>
    <mergeCell ref="J40:K40"/>
    <mergeCell ref="J41:K41"/>
    <mergeCell ref="L39:M39"/>
    <mergeCell ref="L40:M40"/>
    <mergeCell ref="L41:M41"/>
    <mergeCell ref="L43:M43"/>
    <mergeCell ref="L44:M44"/>
    <mergeCell ref="J43:K43"/>
    <mergeCell ref="J44:K44"/>
    <mergeCell ref="J36:K36"/>
    <mergeCell ref="J37:K37"/>
  </mergeCells>
  <dataValidations xWindow="254" yWindow="375" count="1">
    <dataValidation type="list" allowBlank="1" showInputMessage="1" showErrorMessage="1" prompt="ELBOW/TEE_x000a_FOR TEE  DO NOT ENTER ANGLE (θ)_x000a_" sqref="C26:C46" xr:uid="{00000000-0002-0000-0100-000000000000}">
      <formula1>$C$57:$C$58</formula1>
    </dataValidation>
  </dataValidations>
  <printOptions horizontalCentered="1"/>
  <pageMargins left="0.74803149606299202" right="0.42" top="0.43307086614173201" bottom="0.17" header="0.39370078740157499" footer="0.27"/>
  <pageSetup paperSize="9" scale="74" orientation="portrait" horizontalDpi="4294967292" r:id="rId1"/>
  <headerFooter alignWithMargins="0"/>
  <ignoredErrors>
    <ignoredError sqref="H26:K44" unlockedFormula="1"/>
  </ignoredErrors>
  <drawing r:id="rId2"/>
  <legacyDrawing r:id="rId3"/>
  <oleObjects>
    <mc:AlternateContent xmlns:mc="http://schemas.openxmlformats.org/markup-compatibility/2006">
      <mc:Choice Requires="x14">
        <oleObject progId="Paint.Picture" shapeId="2049" r:id="rId4">
          <objectPr defaultSize="0" autoPict="0" r:id="rId5">
            <anchor moveWithCells="1">
              <from>
                <xdr:col>5</xdr:col>
                <xdr:colOff>28575</xdr:colOff>
                <xdr:row>8</xdr:row>
                <xdr:rowOff>219075</xdr:rowOff>
              </from>
              <to>
                <xdr:col>8</xdr:col>
                <xdr:colOff>104775</xdr:colOff>
                <xdr:row>18</xdr:row>
                <xdr:rowOff>180975</xdr:rowOff>
              </to>
            </anchor>
          </objectPr>
        </oleObject>
      </mc:Choice>
      <mc:Fallback>
        <oleObject progId="Paint.Picture" shapeId="204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1.0 Content</vt:lpstr>
      <vt:lpstr>2.0 Calculation</vt:lpstr>
      <vt:lpstr>'1.0 Content'!Print_Area</vt:lpstr>
      <vt:lpstr>'2.0 Calculation'!Print_Area</vt:lpstr>
      <vt:lpstr>'1.0 Content'!Print_Titles</vt:lpstr>
    </vt:vector>
  </TitlesOfParts>
  <Company>Petrofac Int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olga.shiyapova</dc:creator>
  <cp:lastModifiedBy>S, Sairam</cp:lastModifiedBy>
  <cp:lastPrinted>2013-05-27T13:44:07Z</cp:lastPrinted>
  <dcterms:created xsi:type="dcterms:W3CDTF">2012-05-13T05:20:24Z</dcterms:created>
  <dcterms:modified xsi:type="dcterms:W3CDTF">2019-12-02T12:25:19Z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15ad2b-2b08-4b4b-ab33-60fb39cd9089_Enabled">
    <vt:lpwstr>true</vt:lpwstr>
  </property>
  <property fmtid="{D5CDD505-2E9C-101B-9397-08002B2CF9AE}" pid="3" name="MSIP_Label_f115ad2b-2b08-4b4b-ab33-60fb39cd9089_SetDate">
    <vt:lpwstr>2019-12-02T06:54:27Z</vt:lpwstr>
  </property>
  <property fmtid="{D5CDD505-2E9C-101B-9397-08002B2CF9AE}" pid="4" name="MSIP_Label_f115ad2b-2b08-4b4b-ab33-60fb39cd9089_Method">
    <vt:lpwstr>Standard</vt:lpwstr>
  </property>
  <property fmtid="{D5CDD505-2E9C-101B-9397-08002B2CF9AE}" pid="5" name="MSIP_Label_f115ad2b-2b08-4b4b-ab33-60fb39cd9089_Name">
    <vt:lpwstr>f115ad2b-2b08-4b4b-ab33-60fb39cd9089</vt:lpwstr>
  </property>
  <property fmtid="{D5CDD505-2E9C-101B-9397-08002B2CF9AE}" pid="6" name="MSIP_Label_f115ad2b-2b08-4b4b-ab33-60fb39cd9089_SiteId">
    <vt:lpwstr>16a4d712-85ca-455c-bba0-139c059e16e3</vt:lpwstr>
  </property>
  <property fmtid="{D5CDD505-2E9C-101B-9397-08002B2CF9AE}" pid="7" name="MSIP_Label_f115ad2b-2b08-4b4b-ab33-60fb39cd9089_ActionId">
    <vt:lpwstr>21f7012e-212f-4557-b619-0000f5297eb2</vt:lpwstr>
  </property>
  <property fmtid="{D5CDD505-2E9C-101B-9397-08002B2CF9AE}" pid="8" name="MSIP_Label_f115ad2b-2b08-4b4b-ab33-60fb39cd9089_ContentBits">
    <vt:lpwstr>0</vt:lpwstr>
  </property>
</Properties>
</file>