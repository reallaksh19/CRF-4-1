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765" windowWidth="14805" windowHeight="73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44" i="1" l="1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K7" i="1"/>
  <c r="K8" i="1" s="1"/>
  <c r="I7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K33" i="1"/>
  <c r="L33" i="1"/>
  <c r="S33" i="1"/>
  <c r="T33" i="1"/>
  <c r="U33" i="1"/>
  <c r="K34" i="1"/>
  <c r="L34" i="1"/>
  <c r="S34" i="1"/>
  <c r="T34" i="1"/>
  <c r="U34" i="1"/>
  <c r="K35" i="1"/>
  <c r="L35" i="1"/>
  <c r="S35" i="1"/>
  <c r="T35" i="1"/>
  <c r="U35" i="1"/>
  <c r="K36" i="1"/>
  <c r="L36" i="1"/>
  <c r="S36" i="1"/>
  <c r="T36" i="1"/>
  <c r="U36" i="1"/>
  <c r="K37" i="1"/>
  <c r="L37" i="1"/>
  <c r="S37" i="1"/>
  <c r="T37" i="1"/>
  <c r="U37" i="1"/>
  <c r="K38" i="1"/>
  <c r="L38" i="1"/>
  <c r="S38" i="1"/>
  <c r="T38" i="1"/>
  <c r="U38" i="1"/>
  <c r="K39" i="1"/>
  <c r="L39" i="1"/>
  <c r="S39" i="1"/>
  <c r="T39" i="1"/>
  <c r="U39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K9" i="1" l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AN28" i="1"/>
  <c r="AO27" i="1"/>
  <c r="I8" i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AI39" i="1"/>
  <c r="AI37" i="1"/>
  <c r="AI35" i="1"/>
  <c r="AI33" i="1"/>
  <c r="AI38" i="1"/>
  <c r="AI34" i="1"/>
  <c r="AN33" i="1"/>
  <c r="H58" i="1" s="1"/>
  <c r="AP33" i="1"/>
  <c r="J58" i="1" s="1"/>
  <c r="AO33" i="1"/>
  <c r="I58" i="1" s="1"/>
  <c r="M39" i="1"/>
  <c r="M38" i="1"/>
  <c r="M34" i="1"/>
  <c r="AI36" i="1"/>
  <c r="G62" i="1"/>
  <c r="M37" i="1"/>
  <c r="M33" i="1"/>
  <c r="M36" i="1"/>
  <c r="M35" i="1"/>
  <c r="G63" i="1"/>
  <c r="G61" i="1"/>
  <c r="G60" i="1"/>
  <c r="G64" i="1"/>
  <c r="G59" i="1"/>
  <c r="G58" i="1"/>
  <c r="D57" i="1"/>
  <c r="E57" i="1"/>
  <c r="F57" i="1"/>
  <c r="AP28" i="1"/>
  <c r="AP29" i="1"/>
  <c r="AP30" i="1"/>
  <c r="AP31" i="1"/>
  <c r="AP32" i="1"/>
  <c r="AN29" i="1"/>
  <c r="AN30" i="1"/>
  <c r="AN31" i="1"/>
  <c r="AN32" i="1"/>
  <c r="AN27" i="1"/>
  <c r="Y50" i="1"/>
  <c r="S27" i="1"/>
  <c r="S28" i="1"/>
  <c r="S29" i="1"/>
  <c r="S30" i="1"/>
  <c r="S31" i="1"/>
  <c r="S32" i="1"/>
  <c r="T27" i="1"/>
  <c r="U27" i="1"/>
  <c r="H57" i="1" l="1"/>
  <c r="G57" i="1"/>
  <c r="AN34" i="1"/>
  <c r="H59" i="1" s="1"/>
  <c r="AP34" i="1"/>
  <c r="J59" i="1" s="1"/>
  <c r="AO34" i="1"/>
  <c r="I59" i="1" s="1"/>
  <c r="K58" i="1"/>
  <c r="X58" i="1" s="1"/>
  <c r="D53" i="1"/>
  <c r="E53" i="1"/>
  <c r="F53" i="1"/>
  <c r="D54" i="1"/>
  <c r="E54" i="1"/>
  <c r="F54" i="1"/>
  <c r="D55" i="1"/>
  <c r="E55" i="1"/>
  <c r="F55" i="1"/>
  <c r="D56" i="1"/>
  <c r="E56" i="1"/>
  <c r="F56" i="1"/>
  <c r="AO28" i="1"/>
  <c r="AO29" i="1"/>
  <c r="AO30" i="1"/>
  <c r="AO31" i="1"/>
  <c r="AO32" i="1"/>
  <c r="AG28" i="1"/>
  <c r="AH28" i="1"/>
  <c r="AG29" i="1"/>
  <c r="AH29" i="1"/>
  <c r="AG30" i="1"/>
  <c r="AH30" i="1"/>
  <c r="AG31" i="1"/>
  <c r="AH31" i="1"/>
  <c r="AG32" i="1"/>
  <c r="AH32" i="1"/>
  <c r="K28" i="1"/>
  <c r="L28" i="1"/>
  <c r="T28" i="1"/>
  <c r="U28" i="1"/>
  <c r="J53" i="1" s="1"/>
  <c r="K29" i="1"/>
  <c r="L29" i="1"/>
  <c r="T29" i="1"/>
  <c r="U29" i="1"/>
  <c r="J54" i="1" s="1"/>
  <c r="K30" i="1"/>
  <c r="L30" i="1"/>
  <c r="T30" i="1"/>
  <c r="U30" i="1"/>
  <c r="J55" i="1" s="1"/>
  <c r="K31" i="1"/>
  <c r="L31" i="1"/>
  <c r="H56" i="1"/>
  <c r="T31" i="1"/>
  <c r="U31" i="1"/>
  <c r="K32" i="1"/>
  <c r="L32" i="1"/>
  <c r="T32" i="1"/>
  <c r="U32" i="1"/>
  <c r="J57" i="1" s="1"/>
  <c r="L27" i="1"/>
  <c r="AN35" i="1" l="1"/>
  <c r="H60" i="1" s="1"/>
  <c r="AO35" i="1"/>
  <c r="I60" i="1" s="1"/>
  <c r="AP35" i="1"/>
  <c r="J60" i="1" s="1"/>
  <c r="K59" i="1"/>
  <c r="X59" i="1" s="1"/>
  <c r="I54" i="1"/>
  <c r="I53" i="1"/>
  <c r="I55" i="1"/>
  <c r="I57" i="1"/>
  <c r="K57" i="1" s="1"/>
  <c r="M30" i="1"/>
  <c r="H53" i="1"/>
  <c r="K53" i="1" s="1"/>
  <c r="AI28" i="1"/>
  <c r="M32" i="1"/>
  <c r="I56" i="1"/>
  <c r="M28" i="1"/>
  <c r="H55" i="1"/>
  <c r="J56" i="1"/>
  <c r="H54" i="1"/>
  <c r="AI32" i="1"/>
  <c r="AI31" i="1"/>
  <c r="G56" i="1"/>
  <c r="AI29" i="1"/>
  <c r="G54" i="1"/>
  <c r="M31" i="1"/>
  <c r="M29" i="1"/>
  <c r="AI30" i="1"/>
  <c r="G55" i="1"/>
  <c r="G53" i="1"/>
  <c r="W50" i="1"/>
  <c r="V59" i="1" s="1"/>
  <c r="U50" i="1"/>
  <c r="S50" i="1"/>
  <c r="Q50" i="1"/>
  <c r="O50" i="1"/>
  <c r="M50" i="1"/>
  <c r="F52" i="1"/>
  <c r="E52" i="1"/>
  <c r="D52" i="1"/>
  <c r="V60" i="1" l="1"/>
  <c r="R56" i="1"/>
  <c r="R58" i="1"/>
  <c r="R55" i="1"/>
  <c r="L54" i="1"/>
  <c r="L64" i="1"/>
  <c r="L61" i="1"/>
  <c r="L63" i="1"/>
  <c r="L58" i="1"/>
  <c r="L62" i="1"/>
  <c r="L59" i="1"/>
  <c r="L60" i="1"/>
  <c r="T53" i="1"/>
  <c r="T58" i="1"/>
  <c r="T59" i="1"/>
  <c r="N53" i="1"/>
  <c r="N59" i="1"/>
  <c r="N63" i="1"/>
  <c r="N64" i="1"/>
  <c r="N61" i="1"/>
  <c r="N58" i="1"/>
  <c r="N62" i="1"/>
  <c r="N60" i="1"/>
  <c r="V55" i="1"/>
  <c r="V58" i="1"/>
  <c r="R60" i="1"/>
  <c r="P55" i="1"/>
  <c r="P58" i="1"/>
  <c r="P64" i="1"/>
  <c r="P62" i="1"/>
  <c r="P61" i="1"/>
  <c r="P59" i="1"/>
  <c r="P63" i="1"/>
  <c r="P60" i="1"/>
  <c r="P56" i="1"/>
  <c r="R59" i="1"/>
  <c r="AN36" i="1"/>
  <c r="H61" i="1" s="1"/>
  <c r="R61" i="1" s="1"/>
  <c r="T60" i="1"/>
  <c r="K60" i="1"/>
  <c r="X60" i="1" s="1"/>
  <c r="AO36" i="1"/>
  <c r="I61" i="1" s="1"/>
  <c r="AP36" i="1"/>
  <c r="J61" i="1" s="1"/>
  <c r="V61" i="1" s="1"/>
  <c r="R57" i="1"/>
  <c r="V56" i="1"/>
  <c r="V57" i="1"/>
  <c r="R53" i="1"/>
  <c r="V53" i="1"/>
  <c r="K55" i="1"/>
  <c r="X55" i="1" s="1"/>
  <c r="P54" i="1"/>
  <c r="R54" i="1"/>
  <c r="V54" i="1"/>
  <c r="N55" i="1"/>
  <c r="N54" i="1"/>
  <c r="T54" i="1"/>
  <c r="P53" i="1"/>
  <c r="X53" i="1"/>
  <c r="X57" i="1"/>
  <c r="P57" i="1"/>
  <c r="T55" i="1"/>
  <c r="K54" i="1"/>
  <c r="X54" i="1" s="1"/>
  <c r="N56" i="1"/>
  <c r="N52" i="1"/>
  <c r="N57" i="1"/>
  <c r="T57" i="1"/>
  <c r="L57" i="1"/>
  <c r="L56" i="1"/>
  <c r="K56" i="1"/>
  <c r="X56" i="1" s="1"/>
  <c r="T56" i="1"/>
  <c r="L53" i="1"/>
  <c r="L55" i="1"/>
  <c r="P52" i="1"/>
  <c r="G52" i="1"/>
  <c r="L52" i="1"/>
  <c r="H52" i="1"/>
  <c r="R52" i="1" s="1"/>
  <c r="AH27" i="1"/>
  <c r="AG27" i="1"/>
  <c r="K27" i="1"/>
  <c r="Z59" i="1" l="1"/>
  <c r="Z58" i="1"/>
  <c r="Z53" i="1"/>
  <c r="Z55" i="1"/>
  <c r="AN37" i="1"/>
  <c r="H62" i="1" s="1"/>
  <c r="R62" i="1" s="1"/>
  <c r="Z60" i="1"/>
  <c r="AO37" i="1"/>
  <c r="I62" i="1" s="1"/>
  <c r="AP37" i="1"/>
  <c r="J62" i="1" s="1"/>
  <c r="V62" i="1" s="1"/>
  <c r="T61" i="1"/>
  <c r="K61" i="1"/>
  <c r="X61" i="1" s="1"/>
  <c r="Z57" i="1"/>
  <c r="Z56" i="1"/>
  <c r="Z54" i="1"/>
  <c r="O27" i="1"/>
  <c r="C7" i="1"/>
  <c r="AK27" i="1"/>
  <c r="H7" i="1"/>
  <c r="M27" i="1"/>
  <c r="AI27" i="1"/>
  <c r="P27" i="1" l="1"/>
  <c r="AN38" i="1"/>
  <c r="H63" i="1" s="1"/>
  <c r="R63" i="1" s="1"/>
  <c r="AN39" i="1"/>
  <c r="H64" i="1" s="1"/>
  <c r="R64" i="1" s="1"/>
  <c r="Z61" i="1"/>
  <c r="AO38" i="1"/>
  <c r="I63" i="1" s="1"/>
  <c r="AP38" i="1"/>
  <c r="J63" i="1" s="1"/>
  <c r="V63" i="1" s="1"/>
  <c r="T62" i="1"/>
  <c r="K62" i="1"/>
  <c r="X62" i="1" s="1"/>
  <c r="AL27" i="1"/>
  <c r="H8" i="1"/>
  <c r="AK28" i="1"/>
  <c r="AL28" i="1" s="1"/>
  <c r="C8" i="1"/>
  <c r="O28" i="1"/>
  <c r="P28" i="1" s="1"/>
  <c r="Z62" i="1" l="1"/>
  <c r="AP39" i="1"/>
  <c r="J64" i="1" s="1"/>
  <c r="V64" i="1" s="1"/>
  <c r="AO39" i="1"/>
  <c r="I64" i="1" s="1"/>
  <c r="T63" i="1"/>
  <c r="K63" i="1"/>
  <c r="X63" i="1" s="1"/>
  <c r="H9" i="1"/>
  <c r="AK29" i="1"/>
  <c r="AL29" i="1" s="1"/>
  <c r="C9" i="1"/>
  <c r="O29" i="1"/>
  <c r="P29" i="1" s="1"/>
  <c r="T64" i="1" l="1"/>
  <c r="K64" i="1"/>
  <c r="X64" i="1" s="1"/>
  <c r="Z63" i="1"/>
  <c r="H10" i="1"/>
  <c r="AK30" i="1"/>
  <c r="AL30" i="1" s="1"/>
  <c r="C10" i="1"/>
  <c r="O30" i="1"/>
  <c r="P30" i="1" s="1"/>
  <c r="Z64" i="1" l="1"/>
  <c r="H11" i="1"/>
  <c r="AK31" i="1"/>
  <c r="AL31" i="1" s="1"/>
  <c r="O31" i="1"/>
  <c r="P31" i="1" s="1"/>
  <c r="C11" i="1"/>
  <c r="H12" i="1" l="1"/>
  <c r="AK32" i="1"/>
  <c r="AL32" i="1" s="1"/>
  <c r="C12" i="1"/>
  <c r="O32" i="1"/>
  <c r="P32" i="1" s="1"/>
  <c r="C13" i="1" l="1"/>
  <c r="O33" i="1"/>
  <c r="P33" i="1" s="1"/>
  <c r="H13" i="1"/>
  <c r="AK33" i="1"/>
  <c r="AL33" i="1" s="1"/>
  <c r="H14" i="1" l="1"/>
  <c r="AK34" i="1"/>
  <c r="AL34" i="1" s="1"/>
  <c r="C14" i="1"/>
  <c r="O34" i="1"/>
  <c r="P34" i="1" s="1"/>
  <c r="C15" i="1" l="1"/>
  <c r="O35" i="1"/>
  <c r="P35" i="1" s="1"/>
  <c r="H15" i="1"/>
  <c r="AK35" i="1"/>
  <c r="AL35" i="1" s="1"/>
  <c r="H16" i="1" l="1"/>
  <c r="AK36" i="1"/>
  <c r="AL36" i="1" s="1"/>
  <c r="C16" i="1"/>
  <c r="O36" i="1"/>
  <c r="P36" i="1" s="1"/>
  <c r="C17" i="1" l="1"/>
  <c r="O37" i="1"/>
  <c r="P37" i="1" s="1"/>
  <c r="H17" i="1"/>
  <c r="AK37" i="1"/>
  <c r="AL37" i="1" s="1"/>
  <c r="AK38" i="1" l="1"/>
  <c r="AL38" i="1" s="1"/>
  <c r="H18" i="1"/>
  <c r="O38" i="1"/>
  <c r="P38" i="1" s="1"/>
  <c r="C18" i="1"/>
  <c r="I52" i="1"/>
  <c r="AP27" i="1"/>
  <c r="J52" i="1" s="1"/>
  <c r="V52" i="1" s="1"/>
  <c r="AK39" i="1" l="1"/>
  <c r="AL39" i="1" s="1"/>
  <c r="H19" i="1"/>
  <c r="O39" i="1"/>
  <c r="P39" i="1" s="1"/>
  <c r="C19" i="1"/>
  <c r="K52" i="1"/>
  <c r="X52" i="1" s="1"/>
  <c r="T52" i="1"/>
  <c r="Z52" i="1" l="1"/>
</calcChain>
</file>

<file path=xl/sharedStrings.xml><?xml version="1.0" encoding="utf-8"?>
<sst xmlns="http://schemas.openxmlformats.org/spreadsheetml/2006/main" count="321" uniqueCount="84">
  <si>
    <t>FORCES (N)</t>
  </si>
  <si>
    <t>MOMENTS (n-m)</t>
  </si>
  <si>
    <t xml:space="preserve">7 (OPE W+T4+P1+H) </t>
  </si>
  <si>
    <t>LOAD CASE</t>
  </si>
  <si>
    <t>Fx</t>
  </si>
  <si>
    <t>Fy</t>
  </si>
  <si>
    <t>Fz</t>
  </si>
  <si>
    <t>Mx</t>
  </si>
  <si>
    <t>My</t>
  </si>
  <si>
    <t>Mz</t>
  </si>
  <si>
    <t>SUCTION NOZZLE LOADS</t>
  </si>
  <si>
    <r>
      <t>F</t>
    </r>
    <r>
      <rPr>
        <vertAlign val="subscript"/>
        <sz val="11"/>
        <color theme="1"/>
        <rFont val="Calibri"/>
        <family val="2"/>
        <scheme val="minor"/>
      </rPr>
      <t>R</t>
    </r>
  </si>
  <si>
    <r>
      <t>M</t>
    </r>
    <r>
      <rPr>
        <vertAlign val="subscript"/>
        <sz val="11"/>
        <color theme="1"/>
        <rFont val="Calibri"/>
        <family val="2"/>
        <scheme val="minor"/>
      </rPr>
      <t>R</t>
    </r>
  </si>
  <si>
    <t>&lt;</t>
  </si>
  <si>
    <r>
      <t>F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+1.09M</t>
    </r>
    <r>
      <rPr>
        <vertAlign val="subscript"/>
        <sz val="11"/>
        <color theme="1"/>
        <rFont val="Calibri"/>
        <family val="2"/>
        <scheme val="minor"/>
      </rPr>
      <t xml:space="preserve">R      </t>
    </r>
  </si>
  <si>
    <r>
      <t>3.24*54.1D</t>
    </r>
    <r>
      <rPr>
        <vertAlign val="subscript"/>
        <sz val="11"/>
        <color theme="1"/>
        <rFont val="Calibri"/>
        <family val="2"/>
        <scheme val="minor"/>
      </rPr>
      <t>e</t>
    </r>
  </si>
  <si>
    <t>SIZE (mm)</t>
  </si>
  <si>
    <t>Dc (mm)</t>
  </si>
  <si>
    <t xml:space="preserve"> </t>
  </si>
  <si>
    <t>INIVIDUAL NOZZLE LOAD CALCULATION FOR DISCHARGE</t>
  </si>
  <si>
    <t>POSITION</t>
  </si>
  <si>
    <t>Dx</t>
  </si>
  <si>
    <t>Dy</t>
  </si>
  <si>
    <t>Dz</t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</si>
  <si>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</si>
  <si>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SF</t>
    </r>
    <r>
      <rPr>
        <vertAlign val="subscript"/>
        <sz val="11"/>
        <color theme="1"/>
        <rFont val="Calibri"/>
        <family val="2"/>
        <scheme val="minor"/>
      </rPr>
      <t>X</t>
    </r>
  </si>
  <si>
    <r>
      <t>SF</t>
    </r>
    <r>
      <rPr>
        <vertAlign val="subscript"/>
        <sz val="11"/>
        <color theme="1"/>
        <rFont val="Calibri"/>
        <family val="2"/>
        <scheme val="minor"/>
      </rPr>
      <t>Y</t>
    </r>
  </si>
  <si>
    <r>
      <t>SF</t>
    </r>
    <r>
      <rPr>
        <vertAlign val="subscript"/>
        <sz val="11"/>
        <color theme="1"/>
        <rFont val="Calibri"/>
        <family val="2"/>
        <scheme val="minor"/>
      </rPr>
      <t>Z</t>
    </r>
  </si>
  <si>
    <r>
      <t>SM</t>
    </r>
    <r>
      <rPr>
        <vertAlign val="subscript"/>
        <sz val="11"/>
        <color theme="1"/>
        <rFont val="Calibri"/>
        <family val="2"/>
        <scheme val="minor"/>
      </rPr>
      <t>X</t>
    </r>
  </si>
  <si>
    <r>
      <t>SM</t>
    </r>
    <r>
      <rPr>
        <vertAlign val="subscript"/>
        <sz val="11"/>
        <color theme="1"/>
        <rFont val="Calibri"/>
        <family val="2"/>
        <scheme val="minor"/>
      </rPr>
      <t>Y</t>
    </r>
  </si>
  <si>
    <r>
      <t>SM</t>
    </r>
    <r>
      <rPr>
        <vertAlign val="subscript"/>
        <sz val="11"/>
        <color theme="1"/>
        <rFont val="Calibri"/>
        <family val="2"/>
        <scheme val="minor"/>
      </rPr>
      <t>Z</t>
    </r>
  </si>
  <si>
    <t>Mc</t>
  </si>
  <si>
    <t>SFX  &lt;   3.24x16.1Dc</t>
  </si>
  <si>
    <t>DC=</t>
  </si>
  <si>
    <t>Allowable =</t>
  </si>
  <si>
    <t>SFZ  &lt;   3.24 X 32.4.5Dc</t>
  </si>
  <si>
    <t>SFY  &lt;   3.24 X 40.5Dc</t>
  </si>
  <si>
    <t>SMX  &lt;   3.24x24.6Dc</t>
  </si>
  <si>
    <t>SMY  &lt;   3.24x12.3Dc</t>
  </si>
  <si>
    <t>SMZ  &lt;   3.24x12.3Dc</t>
  </si>
  <si>
    <t>Fc + 1.6Mc &lt;  3.24 X 40.4Dc</t>
  </si>
  <si>
    <t xml:space="preserve">8 (OPE W+T4+P1+H) </t>
  </si>
  <si>
    <t xml:space="preserve">9 (OPE W+T4+P1+H) </t>
  </si>
  <si>
    <t xml:space="preserve">10 (OPE W+T4+P1+H) </t>
  </si>
  <si>
    <t xml:space="preserve">11 (OPE W+T4+P1+H) </t>
  </si>
  <si>
    <t xml:space="preserve">12 (OPE W+T4+P1+H) </t>
  </si>
  <si>
    <t>Allowable 
Ration</t>
  </si>
  <si>
    <t>&lt;  101</t>
  </si>
  <si>
    <t>&lt;  102</t>
  </si>
  <si>
    <t>&lt;  103</t>
  </si>
  <si>
    <t>&lt;  104</t>
  </si>
  <si>
    <t>&lt;  105</t>
  </si>
  <si>
    <r>
      <t>F</t>
    </r>
    <r>
      <rPr>
        <vertAlign val="subscript"/>
        <sz val="11"/>
        <color theme="1"/>
        <rFont val="Calibri"/>
        <family val="2"/>
        <scheme val="minor"/>
      </rPr>
      <t xml:space="preserve">R </t>
    </r>
  </si>
  <si>
    <t>Combined Forces &amp; Moments</t>
  </si>
  <si>
    <t>ACTUAL  DISCHARGE NOZZLE LOADS</t>
  </si>
  <si>
    <t>→</t>
  </si>
  <si>
    <t>Allowable 
Ratio</t>
  </si>
  <si>
    <t>&lt;           100</t>
  </si>
  <si>
    <t>Allowable Load/Ratio</t>
  </si>
  <si>
    <t>Node nom. 4900 Nozzle-N1-#900-8in</t>
  </si>
  <si>
    <t>Node nom. 15525 Nozzle-N2-#10000-6in</t>
  </si>
  <si>
    <t xml:space="preserve">INIVIDUAL NOZZLE LOAD CALCULATION FOR SUCTION </t>
  </si>
  <si>
    <t>Max</t>
  </si>
  <si>
    <t xml:space="preserve">MOMENT ABOUT 
LARGEST (SUCTION) NOZZLE </t>
  </si>
  <si>
    <t xml:space="preserve">13 (OPE W+T4+P1+H) </t>
  </si>
  <si>
    <t xml:space="preserve">14 (OPE W+T4+P1+H) </t>
  </si>
  <si>
    <t xml:space="preserve">15 (OPE W+T4+P1+H) </t>
  </si>
  <si>
    <t xml:space="preserve">16 (OPE W+T4+P1+H) </t>
  </si>
  <si>
    <t xml:space="preserve">17 (OPE W+T4+P1+H) </t>
  </si>
  <si>
    <t xml:space="preserve">18 (OPE W+T4+P1+H) </t>
  </si>
  <si>
    <t xml:space="preserve">19 (OPE W+T4+P1+H) </t>
  </si>
  <si>
    <t xml:space="preserve"> Position - DISCHARGE</t>
  </si>
  <si>
    <t>Position - SUCTION</t>
  </si>
  <si>
    <t>Input Requiered</t>
  </si>
  <si>
    <t>Result "Pass"</t>
  </si>
  <si>
    <t>Result "Fail"</t>
  </si>
  <si>
    <t xml:space="preserve"> Output Ratio</t>
  </si>
  <si>
    <t>Output Ratio</t>
  </si>
  <si>
    <t>Output
Ratio</t>
  </si>
  <si>
    <t>De</t>
  </si>
  <si>
    <t>Notes:</t>
  </si>
  <si>
    <t>De  For Size upto 8 in in Diameter =Nominal pipe Diameter</t>
  </si>
  <si>
    <t>1.</t>
  </si>
  <si>
    <t>For Above 8 in D=(400+Dnom)/3. Refer API-617, E.1 General &amp; E.2 Equation For more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</si>
</sst>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1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3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Border="1"/>
    <xf numFmtId="1" fontId="0" fillId="0" borderId="15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2" fontId="1" fillId="0" borderId="0" xfId="0" applyNumberFormat="1" applyFont="1" applyAlignment="1">
      <alignment horizontal="left" vertical="center"/>
    </xf>
    <xf numFmtId="0" fontId="0" fillId="0" borderId="4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0" xfId="0" applyFill="1" applyBorder="1"/>
    <xf numFmtId="0" fontId="0" fillId="4" borderId="23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 vertical="center"/>
    </xf>
    <xf numFmtId="1" fontId="0" fillId="3" borderId="15" xfId="0" applyNumberForma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0" fontId="0" fillId="3" borderId="23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5" xfId="0" applyFill="1" applyBorder="1" applyAlignment="1" applyProtection="1">
      <alignment horizontal="center"/>
      <protection locked="0"/>
    </xf>
    <xf numFmtId="0" fontId="0" fillId="3" borderId="14" xfId="0" applyFill="1" applyBorder="1" applyAlignment="1" applyProtection="1">
      <alignment horizontal="center"/>
      <protection locked="0"/>
    </xf>
    <xf numFmtId="0" fontId="0" fillId="3" borderId="47" xfId="0" applyFill="1" applyBorder="1" applyAlignment="1" applyProtection="1">
      <alignment horizontal="center"/>
      <protection locked="0"/>
    </xf>
    <xf numFmtId="0" fontId="0" fillId="3" borderId="48" xfId="0" applyFill="1" applyBorder="1" applyAlignment="1" applyProtection="1">
      <alignment horizontal="center"/>
      <protection locked="0"/>
    </xf>
    <xf numFmtId="0" fontId="0" fillId="3" borderId="49" xfId="0" applyFill="1" applyBorder="1" applyAlignment="1" applyProtection="1">
      <alignment horizontal="center"/>
      <protection locked="0"/>
    </xf>
    <xf numFmtId="0" fontId="0" fillId="0" borderId="23" xfId="0" applyFill="1" applyBorder="1" applyAlignment="1" applyProtection="1">
      <alignment horizontal="center"/>
      <protection hidden="1"/>
    </xf>
    <xf numFmtId="0" fontId="0" fillId="0" borderId="11" xfId="0" applyFill="1" applyBorder="1" applyAlignment="1" applyProtection="1">
      <alignment horizontal="center"/>
      <protection hidden="1"/>
    </xf>
    <xf numFmtId="0" fontId="0" fillId="0" borderId="11" xfId="0" applyFont="1" applyFill="1" applyBorder="1" applyAlignment="1" applyProtection="1">
      <alignment horizontal="center"/>
      <protection hidden="1"/>
    </xf>
    <xf numFmtId="0" fontId="0" fillId="6" borderId="11" xfId="0" applyFont="1" applyFill="1" applyBorder="1" applyAlignment="1" applyProtection="1">
      <alignment horizontal="center" vertical="center"/>
      <protection hidden="1"/>
    </xf>
    <xf numFmtId="2" fontId="0" fillId="2" borderId="38" xfId="0" applyNumberFormat="1" applyFont="1" applyFill="1" applyBorder="1" applyAlignment="1" applyProtection="1">
      <alignment horizontal="center" vertical="center"/>
      <protection hidden="1"/>
    </xf>
    <xf numFmtId="1" fontId="0" fillId="6" borderId="10" xfId="0" applyNumberFormat="1" applyFill="1" applyBorder="1" applyAlignment="1" applyProtection="1">
      <alignment horizontal="center" vertical="center" wrapText="1"/>
      <protection hidden="1"/>
    </xf>
    <xf numFmtId="0" fontId="0" fillId="0" borderId="11" xfId="0" applyFont="1" applyFill="1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1" fontId="0" fillId="0" borderId="15" xfId="0" applyNumberFormat="1" applyBorder="1" applyAlignment="1" applyProtection="1">
      <alignment horizontal="center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0" fontId="0" fillId="0" borderId="1" xfId="0" applyFont="1" applyFill="1" applyBorder="1" applyAlignment="1" applyProtection="1">
      <alignment horizontal="center"/>
      <protection hidden="1"/>
    </xf>
    <xf numFmtId="1" fontId="0" fillId="6" borderId="1" xfId="0" applyNumberFormat="1" applyFill="1" applyBorder="1" applyAlignment="1" applyProtection="1">
      <alignment horizontal="center"/>
      <protection hidden="1"/>
    </xf>
    <xf numFmtId="2" fontId="0" fillId="2" borderId="5" xfId="0" applyNumberFormat="1" applyFill="1" applyBorder="1" applyAlignment="1" applyProtection="1">
      <alignment horizontal="center"/>
      <protection hidden="1"/>
    </xf>
    <xf numFmtId="0" fontId="0" fillId="6" borderId="6" xfId="0" applyFill="1" applyBorder="1" applyAlignment="1" applyProtection="1">
      <alignment horizontal="center" vertical="center"/>
      <protection hidden="1"/>
    </xf>
    <xf numFmtId="1" fontId="0" fillId="0" borderId="1" xfId="0" applyNumberFormat="1" applyBorder="1" applyAlignment="1" applyProtection="1">
      <alignment horizontal="center" vertical="center"/>
      <protection hidden="1"/>
    </xf>
    <xf numFmtId="1" fontId="0" fillId="0" borderId="14" xfId="0" applyNumberFormat="1" applyBorder="1" applyAlignment="1" applyProtection="1">
      <alignment horizontal="center" vertical="center"/>
      <protection hidden="1"/>
    </xf>
    <xf numFmtId="2" fontId="0" fillId="2" borderId="1" xfId="0" applyNumberFormat="1" applyFill="1" applyBorder="1" applyAlignment="1" applyProtection="1">
      <alignment horizont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1" fontId="0" fillId="0" borderId="16" xfId="0" applyNumberFormat="1" applyBorder="1" applyAlignment="1" applyProtection="1">
      <alignment horizontal="center"/>
      <protection hidden="1"/>
    </xf>
    <xf numFmtId="1" fontId="0" fillId="0" borderId="17" xfId="0" applyNumberFormat="1" applyBorder="1" applyAlignment="1" applyProtection="1">
      <alignment horizontal="center"/>
      <protection hidden="1"/>
    </xf>
    <xf numFmtId="0" fontId="0" fillId="0" borderId="17" xfId="0" applyFont="1" applyFill="1" applyBorder="1" applyAlignment="1" applyProtection="1">
      <alignment horizontal="center"/>
      <protection hidden="1"/>
    </xf>
    <xf numFmtId="1" fontId="0" fillId="6" borderId="17" xfId="0" applyNumberFormat="1" applyFill="1" applyBorder="1" applyAlignment="1" applyProtection="1">
      <alignment horizontal="center"/>
      <protection hidden="1"/>
    </xf>
    <xf numFmtId="2" fontId="0" fillId="2" borderId="17" xfId="0" applyNumberFormat="1" applyFill="1" applyBorder="1" applyAlignment="1" applyProtection="1">
      <alignment horizontal="center"/>
      <protection hidden="1"/>
    </xf>
    <xf numFmtId="0" fontId="0" fillId="6" borderId="17" xfId="0" applyFill="1" applyBorder="1" applyAlignment="1" applyProtection="1">
      <alignment horizontal="center" vertical="center"/>
      <protection hidden="1"/>
    </xf>
    <xf numFmtId="1" fontId="0" fillId="0" borderId="17" xfId="0" applyNumberFormat="1" applyBorder="1" applyAlignment="1" applyProtection="1">
      <alignment horizontal="center" vertical="center"/>
      <protection hidden="1"/>
    </xf>
    <xf numFmtId="1" fontId="0" fillId="0" borderId="18" xfId="0" applyNumberForma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</xf>
    <xf numFmtId="0" fontId="0" fillId="0" borderId="0" xfId="0" applyProtection="1">
      <protection hidden="1"/>
    </xf>
    <xf numFmtId="0" fontId="0" fillId="0" borderId="0" xfId="0" applyBorder="1" applyAlignment="1" applyProtection="1">
      <alignment vertical="center"/>
      <protection hidden="1"/>
    </xf>
    <xf numFmtId="1" fontId="0" fillId="0" borderId="4" xfId="0" applyNumberFormat="1" applyBorder="1" applyAlignment="1" applyProtection="1">
      <alignment horizontal="center"/>
      <protection hidden="1"/>
    </xf>
    <xf numFmtId="1" fontId="0" fillId="0" borderId="0" xfId="0" applyNumberFormat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vertical="center"/>
      <protection hidden="1"/>
    </xf>
    <xf numFmtId="1" fontId="0" fillId="0" borderId="20" xfId="0" applyNumberFormat="1" applyBorder="1" applyAlignment="1" applyProtection="1">
      <alignment horizontal="center"/>
      <protection hidden="1"/>
    </xf>
    <xf numFmtId="0" fontId="0" fillId="0" borderId="2" xfId="0" applyBorder="1" applyAlignment="1" applyProtection="1">
      <alignment vertical="center"/>
      <protection hidden="1"/>
    </xf>
    <xf numFmtId="2" fontId="0" fillId="2" borderId="39" xfId="0" applyNumberFormat="1" applyFont="1" applyFill="1" applyBorder="1" applyAlignment="1" applyProtection="1">
      <alignment horizontal="center" vertical="center" wrapText="1"/>
      <protection hidden="1"/>
    </xf>
    <xf numFmtId="1" fontId="0" fillId="6" borderId="19" xfId="0" applyNumberFormat="1" applyFill="1" applyBorder="1" applyAlignment="1" applyProtection="1">
      <alignment horizontal="center" vertical="center" wrapText="1"/>
      <protection hidden="1"/>
    </xf>
    <xf numFmtId="1" fontId="0" fillId="6" borderId="24" xfId="0" applyNumberFormat="1" applyFill="1" applyBorder="1" applyAlignment="1" applyProtection="1">
      <alignment horizontal="center" vertical="center" wrapText="1"/>
      <protection hidden="1"/>
    </xf>
    <xf numFmtId="2" fontId="1" fillId="2" borderId="40" xfId="0" applyNumberFormat="1" applyFont="1" applyFill="1" applyBorder="1" applyAlignment="1" applyProtection="1">
      <alignment horizontal="center" vertical="center" wrapText="1"/>
      <protection hidden="1"/>
    </xf>
    <xf numFmtId="1" fontId="0" fillId="0" borderId="23" xfId="0" applyNumberFormat="1" applyBorder="1" applyAlignment="1" applyProtection="1">
      <alignment horizontal="center"/>
      <protection hidden="1"/>
    </xf>
    <xf numFmtId="1" fontId="0" fillId="0" borderId="11" xfId="0" applyNumberFormat="1" applyBorder="1" applyAlignment="1" applyProtection="1">
      <alignment horizontal="center"/>
      <protection hidden="1"/>
    </xf>
    <xf numFmtId="1" fontId="0" fillId="0" borderId="12" xfId="0" applyNumberFormat="1" applyBorder="1" applyAlignment="1" applyProtection="1">
      <alignment horizontal="center"/>
      <protection hidden="1"/>
    </xf>
    <xf numFmtId="2" fontId="0" fillId="2" borderId="15" xfId="0" applyNumberFormat="1" applyFill="1" applyBorder="1" applyAlignment="1" applyProtection="1">
      <alignment horizontal="center"/>
      <protection hidden="1"/>
    </xf>
    <xf numFmtId="2" fontId="0" fillId="2" borderId="14" xfId="0" applyNumberFormat="1" applyFill="1" applyBorder="1" applyAlignment="1" applyProtection="1">
      <alignment horizontal="center"/>
      <protection hidden="1"/>
    </xf>
    <xf numFmtId="1" fontId="0" fillId="0" borderId="14" xfId="0" applyNumberFormat="1" applyBorder="1" applyAlignment="1" applyProtection="1">
      <alignment horizontal="center"/>
      <protection hidden="1"/>
    </xf>
    <xf numFmtId="1" fontId="0" fillId="0" borderId="18" xfId="0" applyNumberFormat="1" applyBorder="1" applyAlignment="1" applyProtection="1">
      <alignment horizontal="center"/>
      <protection hidden="1"/>
    </xf>
    <xf numFmtId="2" fontId="0" fillId="2" borderId="16" xfId="0" applyNumberFormat="1" applyFill="1" applyBorder="1" applyAlignment="1" applyProtection="1">
      <alignment horizontal="center"/>
      <protection hidden="1"/>
    </xf>
    <xf numFmtId="2" fontId="0" fillId="2" borderId="18" xfId="0" applyNumberForma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6" borderId="11" xfId="0" applyFont="1" applyFill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31" xfId="0" applyFont="1" applyFill="1" applyBorder="1" applyAlignment="1" applyProtection="1">
      <alignment horizontal="center" vertical="center" wrapText="1"/>
      <protection hidden="1"/>
    </xf>
    <xf numFmtId="0" fontId="1" fillId="4" borderId="24" xfId="0" applyFont="1" applyFill="1" applyBorder="1" applyAlignment="1" applyProtection="1">
      <alignment horizontal="center" vertical="center"/>
      <protection hidden="1"/>
    </xf>
    <xf numFmtId="0" fontId="1" fillId="4" borderId="19" xfId="0" applyFont="1" applyFill="1" applyBorder="1" applyAlignment="1" applyProtection="1">
      <alignment horizontal="center" vertical="center"/>
      <protection hidden="1"/>
    </xf>
    <xf numFmtId="0" fontId="1" fillId="4" borderId="2" xfId="0" applyFont="1" applyFill="1" applyBorder="1" applyAlignment="1" applyProtection="1">
      <alignment horizontal="center" vertical="center"/>
      <protection hidden="1"/>
    </xf>
    <xf numFmtId="0" fontId="1" fillId="4" borderId="0" xfId="0" applyFont="1" applyFill="1" applyBorder="1" applyAlignment="1" applyProtection="1">
      <alignment horizontal="center" vertical="center"/>
      <protection hidden="1"/>
    </xf>
    <xf numFmtId="0" fontId="1" fillId="4" borderId="20" xfId="0" applyFont="1" applyFill="1" applyBorder="1" applyAlignment="1" applyProtection="1">
      <alignment horizontal="center" vertical="center"/>
      <protection hidden="1"/>
    </xf>
    <xf numFmtId="0" fontId="1" fillId="4" borderId="33" xfId="0" applyFont="1" applyFill="1" applyBorder="1" applyAlignment="1" applyProtection="1">
      <alignment horizontal="center" vertical="center"/>
      <protection hidden="1"/>
    </xf>
    <xf numFmtId="0" fontId="1" fillId="4" borderId="25" xfId="0" applyFont="1" applyFill="1" applyBorder="1" applyAlignment="1" applyProtection="1">
      <alignment horizontal="center" vertical="center"/>
      <protection hidden="1"/>
    </xf>
    <xf numFmtId="0" fontId="1" fillId="4" borderId="22" xfId="0" applyFont="1" applyFill="1" applyBorder="1" applyAlignment="1" applyProtection="1">
      <alignment horizontal="center" vertical="center"/>
      <protection hidden="1"/>
    </xf>
    <xf numFmtId="0" fontId="1" fillId="4" borderId="2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4" borderId="11" xfId="0" applyFont="1" applyFill="1" applyBorder="1" applyAlignment="1" applyProtection="1">
      <alignment horizontal="center" vertical="center" wrapText="1"/>
      <protection hidden="1"/>
    </xf>
    <xf numFmtId="0" fontId="1" fillId="4" borderId="1" xfId="0" applyFont="1" applyFill="1" applyBorder="1" applyAlignment="1" applyProtection="1">
      <alignment horizontal="center" vertical="center" wrapText="1"/>
      <protection hidden="1"/>
    </xf>
    <xf numFmtId="0" fontId="1" fillId="4" borderId="17" xfId="0" applyFont="1" applyFill="1" applyBorder="1" applyAlignment="1" applyProtection="1">
      <alignment horizontal="center" vertical="center" wrapText="1"/>
      <protection hidden="1"/>
    </xf>
    <xf numFmtId="0" fontId="1" fillId="4" borderId="9" xfId="0" applyFont="1" applyFill="1" applyBorder="1" applyAlignment="1" applyProtection="1">
      <alignment horizontal="center" vertical="center"/>
      <protection hidden="1"/>
    </xf>
    <xf numFmtId="0" fontId="1" fillId="4" borderId="13" xfId="0" applyFont="1" applyFill="1" applyBorder="1" applyAlignment="1" applyProtection="1">
      <alignment horizontal="center" vertical="center"/>
      <protection hidden="1"/>
    </xf>
    <xf numFmtId="0" fontId="1" fillId="4" borderId="21" xfId="0" applyFont="1" applyFill="1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28" xfId="0" applyBorder="1" applyAlignment="1" applyProtection="1">
      <alignment horizontal="center"/>
      <protection hidden="1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4" borderId="9" xfId="0" applyFill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 vertical="center"/>
      <protection hidden="1"/>
    </xf>
    <xf numFmtId="0" fontId="0" fillId="4" borderId="13" xfId="0" applyFill="1" applyBorder="1" applyAlignment="1" applyProtection="1">
      <alignment horizontal="center" vertical="center"/>
      <protection hidden="1"/>
    </xf>
    <xf numFmtId="0" fontId="0" fillId="4" borderId="20" xfId="0" applyFill="1" applyBorder="1" applyAlignment="1" applyProtection="1">
      <alignment horizontal="center" vertical="center"/>
      <protection hidden="1"/>
    </xf>
    <xf numFmtId="0" fontId="0" fillId="4" borderId="21" xfId="0" applyFill="1" applyBorder="1" applyAlignment="1" applyProtection="1">
      <alignment horizontal="center" vertical="center"/>
      <protection hidden="1"/>
    </xf>
    <xf numFmtId="0" fontId="0" fillId="4" borderId="22" xfId="0" applyFill="1" applyBorder="1" applyAlignment="1" applyProtection="1">
      <alignment horizontal="center" vertical="center"/>
      <protection hidden="1"/>
    </xf>
    <xf numFmtId="2" fontId="0" fillId="2" borderId="38" xfId="0" applyNumberFormat="1" applyFont="1" applyFill="1" applyBorder="1" applyAlignment="1" applyProtection="1">
      <alignment horizontal="center" vertical="center"/>
      <protection hidden="1"/>
    </xf>
    <xf numFmtId="2" fontId="0" fillId="2" borderId="45" xfId="0" applyNumberFormat="1" applyFont="1" applyFill="1" applyBorder="1" applyAlignment="1" applyProtection="1">
      <alignment horizontal="center" vertical="center"/>
      <protection hidden="1"/>
    </xf>
    <xf numFmtId="2" fontId="0" fillId="2" borderId="5" xfId="0" applyNumberFormat="1" applyFill="1" applyBorder="1" applyAlignment="1" applyProtection="1">
      <alignment horizontal="center"/>
      <protection hidden="1"/>
    </xf>
    <xf numFmtId="2" fontId="0" fillId="2" borderId="7" xfId="0" applyNumberFormat="1" applyFill="1" applyBorder="1" applyAlignment="1" applyProtection="1">
      <alignment horizontal="center"/>
      <protection hidden="1"/>
    </xf>
    <xf numFmtId="2" fontId="0" fillId="2" borderId="1" xfId="0" applyNumberFormat="1" applyFill="1" applyBorder="1" applyAlignment="1" applyProtection="1">
      <alignment horizontal="center"/>
      <protection hidden="1"/>
    </xf>
    <xf numFmtId="2" fontId="0" fillId="2" borderId="17" xfId="0" applyNumberFormat="1" applyFill="1" applyBorder="1" applyAlignment="1" applyProtection="1">
      <alignment horizontal="center"/>
      <protection hidden="1"/>
    </xf>
    <xf numFmtId="0" fontId="1" fillId="4" borderId="3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23" xfId="0" applyFont="1" applyFill="1" applyBorder="1" applyAlignment="1" applyProtection="1">
      <alignment horizontal="center" vertical="center"/>
      <protection hidden="1"/>
    </xf>
    <xf numFmtId="0" fontId="1" fillId="4" borderId="11" xfId="0" applyFont="1" applyFill="1" applyBorder="1" applyAlignment="1" applyProtection="1">
      <alignment horizontal="center" vertical="center"/>
      <protection hidden="1"/>
    </xf>
    <xf numFmtId="0" fontId="1" fillId="4" borderId="15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1" fillId="4" borderId="16" xfId="0" applyFont="1" applyFill="1" applyBorder="1" applyAlignment="1" applyProtection="1">
      <alignment horizontal="center" vertical="center"/>
      <protection hidden="1"/>
    </xf>
    <xf numFmtId="0" fontId="1" fillId="4" borderId="17" xfId="0" applyFont="1" applyFill="1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0" fontId="0" fillId="4" borderId="24" xfId="0" applyFill="1" applyBorder="1" applyAlignment="1" applyProtection="1">
      <alignment horizontal="center" vertical="center"/>
      <protection hidden="1"/>
    </xf>
    <xf numFmtId="0" fontId="0" fillId="4" borderId="10" xfId="0" applyFill="1" applyBorder="1" applyAlignment="1" applyProtection="1">
      <alignment horizontal="center" vertical="center"/>
      <protection hidden="1"/>
    </xf>
    <xf numFmtId="0" fontId="0" fillId="4" borderId="0" xfId="0" applyFill="1" applyBorder="1" applyAlignment="1" applyProtection="1">
      <alignment horizontal="center" vertical="center"/>
      <protection hidden="1"/>
    </xf>
    <xf numFmtId="0" fontId="0" fillId="4" borderId="4" xfId="0" applyFill="1" applyBorder="1" applyAlignment="1" applyProtection="1">
      <alignment horizontal="center" vertical="center"/>
      <protection hidden="1"/>
    </xf>
    <xf numFmtId="0" fontId="0" fillId="4" borderId="25" xfId="0" applyFill="1" applyBorder="1" applyAlignment="1" applyProtection="1">
      <alignment horizontal="center" vertical="center"/>
      <protection hidden="1"/>
    </xf>
    <xf numFmtId="0" fontId="0" fillId="4" borderId="32" xfId="0" applyFill="1" applyBorder="1" applyAlignment="1" applyProtection="1">
      <alignment horizontal="center" vertical="center"/>
      <protection hidden="1"/>
    </xf>
    <xf numFmtId="0" fontId="0" fillId="4" borderId="31" xfId="0" applyFill="1" applyBorder="1" applyAlignment="1" applyProtection="1">
      <alignment horizontal="center" vertical="center"/>
      <protection hidden="1"/>
    </xf>
    <xf numFmtId="0" fontId="0" fillId="4" borderId="2" xfId="0" applyFill="1" applyBorder="1" applyAlignment="1" applyProtection="1">
      <alignment horizontal="center" vertical="center"/>
      <protection hidden="1"/>
    </xf>
    <xf numFmtId="0" fontId="0" fillId="4" borderId="33" xfId="0" applyFill="1" applyBorder="1" applyAlignment="1" applyProtection="1">
      <alignment horizontal="center" vertical="center"/>
      <protection hidden="1"/>
    </xf>
    <xf numFmtId="0" fontId="0" fillId="4" borderId="35" xfId="0" applyFill="1" applyBorder="1" applyAlignment="1" applyProtection="1">
      <alignment horizontal="center" vertical="center"/>
      <protection hidden="1"/>
    </xf>
    <xf numFmtId="0" fontId="0" fillId="4" borderId="36" xfId="0" applyFill="1" applyBorder="1" applyAlignment="1" applyProtection="1">
      <alignment horizontal="center" vertical="center"/>
      <protection hidden="1"/>
    </xf>
    <xf numFmtId="0" fontId="0" fillId="4" borderId="37" xfId="0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</dxf>
    <dxf>
      <font>
        <color theme="1" tint="4.9989318521683403E-2"/>
      </font>
      <fill>
        <patternFill>
          <bgColor rgb="FFC00000"/>
        </patternFill>
      </fill>
    </dxf>
    <dxf>
      <font>
        <color theme="1" tint="4.9989318521683403E-2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4"/>
  <sheetViews>
    <sheetView tabSelected="1" topLeftCell="H19" zoomScale="70" zoomScaleNormal="70" workbookViewId="0">
      <selection activeCell="D27" sqref="D27:I39"/>
    </sheetView>
  </sheetViews>
  <sheetFormatPr defaultRowHeight="15" x14ac:dyDescent="0.25"/>
  <cols>
    <col min="1" max="3" width="9.140625" style="1"/>
    <col min="4" max="4" width="11.28515625" style="1" customWidth="1"/>
    <col min="5" max="5" width="12" style="1" customWidth="1"/>
    <col min="6" max="6" width="11.42578125" style="1" customWidth="1"/>
    <col min="7" max="7" width="11.28515625" style="1" customWidth="1"/>
    <col min="8" max="8" width="10.7109375" style="1" customWidth="1"/>
    <col min="9" max="9" width="11.7109375" style="1" customWidth="1"/>
    <col min="10" max="10" width="10.7109375" style="1" customWidth="1"/>
    <col min="11" max="11" width="12.28515625" style="1" customWidth="1"/>
    <col min="12" max="12" width="11.85546875" customWidth="1"/>
    <col min="13" max="13" width="12.28515625" customWidth="1"/>
    <col min="14" max="14" width="11" customWidth="1"/>
    <col min="15" max="15" width="11.28515625" customWidth="1"/>
    <col min="16" max="16" width="12.28515625" style="2" customWidth="1"/>
    <col min="17" max="17" width="10.5703125" customWidth="1"/>
    <col min="18" max="18" width="13.42578125" customWidth="1"/>
    <col min="19" max="20" width="11.28515625" customWidth="1"/>
    <col min="21" max="21" width="10.7109375" customWidth="1"/>
    <col min="22" max="22" width="11.42578125" bestFit="1" customWidth="1"/>
    <col min="23" max="23" width="10.140625" customWidth="1"/>
    <col min="24" max="24" width="11.42578125" customWidth="1"/>
    <col min="25" max="25" width="14.140625" customWidth="1"/>
    <col min="26" max="26" width="9.7109375" customWidth="1"/>
    <col min="27" max="27" width="10.5703125" customWidth="1"/>
    <col min="28" max="29" width="10.85546875" customWidth="1"/>
    <col min="30" max="30" width="10.42578125" customWidth="1"/>
    <col min="31" max="31" width="10.85546875" customWidth="1"/>
    <col min="37" max="37" width="12.7109375" customWidth="1"/>
    <col min="38" max="38" width="12.28515625" customWidth="1"/>
    <col min="39" max="40" width="10.85546875" customWidth="1"/>
    <col min="41" max="41" width="10.42578125" customWidth="1"/>
    <col min="42" max="42" width="10.5703125" customWidth="1"/>
  </cols>
  <sheetData>
    <row r="1" spans="2:19" x14ac:dyDescent="0.25">
      <c r="G1" s="4"/>
      <c r="H1" s="5"/>
      <c r="I1" s="5"/>
      <c r="J1" s="5"/>
    </row>
    <row r="2" spans="2:19" x14ac:dyDescent="0.25">
      <c r="C2" s="197" t="s">
        <v>59</v>
      </c>
      <c r="D2" s="197"/>
      <c r="E2" s="197"/>
      <c r="F2" s="198"/>
      <c r="G2" s="4"/>
      <c r="H2" s="197" t="s">
        <v>60</v>
      </c>
      <c r="I2" s="197"/>
      <c r="J2" s="197"/>
      <c r="K2" s="199"/>
      <c r="L2" s="17"/>
    </row>
    <row r="3" spans="2:19" ht="15.75" thickBot="1" x14ac:dyDescent="0.3">
      <c r="G3" s="4"/>
      <c r="H3" s="5"/>
      <c r="I3" s="5"/>
      <c r="J3" s="5"/>
    </row>
    <row r="4" spans="2:19" x14ac:dyDescent="0.25">
      <c r="C4" s="29" t="s">
        <v>16</v>
      </c>
      <c r="D4" s="112" t="s">
        <v>72</v>
      </c>
      <c r="E4" s="112"/>
      <c r="F4" s="112"/>
      <c r="G4" s="30"/>
      <c r="H4" s="31" t="s">
        <v>16</v>
      </c>
      <c r="I4" s="112" t="s">
        <v>71</v>
      </c>
      <c r="J4" s="112"/>
      <c r="K4" s="113"/>
      <c r="N4" s="14"/>
      <c r="O4" s="10" t="s">
        <v>55</v>
      </c>
      <c r="P4" s="11" t="s">
        <v>74</v>
      </c>
      <c r="S4" s="33" t="s">
        <v>80</v>
      </c>
    </row>
    <row r="5" spans="2:19" x14ac:dyDescent="0.25">
      <c r="C5" s="18" t="s">
        <v>79</v>
      </c>
      <c r="D5" s="20" t="s">
        <v>21</v>
      </c>
      <c r="E5" s="20" t="s">
        <v>22</v>
      </c>
      <c r="F5" s="20" t="s">
        <v>23</v>
      </c>
      <c r="G5" s="5"/>
      <c r="H5" s="20" t="s">
        <v>79</v>
      </c>
      <c r="I5" s="20" t="s">
        <v>21</v>
      </c>
      <c r="J5" s="20" t="s">
        <v>22</v>
      </c>
      <c r="K5" s="32" t="s">
        <v>23</v>
      </c>
      <c r="P5" s="12"/>
      <c r="R5" s="36" t="s">
        <v>82</v>
      </c>
      <c r="S5" t="s">
        <v>81</v>
      </c>
    </row>
    <row r="6" spans="2:19" x14ac:dyDescent="0.25">
      <c r="B6" s="5"/>
      <c r="C6" s="38">
        <v>200</v>
      </c>
      <c r="D6" s="39">
        <v>0</v>
      </c>
      <c r="E6" s="39">
        <v>0</v>
      </c>
      <c r="F6" s="39">
        <v>0</v>
      </c>
      <c r="G6" s="40" t="s">
        <v>17</v>
      </c>
      <c r="H6" s="41">
        <v>150</v>
      </c>
      <c r="I6" s="39">
        <v>-0.433</v>
      </c>
      <c r="J6" s="39">
        <v>0</v>
      </c>
      <c r="K6" s="42">
        <v>0.28399999999999997</v>
      </c>
      <c r="N6" s="15"/>
      <c r="O6" s="10" t="s">
        <v>55</v>
      </c>
      <c r="P6" s="11" t="s">
        <v>75</v>
      </c>
      <c r="R6" s="35"/>
      <c r="S6" s="34" t="s">
        <v>83</v>
      </c>
    </row>
    <row r="7" spans="2:19" x14ac:dyDescent="0.25">
      <c r="B7" s="5"/>
      <c r="C7" s="60">
        <f t="shared" ref="C7:D19" si="0">C6</f>
        <v>200</v>
      </c>
      <c r="D7" s="106">
        <f>D6</f>
        <v>0</v>
      </c>
      <c r="E7" s="106">
        <f t="shared" ref="E7:F7" si="1">E6</f>
        <v>0</v>
      </c>
      <c r="F7" s="106">
        <f t="shared" si="1"/>
        <v>0</v>
      </c>
      <c r="G7" s="107" t="s">
        <v>20</v>
      </c>
      <c r="H7" s="107">
        <f t="shared" ref="H7:I19" si="2">H6</f>
        <v>150</v>
      </c>
      <c r="I7" s="106">
        <f>I6</f>
        <v>-0.433</v>
      </c>
      <c r="J7" s="106">
        <f t="shared" ref="J7:K7" si="3">J6</f>
        <v>0</v>
      </c>
      <c r="K7" s="108">
        <f t="shared" si="3"/>
        <v>0.28399999999999997</v>
      </c>
      <c r="R7" s="36"/>
    </row>
    <row r="8" spans="2:19" x14ac:dyDescent="0.25">
      <c r="B8" s="5"/>
      <c r="C8" s="60">
        <f t="shared" si="0"/>
        <v>200</v>
      </c>
      <c r="D8" s="106">
        <f t="shared" si="0"/>
        <v>0</v>
      </c>
      <c r="E8" s="106">
        <f t="shared" ref="E8:E19" si="4">E7</f>
        <v>0</v>
      </c>
      <c r="F8" s="106">
        <f t="shared" ref="F8:F19" si="5">F7</f>
        <v>0</v>
      </c>
      <c r="G8" s="107" t="s">
        <v>20</v>
      </c>
      <c r="H8" s="107">
        <f t="shared" si="2"/>
        <v>150</v>
      </c>
      <c r="I8" s="106">
        <f t="shared" si="2"/>
        <v>-0.433</v>
      </c>
      <c r="J8" s="106">
        <f t="shared" ref="J8:J19" si="6">J7</f>
        <v>0</v>
      </c>
      <c r="K8" s="108">
        <f t="shared" ref="K8:K19" si="7">K7</f>
        <v>0.28399999999999997</v>
      </c>
      <c r="N8" s="16"/>
      <c r="O8" s="10" t="s">
        <v>55</v>
      </c>
      <c r="P8" s="114" t="s">
        <v>58</v>
      </c>
      <c r="Q8" s="114"/>
      <c r="R8" s="37"/>
      <c r="S8" s="11"/>
    </row>
    <row r="9" spans="2:19" x14ac:dyDescent="0.25">
      <c r="B9" s="5"/>
      <c r="C9" s="60">
        <f t="shared" si="0"/>
        <v>200</v>
      </c>
      <c r="D9" s="106">
        <f t="shared" si="0"/>
        <v>0</v>
      </c>
      <c r="E9" s="106">
        <f t="shared" si="4"/>
        <v>0</v>
      </c>
      <c r="F9" s="106">
        <f t="shared" si="5"/>
        <v>0</v>
      </c>
      <c r="G9" s="107" t="s">
        <v>20</v>
      </c>
      <c r="H9" s="107">
        <f t="shared" si="2"/>
        <v>150</v>
      </c>
      <c r="I9" s="106">
        <f t="shared" si="2"/>
        <v>-0.433</v>
      </c>
      <c r="J9" s="106">
        <f t="shared" si="6"/>
        <v>0</v>
      </c>
      <c r="K9" s="108">
        <f t="shared" si="7"/>
        <v>0.28399999999999997</v>
      </c>
      <c r="O9" t="s">
        <v>18</v>
      </c>
      <c r="R9" s="35"/>
    </row>
    <row r="10" spans="2:19" x14ac:dyDescent="0.25">
      <c r="B10" s="5"/>
      <c r="C10" s="60">
        <f t="shared" si="0"/>
        <v>200</v>
      </c>
      <c r="D10" s="106">
        <f t="shared" si="0"/>
        <v>0</v>
      </c>
      <c r="E10" s="106">
        <f t="shared" si="4"/>
        <v>0</v>
      </c>
      <c r="F10" s="106">
        <f t="shared" si="5"/>
        <v>0</v>
      </c>
      <c r="G10" s="107" t="s">
        <v>20</v>
      </c>
      <c r="H10" s="107">
        <f t="shared" si="2"/>
        <v>150</v>
      </c>
      <c r="I10" s="106">
        <f t="shared" si="2"/>
        <v>-0.433</v>
      </c>
      <c r="J10" s="106">
        <f t="shared" si="6"/>
        <v>0</v>
      </c>
      <c r="K10" s="108">
        <f t="shared" si="7"/>
        <v>0.28399999999999997</v>
      </c>
      <c r="N10" s="13"/>
      <c r="O10" s="10" t="s">
        <v>55</v>
      </c>
      <c r="P10" s="11" t="s">
        <v>73</v>
      </c>
      <c r="Q10" s="21"/>
    </row>
    <row r="11" spans="2:19" x14ac:dyDescent="0.25">
      <c r="B11" s="5"/>
      <c r="C11" s="60">
        <f t="shared" si="0"/>
        <v>200</v>
      </c>
      <c r="D11" s="106">
        <f t="shared" si="0"/>
        <v>0</v>
      </c>
      <c r="E11" s="106">
        <f t="shared" si="4"/>
        <v>0</v>
      </c>
      <c r="F11" s="106">
        <f t="shared" si="5"/>
        <v>0</v>
      </c>
      <c r="G11" s="107" t="s">
        <v>20</v>
      </c>
      <c r="H11" s="107">
        <f t="shared" si="2"/>
        <v>150</v>
      </c>
      <c r="I11" s="106">
        <f t="shared" si="2"/>
        <v>-0.433</v>
      </c>
      <c r="J11" s="106">
        <f t="shared" si="6"/>
        <v>0</v>
      </c>
      <c r="K11" s="108">
        <f t="shared" si="7"/>
        <v>0.28399999999999997</v>
      </c>
    </row>
    <row r="12" spans="2:19" x14ac:dyDescent="0.25">
      <c r="B12" s="5"/>
      <c r="C12" s="60">
        <f t="shared" si="0"/>
        <v>200</v>
      </c>
      <c r="D12" s="106">
        <f t="shared" si="0"/>
        <v>0</v>
      </c>
      <c r="E12" s="106">
        <f t="shared" si="4"/>
        <v>0</v>
      </c>
      <c r="F12" s="106">
        <f t="shared" si="5"/>
        <v>0</v>
      </c>
      <c r="G12" s="107" t="s">
        <v>20</v>
      </c>
      <c r="H12" s="107">
        <f t="shared" si="2"/>
        <v>150</v>
      </c>
      <c r="I12" s="106">
        <f t="shared" si="2"/>
        <v>-0.433</v>
      </c>
      <c r="J12" s="106">
        <f t="shared" si="6"/>
        <v>0</v>
      </c>
      <c r="K12" s="108">
        <f t="shared" si="7"/>
        <v>0.28399999999999997</v>
      </c>
      <c r="N12" s="28"/>
      <c r="O12" s="10"/>
    </row>
    <row r="13" spans="2:19" x14ac:dyDescent="0.25">
      <c r="B13" s="5"/>
      <c r="C13" s="60">
        <f t="shared" si="0"/>
        <v>200</v>
      </c>
      <c r="D13" s="106">
        <f t="shared" si="0"/>
        <v>0</v>
      </c>
      <c r="E13" s="106">
        <f t="shared" si="4"/>
        <v>0</v>
      </c>
      <c r="F13" s="106">
        <f t="shared" si="5"/>
        <v>0</v>
      </c>
      <c r="G13" s="107" t="s">
        <v>20</v>
      </c>
      <c r="H13" s="107">
        <f t="shared" si="2"/>
        <v>150</v>
      </c>
      <c r="I13" s="106">
        <f t="shared" si="2"/>
        <v>-0.433</v>
      </c>
      <c r="J13" s="106">
        <f t="shared" si="6"/>
        <v>0</v>
      </c>
      <c r="K13" s="108">
        <f t="shared" si="7"/>
        <v>0.28399999999999997</v>
      </c>
    </row>
    <row r="14" spans="2:19" x14ac:dyDescent="0.25">
      <c r="B14" s="5"/>
      <c r="C14" s="60">
        <f t="shared" si="0"/>
        <v>200</v>
      </c>
      <c r="D14" s="106">
        <f t="shared" si="0"/>
        <v>0</v>
      </c>
      <c r="E14" s="106">
        <f t="shared" si="4"/>
        <v>0</v>
      </c>
      <c r="F14" s="106">
        <f t="shared" si="5"/>
        <v>0</v>
      </c>
      <c r="G14" s="107" t="s">
        <v>20</v>
      </c>
      <c r="H14" s="107">
        <f t="shared" si="2"/>
        <v>150</v>
      </c>
      <c r="I14" s="106">
        <f t="shared" si="2"/>
        <v>-0.433</v>
      </c>
      <c r="J14" s="106">
        <f t="shared" si="6"/>
        <v>0</v>
      </c>
      <c r="K14" s="108">
        <f t="shared" si="7"/>
        <v>0.28399999999999997</v>
      </c>
    </row>
    <row r="15" spans="2:19" x14ac:dyDescent="0.25">
      <c r="B15" s="5"/>
      <c r="C15" s="60">
        <f t="shared" si="0"/>
        <v>200</v>
      </c>
      <c r="D15" s="106">
        <f t="shared" si="0"/>
        <v>0</v>
      </c>
      <c r="E15" s="106">
        <f t="shared" si="4"/>
        <v>0</v>
      </c>
      <c r="F15" s="106">
        <f t="shared" si="5"/>
        <v>0</v>
      </c>
      <c r="G15" s="107" t="s">
        <v>20</v>
      </c>
      <c r="H15" s="107">
        <f t="shared" si="2"/>
        <v>150</v>
      </c>
      <c r="I15" s="106">
        <f t="shared" si="2"/>
        <v>-0.433</v>
      </c>
      <c r="J15" s="106">
        <f t="shared" si="6"/>
        <v>0</v>
      </c>
      <c r="K15" s="108">
        <f t="shared" si="7"/>
        <v>0.28399999999999997</v>
      </c>
    </row>
    <row r="16" spans="2:19" x14ac:dyDescent="0.25">
      <c r="B16" s="5"/>
      <c r="C16" s="60">
        <f t="shared" si="0"/>
        <v>200</v>
      </c>
      <c r="D16" s="106">
        <f t="shared" si="0"/>
        <v>0</v>
      </c>
      <c r="E16" s="106">
        <f t="shared" si="4"/>
        <v>0</v>
      </c>
      <c r="F16" s="106">
        <f t="shared" si="5"/>
        <v>0</v>
      </c>
      <c r="G16" s="107" t="s">
        <v>20</v>
      </c>
      <c r="H16" s="107">
        <f t="shared" si="2"/>
        <v>150</v>
      </c>
      <c r="I16" s="106">
        <f t="shared" si="2"/>
        <v>-0.433</v>
      </c>
      <c r="J16" s="106">
        <f t="shared" si="6"/>
        <v>0</v>
      </c>
      <c r="K16" s="108">
        <f t="shared" si="7"/>
        <v>0.28399999999999997</v>
      </c>
    </row>
    <row r="17" spans="2:43" x14ac:dyDescent="0.25">
      <c r="B17" s="5"/>
      <c r="C17" s="60">
        <f t="shared" si="0"/>
        <v>200</v>
      </c>
      <c r="D17" s="106">
        <f t="shared" si="0"/>
        <v>0</v>
      </c>
      <c r="E17" s="106">
        <f t="shared" si="4"/>
        <v>0</v>
      </c>
      <c r="F17" s="106">
        <f t="shared" si="5"/>
        <v>0</v>
      </c>
      <c r="G17" s="107" t="s">
        <v>20</v>
      </c>
      <c r="H17" s="107">
        <f t="shared" si="2"/>
        <v>150</v>
      </c>
      <c r="I17" s="106">
        <f t="shared" si="2"/>
        <v>-0.433</v>
      </c>
      <c r="J17" s="106">
        <f t="shared" si="6"/>
        <v>0</v>
      </c>
      <c r="K17" s="108">
        <f t="shared" si="7"/>
        <v>0.28399999999999997</v>
      </c>
    </row>
    <row r="18" spans="2:43" x14ac:dyDescent="0.25">
      <c r="B18" s="5"/>
      <c r="C18" s="60">
        <f t="shared" si="0"/>
        <v>200</v>
      </c>
      <c r="D18" s="106">
        <f t="shared" si="0"/>
        <v>0</v>
      </c>
      <c r="E18" s="106">
        <f t="shared" si="4"/>
        <v>0</v>
      </c>
      <c r="F18" s="106">
        <f t="shared" si="5"/>
        <v>0</v>
      </c>
      <c r="G18" s="107" t="s">
        <v>20</v>
      </c>
      <c r="H18" s="107">
        <f t="shared" si="2"/>
        <v>150</v>
      </c>
      <c r="I18" s="106">
        <f t="shared" si="2"/>
        <v>-0.433</v>
      </c>
      <c r="J18" s="106">
        <f t="shared" si="6"/>
        <v>0</v>
      </c>
      <c r="K18" s="108">
        <f t="shared" si="7"/>
        <v>0.28399999999999997</v>
      </c>
    </row>
    <row r="19" spans="2:43" ht="15.75" thickBot="1" x14ac:dyDescent="0.3">
      <c r="B19" s="5"/>
      <c r="C19" s="70">
        <f t="shared" si="0"/>
        <v>200</v>
      </c>
      <c r="D19" s="109">
        <f t="shared" si="0"/>
        <v>0</v>
      </c>
      <c r="E19" s="109">
        <f t="shared" si="4"/>
        <v>0</v>
      </c>
      <c r="F19" s="109">
        <f t="shared" si="5"/>
        <v>0</v>
      </c>
      <c r="G19" s="110" t="s">
        <v>20</v>
      </c>
      <c r="H19" s="110">
        <f t="shared" si="2"/>
        <v>150</v>
      </c>
      <c r="I19" s="109">
        <f t="shared" si="2"/>
        <v>-0.433</v>
      </c>
      <c r="J19" s="109">
        <f t="shared" si="6"/>
        <v>0</v>
      </c>
      <c r="K19" s="111">
        <f t="shared" si="7"/>
        <v>0.28399999999999997</v>
      </c>
    </row>
    <row r="20" spans="2:43" x14ac:dyDescent="0.25">
      <c r="B20" s="5"/>
      <c r="C20" s="7"/>
      <c r="F20" s="5"/>
      <c r="G20" s="5"/>
      <c r="H20" s="5"/>
      <c r="I20" s="5"/>
      <c r="J20" s="5"/>
      <c r="K20" s="5"/>
      <c r="L20" s="17"/>
    </row>
    <row r="21" spans="2:43" x14ac:dyDescent="0.25">
      <c r="F21" s="5"/>
      <c r="G21" s="5"/>
      <c r="H21" s="5"/>
      <c r="I21" s="5"/>
      <c r="J21" s="5"/>
      <c r="K21" s="5"/>
      <c r="L21" s="17"/>
    </row>
    <row r="22" spans="2:43" ht="15.75" thickBot="1" x14ac:dyDescent="0.3"/>
    <row r="23" spans="2:43" ht="15" customHeight="1" x14ac:dyDescent="0.25">
      <c r="B23" s="128" t="s">
        <v>3</v>
      </c>
      <c r="C23" s="129"/>
      <c r="D23" s="167" t="s">
        <v>10</v>
      </c>
      <c r="E23" s="168"/>
      <c r="F23" s="168"/>
      <c r="G23" s="168"/>
      <c r="H23" s="168"/>
      <c r="I23" s="169"/>
      <c r="K23" s="139" t="s">
        <v>61</v>
      </c>
      <c r="L23" s="120"/>
      <c r="M23" s="120"/>
      <c r="N23" s="120"/>
      <c r="O23" s="120"/>
      <c r="P23" s="120"/>
      <c r="Q23" s="120"/>
      <c r="R23" s="136" t="s">
        <v>46</v>
      </c>
      <c r="S23" s="119" t="s">
        <v>63</v>
      </c>
      <c r="T23" s="120"/>
      <c r="U23" s="121"/>
      <c r="X23" s="128" t="s">
        <v>3</v>
      </c>
      <c r="Y23" s="129"/>
      <c r="Z23" s="160" t="s">
        <v>54</v>
      </c>
      <c r="AA23" s="161"/>
      <c r="AB23" s="161"/>
      <c r="AC23" s="161"/>
      <c r="AD23" s="161"/>
      <c r="AE23" s="129"/>
      <c r="AF23" s="9"/>
      <c r="AG23" s="176" t="s">
        <v>19</v>
      </c>
      <c r="AH23" s="177"/>
      <c r="AI23" s="177"/>
      <c r="AJ23" s="177"/>
      <c r="AK23" s="177"/>
      <c r="AL23" s="177"/>
      <c r="AM23" s="136" t="s">
        <v>46</v>
      </c>
      <c r="AN23" s="119" t="s">
        <v>63</v>
      </c>
      <c r="AO23" s="120"/>
      <c r="AP23" s="121"/>
      <c r="AQ23" s="3"/>
    </row>
    <row r="24" spans="2:43" ht="15" customHeight="1" x14ac:dyDescent="0.25">
      <c r="B24" s="130"/>
      <c r="C24" s="131"/>
      <c r="D24" s="170"/>
      <c r="E24" s="171"/>
      <c r="F24" s="171"/>
      <c r="G24" s="171"/>
      <c r="H24" s="171"/>
      <c r="I24" s="172"/>
      <c r="K24" s="140"/>
      <c r="L24" s="123"/>
      <c r="M24" s="123"/>
      <c r="N24" s="123"/>
      <c r="O24" s="123"/>
      <c r="P24" s="123"/>
      <c r="Q24" s="123"/>
      <c r="R24" s="137"/>
      <c r="S24" s="122"/>
      <c r="T24" s="123"/>
      <c r="U24" s="124"/>
      <c r="V24" s="3"/>
      <c r="X24" s="130"/>
      <c r="Y24" s="131"/>
      <c r="Z24" s="162"/>
      <c r="AA24" s="163"/>
      <c r="AB24" s="163"/>
      <c r="AC24" s="163"/>
      <c r="AD24" s="163"/>
      <c r="AE24" s="131"/>
      <c r="AF24" s="5"/>
      <c r="AG24" s="178"/>
      <c r="AH24" s="179"/>
      <c r="AI24" s="179"/>
      <c r="AJ24" s="179"/>
      <c r="AK24" s="179"/>
      <c r="AL24" s="179"/>
      <c r="AM24" s="137"/>
      <c r="AN24" s="122"/>
      <c r="AO24" s="123"/>
      <c r="AP24" s="124"/>
    </row>
    <row r="25" spans="2:43" ht="15.75" thickBot="1" x14ac:dyDescent="0.3">
      <c r="B25" s="130"/>
      <c r="C25" s="131"/>
      <c r="D25" s="117" t="s">
        <v>0</v>
      </c>
      <c r="E25" s="118"/>
      <c r="F25" s="118"/>
      <c r="G25" s="173" t="s">
        <v>1</v>
      </c>
      <c r="H25" s="174"/>
      <c r="I25" s="175"/>
      <c r="K25" s="141"/>
      <c r="L25" s="126"/>
      <c r="M25" s="126"/>
      <c r="N25" s="126"/>
      <c r="O25" s="126"/>
      <c r="P25" s="126"/>
      <c r="Q25" s="126"/>
      <c r="R25" s="138"/>
      <c r="S25" s="125"/>
      <c r="T25" s="126"/>
      <c r="U25" s="127"/>
      <c r="X25" s="130"/>
      <c r="Y25" s="131"/>
      <c r="Z25" s="164" t="s">
        <v>0</v>
      </c>
      <c r="AA25" s="165"/>
      <c r="AB25" s="165"/>
      <c r="AC25" s="165" t="s">
        <v>1</v>
      </c>
      <c r="AD25" s="165"/>
      <c r="AE25" s="166"/>
      <c r="AF25" s="5"/>
      <c r="AG25" s="180"/>
      <c r="AH25" s="181"/>
      <c r="AI25" s="181"/>
      <c r="AJ25" s="181"/>
      <c r="AK25" s="181"/>
      <c r="AL25" s="181"/>
      <c r="AM25" s="138"/>
      <c r="AN25" s="125"/>
      <c r="AO25" s="126"/>
      <c r="AP25" s="127"/>
    </row>
    <row r="26" spans="2:43" ht="30.75" thickBot="1" x14ac:dyDescent="0.4">
      <c r="B26" s="132"/>
      <c r="C26" s="133"/>
      <c r="D26" s="22" t="s">
        <v>4</v>
      </c>
      <c r="E26" s="23" t="s">
        <v>5</v>
      </c>
      <c r="F26" s="23" t="s">
        <v>6</v>
      </c>
      <c r="G26" s="23" t="s">
        <v>7</v>
      </c>
      <c r="H26" s="23" t="s">
        <v>8</v>
      </c>
      <c r="I26" s="24" t="s">
        <v>9</v>
      </c>
      <c r="J26" s="5"/>
      <c r="K26" s="51" t="s">
        <v>52</v>
      </c>
      <c r="L26" s="52" t="s">
        <v>12</v>
      </c>
      <c r="M26" s="52" t="s">
        <v>14</v>
      </c>
      <c r="N26" s="53" t="s">
        <v>13</v>
      </c>
      <c r="O26" s="100" t="s">
        <v>15</v>
      </c>
      <c r="P26" s="154" t="s">
        <v>76</v>
      </c>
      <c r="Q26" s="155"/>
      <c r="R26" s="56" t="s">
        <v>56</v>
      </c>
      <c r="S26" s="53" t="s">
        <v>7</v>
      </c>
      <c r="T26" s="58" t="s">
        <v>8</v>
      </c>
      <c r="U26" s="101" t="s">
        <v>9</v>
      </c>
      <c r="X26" s="132"/>
      <c r="Y26" s="133"/>
      <c r="Z26" s="25" t="s">
        <v>4</v>
      </c>
      <c r="AA26" s="26" t="s">
        <v>5</v>
      </c>
      <c r="AB26" s="26" t="s">
        <v>6</v>
      </c>
      <c r="AC26" s="26" t="s">
        <v>7</v>
      </c>
      <c r="AD26" s="26" t="s">
        <v>8</v>
      </c>
      <c r="AE26" s="27" t="s">
        <v>9</v>
      </c>
      <c r="AF26" s="5"/>
      <c r="AG26" s="51" t="s">
        <v>11</v>
      </c>
      <c r="AH26" s="52" t="s">
        <v>12</v>
      </c>
      <c r="AI26" s="52" t="s">
        <v>14</v>
      </c>
      <c r="AJ26" s="53" t="s">
        <v>13</v>
      </c>
      <c r="AK26" s="54" t="s">
        <v>15</v>
      </c>
      <c r="AL26" s="55" t="s">
        <v>77</v>
      </c>
      <c r="AM26" s="56" t="s">
        <v>56</v>
      </c>
      <c r="AN26" s="57" t="s">
        <v>7</v>
      </c>
      <c r="AO26" s="58" t="s">
        <v>8</v>
      </c>
      <c r="AP26" s="59" t="s">
        <v>9</v>
      </c>
    </row>
    <row r="27" spans="2:43" x14ac:dyDescent="0.25">
      <c r="B27" s="134" t="s">
        <v>2</v>
      </c>
      <c r="C27" s="135"/>
      <c r="D27" s="43">
        <v>216</v>
      </c>
      <c r="E27" s="44">
        <v>-7293</v>
      </c>
      <c r="F27" s="44">
        <v>-2491</v>
      </c>
      <c r="G27" s="44">
        <v>-404</v>
      </c>
      <c r="H27" s="44">
        <v>-6841</v>
      </c>
      <c r="I27" s="45">
        <v>-3676</v>
      </c>
      <c r="J27" s="5"/>
      <c r="K27" s="60">
        <f>SQRT((D27*D27)+(E27*E27)+(F27*F27))</f>
        <v>7709.7072577368335</v>
      </c>
      <c r="L27" s="61">
        <f>SQRT((G27*G27)+(H27*H27)+(I27*I27)+(J27*J27))</f>
        <v>7776.5977779489149</v>
      </c>
      <c r="M27" s="61">
        <f>K27+1.09*(L27)</f>
        <v>16186.198835701151</v>
      </c>
      <c r="N27" s="62" t="s">
        <v>13</v>
      </c>
      <c r="O27" s="63">
        <f t="shared" ref="O27:O39" si="8">3.24*(54.1*C6)</f>
        <v>35056.800000000003</v>
      </c>
      <c r="P27" s="156">
        <f>M27/O27*100</f>
        <v>46.17135287790429</v>
      </c>
      <c r="Q27" s="157"/>
      <c r="R27" s="65" t="s">
        <v>57</v>
      </c>
      <c r="S27" s="102">
        <f>G27</f>
        <v>-404</v>
      </c>
      <c r="T27" s="102">
        <f>H27</f>
        <v>-6841</v>
      </c>
      <c r="U27" s="103">
        <f>I27</f>
        <v>-3676</v>
      </c>
      <c r="X27" s="134" t="s">
        <v>2</v>
      </c>
      <c r="Y27" s="135"/>
      <c r="Z27" s="43">
        <v>3460</v>
      </c>
      <c r="AA27" s="44">
        <v>-6734</v>
      </c>
      <c r="AB27" s="44">
        <v>-95</v>
      </c>
      <c r="AC27" s="44">
        <v>-488</v>
      </c>
      <c r="AD27" s="44">
        <v>11224</v>
      </c>
      <c r="AE27" s="45">
        <v>920</v>
      </c>
      <c r="AF27" s="5"/>
      <c r="AG27" s="60">
        <f>SQRT((Z27*Z27)+(AA27*AA27)+(AB27*AB27))</f>
        <v>7571.4847289022518</v>
      </c>
      <c r="AH27" s="61">
        <f>SQRT((AC27*AC27)+(AD27*AD27)+(AE27*AE27))</f>
        <v>11272.21007611196</v>
      </c>
      <c r="AI27" s="61">
        <f>AG27+1.09*(AH27)</f>
        <v>19858.193711864289</v>
      </c>
      <c r="AJ27" s="62" t="s">
        <v>13</v>
      </c>
      <c r="AK27" s="63">
        <f t="shared" ref="AK27:AK39" si="9">3.24*(54.1*H6)</f>
        <v>26292.600000000002</v>
      </c>
      <c r="AL27" s="64">
        <f>AI27/AK27*100</f>
        <v>75.527691106487325</v>
      </c>
      <c r="AM27" s="65" t="s">
        <v>57</v>
      </c>
      <c r="AN27" s="66">
        <f t="shared" ref="AN27:AN39" si="10">AC27-(AB27*J7)-(AA27*K7)</f>
        <v>1424.4559999999999</v>
      </c>
      <c r="AO27" s="66">
        <f t="shared" ref="AO27:AO39" si="11">AD27+((Z27*K7)-(AB27*I7))</f>
        <v>12165.504999999999</v>
      </c>
      <c r="AP27" s="67">
        <f t="shared" ref="AP27:AP39" si="12">AE27+(Z27*J7)+(AA27*I7)</f>
        <v>3835.8220000000001</v>
      </c>
    </row>
    <row r="28" spans="2:43" x14ac:dyDescent="0.25">
      <c r="B28" s="115" t="s">
        <v>41</v>
      </c>
      <c r="C28" s="116"/>
      <c r="D28" s="46">
        <v>-390</v>
      </c>
      <c r="E28" s="41">
        <v>-2943</v>
      </c>
      <c r="F28" s="41">
        <v>-2712</v>
      </c>
      <c r="G28" s="41">
        <v>-2243</v>
      </c>
      <c r="H28" s="41">
        <v>-2693</v>
      </c>
      <c r="I28" s="47">
        <v>1040</v>
      </c>
      <c r="K28" s="60">
        <f t="shared" ref="K28:K32" si="13">SQRT((D28*D28)+(E28*E28)+(F28*F28))</f>
        <v>4020.981596575642</v>
      </c>
      <c r="L28" s="61">
        <f t="shared" ref="L28:L32" si="14">SQRT((G28*G28)+(H28*H28)+(I28*I28)+(J28*J28))</f>
        <v>3655.8033316905876</v>
      </c>
      <c r="M28" s="61">
        <f t="shared" ref="M28:M32" si="15">K28+1.09*(L28)</f>
        <v>8005.8072281183831</v>
      </c>
      <c r="N28" s="62" t="s">
        <v>13</v>
      </c>
      <c r="O28" s="63">
        <f t="shared" si="8"/>
        <v>35056.800000000003</v>
      </c>
      <c r="P28" s="156">
        <f t="shared" ref="P28:P32" si="16">M28/O28*100</f>
        <v>22.836674277510731</v>
      </c>
      <c r="Q28" s="157" t="s">
        <v>47</v>
      </c>
      <c r="R28" s="65" t="s">
        <v>57</v>
      </c>
      <c r="S28" s="102">
        <f t="shared" ref="S28:S32" si="17">G28</f>
        <v>-2243</v>
      </c>
      <c r="T28" s="102">
        <f t="shared" ref="T28:T32" si="18">H28</f>
        <v>-2693</v>
      </c>
      <c r="U28" s="103">
        <f t="shared" ref="U28:U32" si="19">I28</f>
        <v>1040</v>
      </c>
      <c r="X28" s="115" t="s">
        <v>41</v>
      </c>
      <c r="Y28" s="116"/>
      <c r="Z28" s="46">
        <v>2746</v>
      </c>
      <c r="AA28" s="41">
        <v>-4619</v>
      </c>
      <c r="AB28" s="41">
        <v>123</v>
      </c>
      <c r="AC28" s="41">
        <v>-29</v>
      </c>
      <c r="AD28" s="41">
        <v>6778</v>
      </c>
      <c r="AE28" s="47">
        <v>-744</v>
      </c>
      <c r="AF28" s="5"/>
      <c r="AG28" s="60">
        <f t="shared" ref="AG28:AG32" si="20">SQRT((Z28*Z28)+(AA28*AA28)+(AB28*AB28))</f>
        <v>5375.0168371829313</v>
      </c>
      <c r="AH28" s="61">
        <f t="shared" ref="AH28:AH32" si="21">SQRT((AC28*AC28)+(AD28*AD28)+(AE28*AE28))</f>
        <v>6818.7726901547321</v>
      </c>
      <c r="AI28" s="61">
        <f t="shared" ref="AI28:AI32" si="22">AG28+1.09*(AH28)</f>
        <v>12807.47906945159</v>
      </c>
      <c r="AJ28" s="62" t="s">
        <v>13</v>
      </c>
      <c r="AK28" s="63">
        <f t="shared" si="9"/>
        <v>26292.600000000002</v>
      </c>
      <c r="AL28" s="64">
        <f t="shared" ref="AL28:AL32" si="23">AI28/AK28*100</f>
        <v>48.711344901042843</v>
      </c>
      <c r="AM28" s="65" t="s">
        <v>57</v>
      </c>
      <c r="AN28" s="66">
        <f>AC28-(AB28*J8)-(AA28*K8)</f>
        <v>1282.7959999999998</v>
      </c>
      <c r="AO28" s="66">
        <f t="shared" si="11"/>
        <v>7611.1229999999996</v>
      </c>
      <c r="AP28" s="67">
        <f t="shared" si="12"/>
        <v>1256.027</v>
      </c>
    </row>
    <row r="29" spans="2:43" x14ac:dyDescent="0.25">
      <c r="B29" s="115" t="s">
        <v>42</v>
      </c>
      <c r="C29" s="116"/>
      <c r="D29" s="46">
        <v>-19</v>
      </c>
      <c r="E29" s="41">
        <v>4686</v>
      </c>
      <c r="F29" s="41">
        <v>3221</v>
      </c>
      <c r="G29" s="41">
        <v>2425</v>
      </c>
      <c r="H29" s="41">
        <v>3454</v>
      </c>
      <c r="I29" s="47">
        <v>207</v>
      </c>
      <c r="K29" s="60">
        <f t="shared" si="13"/>
        <v>5686.2815617941396</v>
      </c>
      <c r="L29" s="61">
        <f t="shared" si="14"/>
        <v>4225.3508730045132</v>
      </c>
      <c r="M29" s="61">
        <f t="shared" si="15"/>
        <v>10291.91401336906</v>
      </c>
      <c r="N29" s="62" t="s">
        <v>13</v>
      </c>
      <c r="O29" s="63">
        <f t="shared" si="8"/>
        <v>35056.800000000003</v>
      </c>
      <c r="P29" s="156">
        <f t="shared" si="16"/>
        <v>29.357825053538996</v>
      </c>
      <c r="Q29" s="157" t="s">
        <v>48</v>
      </c>
      <c r="R29" s="65" t="s">
        <v>57</v>
      </c>
      <c r="S29" s="102">
        <f t="shared" si="17"/>
        <v>2425</v>
      </c>
      <c r="T29" s="102">
        <f t="shared" si="18"/>
        <v>3454</v>
      </c>
      <c r="U29" s="103">
        <f t="shared" si="19"/>
        <v>207</v>
      </c>
      <c r="X29" s="115" t="s">
        <v>42</v>
      </c>
      <c r="Y29" s="116"/>
      <c r="Z29" s="46">
        <v>-1668</v>
      </c>
      <c r="AA29" s="41">
        <v>1041</v>
      </c>
      <c r="AB29" s="41">
        <v>1460</v>
      </c>
      <c r="AC29" s="41">
        <v>1939</v>
      </c>
      <c r="AD29" s="41">
        <v>-3123</v>
      </c>
      <c r="AE29" s="47">
        <v>2807</v>
      </c>
      <c r="AF29" s="5"/>
      <c r="AG29" s="60">
        <f t="shared" si="20"/>
        <v>2448.9804000849008</v>
      </c>
      <c r="AH29" s="61">
        <f t="shared" si="21"/>
        <v>4625.1593486062729</v>
      </c>
      <c r="AI29" s="61">
        <f t="shared" si="22"/>
        <v>7490.4040900657383</v>
      </c>
      <c r="AJ29" s="62" t="s">
        <v>13</v>
      </c>
      <c r="AK29" s="63">
        <f t="shared" si="9"/>
        <v>26292.600000000002</v>
      </c>
      <c r="AL29" s="68">
        <f t="shared" si="23"/>
        <v>28.488639731581273</v>
      </c>
      <c r="AM29" s="69" t="s">
        <v>57</v>
      </c>
      <c r="AN29" s="66">
        <f t="shared" si="10"/>
        <v>1643.356</v>
      </c>
      <c r="AO29" s="66">
        <f t="shared" si="11"/>
        <v>-2964.5320000000002</v>
      </c>
      <c r="AP29" s="67">
        <f t="shared" si="12"/>
        <v>2356.2469999999998</v>
      </c>
    </row>
    <row r="30" spans="2:43" x14ac:dyDescent="0.25">
      <c r="B30" s="115" t="s">
        <v>43</v>
      </c>
      <c r="C30" s="116"/>
      <c r="D30" s="46">
        <v>1769</v>
      </c>
      <c r="E30" s="41">
        <v>-5016</v>
      </c>
      <c r="F30" s="41">
        <v>2064</v>
      </c>
      <c r="G30" s="41">
        <v>4270</v>
      </c>
      <c r="H30" s="41">
        <v>-6908</v>
      </c>
      <c r="I30" s="47">
        <v>-9186</v>
      </c>
      <c r="K30" s="60">
        <f t="shared" si="13"/>
        <v>5705.2355779581967</v>
      </c>
      <c r="L30" s="61">
        <f t="shared" si="14"/>
        <v>12261.156552299624</v>
      </c>
      <c r="M30" s="61">
        <f t="shared" si="15"/>
        <v>19069.896219964787</v>
      </c>
      <c r="N30" s="62" t="s">
        <v>13</v>
      </c>
      <c r="O30" s="63">
        <f t="shared" si="8"/>
        <v>35056.800000000003</v>
      </c>
      <c r="P30" s="156">
        <f t="shared" si="16"/>
        <v>54.397138985773893</v>
      </c>
      <c r="Q30" s="157" t="s">
        <v>49</v>
      </c>
      <c r="R30" s="65" t="s">
        <v>57</v>
      </c>
      <c r="S30" s="102">
        <f t="shared" si="17"/>
        <v>4270</v>
      </c>
      <c r="T30" s="102">
        <f t="shared" si="18"/>
        <v>-6908</v>
      </c>
      <c r="U30" s="103">
        <f t="shared" si="19"/>
        <v>-9186</v>
      </c>
      <c r="X30" s="115" t="s">
        <v>43</v>
      </c>
      <c r="Y30" s="116"/>
      <c r="Z30" s="46">
        <v>-1117</v>
      </c>
      <c r="AA30" s="41">
        <v>-3088</v>
      </c>
      <c r="AB30" s="41">
        <v>2313</v>
      </c>
      <c r="AC30" s="41">
        <v>1833</v>
      </c>
      <c r="AD30" s="41">
        <v>11337</v>
      </c>
      <c r="AE30" s="47">
        <v>12617</v>
      </c>
      <c r="AF30" s="5"/>
      <c r="AG30" s="60">
        <f t="shared" si="20"/>
        <v>4016.6406361535505</v>
      </c>
      <c r="AH30" s="61">
        <f t="shared" si="21"/>
        <v>17060.953871340254</v>
      </c>
      <c r="AI30" s="61">
        <f t="shared" si="22"/>
        <v>22613.08035591443</v>
      </c>
      <c r="AJ30" s="62" t="s">
        <v>13</v>
      </c>
      <c r="AK30" s="63">
        <f t="shared" si="9"/>
        <v>26292.600000000002</v>
      </c>
      <c r="AL30" s="68">
        <f t="shared" si="23"/>
        <v>86.005493393252962</v>
      </c>
      <c r="AM30" s="69" t="s">
        <v>57</v>
      </c>
      <c r="AN30" s="66">
        <f t="shared" si="10"/>
        <v>2709.9920000000002</v>
      </c>
      <c r="AO30" s="66">
        <f t="shared" si="11"/>
        <v>12021.300999999999</v>
      </c>
      <c r="AP30" s="67">
        <f t="shared" si="12"/>
        <v>13954.103999999999</v>
      </c>
    </row>
    <row r="31" spans="2:43" x14ac:dyDescent="0.25">
      <c r="B31" s="115" t="s">
        <v>44</v>
      </c>
      <c r="C31" s="116"/>
      <c r="D31" s="46">
        <v>1176</v>
      </c>
      <c r="E31" s="41">
        <v>-906</v>
      </c>
      <c r="F31" s="41">
        <v>1909</v>
      </c>
      <c r="G31" s="41">
        <v>2546</v>
      </c>
      <c r="H31" s="41">
        <v>-4409</v>
      </c>
      <c r="I31" s="47">
        <v>-3556</v>
      </c>
      <c r="K31" s="60">
        <f t="shared" si="13"/>
        <v>2418.2830686253419</v>
      </c>
      <c r="L31" s="61">
        <f t="shared" si="14"/>
        <v>6210.1958906301825</v>
      </c>
      <c r="M31" s="61">
        <f t="shared" si="15"/>
        <v>9187.3965894122412</v>
      </c>
      <c r="N31" s="62" t="s">
        <v>13</v>
      </c>
      <c r="O31" s="63">
        <f t="shared" si="8"/>
        <v>35056.800000000003</v>
      </c>
      <c r="P31" s="156">
        <f t="shared" si="16"/>
        <v>26.207174041590335</v>
      </c>
      <c r="Q31" s="157" t="s">
        <v>50</v>
      </c>
      <c r="R31" s="65" t="s">
        <v>57</v>
      </c>
      <c r="S31" s="102">
        <f t="shared" si="17"/>
        <v>2546</v>
      </c>
      <c r="T31" s="102">
        <f t="shared" si="18"/>
        <v>-4409</v>
      </c>
      <c r="U31" s="103">
        <f t="shared" si="19"/>
        <v>-3556</v>
      </c>
      <c r="X31" s="115" t="s">
        <v>44</v>
      </c>
      <c r="Y31" s="116"/>
      <c r="Z31" s="46">
        <v>-642</v>
      </c>
      <c r="AA31" s="41">
        <v>-2195</v>
      </c>
      <c r="AB31" s="41">
        <v>1766</v>
      </c>
      <c r="AC31" s="41">
        <v>1556</v>
      </c>
      <c r="AD31" s="41">
        <v>7000</v>
      </c>
      <c r="AE31" s="47">
        <v>7921</v>
      </c>
      <c r="AF31" s="5"/>
      <c r="AG31" s="60">
        <f t="shared" si="20"/>
        <v>2889.454100690994</v>
      </c>
      <c r="AH31" s="61">
        <f t="shared" si="21"/>
        <v>10684.726341839551</v>
      </c>
      <c r="AI31" s="61">
        <f t="shared" si="22"/>
        <v>14535.805813296105</v>
      </c>
      <c r="AJ31" s="62" t="s">
        <v>13</v>
      </c>
      <c r="AK31" s="63">
        <f t="shared" si="9"/>
        <v>26292.600000000002</v>
      </c>
      <c r="AL31" s="68">
        <f t="shared" si="23"/>
        <v>55.284779037813315</v>
      </c>
      <c r="AM31" s="69" t="s">
        <v>57</v>
      </c>
      <c r="AN31" s="66">
        <f t="shared" si="10"/>
        <v>2179.38</v>
      </c>
      <c r="AO31" s="66">
        <f t="shared" si="11"/>
        <v>7582.35</v>
      </c>
      <c r="AP31" s="67">
        <f t="shared" si="12"/>
        <v>8871.4349999999995</v>
      </c>
    </row>
    <row r="32" spans="2:43" x14ac:dyDescent="0.25">
      <c r="B32" s="115" t="s">
        <v>45</v>
      </c>
      <c r="C32" s="116"/>
      <c r="D32" s="46">
        <v>-1343</v>
      </c>
      <c r="E32" s="41">
        <v>1250</v>
      </c>
      <c r="F32" s="41">
        <v>-2621</v>
      </c>
      <c r="G32" s="41">
        <v>-3488</v>
      </c>
      <c r="H32" s="41">
        <v>4950</v>
      </c>
      <c r="I32" s="47">
        <v>4630</v>
      </c>
      <c r="K32" s="60">
        <f t="shared" si="13"/>
        <v>3199.342119874022</v>
      </c>
      <c r="L32" s="61">
        <f t="shared" si="14"/>
        <v>7622.6992594487156</v>
      </c>
      <c r="M32" s="61">
        <f t="shared" si="15"/>
        <v>11508.084312673122</v>
      </c>
      <c r="N32" s="62" t="s">
        <v>13</v>
      </c>
      <c r="O32" s="63">
        <f t="shared" si="8"/>
        <v>35056.800000000003</v>
      </c>
      <c r="P32" s="158">
        <f t="shared" si="16"/>
        <v>32.826967414804322</v>
      </c>
      <c r="Q32" s="158" t="s">
        <v>51</v>
      </c>
      <c r="R32" s="69" t="s">
        <v>57</v>
      </c>
      <c r="S32" s="102">
        <f t="shared" si="17"/>
        <v>-3488</v>
      </c>
      <c r="T32" s="102">
        <f t="shared" si="18"/>
        <v>4950</v>
      </c>
      <c r="U32" s="103">
        <f t="shared" si="19"/>
        <v>4630</v>
      </c>
      <c r="X32" s="115" t="s">
        <v>45</v>
      </c>
      <c r="Y32" s="116"/>
      <c r="Z32" s="46">
        <v>204</v>
      </c>
      <c r="AA32" s="41">
        <v>402</v>
      </c>
      <c r="AB32" s="41">
        <v>1191</v>
      </c>
      <c r="AC32" s="41">
        <v>1714</v>
      </c>
      <c r="AD32" s="41">
        <v>-3903</v>
      </c>
      <c r="AE32" s="47">
        <v>-2819</v>
      </c>
      <c r="AF32" s="5"/>
      <c r="AG32" s="60">
        <f t="shared" si="20"/>
        <v>1273.4602467293591</v>
      </c>
      <c r="AH32" s="61">
        <f t="shared" si="21"/>
        <v>5110.5739403710813</v>
      </c>
      <c r="AI32" s="61">
        <f t="shared" si="22"/>
        <v>6843.9858417338382</v>
      </c>
      <c r="AJ32" s="62" t="s">
        <v>13</v>
      </c>
      <c r="AK32" s="63">
        <f t="shared" si="9"/>
        <v>26292.600000000002</v>
      </c>
      <c r="AL32" s="68">
        <f t="shared" si="23"/>
        <v>26.030083908528777</v>
      </c>
      <c r="AM32" s="69" t="s">
        <v>57</v>
      </c>
      <c r="AN32" s="66">
        <f t="shared" si="10"/>
        <v>1599.8320000000001</v>
      </c>
      <c r="AO32" s="66">
        <f t="shared" si="11"/>
        <v>-3329.3609999999999</v>
      </c>
      <c r="AP32" s="67">
        <f t="shared" si="12"/>
        <v>-2993.0659999999998</v>
      </c>
    </row>
    <row r="33" spans="2:42" x14ac:dyDescent="0.25">
      <c r="B33" s="115" t="s">
        <v>64</v>
      </c>
      <c r="C33" s="116"/>
      <c r="D33" s="46">
        <v>-1666</v>
      </c>
      <c r="E33" s="41">
        <v>-2336</v>
      </c>
      <c r="F33" s="41">
        <v>-584</v>
      </c>
      <c r="G33" s="41">
        <v>-105</v>
      </c>
      <c r="H33" s="41">
        <v>852</v>
      </c>
      <c r="I33" s="47">
        <v>4909</v>
      </c>
      <c r="K33" s="60">
        <f t="shared" ref="K33:K39" si="24">SQRT((D33*D33)+(E33*E33)+(F33*F33))</f>
        <v>2928.055327346121</v>
      </c>
      <c r="L33" s="61">
        <f t="shared" ref="L33:L39" si="25">SQRT((G33*G33)+(H33*H33)+(I33*I33)+(J33*J33))</f>
        <v>4983.4937543855713</v>
      </c>
      <c r="M33" s="61">
        <f t="shared" ref="M33:M39" si="26">K33+1.09*(L33)</f>
        <v>8360.0635196263938</v>
      </c>
      <c r="N33" s="62" t="s">
        <v>13</v>
      </c>
      <c r="O33" s="63">
        <f t="shared" si="8"/>
        <v>35056.800000000003</v>
      </c>
      <c r="P33" s="158">
        <f t="shared" ref="P33:P39" si="27">M33/O33*100</f>
        <v>23.847195179327244</v>
      </c>
      <c r="Q33" s="158" t="s">
        <v>51</v>
      </c>
      <c r="R33" s="69" t="s">
        <v>57</v>
      </c>
      <c r="S33" s="102">
        <f t="shared" ref="S33:S39" si="28">G33</f>
        <v>-105</v>
      </c>
      <c r="T33" s="102">
        <f t="shared" ref="T33:T39" si="29">H33</f>
        <v>852</v>
      </c>
      <c r="U33" s="103">
        <f t="shared" ref="U33:U39" si="30">I33</f>
        <v>4909</v>
      </c>
      <c r="X33" s="115" t="s">
        <v>64</v>
      </c>
      <c r="Y33" s="116"/>
      <c r="Z33" s="46">
        <v>902</v>
      </c>
      <c r="AA33" s="41">
        <v>-2014</v>
      </c>
      <c r="AB33" s="41">
        <v>-453</v>
      </c>
      <c r="AC33" s="41">
        <v>-1466</v>
      </c>
      <c r="AD33" s="41">
        <v>1272</v>
      </c>
      <c r="AE33" s="47">
        <v>-1470</v>
      </c>
      <c r="AF33" s="5"/>
      <c r="AG33" s="60">
        <f t="shared" ref="AG33:AG39" si="31">SQRT((Z33*Z33)+(AA33*AA33)+(AB33*AB33))</f>
        <v>2252.7780627483035</v>
      </c>
      <c r="AH33" s="61">
        <f t="shared" ref="AH33:AH39" si="32">SQRT((AC33*AC33)+(AD33*AD33)+(AE33*AE33))</f>
        <v>2434.7566613524236</v>
      </c>
      <c r="AI33" s="61">
        <f t="shared" ref="AI33:AI39" si="33">AG33+1.09*(AH33)</f>
        <v>4906.662823622446</v>
      </c>
      <c r="AJ33" s="62" t="s">
        <v>13</v>
      </c>
      <c r="AK33" s="63">
        <f t="shared" si="9"/>
        <v>26292.600000000002</v>
      </c>
      <c r="AL33" s="68">
        <f t="shared" ref="AL33:AL39" si="34">AI33/AK33*100</f>
        <v>18.661763475740116</v>
      </c>
      <c r="AM33" s="69" t="s">
        <v>57</v>
      </c>
      <c r="AN33" s="66">
        <f t="shared" si="10"/>
        <v>-894.024</v>
      </c>
      <c r="AO33" s="66">
        <f t="shared" si="11"/>
        <v>1332.019</v>
      </c>
      <c r="AP33" s="67">
        <f t="shared" si="12"/>
        <v>-597.93799999999999</v>
      </c>
    </row>
    <row r="34" spans="2:42" x14ac:dyDescent="0.25">
      <c r="B34" s="115" t="s">
        <v>65</v>
      </c>
      <c r="C34" s="116"/>
      <c r="D34" s="46">
        <v>-420</v>
      </c>
      <c r="E34" s="41">
        <v>-2847</v>
      </c>
      <c r="F34" s="41">
        <v>-2618</v>
      </c>
      <c r="G34" s="41">
        <v>-2156</v>
      </c>
      <c r="H34" s="41">
        <v>-2819</v>
      </c>
      <c r="I34" s="47">
        <v>1088</v>
      </c>
      <c r="K34" s="60">
        <f t="shared" si="24"/>
        <v>3890.4669385563475</v>
      </c>
      <c r="L34" s="61">
        <f t="shared" si="25"/>
        <v>3711.9861260516586</v>
      </c>
      <c r="M34" s="61">
        <f t="shared" si="26"/>
        <v>7936.531815952656</v>
      </c>
      <c r="N34" s="62" t="s">
        <v>13</v>
      </c>
      <c r="O34" s="63">
        <f t="shared" si="8"/>
        <v>35056.800000000003</v>
      </c>
      <c r="P34" s="158">
        <f t="shared" si="27"/>
        <v>22.6390652197367</v>
      </c>
      <c r="Q34" s="158" t="s">
        <v>51</v>
      </c>
      <c r="R34" s="69" t="s">
        <v>57</v>
      </c>
      <c r="S34" s="102">
        <f t="shared" si="28"/>
        <v>-2156</v>
      </c>
      <c r="T34" s="102">
        <f t="shared" si="29"/>
        <v>-2819</v>
      </c>
      <c r="U34" s="103">
        <f t="shared" si="30"/>
        <v>1088</v>
      </c>
      <c r="X34" s="115" t="s">
        <v>65</v>
      </c>
      <c r="Y34" s="116"/>
      <c r="Z34" s="46">
        <v>3036</v>
      </c>
      <c r="AA34" s="41">
        <v>-4679</v>
      </c>
      <c r="AB34" s="41">
        <v>124</v>
      </c>
      <c r="AC34" s="41">
        <v>-16</v>
      </c>
      <c r="AD34" s="41">
        <v>6571</v>
      </c>
      <c r="AE34" s="47">
        <v>-2001</v>
      </c>
      <c r="AF34" s="5"/>
      <c r="AG34" s="60">
        <f t="shared" si="31"/>
        <v>5579.0423013273521</v>
      </c>
      <c r="AH34" s="61">
        <f t="shared" si="32"/>
        <v>6868.9371812530062</v>
      </c>
      <c r="AI34" s="61">
        <f t="shared" si="33"/>
        <v>13066.183828893129</v>
      </c>
      <c r="AJ34" s="62" t="s">
        <v>13</v>
      </c>
      <c r="AK34" s="63">
        <f t="shared" si="9"/>
        <v>26292.600000000002</v>
      </c>
      <c r="AL34" s="68">
        <f t="shared" si="34"/>
        <v>49.69529003937658</v>
      </c>
      <c r="AM34" s="69" t="s">
        <v>57</v>
      </c>
      <c r="AN34" s="66">
        <f t="shared" si="10"/>
        <v>1312.8359999999998</v>
      </c>
      <c r="AO34" s="66">
        <f t="shared" si="11"/>
        <v>7486.9160000000002</v>
      </c>
      <c r="AP34" s="67">
        <f t="shared" si="12"/>
        <v>25.007000000000062</v>
      </c>
    </row>
    <row r="35" spans="2:42" x14ac:dyDescent="0.25">
      <c r="B35" s="115" t="s">
        <v>66</v>
      </c>
      <c r="C35" s="116"/>
      <c r="D35" s="46">
        <v>-422</v>
      </c>
      <c r="E35" s="41">
        <v>-3026</v>
      </c>
      <c r="F35" s="41">
        <v>-2978</v>
      </c>
      <c r="G35" s="41">
        <v>-2526</v>
      </c>
      <c r="H35" s="41">
        <v>-2522</v>
      </c>
      <c r="I35" s="47">
        <v>1105</v>
      </c>
      <c r="K35" s="60">
        <f t="shared" si="24"/>
        <v>4266.5259872641118</v>
      </c>
      <c r="L35" s="61">
        <f t="shared" si="25"/>
        <v>3736.6007279344149</v>
      </c>
      <c r="M35" s="61">
        <f t="shared" si="26"/>
        <v>8339.420780712624</v>
      </c>
      <c r="N35" s="62" t="s">
        <v>13</v>
      </c>
      <c r="O35" s="63">
        <f t="shared" si="8"/>
        <v>35056.800000000003</v>
      </c>
      <c r="P35" s="158">
        <f t="shared" si="27"/>
        <v>23.788311485111656</v>
      </c>
      <c r="Q35" s="158" t="s">
        <v>51</v>
      </c>
      <c r="R35" s="69" t="s">
        <v>57</v>
      </c>
      <c r="S35" s="102">
        <f t="shared" si="28"/>
        <v>-2526</v>
      </c>
      <c r="T35" s="102">
        <f t="shared" si="29"/>
        <v>-2522</v>
      </c>
      <c r="U35" s="103">
        <f t="shared" si="30"/>
        <v>1105</v>
      </c>
      <c r="X35" s="115" t="s">
        <v>66</v>
      </c>
      <c r="Y35" s="116"/>
      <c r="Z35" s="46">
        <v>2398</v>
      </c>
      <c r="AA35" s="41">
        <v>-4473</v>
      </c>
      <c r="AB35" s="41">
        <v>203</v>
      </c>
      <c r="AC35" s="41">
        <v>40</v>
      </c>
      <c r="AD35" s="41">
        <v>6915</v>
      </c>
      <c r="AE35" s="47">
        <v>652</v>
      </c>
      <c r="AF35" s="5"/>
      <c r="AG35" s="60">
        <f t="shared" si="31"/>
        <v>5079.3052674553828</v>
      </c>
      <c r="AH35" s="61">
        <f t="shared" si="32"/>
        <v>6945.7849808354995</v>
      </c>
      <c r="AI35" s="61">
        <f t="shared" si="33"/>
        <v>12650.210896566077</v>
      </c>
      <c r="AJ35" s="62" t="s">
        <v>13</v>
      </c>
      <c r="AK35" s="63">
        <f t="shared" si="9"/>
        <v>26292.600000000002</v>
      </c>
      <c r="AL35" s="68">
        <f t="shared" si="34"/>
        <v>48.113198757696374</v>
      </c>
      <c r="AM35" s="69" t="s">
        <v>57</v>
      </c>
      <c r="AN35" s="66">
        <f t="shared" si="10"/>
        <v>1310.3319999999999</v>
      </c>
      <c r="AO35" s="66">
        <f t="shared" si="11"/>
        <v>7683.9309999999996</v>
      </c>
      <c r="AP35" s="67">
        <f t="shared" si="12"/>
        <v>2588.8090000000002</v>
      </c>
    </row>
    <row r="36" spans="2:42" x14ac:dyDescent="0.25">
      <c r="B36" s="115" t="s">
        <v>67</v>
      </c>
      <c r="C36" s="116"/>
      <c r="D36" s="46">
        <v>-212</v>
      </c>
      <c r="E36" s="41">
        <v>-3255</v>
      </c>
      <c r="F36" s="41">
        <v>-3208</v>
      </c>
      <c r="G36" s="41">
        <v>-2745</v>
      </c>
      <c r="H36" s="41">
        <v>-2670</v>
      </c>
      <c r="I36" s="47">
        <v>421</v>
      </c>
      <c r="K36" s="60">
        <f t="shared" si="24"/>
        <v>4575.0664476048869</v>
      </c>
      <c r="L36" s="61">
        <f t="shared" si="25"/>
        <v>3852.4233931384024</v>
      </c>
      <c r="M36" s="61">
        <f t="shared" si="26"/>
        <v>8774.2079461257454</v>
      </c>
      <c r="N36" s="62" t="s">
        <v>13</v>
      </c>
      <c r="O36" s="63">
        <f t="shared" si="8"/>
        <v>35056.800000000003</v>
      </c>
      <c r="P36" s="158">
        <f t="shared" si="27"/>
        <v>25.028547802782185</v>
      </c>
      <c r="Q36" s="158" t="s">
        <v>51</v>
      </c>
      <c r="R36" s="69" t="s">
        <v>57</v>
      </c>
      <c r="S36" s="102">
        <f t="shared" si="28"/>
        <v>-2745</v>
      </c>
      <c r="T36" s="102">
        <f t="shared" si="29"/>
        <v>-2670</v>
      </c>
      <c r="U36" s="103">
        <f t="shared" si="30"/>
        <v>421</v>
      </c>
      <c r="X36" s="115" t="s">
        <v>67</v>
      </c>
      <c r="Y36" s="116"/>
      <c r="Z36" s="46">
        <v>4246</v>
      </c>
      <c r="AA36" s="41">
        <v>-6335</v>
      </c>
      <c r="AB36" s="41">
        <v>-1289</v>
      </c>
      <c r="AC36" s="41">
        <v>-1422</v>
      </c>
      <c r="AD36" s="41">
        <v>7574</v>
      </c>
      <c r="AE36" s="47">
        <v>-4670</v>
      </c>
      <c r="AF36" s="5"/>
      <c r="AG36" s="60">
        <f t="shared" si="31"/>
        <v>7734.4852446688392</v>
      </c>
      <c r="AH36" s="61">
        <f t="shared" si="32"/>
        <v>9010.9078343971541</v>
      </c>
      <c r="AI36" s="61">
        <f t="shared" si="33"/>
        <v>17556.374784161737</v>
      </c>
      <c r="AJ36" s="62" t="s">
        <v>13</v>
      </c>
      <c r="AK36" s="63">
        <f t="shared" si="9"/>
        <v>26292.600000000002</v>
      </c>
      <c r="AL36" s="68">
        <f t="shared" si="34"/>
        <v>66.773064604343944</v>
      </c>
      <c r="AM36" s="69" t="s">
        <v>57</v>
      </c>
      <c r="AN36" s="66">
        <f t="shared" si="10"/>
        <v>377.13999999999987</v>
      </c>
      <c r="AO36" s="66">
        <f t="shared" si="11"/>
        <v>8221.726999999999</v>
      </c>
      <c r="AP36" s="67">
        <f t="shared" si="12"/>
        <v>-1926.9450000000002</v>
      </c>
    </row>
    <row r="37" spans="2:42" x14ac:dyDescent="0.25">
      <c r="B37" s="115" t="s">
        <v>68</v>
      </c>
      <c r="C37" s="116"/>
      <c r="D37" s="46">
        <v>-651</v>
      </c>
      <c r="E37" s="41">
        <v>-2547</v>
      </c>
      <c r="F37" s="41">
        <v>-2260</v>
      </c>
      <c r="G37" s="41">
        <v>-1805</v>
      </c>
      <c r="H37" s="41">
        <v>-2576</v>
      </c>
      <c r="I37" s="47">
        <v>1895</v>
      </c>
      <c r="K37" s="60">
        <f t="shared" si="24"/>
        <v>3466.7866966399879</v>
      </c>
      <c r="L37" s="61">
        <f t="shared" si="25"/>
        <v>3672.1691137527969</v>
      </c>
      <c r="M37" s="61">
        <f t="shared" si="26"/>
        <v>7469.4510306305365</v>
      </c>
      <c r="N37" s="62" t="s">
        <v>13</v>
      </c>
      <c r="O37" s="63">
        <f t="shared" si="8"/>
        <v>35056.800000000003</v>
      </c>
      <c r="P37" s="158">
        <f t="shared" si="27"/>
        <v>21.306710910951757</v>
      </c>
      <c r="Q37" s="158" t="s">
        <v>51</v>
      </c>
      <c r="R37" s="69" t="s">
        <v>57</v>
      </c>
      <c r="S37" s="102">
        <f t="shared" si="28"/>
        <v>-1805</v>
      </c>
      <c r="T37" s="102">
        <f t="shared" si="29"/>
        <v>-2576</v>
      </c>
      <c r="U37" s="103">
        <f t="shared" si="30"/>
        <v>1895</v>
      </c>
      <c r="X37" s="115" t="s">
        <v>68</v>
      </c>
      <c r="Y37" s="116"/>
      <c r="Z37" s="46">
        <v>1558</v>
      </c>
      <c r="AA37" s="41">
        <v>-2908</v>
      </c>
      <c r="AB37" s="41">
        <v>1637</v>
      </c>
      <c r="AC37" s="41">
        <v>1478</v>
      </c>
      <c r="AD37" s="41">
        <v>5717</v>
      </c>
      <c r="AE37" s="47">
        <v>2244</v>
      </c>
      <c r="AF37" s="5"/>
      <c r="AG37" s="60">
        <f t="shared" si="31"/>
        <v>3682.8789010772539</v>
      </c>
      <c r="AH37" s="61">
        <f t="shared" si="32"/>
        <v>6316.9699223599282</v>
      </c>
      <c r="AI37" s="61">
        <f t="shared" si="33"/>
        <v>10568.376116449575</v>
      </c>
      <c r="AJ37" s="62" t="s">
        <v>13</v>
      </c>
      <c r="AK37" s="63">
        <f t="shared" si="9"/>
        <v>26292.600000000002</v>
      </c>
      <c r="AL37" s="68">
        <f t="shared" si="34"/>
        <v>40.195249296188187</v>
      </c>
      <c r="AM37" s="69" t="s">
        <v>57</v>
      </c>
      <c r="AN37" s="66">
        <f t="shared" si="10"/>
        <v>2303.8719999999998</v>
      </c>
      <c r="AO37" s="66">
        <f t="shared" si="11"/>
        <v>6868.2929999999997</v>
      </c>
      <c r="AP37" s="67">
        <f t="shared" si="12"/>
        <v>3503.1639999999998</v>
      </c>
    </row>
    <row r="38" spans="2:42" ht="15.75" thickBot="1" x14ac:dyDescent="0.3">
      <c r="B38" s="115" t="s">
        <v>69</v>
      </c>
      <c r="C38" s="116"/>
      <c r="D38" s="46">
        <v>-390</v>
      </c>
      <c r="E38" s="41">
        <v>-2943</v>
      </c>
      <c r="F38" s="41">
        <v>-2712</v>
      </c>
      <c r="G38" s="41">
        <v>-2243</v>
      </c>
      <c r="H38" s="41">
        <v>-2693</v>
      </c>
      <c r="I38" s="47">
        <v>1040</v>
      </c>
      <c r="K38" s="60">
        <f t="shared" si="24"/>
        <v>4020.981596575642</v>
      </c>
      <c r="L38" s="61">
        <f t="shared" si="25"/>
        <v>3655.8033316905876</v>
      </c>
      <c r="M38" s="61">
        <f t="shared" si="26"/>
        <v>8005.8072281183831</v>
      </c>
      <c r="N38" s="62" t="s">
        <v>13</v>
      </c>
      <c r="O38" s="63">
        <f t="shared" si="8"/>
        <v>35056.800000000003</v>
      </c>
      <c r="P38" s="158">
        <f t="shared" si="27"/>
        <v>22.836674277510731</v>
      </c>
      <c r="Q38" s="158" t="s">
        <v>51</v>
      </c>
      <c r="R38" s="69" t="s">
        <v>57</v>
      </c>
      <c r="S38" s="102">
        <f t="shared" si="28"/>
        <v>-2243</v>
      </c>
      <c r="T38" s="102">
        <f t="shared" si="29"/>
        <v>-2693</v>
      </c>
      <c r="U38" s="103">
        <f t="shared" si="30"/>
        <v>1040</v>
      </c>
      <c r="X38" s="115" t="s">
        <v>69</v>
      </c>
      <c r="Y38" s="116"/>
      <c r="Z38" s="46">
        <v>2746</v>
      </c>
      <c r="AA38" s="41">
        <v>-4619</v>
      </c>
      <c r="AB38" s="41">
        <v>123</v>
      </c>
      <c r="AC38" s="41">
        <v>-29</v>
      </c>
      <c r="AD38" s="41">
        <v>6778</v>
      </c>
      <c r="AE38" s="47">
        <v>-744</v>
      </c>
      <c r="AF38" s="5"/>
      <c r="AG38" s="60">
        <f t="shared" si="31"/>
        <v>5375.0168371829313</v>
      </c>
      <c r="AH38" s="61">
        <f t="shared" si="32"/>
        <v>6818.7726901547321</v>
      </c>
      <c r="AI38" s="61">
        <f t="shared" si="33"/>
        <v>12807.47906945159</v>
      </c>
      <c r="AJ38" s="62" t="s">
        <v>13</v>
      </c>
      <c r="AK38" s="63">
        <f t="shared" si="9"/>
        <v>26292.600000000002</v>
      </c>
      <c r="AL38" s="68">
        <f t="shared" si="34"/>
        <v>48.711344901042843</v>
      </c>
      <c r="AM38" s="69" t="s">
        <v>57</v>
      </c>
      <c r="AN38" s="66">
        <f t="shared" si="10"/>
        <v>1282.7959999999998</v>
      </c>
      <c r="AO38" s="66">
        <f t="shared" si="11"/>
        <v>7611.1229999999996</v>
      </c>
      <c r="AP38" s="67">
        <f t="shared" si="12"/>
        <v>1256.027</v>
      </c>
    </row>
    <row r="39" spans="2:42" ht="15.75" thickBot="1" x14ac:dyDescent="0.3">
      <c r="B39" s="146" t="s">
        <v>70</v>
      </c>
      <c r="C39" s="147"/>
      <c r="D39" s="48">
        <v>-329</v>
      </c>
      <c r="E39" s="49">
        <v>-747</v>
      </c>
      <c r="F39" s="49">
        <v>-1925</v>
      </c>
      <c r="G39" s="49">
        <v>-2013</v>
      </c>
      <c r="H39" s="49">
        <v>-190</v>
      </c>
      <c r="I39" s="50">
        <v>967</v>
      </c>
      <c r="K39" s="70">
        <f t="shared" si="24"/>
        <v>2090.9029150106421</v>
      </c>
      <c r="L39" s="71">
        <f t="shared" si="25"/>
        <v>2241.2848993378775</v>
      </c>
      <c r="M39" s="71">
        <f t="shared" si="26"/>
        <v>4533.9034552889289</v>
      </c>
      <c r="N39" s="72" t="s">
        <v>13</v>
      </c>
      <c r="O39" s="73">
        <f t="shared" si="8"/>
        <v>35056.800000000003</v>
      </c>
      <c r="P39" s="159">
        <f t="shared" si="27"/>
        <v>12.933021426054085</v>
      </c>
      <c r="Q39" s="159" t="s">
        <v>51</v>
      </c>
      <c r="R39" s="75" t="s">
        <v>57</v>
      </c>
      <c r="S39" s="104">
        <f t="shared" si="28"/>
        <v>-2013</v>
      </c>
      <c r="T39" s="104">
        <f t="shared" si="29"/>
        <v>-190</v>
      </c>
      <c r="U39" s="105">
        <f t="shared" si="30"/>
        <v>967</v>
      </c>
      <c r="X39" s="146" t="s">
        <v>70</v>
      </c>
      <c r="Y39" s="147"/>
      <c r="Z39" s="43">
        <v>988</v>
      </c>
      <c r="AA39" s="44">
        <v>-1302</v>
      </c>
      <c r="AB39" s="44">
        <v>-86</v>
      </c>
      <c r="AC39" s="44">
        <v>83</v>
      </c>
      <c r="AD39" s="44">
        <v>857</v>
      </c>
      <c r="AE39" s="45">
        <v>-1955</v>
      </c>
      <c r="AF39" s="5"/>
      <c r="AG39" s="70">
        <f t="shared" si="31"/>
        <v>1636.6868973630844</v>
      </c>
      <c r="AH39" s="71">
        <f t="shared" si="32"/>
        <v>2136.2029397976212</v>
      </c>
      <c r="AI39" s="71">
        <f t="shared" si="33"/>
        <v>3965.1481017424917</v>
      </c>
      <c r="AJ39" s="72" t="s">
        <v>13</v>
      </c>
      <c r="AK39" s="73">
        <f t="shared" si="9"/>
        <v>26292.600000000002</v>
      </c>
      <c r="AL39" s="74">
        <f t="shared" si="34"/>
        <v>15.080852033433329</v>
      </c>
      <c r="AM39" s="75" t="s">
        <v>57</v>
      </c>
      <c r="AN39" s="76">
        <f t="shared" si="10"/>
        <v>452.76799999999997</v>
      </c>
      <c r="AO39" s="76">
        <f t="shared" si="11"/>
        <v>1100.354</v>
      </c>
      <c r="AP39" s="77">
        <f t="shared" si="12"/>
        <v>-1391.2339999999999</v>
      </c>
    </row>
    <row r="40" spans="2:42" x14ac:dyDescent="0.25">
      <c r="B40" s="5"/>
      <c r="C40" s="5"/>
      <c r="D40" s="5"/>
      <c r="E40" s="5"/>
      <c r="F40" s="5"/>
      <c r="G40" s="5"/>
      <c r="H40" s="5"/>
      <c r="I40" s="5"/>
      <c r="K40" s="7"/>
      <c r="L40" s="7"/>
      <c r="M40" s="7"/>
      <c r="N40" s="8"/>
      <c r="O40" s="7"/>
      <c r="P40" s="7"/>
      <c r="Q40" s="8"/>
      <c r="R40" s="6"/>
      <c r="S40" s="6"/>
      <c r="T40" s="6"/>
      <c r="U40" s="6"/>
      <c r="X40" s="5"/>
      <c r="Y40" s="5"/>
      <c r="Z40" s="5"/>
      <c r="AA40" s="5"/>
      <c r="AB40" s="5"/>
      <c r="AC40" s="5"/>
      <c r="AD40" s="5"/>
      <c r="AE40" s="5"/>
      <c r="AF40" s="5"/>
      <c r="AG40" s="1"/>
      <c r="AL40" s="2"/>
    </row>
    <row r="41" spans="2:42" x14ac:dyDescent="0.25">
      <c r="B41" s="5"/>
      <c r="C41" s="5"/>
      <c r="D41" s="5"/>
      <c r="E41" s="5"/>
      <c r="F41" s="5"/>
      <c r="G41" s="5"/>
      <c r="H41" s="5"/>
      <c r="I41" s="5"/>
      <c r="K41" s="7"/>
      <c r="L41" s="7"/>
      <c r="M41" s="7"/>
      <c r="N41" s="8"/>
      <c r="O41" s="7"/>
      <c r="P41" s="7"/>
      <c r="Q41" s="8"/>
      <c r="R41" s="6"/>
      <c r="S41" s="6"/>
      <c r="T41" s="6"/>
      <c r="U41" s="6"/>
      <c r="X41" s="5"/>
      <c r="Y41" s="5"/>
      <c r="Z41" s="5"/>
      <c r="AA41" s="5"/>
      <c r="AB41" s="5"/>
      <c r="AC41" s="5"/>
      <c r="AD41" s="5"/>
      <c r="AE41" s="5"/>
      <c r="AF41" s="5"/>
      <c r="AG41" s="1"/>
      <c r="AL41" s="2"/>
    </row>
    <row r="42" spans="2:42" x14ac:dyDescent="0.25">
      <c r="B42" s="5"/>
      <c r="C42" s="5"/>
      <c r="D42" s="5"/>
      <c r="E42" s="5"/>
      <c r="F42" s="5"/>
      <c r="G42" s="5"/>
      <c r="H42" s="5"/>
      <c r="I42" s="5"/>
      <c r="K42" s="7"/>
      <c r="L42" s="7"/>
      <c r="M42" s="7"/>
      <c r="N42" s="8"/>
      <c r="O42" s="7"/>
      <c r="P42" s="7"/>
      <c r="Q42" s="8"/>
      <c r="R42" s="6"/>
      <c r="S42" s="6"/>
      <c r="T42" s="6"/>
      <c r="U42" s="6"/>
      <c r="X42" s="5"/>
      <c r="Y42" s="5"/>
      <c r="Z42" s="5"/>
      <c r="AA42" s="5"/>
      <c r="AB42" s="5"/>
      <c r="AC42" s="5"/>
      <c r="AD42" s="5"/>
      <c r="AE42" s="5"/>
      <c r="AF42" s="5"/>
      <c r="AG42" s="1"/>
      <c r="AL42" s="2"/>
    </row>
    <row r="44" spans="2:42" x14ac:dyDescent="0.25">
      <c r="B44" s="99" t="s">
        <v>33</v>
      </c>
      <c r="C44" s="99">
        <f>((460+SQRT(C6*C6+H6*H6))/3)</f>
        <v>236.66666666666666</v>
      </c>
      <c r="D44" s="78"/>
    </row>
    <row r="46" spans="2:42" ht="13.5" customHeight="1" thickBot="1" x14ac:dyDescent="0.3"/>
    <row r="47" spans="2:42" ht="18" customHeight="1" x14ac:dyDescent="0.25">
      <c r="B47" s="139" t="s">
        <v>3</v>
      </c>
      <c r="C47" s="121"/>
      <c r="D47" s="193" t="s">
        <v>25</v>
      </c>
      <c r="E47" s="193" t="s">
        <v>26</v>
      </c>
      <c r="F47" s="193" t="s">
        <v>27</v>
      </c>
      <c r="G47" s="193" t="s">
        <v>24</v>
      </c>
      <c r="H47" s="193" t="s">
        <v>28</v>
      </c>
      <c r="I47" s="193" t="s">
        <v>29</v>
      </c>
      <c r="J47" s="193" t="s">
        <v>30</v>
      </c>
      <c r="K47" s="193" t="s">
        <v>31</v>
      </c>
      <c r="L47" s="148" t="s">
        <v>32</v>
      </c>
      <c r="M47" s="149"/>
      <c r="N47" s="184" t="s">
        <v>36</v>
      </c>
      <c r="O47" s="185"/>
      <c r="P47" s="190" t="s">
        <v>35</v>
      </c>
      <c r="Q47" s="184"/>
      <c r="R47" s="148" t="s">
        <v>37</v>
      </c>
      <c r="S47" s="149"/>
      <c r="T47" s="148" t="s">
        <v>38</v>
      </c>
      <c r="U47" s="149"/>
      <c r="V47" s="148" t="s">
        <v>39</v>
      </c>
      <c r="W47" s="149"/>
      <c r="X47" s="148" t="s">
        <v>40</v>
      </c>
      <c r="Y47" s="149"/>
      <c r="Z47" s="79"/>
    </row>
    <row r="48" spans="2:42" x14ac:dyDescent="0.25">
      <c r="B48" s="140"/>
      <c r="C48" s="124"/>
      <c r="D48" s="194"/>
      <c r="E48" s="194"/>
      <c r="F48" s="194"/>
      <c r="G48" s="194"/>
      <c r="H48" s="194"/>
      <c r="I48" s="194"/>
      <c r="J48" s="194"/>
      <c r="K48" s="194"/>
      <c r="L48" s="150"/>
      <c r="M48" s="151"/>
      <c r="N48" s="186"/>
      <c r="O48" s="187"/>
      <c r="P48" s="191"/>
      <c r="Q48" s="186"/>
      <c r="R48" s="150"/>
      <c r="S48" s="151"/>
      <c r="T48" s="150"/>
      <c r="U48" s="151"/>
      <c r="V48" s="150"/>
      <c r="W48" s="151"/>
      <c r="X48" s="150"/>
      <c r="Y48" s="151"/>
      <c r="Z48" s="79"/>
    </row>
    <row r="49" spans="2:28" ht="15" customHeight="1" thickBot="1" x14ac:dyDescent="0.3">
      <c r="B49" s="140"/>
      <c r="C49" s="124"/>
      <c r="D49" s="194"/>
      <c r="E49" s="194"/>
      <c r="F49" s="194"/>
      <c r="G49" s="194"/>
      <c r="H49" s="194"/>
      <c r="I49" s="194"/>
      <c r="J49" s="194"/>
      <c r="K49" s="194"/>
      <c r="L49" s="152"/>
      <c r="M49" s="153"/>
      <c r="N49" s="188"/>
      <c r="O49" s="189"/>
      <c r="P49" s="192"/>
      <c r="Q49" s="188"/>
      <c r="R49" s="152"/>
      <c r="S49" s="153"/>
      <c r="T49" s="152"/>
      <c r="U49" s="153"/>
      <c r="V49" s="152"/>
      <c r="W49" s="153"/>
      <c r="X49" s="152"/>
      <c r="Y49" s="153"/>
      <c r="Z49" s="79"/>
    </row>
    <row r="50" spans="2:28" ht="15.75" thickBot="1" x14ac:dyDescent="0.3">
      <c r="B50" s="140"/>
      <c r="C50" s="124"/>
      <c r="D50" s="195"/>
      <c r="E50" s="195"/>
      <c r="F50" s="195"/>
      <c r="G50" s="195"/>
      <c r="H50" s="195"/>
      <c r="I50" s="195"/>
      <c r="J50" s="195"/>
      <c r="K50" s="195"/>
      <c r="L50" s="80" t="s">
        <v>34</v>
      </c>
      <c r="M50" s="81">
        <f>3.24*16.1*C44</f>
        <v>12345.480000000001</v>
      </c>
      <c r="N50" s="79" t="s">
        <v>34</v>
      </c>
      <c r="O50" s="81">
        <f>3.24*40.5*C44</f>
        <v>31055.399999999998</v>
      </c>
      <c r="P50" s="79" t="s">
        <v>34</v>
      </c>
      <c r="Q50" s="82">
        <f>3.24*32.4*C44</f>
        <v>24844.32</v>
      </c>
      <c r="R50" s="83" t="s">
        <v>34</v>
      </c>
      <c r="S50" s="84">
        <f>3.24*24.6*C44</f>
        <v>18863.280000000002</v>
      </c>
      <c r="T50" s="80" t="s">
        <v>34</v>
      </c>
      <c r="U50" s="81">
        <f>3.24*12.3*C44</f>
        <v>9431.6400000000012</v>
      </c>
      <c r="V50" s="85" t="s">
        <v>34</v>
      </c>
      <c r="W50" s="81">
        <f>3.24*12.3*C44</f>
        <v>9431.6400000000012</v>
      </c>
      <c r="X50" s="85" t="s">
        <v>34</v>
      </c>
      <c r="Y50" s="81">
        <f>3.24*40.4*C44</f>
        <v>30978.720000000001</v>
      </c>
      <c r="Z50" s="79"/>
    </row>
    <row r="51" spans="2:28" ht="30.75" thickBot="1" x14ac:dyDescent="0.3">
      <c r="B51" s="140"/>
      <c r="C51" s="124"/>
      <c r="D51" s="196" t="s">
        <v>53</v>
      </c>
      <c r="E51" s="196"/>
      <c r="F51" s="196"/>
      <c r="G51" s="196"/>
      <c r="H51" s="196"/>
      <c r="I51" s="196"/>
      <c r="J51" s="196"/>
      <c r="K51" s="196"/>
      <c r="L51" s="86" t="s">
        <v>78</v>
      </c>
      <c r="M51" s="87" t="s">
        <v>56</v>
      </c>
      <c r="N51" s="86" t="s">
        <v>78</v>
      </c>
      <c r="O51" s="88" t="s">
        <v>56</v>
      </c>
      <c r="P51" s="86" t="s">
        <v>78</v>
      </c>
      <c r="Q51" s="87" t="s">
        <v>56</v>
      </c>
      <c r="R51" s="86" t="s">
        <v>78</v>
      </c>
      <c r="S51" s="87" t="s">
        <v>56</v>
      </c>
      <c r="T51" s="86" t="s">
        <v>78</v>
      </c>
      <c r="U51" s="87" t="s">
        <v>56</v>
      </c>
      <c r="V51" s="86" t="s">
        <v>78</v>
      </c>
      <c r="W51" s="87" t="s">
        <v>56</v>
      </c>
      <c r="X51" s="86" t="s">
        <v>78</v>
      </c>
      <c r="Y51" s="87" t="s">
        <v>56</v>
      </c>
      <c r="Z51" s="89" t="s">
        <v>62</v>
      </c>
      <c r="AB51" s="19"/>
    </row>
    <row r="52" spans="2:28" x14ac:dyDescent="0.25">
      <c r="B52" s="182" t="s">
        <v>2</v>
      </c>
      <c r="C52" s="183"/>
      <c r="D52" s="90">
        <f>D27+Z27</f>
        <v>3676</v>
      </c>
      <c r="E52" s="91">
        <f>E27+AA27</f>
        <v>-14027</v>
      </c>
      <c r="F52" s="91">
        <f>F27+AB27</f>
        <v>-2586</v>
      </c>
      <c r="G52" s="91">
        <f>SQRT(((D52*D52)+(E52*E52)+(F52*F52)))</f>
        <v>14729.463703746989</v>
      </c>
      <c r="H52" s="91">
        <f t="shared" ref="H52:J57" si="35">S27+AN27</f>
        <v>1020.4559999999999</v>
      </c>
      <c r="I52" s="91">
        <f t="shared" si="35"/>
        <v>5324.5049999999992</v>
      </c>
      <c r="J52" s="91">
        <f t="shared" si="35"/>
        <v>159.82200000000012</v>
      </c>
      <c r="K52" s="92">
        <f>SQRT((H52*H52)+(I52*I52)+(J52*J52))</f>
        <v>5423.7650220713831</v>
      </c>
      <c r="L52" s="93">
        <f>D52/M50*100</f>
        <v>29.776079990409443</v>
      </c>
      <c r="M52" s="69" t="s">
        <v>57</v>
      </c>
      <c r="N52" s="68">
        <f>E52/O50*100</f>
        <v>-45.16766810280982</v>
      </c>
      <c r="O52" s="69" t="s">
        <v>57</v>
      </c>
      <c r="P52" s="68">
        <f>F52/Q50*100</f>
        <v>-10.408817790142777</v>
      </c>
      <c r="Q52" s="69" t="s">
        <v>57</v>
      </c>
      <c r="R52" s="68">
        <f>H52/S50*100</f>
        <v>5.4097484636818187</v>
      </c>
      <c r="S52" s="69" t="s">
        <v>57</v>
      </c>
      <c r="T52" s="68">
        <f>I52/U50*100</f>
        <v>56.453649630393002</v>
      </c>
      <c r="U52" s="69" t="s">
        <v>57</v>
      </c>
      <c r="V52" s="68">
        <f>J52/W50*100</f>
        <v>1.6945303255849469</v>
      </c>
      <c r="W52" s="69" t="s">
        <v>57</v>
      </c>
      <c r="X52" s="68">
        <f>(G52+1.6*(K52))/Y50*100</f>
        <v>75.559893175254501</v>
      </c>
      <c r="Y52" s="69" t="s">
        <v>57</v>
      </c>
      <c r="Z52" s="94">
        <f>MAX(X52,V52,T52,R52,P52,N52,L52)</f>
        <v>75.559893175254501</v>
      </c>
    </row>
    <row r="53" spans="2:28" x14ac:dyDescent="0.25">
      <c r="B53" s="142" t="s">
        <v>41</v>
      </c>
      <c r="C53" s="143"/>
      <c r="D53" s="60">
        <f t="shared" ref="D53:F53" si="36">D28+Z28</f>
        <v>2356</v>
      </c>
      <c r="E53" s="61">
        <f t="shared" si="36"/>
        <v>-7562</v>
      </c>
      <c r="F53" s="61">
        <f t="shared" si="36"/>
        <v>-2589</v>
      </c>
      <c r="G53" s="61">
        <f t="shared" ref="G53:G57" si="37">SQRT(((D53*D53)+(E53*E53)+(F53*F53)))</f>
        <v>8332.9167162524791</v>
      </c>
      <c r="H53" s="61">
        <f t="shared" si="35"/>
        <v>-960.20400000000018</v>
      </c>
      <c r="I53" s="61">
        <f t="shared" si="35"/>
        <v>4918.1229999999996</v>
      </c>
      <c r="J53" s="61">
        <f t="shared" si="35"/>
        <v>2296.027</v>
      </c>
      <c r="K53" s="95">
        <f t="shared" ref="K53:K57" si="38">SQRT((H53*H53)+(I53*I53)+(J53*J53))</f>
        <v>5511.9565990194442</v>
      </c>
      <c r="L53" s="93">
        <f>D53/M50*100</f>
        <v>19.083907632591036</v>
      </c>
      <c r="M53" s="69" t="s">
        <v>57</v>
      </c>
      <c r="N53" s="68">
        <f>E53/O50*100</f>
        <v>-24.350032522524266</v>
      </c>
      <c r="O53" s="69" t="s">
        <v>57</v>
      </c>
      <c r="P53" s="68">
        <f>F53/Q50*100</f>
        <v>-10.420892984794914</v>
      </c>
      <c r="Q53" s="69" t="s">
        <v>57</v>
      </c>
      <c r="R53" s="68">
        <f>H53/S50*100</f>
        <v>-5.0903342366757007</v>
      </c>
      <c r="S53" s="69" t="s">
        <v>57</v>
      </c>
      <c r="T53" s="68">
        <f>I53/U50*100</f>
        <v>52.144939798380761</v>
      </c>
      <c r="U53" s="69" t="s">
        <v>57</v>
      </c>
      <c r="V53" s="68">
        <f>J53/W50*100</f>
        <v>24.343878689178126</v>
      </c>
      <c r="W53" s="69" t="s">
        <v>57</v>
      </c>
      <c r="X53" s="68">
        <f>(G53+1.6*(K53))/Y50*100</f>
        <v>55.367191655057368</v>
      </c>
      <c r="Y53" s="69" t="s">
        <v>57</v>
      </c>
      <c r="Z53" s="94">
        <f t="shared" ref="Z53:Z57" si="39">MAX(X53,V53,T53,R53,P53,N53,L53)</f>
        <v>55.367191655057368</v>
      </c>
    </row>
    <row r="54" spans="2:28" x14ac:dyDescent="0.25">
      <c r="B54" s="142" t="s">
        <v>42</v>
      </c>
      <c r="C54" s="143"/>
      <c r="D54" s="60">
        <f t="shared" ref="D54:F54" si="40">D29+Z29</f>
        <v>-1687</v>
      </c>
      <c r="E54" s="61">
        <f t="shared" si="40"/>
        <v>5727</v>
      </c>
      <c r="F54" s="61">
        <f t="shared" si="40"/>
        <v>4681</v>
      </c>
      <c r="G54" s="61">
        <f t="shared" si="37"/>
        <v>7586.5841457140641</v>
      </c>
      <c r="H54" s="61">
        <f t="shared" si="35"/>
        <v>4068.3559999999998</v>
      </c>
      <c r="I54" s="61">
        <f t="shared" si="35"/>
        <v>489.46799999999985</v>
      </c>
      <c r="J54" s="61">
        <f t="shared" si="35"/>
        <v>2563.2469999999998</v>
      </c>
      <c r="K54" s="95">
        <f t="shared" si="38"/>
        <v>4833.3564578633132</v>
      </c>
      <c r="L54" s="93">
        <f>D54/M50*100</f>
        <v>-13.664920278514888</v>
      </c>
      <c r="M54" s="69" t="s">
        <v>57</v>
      </c>
      <c r="N54" s="68">
        <f>E54/O50*100</f>
        <v>18.441237272744836</v>
      </c>
      <c r="O54" s="69" t="s">
        <v>57</v>
      </c>
      <c r="P54" s="68">
        <f>F54/Q50*100</f>
        <v>18.841328722219004</v>
      </c>
      <c r="Q54" s="69" t="s">
        <v>57</v>
      </c>
      <c r="R54" s="68">
        <f>H54/S50*100</f>
        <v>21.567595879401669</v>
      </c>
      <c r="S54" s="69" t="s">
        <v>57</v>
      </c>
      <c r="T54" s="68">
        <f>I54/U50*100</f>
        <v>5.1896382813593371</v>
      </c>
      <c r="U54" s="69" t="s">
        <v>57</v>
      </c>
      <c r="V54" s="68">
        <f>J54/W50*100</f>
        <v>27.177108116934058</v>
      </c>
      <c r="W54" s="69" t="s">
        <v>57</v>
      </c>
      <c r="X54" s="68">
        <f>(G54+1.6*(K54))/Y50*100</f>
        <v>49.453155192646321</v>
      </c>
      <c r="Y54" s="69" t="s">
        <v>57</v>
      </c>
      <c r="Z54" s="94">
        <f t="shared" si="39"/>
        <v>49.453155192646321</v>
      </c>
    </row>
    <row r="55" spans="2:28" x14ac:dyDescent="0.25">
      <c r="B55" s="142" t="s">
        <v>43</v>
      </c>
      <c r="C55" s="143"/>
      <c r="D55" s="60">
        <f t="shared" ref="D55:F55" si="41">D30+Z30</f>
        <v>652</v>
      </c>
      <c r="E55" s="61">
        <f t="shared" si="41"/>
        <v>-8104</v>
      </c>
      <c r="F55" s="61">
        <f t="shared" si="41"/>
        <v>4377</v>
      </c>
      <c r="G55" s="61">
        <f t="shared" si="37"/>
        <v>9233.528523809302</v>
      </c>
      <c r="H55" s="61">
        <f t="shared" si="35"/>
        <v>6979.9920000000002</v>
      </c>
      <c r="I55" s="61">
        <f t="shared" si="35"/>
        <v>5113.3009999999995</v>
      </c>
      <c r="J55" s="61">
        <f t="shared" si="35"/>
        <v>4768.1039999999994</v>
      </c>
      <c r="K55" s="95">
        <f t="shared" si="38"/>
        <v>9879.3193688371557</v>
      </c>
      <c r="L55" s="93">
        <f>D55/M50*100</f>
        <v>5.2812851343163647</v>
      </c>
      <c r="M55" s="69" t="s">
        <v>57</v>
      </c>
      <c r="N55" s="68">
        <f>E55/O50*100</f>
        <v>-26.095300656246579</v>
      </c>
      <c r="O55" s="69" t="s">
        <v>57</v>
      </c>
      <c r="P55" s="68">
        <f>F55/Q50*100</f>
        <v>17.617708997469038</v>
      </c>
      <c r="Q55" s="69" t="s">
        <v>57</v>
      </c>
      <c r="R55" s="68">
        <f>H55/S50*100</f>
        <v>37.0030662747942</v>
      </c>
      <c r="S55" s="69" t="s">
        <v>57</v>
      </c>
      <c r="T55" s="68">
        <f>I55/U50*100</f>
        <v>54.214336000949984</v>
      </c>
      <c r="U55" s="69" t="s">
        <v>57</v>
      </c>
      <c r="V55" s="68">
        <f>J55/W50*100</f>
        <v>50.554346858022555</v>
      </c>
      <c r="W55" s="69" t="s">
        <v>57</v>
      </c>
      <c r="X55" s="68">
        <f>(G55+1.6*(K55))/Y50*100</f>
        <v>80.831097972894781</v>
      </c>
      <c r="Y55" s="69" t="s">
        <v>57</v>
      </c>
      <c r="Z55" s="94">
        <f t="shared" si="39"/>
        <v>80.831097972894781</v>
      </c>
    </row>
    <row r="56" spans="2:28" x14ac:dyDescent="0.25">
      <c r="B56" s="142" t="s">
        <v>44</v>
      </c>
      <c r="C56" s="143"/>
      <c r="D56" s="60">
        <f t="shared" ref="D56:F56" si="42">D31+Z31</f>
        <v>534</v>
      </c>
      <c r="E56" s="61">
        <f t="shared" si="42"/>
        <v>-3101</v>
      </c>
      <c r="F56" s="61">
        <f t="shared" si="42"/>
        <v>3675</v>
      </c>
      <c r="G56" s="61">
        <f t="shared" si="37"/>
        <v>4838.0762705852412</v>
      </c>
      <c r="H56" s="61">
        <f t="shared" si="35"/>
        <v>4725.38</v>
      </c>
      <c r="I56" s="61">
        <f t="shared" si="35"/>
        <v>3173.3500000000004</v>
      </c>
      <c r="J56" s="61">
        <f t="shared" si="35"/>
        <v>5315.4349999999995</v>
      </c>
      <c r="K56" s="95">
        <f t="shared" si="38"/>
        <v>7788.0174374564031</v>
      </c>
      <c r="L56" s="93">
        <f>D56/M50*100</f>
        <v>4.3254697265719919</v>
      </c>
      <c r="M56" s="69" t="s">
        <v>57</v>
      </c>
      <c r="N56" s="68">
        <f>E56/O50*100</f>
        <v>-9.9853809643411466</v>
      </c>
      <c r="O56" s="69" t="s">
        <v>57</v>
      </c>
      <c r="P56" s="68">
        <f>F56/Q50*100</f>
        <v>14.792113448868797</v>
      </c>
      <c r="Q56" s="69" t="s">
        <v>57</v>
      </c>
      <c r="R56" s="68">
        <f>H56/S50*100</f>
        <v>25.05068047550585</v>
      </c>
      <c r="S56" s="69" t="s">
        <v>57</v>
      </c>
      <c r="T56" s="68">
        <f>I56/U50*100</f>
        <v>33.64579224821982</v>
      </c>
      <c r="U56" s="69" t="s">
        <v>57</v>
      </c>
      <c r="V56" s="68">
        <f>J56/W50*100</f>
        <v>56.357483958251152</v>
      </c>
      <c r="W56" s="69" t="s">
        <v>57</v>
      </c>
      <c r="X56" s="68">
        <f>(G56+1.6*(K56))/Y50*100</f>
        <v>55.841248994521045</v>
      </c>
      <c r="Y56" s="69" t="s">
        <v>57</v>
      </c>
      <c r="Z56" s="94">
        <f t="shared" si="39"/>
        <v>56.357483958251152</v>
      </c>
    </row>
    <row r="57" spans="2:28" x14ac:dyDescent="0.25">
      <c r="B57" s="142" t="s">
        <v>45</v>
      </c>
      <c r="C57" s="143"/>
      <c r="D57" s="60">
        <f t="shared" ref="D57:F57" si="43">D32+Z32</f>
        <v>-1139</v>
      </c>
      <c r="E57" s="61">
        <f t="shared" si="43"/>
        <v>1652</v>
      </c>
      <c r="F57" s="61">
        <f t="shared" si="43"/>
        <v>-1430</v>
      </c>
      <c r="G57" s="61">
        <f t="shared" si="37"/>
        <v>2464.0058847332325</v>
      </c>
      <c r="H57" s="61">
        <f t="shared" si="35"/>
        <v>-1888.1679999999999</v>
      </c>
      <c r="I57" s="61">
        <f t="shared" si="35"/>
        <v>1620.6390000000001</v>
      </c>
      <c r="J57" s="61">
        <f t="shared" si="35"/>
        <v>1636.9340000000002</v>
      </c>
      <c r="K57" s="95">
        <f t="shared" si="38"/>
        <v>2978.4563258340722</v>
      </c>
      <c r="L57" s="93">
        <f>D57/M50*100</f>
        <v>-9.2260487239054285</v>
      </c>
      <c r="M57" s="69" t="s">
        <v>57</v>
      </c>
      <c r="N57" s="68">
        <f>E57/O50*100</f>
        <v>5.3195257507551021</v>
      </c>
      <c r="O57" s="69" t="s">
        <v>57</v>
      </c>
      <c r="P57" s="68">
        <f>F57/Q50*100</f>
        <v>-5.7558427841856812</v>
      </c>
      <c r="Q57" s="69" t="s">
        <v>57</v>
      </c>
      <c r="R57" s="68">
        <f>H57/S50*100</f>
        <v>-10.009754401143384</v>
      </c>
      <c r="S57" s="69" t="s">
        <v>57</v>
      </c>
      <c r="T57" s="68">
        <f>I57/U50*100</f>
        <v>17.183003168059848</v>
      </c>
      <c r="U57" s="69" t="s">
        <v>57</v>
      </c>
      <c r="V57" s="68">
        <f>J57/W50*100</f>
        <v>17.355772697007097</v>
      </c>
      <c r="W57" s="69" t="s">
        <v>57</v>
      </c>
      <c r="X57" s="68">
        <f>(G57+1.6*(K57))/Y50*100</f>
        <v>23.337103683004813</v>
      </c>
      <c r="Y57" s="69" t="s">
        <v>57</v>
      </c>
      <c r="Z57" s="94">
        <f t="shared" si="39"/>
        <v>23.337103683004813</v>
      </c>
    </row>
    <row r="58" spans="2:28" x14ac:dyDescent="0.25">
      <c r="B58" s="142" t="s">
        <v>64</v>
      </c>
      <c r="C58" s="143"/>
      <c r="D58" s="60">
        <f t="shared" ref="D58:D64" si="44">D33+Z33</f>
        <v>-764</v>
      </c>
      <c r="E58" s="61">
        <f t="shared" ref="E58:E64" si="45">E33+AA33</f>
        <v>-4350</v>
      </c>
      <c r="F58" s="61">
        <f t="shared" ref="F58:F64" si="46">F33+AB33</f>
        <v>-1037</v>
      </c>
      <c r="G58" s="61">
        <f t="shared" ref="G58:G64" si="47">SQRT(((D58*D58)+(E58*E58)+(F58*F58)))</f>
        <v>4536.6909747083282</v>
      </c>
      <c r="H58" s="61">
        <f t="shared" ref="H58:J58" si="48">S33+AN33</f>
        <v>-999.024</v>
      </c>
      <c r="I58" s="61">
        <f t="shared" si="48"/>
        <v>2184.0190000000002</v>
      </c>
      <c r="J58" s="61">
        <f t="shared" si="48"/>
        <v>4311.0619999999999</v>
      </c>
      <c r="K58" s="95">
        <f t="shared" ref="K58:K64" si="49">SQRT((H58*H58)+(I58*I58)+(J58*J58))</f>
        <v>4934.9005575372039</v>
      </c>
      <c r="L58" s="93">
        <f>D58/M50*100</f>
        <v>-6.1884997586161079</v>
      </c>
      <c r="M58" s="69" t="s">
        <v>57</v>
      </c>
      <c r="N58" s="68">
        <f>E58/O50*100</f>
        <v>-14.007225796479842</v>
      </c>
      <c r="O58" s="69" t="s">
        <v>57</v>
      </c>
      <c r="P58" s="68">
        <f>F58/Q50*100</f>
        <v>-4.1739922847556299</v>
      </c>
      <c r="Q58" s="69" t="s">
        <v>57</v>
      </c>
      <c r="R58" s="68">
        <f>H58/S50*100</f>
        <v>-5.2961308955812552</v>
      </c>
      <c r="S58" s="69" t="s">
        <v>57</v>
      </c>
      <c r="T58" s="68">
        <f>I58/U50*100</f>
        <v>23.156301555190826</v>
      </c>
      <c r="U58" s="69" t="s">
        <v>57</v>
      </c>
      <c r="V58" s="68">
        <f>J58/W50*100</f>
        <v>45.70850880652781</v>
      </c>
      <c r="W58" s="69" t="s">
        <v>57</v>
      </c>
      <c r="X58" s="68">
        <f>(G58+1.6*(K58))/Y50*100</f>
        <v>40.132490518549034</v>
      </c>
      <c r="Y58" s="69" t="s">
        <v>57</v>
      </c>
      <c r="Z58" s="94">
        <f t="shared" ref="Z58:Z64" si="50">MAX(X58,V58,T58,R58,P58,N58,L58)</f>
        <v>45.70850880652781</v>
      </c>
    </row>
    <row r="59" spans="2:28" x14ac:dyDescent="0.25">
      <c r="B59" s="142" t="s">
        <v>65</v>
      </c>
      <c r="C59" s="143"/>
      <c r="D59" s="60">
        <f t="shared" si="44"/>
        <v>2616</v>
      </c>
      <c r="E59" s="61">
        <f t="shared" si="45"/>
        <v>-7526</v>
      </c>
      <c r="F59" s="61">
        <f t="shared" si="46"/>
        <v>-2494</v>
      </c>
      <c r="G59" s="61">
        <f t="shared" si="47"/>
        <v>8348.9022032839748</v>
      </c>
      <c r="H59" s="61">
        <f t="shared" ref="H59:J59" si="51">S34+AN34</f>
        <v>-843.16400000000021</v>
      </c>
      <c r="I59" s="61">
        <f t="shared" si="51"/>
        <v>4667.9160000000002</v>
      </c>
      <c r="J59" s="61">
        <f t="shared" si="51"/>
        <v>1113.0070000000001</v>
      </c>
      <c r="K59" s="95">
        <f t="shared" si="49"/>
        <v>4872.2838480532928</v>
      </c>
      <c r="L59" s="93">
        <f>D59/M50*100</f>
        <v>21.189941581858296</v>
      </c>
      <c r="M59" s="69" t="s">
        <v>57</v>
      </c>
      <c r="N59" s="68">
        <f>E59/O50*100</f>
        <v>-24.234110653863741</v>
      </c>
      <c r="O59" s="69" t="s">
        <v>57</v>
      </c>
      <c r="P59" s="68">
        <f>F59/Q50*100</f>
        <v>-10.038511820810552</v>
      </c>
      <c r="Q59" s="69" t="s">
        <v>57</v>
      </c>
      <c r="R59" s="68">
        <f>H59/S50*100</f>
        <v>-4.469869503076878</v>
      </c>
      <c r="S59" s="69" t="s">
        <v>57</v>
      </c>
      <c r="T59" s="68">
        <f>I59/U50*100</f>
        <v>49.49209257350789</v>
      </c>
      <c r="U59" s="69" t="s">
        <v>57</v>
      </c>
      <c r="V59" s="68">
        <f>J59/W50*100</f>
        <v>11.800779079778277</v>
      </c>
      <c r="W59" s="69" t="s">
        <v>57</v>
      </c>
      <c r="X59" s="68">
        <f>(G59+1.6*(K59))/Y50*100</f>
        <v>52.114988482962644</v>
      </c>
      <c r="Y59" s="69" t="s">
        <v>57</v>
      </c>
      <c r="Z59" s="94">
        <f t="shared" si="50"/>
        <v>52.114988482962644</v>
      </c>
    </row>
    <row r="60" spans="2:28" x14ac:dyDescent="0.25">
      <c r="B60" s="142" t="s">
        <v>66</v>
      </c>
      <c r="C60" s="143"/>
      <c r="D60" s="60">
        <f t="shared" si="44"/>
        <v>1976</v>
      </c>
      <c r="E60" s="61">
        <f t="shared" si="45"/>
        <v>-7499</v>
      </c>
      <c r="F60" s="61">
        <f t="shared" si="46"/>
        <v>-2775</v>
      </c>
      <c r="G60" s="61">
        <f t="shared" si="47"/>
        <v>8236.5163752644839</v>
      </c>
      <c r="H60" s="61">
        <f t="shared" ref="H60:J60" si="52">S35+AN35</f>
        <v>-1215.6680000000001</v>
      </c>
      <c r="I60" s="61">
        <f t="shared" si="52"/>
        <v>5161.9309999999996</v>
      </c>
      <c r="J60" s="61">
        <f t="shared" si="52"/>
        <v>3693.8090000000002</v>
      </c>
      <c r="K60" s="95">
        <f t="shared" si="49"/>
        <v>6462.7861842603152</v>
      </c>
      <c r="L60" s="93">
        <f>D60/M50*100</f>
        <v>16.00585801443119</v>
      </c>
      <c r="M60" s="69" t="s">
        <v>57</v>
      </c>
      <c r="N60" s="68">
        <f>E60/O50*100</f>
        <v>-24.14716925236835</v>
      </c>
      <c r="O60" s="69" t="s">
        <v>57</v>
      </c>
      <c r="P60" s="68">
        <f>F60/Q50*100</f>
        <v>-11.169555053227457</v>
      </c>
      <c r="Q60" s="69" t="s">
        <v>57</v>
      </c>
      <c r="R60" s="68">
        <f>H60/S50*100</f>
        <v>-6.4446268093353858</v>
      </c>
      <c r="S60" s="69" t="s">
        <v>57</v>
      </c>
      <c r="T60" s="68">
        <f>I60/U50*100</f>
        <v>54.729940922257413</v>
      </c>
      <c r="U60" s="69" t="s">
        <v>57</v>
      </c>
      <c r="V60" s="68">
        <f>J60/W50*100</f>
        <v>39.164016014182046</v>
      </c>
      <c r="W60" s="69" t="s">
        <v>57</v>
      </c>
      <c r="X60" s="68">
        <f>(G60+1.6*(K60))/Y50*100</f>
        <v>59.966887818738115</v>
      </c>
      <c r="Y60" s="69" t="s">
        <v>57</v>
      </c>
      <c r="Z60" s="94">
        <f t="shared" si="50"/>
        <v>59.966887818738115</v>
      </c>
    </row>
    <row r="61" spans="2:28" x14ac:dyDescent="0.25">
      <c r="B61" s="142" t="s">
        <v>67</v>
      </c>
      <c r="C61" s="143"/>
      <c r="D61" s="60">
        <f t="shared" si="44"/>
        <v>4034</v>
      </c>
      <c r="E61" s="61">
        <f t="shared" si="45"/>
        <v>-9590</v>
      </c>
      <c r="F61" s="61">
        <f t="shared" si="46"/>
        <v>-4497</v>
      </c>
      <c r="G61" s="61">
        <f t="shared" si="47"/>
        <v>11334.207735876382</v>
      </c>
      <c r="H61" s="61">
        <f t="shared" ref="H61:J61" si="53">S36+AN36</f>
        <v>-2367.86</v>
      </c>
      <c r="I61" s="61">
        <f t="shared" si="53"/>
        <v>5551.726999999999</v>
      </c>
      <c r="J61" s="61">
        <f t="shared" si="53"/>
        <v>-1505.9450000000002</v>
      </c>
      <c r="K61" s="95">
        <f t="shared" si="49"/>
        <v>6220.6353377411524</v>
      </c>
      <c r="L61" s="93">
        <f>D61/M50*100</f>
        <v>32.67592673593898</v>
      </c>
      <c r="M61" s="69" t="s">
        <v>57</v>
      </c>
      <c r="N61" s="68">
        <f>E61/O50*100</f>
        <v>-30.880297790400384</v>
      </c>
      <c r="O61" s="69" t="s">
        <v>57</v>
      </c>
      <c r="P61" s="68">
        <f>F61/Q50*100</f>
        <v>-18.100716783554553</v>
      </c>
      <c r="Q61" s="69" t="s">
        <v>57</v>
      </c>
      <c r="R61" s="68">
        <f>H61/S50*100</f>
        <v>-12.552747984443849</v>
      </c>
      <c r="S61" s="69" t="s">
        <v>57</v>
      </c>
      <c r="T61" s="68">
        <f>I61/U50*100</f>
        <v>58.862795865830307</v>
      </c>
      <c r="U61" s="69" t="s">
        <v>57</v>
      </c>
      <c r="V61" s="68">
        <f>J61/W50*100</f>
        <v>-15.966947423777835</v>
      </c>
      <c r="W61" s="69" t="s">
        <v>57</v>
      </c>
      <c r="X61" s="68">
        <f>(G61+1.6*(K61))/Y50*100</f>
        <v>68.715635366026191</v>
      </c>
      <c r="Y61" s="69" t="s">
        <v>57</v>
      </c>
      <c r="Z61" s="94">
        <f t="shared" si="50"/>
        <v>68.715635366026191</v>
      </c>
    </row>
    <row r="62" spans="2:28" x14ac:dyDescent="0.25">
      <c r="B62" s="142" t="s">
        <v>68</v>
      </c>
      <c r="C62" s="143"/>
      <c r="D62" s="60">
        <f t="shared" si="44"/>
        <v>907</v>
      </c>
      <c r="E62" s="61">
        <f t="shared" si="45"/>
        <v>-5455</v>
      </c>
      <c r="F62" s="61">
        <f t="shared" si="46"/>
        <v>-623</v>
      </c>
      <c r="G62" s="61">
        <f t="shared" si="47"/>
        <v>5564.8722357301249</v>
      </c>
      <c r="H62" s="61">
        <f t="shared" ref="H62:J62" si="54">S37+AN37</f>
        <v>498.87199999999984</v>
      </c>
      <c r="I62" s="61">
        <f t="shared" si="54"/>
        <v>4292.2929999999997</v>
      </c>
      <c r="J62" s="61">
        <f t="shared" si="54"/>
        <v>5398.1639999999998</v>
      </c>
      <c r="K62" s="95">
        <f t="shared" si="49"/>
        <v>6914.681991323172</v>
      </c>
      <c r="L62" s="93">
        <f>D62/M50*100</f>
        <v>7.3468184307131024</v>
      </c>
      <c r="M62" s="69" t="s">
        <v>57</v>
      </c>
      <c r="N62" s="68">
        <f>E62/O50*100</f>
        <v>-17.565383153976445</v>
      </c>
      <c r="O62" s="69" t="s">
        <v>57</v>
      </c>
      <c r="P62" s="68">
        <f>F62/Q50*100</f>
        <v>-2.5076154227606149</v>
      </c>
      <c r="Q62" s="69" t="s">
        <v>57</v>
      </c>
      <c r="R62" s="68">
        <f>H62/S50*100</f>
        <v>2.6446726126103193</v>
      </c>
      <c r="S62" s="69" t="s">
        <v>57</v>
      </c>
      <c r="T62" s="68">
        <f>I62/U50*100</f>
        <v>45.509508420592802</v>
      </c>
      <c r="U62" s="69" t="s">
        <v>57</v>
      </c>
      <c r="V62" s="68">
        <f>J62/W50*100</f>
        <v>57.234627275850215</v>
      </c>
      <c r="W62" s="69" t="s">
        <v>57</v>
      </c>
      <c r="X62" s="68">
        <f>(G62+1.6*(K62))/Y50*100</f>
        <v>53.676728482801096</v>
      </c>
      <c r="Y62" s="69" t="s">
        <v>57</v>
      </c>
      <c r="Z62" s="94">
        <f t="shared" si="50"/>
        <v>57.234627275850215</v>
      </c>
    </row>
    <row r="63" spans="2:28" x14ac:dyDescent="0.25">
      <c r="B63" s="142" t="s">
        <v>69</v>
      </c>
      <c r="C63" s="143"/>
      <c r="D63" s="60">
        <f t="shared" si="44"/>
        <v>2356</v>
      </c>
      <c r="E63" s="61">
        <f t="shared" si="45"/>
        <v>-7562</v>
      </c>
      <c r="F63" s="61">
        <f t="shared" si="46"/>
        <v>-2589</v>
      </c>
      <c r="G63" s="61">
        <f t="shared" si="47"/>
        <v>8332.9167162524791</v>
      </c>
      <c r="H63" s="61">
        <f t="shared" ref="H63:J63" si="55">S38+AN38</f>
        <v>-960.20400000000018</v>
      </c>
      <c r="I63" s="61">
        <f t="shared" si="55"/>
        <v>4918.1229999999996</v>
      </c>
      <c r="J63" s="61">
        <f t="shared" si="55"/>
        <v>2296.027</v>
      </c>
      <c r="K63" s="95">
        <f t="shared" si="49"/>
        <v>5511.9565990194442</v>
      </c>
      <c r="L63" s="93">
        <f>D63/M50*100</f>
        <v>19.083907632591036</v>
      </c>
      <c r="M63" s="69" t="s">
        <v>57</v>
      </c>
      <c r="N63" s="68">
        <f>E63/O50*100</f>
        <v>-24.350032522524266</v>
      </c>
      <c r="O63" s="69" t="s">
        <v>57</v>
      </c>
      <c r="P63" s="68">
        <f>F63/Q50*100</f>
        <v>-10.420892984794914</v>
      </c>
      <c r="Q63" s="69" t="s">
        <v>57</v>
      </c>
      <c r="R63" s="68">
        <f>H63/S50*100</f>
        <v>-5.0903342366757007</v>
      </c>
      <c r="S63" s="69" t="s">
        <v>57</v>
      </c>
      <c r="T63" s="68">
        <f>I63/U50*100</f>
        <v>52.144939798380761</v>
      </c>
      <c r="U63" s="69" t="s">
        <v>57</v>
      </c>
      <c r="V63" s="68">
        <f>J63/W50*100</f>
        <v>24.343878689178126</v>
      </c>
      <c r="W63" s="69" t="s">
        <v>57</v>
      </c>
      <c r="X63" s="68">
        <f>(G63+1.6*(K63))/Y50*100</f>
        <v>55.367191655057368</v>
      </c>
      <c r="Y63" s="69" t="s">
        <v>57</v>
      </c>
      <c r="Z63" s="94">
        <f t="shared" si="50"/>
        <v>55.367191655057368</v>
      </c>
    </row>
    <row r="64" spans="2:28" ht="15.75" thickBot="1" x14ac:dyDescent="0.3">
      <c r="B64" s="144" t="s">
        <v>70</v>
      </c>
      <c r="C64" s="145"/>
      <c r="D64" s="70">
        <f t="shared" si="44"/>
        <v>659</v>
      </c>
      <c r="E64" s="71">
        <f t="shared" si="45"/>
        <v>-2049</v>
      </c>
      <c r="F64" s="71">
        <f t="shared" si="46"/>
        <v>-2011</v>
      </c>
      <c r="G64" s="71">
        <f t="shared" si="47"/>
        <v>2945.641356309352</v>
      </c>
      <c r="H64" s="71">
        <f t="shared" ref="H64:J64" si="56">S39+AN39</f>
        <v>-1560.232</v>
      </c>
      <c r="I64" s="71">
        <f t="shared" si="56"/>
        <v>910.35400000000004</v>
      </c>
      <c r="J64" s="71">
        <f t="shared" si="56"/>
        <v>-424.23399999999992</v>
      </c>
      <c r="K64" s="96">
        <f t="shared" si="49"/>
        <v>1855.5437978921434</v>
      </c>
      <c r="L64" s="97">
        <f>D64/M50*100</f>
        <v>5.3379860483350985</v>
      </c>
      <c r="M64" s="75" t="s">
        <v>57</v>
      </c>
      <c r="N64" s="74">
        <f>E64/O50*100</f>
        <v>-6.5978863579280898</v>
      </c>
      <c r="O64" s="75" t="s">
        <v>57</v>
      </c>
      <c r="P64" s="74">
        <f>F64/Q50*100</f>
        <v>-8.0944054818163664</v>
      </c>
      <c r="Q64" s="75" t="s">
        <v>57</v>
      </c>
      <c r="R64" s="74">
        <f>H64/S50*100</f>
        <v>-8.2712656547535737</v>
      </c>
      <c r="S64" s="75" t="s">
        <v>57</v>
      </c>
      <c r="T64" s="74">
        <f>I64/U50*100</f>
        <v>9.6521283679190475</v>
      </c>
      <c r="U64" s="75" t="s">
        <v>57</v>
      </c>
      <c r="V64" s="74">
        <f>J64/W50*100</f>
        <v>-4.4979876246336783</v>
      </c>
      <c r="W64" s="75" t="s">
        <v>57</v>
      </c>
      <c r="X64" s="74">
        <f>(G64+1.6*(K64))/Y50*100</f>
        <v>19.092174992823402</v>
      </c>
      <c r="Y64" s="75" t="s">
        <v>57</v>
      </c>
      <c r="Z64" s="98">
        <f t="shared" si="50"/>
        <v>19.092174992823402</v>
      </c>
    </row>
  </sheetData>
  <sheetProtection password="C685" sheet="1" objects="1" scenarios="1" formatCells="0"/>
  <mergeCells count="89">
    <mergeCell ref="C2:F2"/>
    <mergeCell ref="H2:K2"/>
    <mergeCell ref="K47:K50"/>
    <mergeCell ref="E47:E50"/>
    <mergeCell ref="F47:F50"/>
    <mergeCell ref="H47:H50"/>
    <mergeCell ref="I47:I50"/>
    <mergeCell ref="J47:J50"/>
    <mergeCell ref="G47:G50"/>
    <mergeCell ref="B30:C30"/>
    <mergeCell ref="B31:C31"/>
    <mergeCell ref="B32:C32"/>
    <mergeCell ref="B23:C26"/>
    <mergeCell ref="B27:C27"/>
    <mergeCell ref="B28:C28"/>
    <mergeCell ref="B29:C29"/>
    <mergeCell ref="B54:C54"/>
    <mergeCell ref="B55:C55"/>
    <mergeCell ref="D47:D50"/>
    <mergeCell ref="D51:K51"/>
    <mergeCell ref="B47:C51"/>
    <mergeCell ref="D23:I24"/>
    <mergeCell ref="G25:I25"/>
    <mergeCell ref="AG23:AL25"/>
    <mergeCell ref="B52:C52"/>
    <mergeCell ref="B53:C53"/>
    <mergeCell ref="X47:Y49"/>
    <mergeCell ref="N47:O49"/>
    <mergeCell ref="P47:Q49"/>
    <mergeCell ref="R47:S49"/>
    <mergeCell ref="T47:U49"/>
    <mergeCell ref="V47:W49"/>
    <mergeCell ref="X38:Y38"/>
    <mergeCell ref="X39:Y39"/>
    <mergeCell ref="X35:Y35"/>
    <mergeCell ref="X36:Y36"/>
    <mergeCell ref="X37:Y37"/>
    <mergeCell ref="AM23:AM25"/>
    <mergeCell ref="AN23:AP25"/>
    <mergeCell ref="Z23:AE24"/>
    <mergeCell ref="Z25:AB25"/>
    <mergeCell ref="AC25:AE25"/>
    <mergeCell ref="L47:M49"/>
    <mergeCell ref="P26:Q26"/>
    <mergeCell ref="P27:Q27"/>
    <mergeCell ref="P28:Q28"/>
    <mergeCell ref="P29:Q29"/>
    <mergeCell ref="P30:Q30"/>
    <mergeCell ref="P33:Q33"/>
    <mergeCell ref="P34:Q34"/>
    <mergeCell ref="P35:Q35"/>
    <mergeCell ref="P36:Q36"/>
    <mergeCell ref="P37:Q37"/>
    <mergeCell ref="P38:Q38"/>
    <mergeCell ref="P39:Q39"/>
    <mergeCell ref="P31:Q31"/>
    <mergeCell ref="P32:Q32"/>
    <mergeCell ref="B63:C63"/>
    <mergeCell ref="B64:C64"/>
    <mergeCell ref="B33:C33"/>
    <mergeCell ref="B34:C34"/>
    <mergeCell ref="B35:C35"/>
    <mergeCell ref="B36:C36"/>
    <mergeCell ref="B37:C37"/>
    <mergeCell ref="B38:C38"/>
    <mergeCell ref="B39:C39"/>
    <mergeCell ref="B58:C58"/>
    <mergeCell ref="B59:C59"/>
    <mergeCell ref="B60:C60"/>
    <mergeCell ref="B61:C61"/>
    <mergeCell ref="B62:C62"/>
    <mergeCell ref="B56:C56"/>
    <mergeCell ref="B57:C57"/>
    <mergeCell ref="D4:F4"/>
    <mergeCell ref="I4:K4"/>
    <mergeCell ref="P8:Q8"/>
    <mergeCell ref="X33:Y33"/>
    <mergeCell ref="X34:Y34"/>
    <mergeCell ref="D25:F25"/>
    <mergeCell ref="X31:Y31"/>
    <mergeCell ref="X32:Y32"/>
    <mergeCell ref="S23:U25"/>
    <mergeCell ref="X23:Y26"/>
    <mergeCell ref="X27:Y27"/>
    <mergeCell ref="X28:Y28"/>
    <mergeCell ref="X29:Y29"/>
    <mergeCell ref="X30:Y30"/>
    <mergeCell ref="R23:R25"/>
    <mergeCell ref="K23:Q25"/>
  </mergeCells>
  <conditionalFormatting sqref="L70">
    <cfRule type="cellIs" dxfId="85" priority="98" operator="lessThan">
      <formula>-100</formula>
    </cfRule>
    <cfRule type="cellIs" dxfId="84" priority="99" operator="greaterThan">
      <formula>100</formula>
    </cfRule>
  </conditionalFormatting>
  <conditionalFormatting sqref="X52:X64">
    <cfRule type="cellIs" dxfId="83" priority="79" operator="lessThan">
      <formula>-100</formula>
    </cfRule>
    <cfRule type="cellIs" dxfId="82" priority="80" operator="greaterThan">
      <formula>100</formula>
    </cfRule>
    <cfRule type="cellIs" dxfId="81" priority="81" operator="greaterThan">
      <formula>130.26</formula>
    </cfRule>
    <cfRule type="cellIs" dxfId="80" priority="82" operator="greaterThan">
      <formula>130.26</formula>
    </cfRule>
    <cfRule type="cellIs" dxfId="79" priority="83" operator="lessThan">
      <formula>-100</formula>
    </cfRule>
    <cfRule type="cellIs" dxfId="78" priority="84" operator="greaterThan">
      <formula>100</formula>
    </cfRule>
    <cfRule type="cellIs" dxfId="77" priority="85" operator="greaterThan">
      <formula>100</formula>
    </cfRule>
  </conditionalFormatting>
  <conditionalFormatting sqref="L52:L64">
    <cfRule type="cellIs" dxfId="76" priority="36" operator="lessThan">
      <formula>-100</formula>
    </cfRule>
    <cfRule type="cellIs" dxfId="75" priority="37" operator="greaterThan">
      <formula>100</formula>
    </cfRule>
    <cfRule type="cellIs" dxfId="74" priority="38" operator="greaterThan">
      <formula>130.26</formula>
    </cfRule>
    <cfRule type="cellIs" dxfId="73" priority="39" operator="greaterThan">
      <formula>130.26</formula>
    </cfRule>
    <cfRule type="cellIs" dxfId="72" priority="40" operator="lessThan">
      <formula>-100</formula>
    </cfRule>
    <cfRule type="cellIs" dxfId="71" priority="41" operator="greaterThan">
      <formula>100</formula>
    </cfRule>
    <cfRule type="cellIs" dxfId="70" priority="42" operator="greaterThan">
      <formula>100</formula>
    </cfRule>
  </conditionalFormatting>
  <conditionalFormatting sqref="V52:V64">
    <cfRule type="cellIs" dxfId="69" priority="71" operator="lessThan">
      <formula>-100</formula>
    </cfRule>
    <cfRule type="cellIs" dxfId="68" priority="72" operator="greaterThan">
      <formula>100</formula>
    </cfRule>
    <cfRule type="cellIs" dxfId="67" priority="73" operator="greaterThan">
      <formula>130.26</formula>
    </cfRule>
    <cfRule type="cellIs" dxfId="66" priority="74" operator="greaterThan">
      <formula>130.26</formula>
    </cfRule>
    <cfRule type="cellIs" dxfId="65" priority="75" operator="lessThan">
      <formula>-100</formula>
    </cfRule>
    <cfRule type="cellIs" dxfId="64" priority="76" operator="greaterThan">
      <formula>100</formula>
    </cfRule>
    <cfRule type="cellIs" dxfId="63" priority="77" operator="greaterThan">
      <formula>100</formula>
    </cfRule>
  </conditionalFormatting>
  <conditionalFormatting sqref="R52:R64">
    <cfRule type="cellIs" dxfId="62" priority="64" operator="lessThan">
      <formula>-100</formula>
    </cfRule>
    <cfRule type="cellIs" dxfId="61" priority="65" operator="greaterThan">
      <formula>100</formula>
    </cfRule>
    <cfRule type="cellIs" dxfId="60" priority="66" operator="greaterThan">
      <formula>130.26</formula>
    </cfRule>
    <cfRule type="cellIs" dxfId="59" priority="67" operator="greaterThan">
      <formula>130.26</formula>
    </cfRule>
    <cfRule type="cellIs" dxfId="58" priority="68" operator="lessThan">
      <formula>-100</formula>
    </cfRule>
    <cfRule type="cellIs" dxfId="57" priority="69" operator="greaterThan">
      <formula>100</formula>
    </cfRule>
    <cfRule type="cellIs" dxfId="56" priority="70" operator="greaterThan">
      <formula>100</formula>
    </cfRule>
  </conditionalFormatting>
  <conditionalFormatting sqref="T52:T64">
    <cfRule type="cellIs" dxfId="55" priority="57" operator="lessThan">
      <formula>-100</formula>
    </cfRule>
    <cfRule type="cellIs" dxfId="54" priority="58" operator="greaterThan">
      <formula>100</formula>
    </cfRule>
    <cfRule type="cellIs" dxfId="53" priority="59" operator="greaterThan">
      <formula>130.26</formula>
    </cfRule>
    <cfRule type="cellIs" dxfId="52" priority="60" operator="greaterThan">
      <formula>130.26</formula>
    </cfRule>
    <cfRule type="cellIs" dxfId="51" priority="61" operator="lessThan">
      <formula>-100</formula>
    </cfRule>
    <cfRule type="cellIs" dxfId="50" priority="62" operator="greaterThan">
      <formula>100</formula>
    </cfRule>
    <cfRule type="cellIs" dxfId="49" priority="63" operator="greaterThan">
      <formula>100</formula>
    </cfRule>
  </conditionalFormatting>
  <conditionalFormatting sqref="P52:P64">
    <cfRule type="cellIs" dxfId="48" priority="50" operator="lessThan">
      <formula>-100</formula>
    </cfRule>
    <cfRule type="cellIs" dxfId="47" priority="51" operator="greaterThan">
      <formula>100</formula>
    </cfRule>
    <cfRule type="cellIs" dxfId="46" priority="52" operator="greaterThan">
      <formula>130.26</formula>
    </cfRule>
    <cfRule type="cellIs" dxfId="45" priority="53" operator="greaterThan">
      <formula>130.26</formula>
    </cfRule>
    <cfRule type="cellIs" dxfId="44" priority="54" operator="lessThan">
      <formula>-100</formula>
    </cfRule>
    <cfRule type="cellIs" dxfId="43" priority="55" operator="greaterThan">
      <formula>100</formula>
    </cfRule>
    <cfRule type="cellIs" dxfId="42" priority="56" operator="greaterThan">
      <formula>100</formula>
    </cfRule>
  </conditionalFormatting>
  <conditionalFormatting sqref="N52:N64">
    <cfRule type="cellIs" dxfId="41" priority="43" operator="lessThan">
      <formula>-100</formula>
    </cfRule>
    <cfRule type="cellIs" dxfId="40" priority="44" operator="greaterThan">
      <formula>100</formula>
    </cfRule>
    <cfRule type="cellIs" dxfId="39" priority="45" operator="greaterThan">
      <formula>130.26</formula>
    </cfRule>
    <cfRule type="cellIs" dxfId="38" priority="46" operator="greaterThan">
      <formula>130.26</formula>
    </cfRule>
    <cfRule type="cellIs" dxfId="37" priority="47" operator="lessThan">
      <formula>-100</formula>
    </cfRule>
    <cfRule type="cellIs" dxfId="36" priority="48" operator="greaterThan">
      <formula>100</formula>
    </cfRule>
    <cfRule type="cellIs" dxfId="35" priority="49" operator="greaterThan">
      <formula>100</formula>
    </cfRule>
  </conditionalFormatting>
  <conditionalFormatting sqref="P27">
    <cfRule type="cellIs" dxfId="34" priority="22" operator="lessThan">
      <formula>-100</formula>
    </cfRule>
    <cfRule type="cellIs" dxfId="33" priority="23" operator="greaterThan">
      <formula>100</formula>
    </cfRule>
    <cfRule type="cellIs" dxfId="32" priority="24" operator="greaterThan">
      <formula>130.26</formula>
    </cfRule>
    <cfRule type="cellIs" dxfId="31" priority="25" operator="greaterThan">
      <formula>130.26</formula>
    </cfRule>
    <cfRule type="cellIs" dxfId="30" priority="26" operator="lessThan">
      <formula>-100</formula>
    </cfRule>
    <cfRule type="cellIs" dxfId="29" priority="27" operator="greaterThan">
      <formula>100</formula>
    </cfRule>
    <cfRule type="cellIs" dxfId="28" priority="28" operator="greaterThan">
      <formula>100</formula>
    </cfRule>
  </conditionalFormatting>
  <conditionalFormatting sqref="AL27">
    <cfRule type="cellIs" dxfId="27" priority="29" operator="lessThan">
      <formula>-100</formula>
    </cfRule>
    <cfRule type="cellIs" dxfId="26" priority="30" operator="greaterThan">
      <formula>100</formula>
    </cfRule>
    <cfRule type="cellIs" dxfId="25" priority="31" operator="greaterThan">
      <formula>130.26</formula>
    </cfRule>
    <cfRule type="cellIs" dxfId="24" priority="32" operator="greaterThan">
      <formula>130.26</formula>
    </cfRule>
    <cfRule type="cellIs" dxfId="23" priority="33" operator="lessThan">
      <formula>-100</formula>
    </cfRule>
    <cfRule type="cellIs" dxfId="22" priority="34" operator="greaterThan">
      <formula>100</formula>
    </cfRule>
    <cfRule type="cellIs" dxfId="21" priority="35" operator="greaterThan">
      <formula>100</formula>
    </cfRule>
  </conditionalFormatting>
  <conditionalFormatting sqref="AL28:AL39">
    <cfRule type="cellIs" dxfId="20" priority="8" operator="lessThan">
      <formula>-100</formula>
    </cfRule>
    <cfRule type="cellIs" dxfId="19" priority="9" operator="greaterThan">
      <formula>100</formula>
    </cfRule>
    <cfRule type="cellIs" dxfId="18" priority="10" operator="greaterThan">
      <formula>130.26</formula>
    </cfRule>
    <cfRule type="cellIs" dxfId="17" priority="11" operator="greaterThan">
      <formula>130.26</formula>
    </cfRule>
    <cfRule type="cellIs" dxfId="16" priority="12" operator="lessThan">
      <formula>-100</formula>
    </cfRule>
    <cfRule type="cellIs" dxfId="15" priority="13" operator="greaterThan">
      <formula>100</formula>
    </cfRule>
    <cfRule type="cellIs" dxfId="14" priority="14" operator="greaterThan">
      <formula>100</formula>
    </cfRule>
  </conditionalFormatting>
  <conditionalFormatting sqref="P28:P39">
    <cfRule type="cellIs" dxfId="13" priority="15" operator="lessThan">
      <formula>-100</formula>
    </cfRule>
    <cfRule type="cellIs" dxfId="12" priority="16" operator="greaterThan">
      <formula>100</formula>
    </cfRule>
    <cfRule type="cellIs" dxfId="11" priority="17" operator="greaterThan">
      <formula>130.26</formula>
    </cfRule>
    <cfRule type="cellIs" dxfId="10" priority="18" operator="greaterThan">
      <formula>130.26</formula>
    </cfRule>
    <cfRule type="cellIs" dxfId="9" priority="19" operator="lessThan">
      <formula>-100</formula>
    </cfRule>
    <cfRule type="cellIs" dxfId="8" priority="20" operator="greaterThan">
      <formula>100</formula>
    </cfRule>
    <cfRule type="cellIs" dxfId="7" priority="21" operator="greaterThan">
      <formula>100</formula>
    </cfRule>
  </conditionalFormatting>
  <conditionalFormatting sqref="Z52:Z64">
    <cfRule type="cellIs" dxfId="6" priority="1" operator="lessThan">
      <formula>-100</formula>
    </cfRule>
    <cfRule type="cellIs" dxfId="5" priority="2" operator="greaterThan">
      <formula>100</formula>
    </cfRule>
    <cfRule type="cellIs" dxfId="4" priority="3" operator="greaterThan">
      <formula>130.26</formula>
    </cfRule>
    <cfRule type="cellIs" dxfId="3" priority="4" operator="greaterThan">
      <formula>130.26</formula>
    </cfRule>
    <cfRule type="cellIs" dxfId="2" priority="5" operator="lessThan">
      <formula>-100</formula>
    </cfRule>
    <cfRule type="cellIs" dxfId="1" priority="6" operator="greaterThan">
      <formula>100</formula>
    </cfRule>
    <cfRule type="cellIs" dxfId="0" priority="7" operator="greaterThan">
      <formula>100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8" sqref="O2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2016-10-14T12:57:52Z</dcterms:modified>
</cp:coreProperties>
</file>