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https://pdomobility-my.sharepoint.com/personal/lakshmanan_lk_krishnamurthy_pdo_co_om/Documents/Lakshman/atmct2/"/>
    </mc:Choice>
  </mc:AlternateContent>
  <xr:revisionPtr revIDLastSave="14" documentId="8_{C25F1CD4-AAA0-48F7-BACC-160D0E84E602}" xr6:coauthVersionLast="47" xr6:coauthVersionMax="47" xr10:uidLastSave="{BE28D86A-D3B3-4C68-8C98-A3202AF42882}"/>
  <bookViews>
    <workbookView xWindow="-120" yWindow="-120" windowWidth="29040" windowHeight="15840" tabRatio="871" firstSheet="12" activeTab="12" xr2:uid="{00000000-000D-0000-FFFF-FFFF00000000}"/>
  </bookViews>
  <sheets>
    <sheet name="Cover Sheet" sheetId="14" r:id="rId1"/>
    <sheet name="Checklist" sheetId="13" r:id="rId2"/>
    <sheet name="ToC" sheetId="17" r:id="rId3"/>
    <sheet name="P4-Introduction" sheetId="16" r:id="rId4"/>
    <sheet name="P5-Sketch" sheetId="32" r:id="rId5"/>
    <sheet name="P6-Mechanism" sheetId="18" r:id="rId6"/>
    <sheet name="P7-Methodology" sheetId="19" r:id="rId7"/>
    <sheet name="P8-Methodology" sheetId="29" r:id="rId8"/>
    <sheet name="P9-Methodology" sheetId="31" r:id="rId9"/>
    <sheet name="P8-Cases" sheetId="20" r:id="rId10"/>
    <sheet name="P9-Summary" sheetId="21" r:id="rId11"/>
    <sheet name="AppA" sheetId="22" r:id="rId12"/>
    <sheet name="Flow Induced Turbulence" sheetId="10" r:id="rId13"/>
  </sheets>
  <definedNames>
    <definedName name="_app1">'Cover Sheet'!$I$52</definedName>
    <definedName name="_app2">'Cover Sheet'!$I$51</definedName>
    <definedName name="_app3">'Cover Sheet'!$I$50</definedName>
    <definedName name="_chk1">'Cover Sheet'!$G$52</definedName>
    <definedName name="_chk2">'Cover Sheet'!$G$51</definedName>
    <definedName name="_chk3">'Cover Sheet'!$G$50</definedName>
    <definedName name="_xlnm._FilterDatabase" localSheetId="12" hidden="1">'Flow Induced Turbulence'!$R$7:$R$7</definedName>
    <definedName name="_rev1">'Cover Sheet'!$A$52</definedName>
    <definedName name="_rev2">'Cover Sheet'!$A$51</definedName>
    <definedName name="_rev3">'Cover Sheet'!$A$50</definedName>
    <definedName name="a" localSheetId="4">#REF!</definedName>
    <definedName name="a" localSheetId="7">#REF!</definedName>
    <definedName name="a" localSheetId="8">#REF!</definedName>
    <definedName name="a">#REF!</definedName>
    <definedName name="B" localSheetId="4">#REF!</definedName>
    <definedName name="B" localSheetId="7">#REF!</definedName>
    <definedName name="B" localSheetId="8">#REF!</definedName>
    <definedName name="B">#REF!</definedName>
    <definedName name="Calc_no">'Cover Sheet'!$H$3</definedName>
    <definedName name="calc_title">'Cover Sheet'!$D$4</definedName>
    <definedName name="customer">'Cover Sheet'!$D$2</definedName>
    <definedName name="date1">'Cover Sheet'!$B$52</definedName>
    <definedName name="date2">'Cover Sheet'!$B$51</definedName>
    <definedName name="date3">'Cover Sheet'!$B$50</definedName>
    <definedName name="desc1">'Cover Sheet'!$D$52</definedName>
    <definedName name="desc2">'Cover Sheet'!$D$51</definedName>
    <definedName name="desc3">'Cover Sheet'!$D$50</definedName>
    <definedName name="Dext" localSheetId="4">#REF!</definedName>
    <definedName name="Dext" localSheetId="7">#REF!</definedName>
    <definedName name="Dext" localSheetId="8">#REF!</definedName>
    <definedName name="Dext">#REF!</definedName>
    <definedName name="disclaimer">'Cover Sheet'!$A$54</definedName>
    <definedName name="elec_file">'Cover Sheet'!$D$5</definedName>
    <definedName name="num_pages">'Cover Sheet'!$J$6</definedName>
    <definedName name="orig1">'Cover Sheet'!$F$52</definedName>
    <definedName name="orig2">'Cover Sheet'!$F$51</definedName>
    <definedName name="orig3">'Cover Sheet'!$F$50</definedName>
    <definedName name="Phase_CTR">'Cover Sheet'!$H$4</definedName>
    <definedName name="_xlnm.Print_Area" localSheetId="11">AppA!$A$1:$AN$51</definedName>
    <definedName name="_xlnm.Print_Area" localSheetId="1">Checklist!$A$1:$J$44</definedName>
    <definedName name="_xlnm.Print_Area" localSheetId="0">'Cover Sheet'!$A$1:$J$54</definedName>
    <definedName name="_xlnm.Print_Area" localSheetId="12">'Flow Induced Turbulence'!$A$1:$O$43</definedName>
    <definedName name="_xlnm.Print_Area" localSheetId="3">'P4-Introduction'!$A$1:$AN$52</definedName>
    <definedName name="_xlnm.Print_Area" localSheetId="4">'P5-Sketch'!$A$1:$BH$42</definedName>
    <definedName name="_xlnm.Print_Area" localSheetId="5">'P6-Mechanism'!$A$1:$AN$50</definedName>
    <definedName name="_xlnm.Print_Area" localSheetId="6">'P7-Methodology'!$A$1:$AN$56</definedName>
    <definedName name="_xlnm.Print_Area" localSheetId="9">'P8-Cases'!$A$1:$AN$48</definedName>
    <definedName name="_xlnm.Print_Area" localSheetId="7">'P8-Methodology'!$A$1:$AN$61</definedName>
    <definedName name="_xlnm.Print_Area" localSheetId="8">'P9-Methodology'!$A$1:$BH$41</definedName>
    <definedName name="_xlnm.Print_Area" localSheetId="10">'P9-Summary'!$A$1:$AN$57</definedName>
    <definedName name="_xlnm.Print_Area" localSheetId="2">ToC!$A$1:$AN$53</definedName>
    <definedName name="Proj_no">'Cover Sheet'!$H$2</definedName>
    <definedName name="proj_title">'Cover Sheet'!$D$3</definedName>
    <definedName name="s" localSheetId="4">#REF!</definedName>
    <definedName name="s" localSheetId="7">#REF!</definedName>
    <definedName name="s" localSheetId="8">#REF!</definedName>
    <definedName name="s">#REF!</definedName>
    <definedName name="T" localSheetId="4">#REF!</definedName>
    <definedName name="T" localSheetId="7">#REF!</definedName>
    <definedName name="T" localSheetId="8">#REF!</definedName>
    <definedName name="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4" i="13" l="1"/>
  <c r="B57" i="21"/>
  <c r="Q8" i="21" l="1"/>
  <c r="B12" i="22"/>
  <c r="I5" i="21"/>
  <c r="G28" i="10" l="1"/>
  <c r="C28" i="10"/>
  <c r="K24" i="10" l="1"/>
  <c r="N8" i="10" l="1"/>
  <c r="J8" i="10"/>
  <c r="N9" i="10"/>
  <c r="J9" i="10"/>
  <c r="F9" i="10"/>
  <c r="F8" i="10"/>
  <c r="C16" i="10" s="1"/>
  <c r="C10" i="10" l="1"/>
  <c r="K10" i="10"/>
  <c r="K12" i="10"/>
  <c r="K11" i="10"/>
  <c r="G12" i="10"/>
  <c r="G11" i="10"/>
  <c r="G16" i="10"/>
  <c r="G10" i="10"/>
  <c r="C12" i="10"/>
  <c r="C11" i="10"/>
  <c r="K16" i="10"/>
  <c r="F10" i="32"/>
  <c r="C10" i="32"/>
  <c r="B41" i="32"/>
  <c r="BD8" i="32"/>
  <c r="AY8" i="32"/>
  <c r="AT8" i="32"/>
  <c r="AO8" i="32"/>
  <c r="AJ8" i="32"/>
  <c r="AE8" i="32"/>
  <c r="AA8" i="32"/>
  <c r="V8" i="32"/>
  <c r="Q8" i="32"/>
  <c r="L8" i="32"/>
  <c r="G8" i="32"/>
  <c r="B8" i="32"/>
  <c r="BF6" i="32"/>
  <c r="AY4" i="32"/>
  <c r="K4" i="32"/>
  <c r="AY3" i="32"/>
  <c r="K3" i="32"/>
  <c r="AY2" i="32"/>
  <c r="K2" i="32"/>
  <c r="AE17" i="21"/>
  <c r="V17" i="21"/>
  <c r="M17" i="21"/>
  <c r="F10" i="31" l="1"/>
  <c r="C10" i="31"/>
  <c r="B41" i="31"/>
  <c r="BD8" i="31"/>
  <c r="AY8" i="31"/>
  <c r="AT8" i="31"/>
  <c r="AO8" i="31"/>
  <c r="AJ8" i="31"/>
  <c r="AE8" i="31"/>
  <c r="AA8" i="31"/>
  <c r="V8" i="31"/>
  <c r="Q8" i="31"/>
  <c r="L8" i="31"/>
  <c r="G8" i="31"/>
  <c r="B8" i="31"/>
  <c r="BF6" i="31"/>
  <c r="AY4" i="31"/>
  <c r="K4" i="31"/>
  <c r="AY3" i="31"/>
  <c r="K3" i="31"/>
  <c r="AY2" i="31"/>
  <c r="K2" i="31"/>
  <c r="B60" i="29"/>
  <c r="F10" i="29"/>
  <c r="C10" i="29"/>
  <c r="AK8" i="29"/>
  <c r="AG8" i="29"/>
  <c r="AD8" i="29"/>
  <c r="AB8" i="29"/>
  <c r="X8" i="29"/>
  <c r="T8" i="29"/>
  <c r="Q8" i="29"/>
  <c r="O8" i="29"/>
  <c r="K8" i="29"/>
  <c r="G8" i="29"/>
  <c r="D8" i="29"/>
  <c r="B8" i="29"/>
  <c r="AL6" i="29"/>
  <c r="AE4" i="29"/>
  <c r="I4" i="29"/>
  <c r="AE3" i="29"/>
  <c r="I3" i="29"/>
  <c r="AE2" i="29"/>
  <c r="I2" i="29"/>
  <c r="S14" i="22" l="1"/>
  <c r="U14" i="22" s="1"/>
  <c r="B51" i="22"/>
  <c r="B13" i="22"/>
  <c r="AK8" i="22"/>
  <c r="AG8" i="22"/>
  <c r="AD8" i="22"/>
  <c r="AB8" i="22"/>
  <c r="X8" i="22"/>
  <c r="T8" i="22"/>
  <c r="Q8" i="22"/>
  <c r="O8" i="22"/>
  <c r="K8" i="22"/>
  <c r="G8" i="22"/>
  <c r="D8" i="22"/>
  <c r="B8" i="22"/>
  <c r="AE4" i="22"/>
  <c r="I4" i="22"/>
  <c r="AE3" i="22"/>
  <c r="I3" i="22"/>
  <c r="AE2" i="22"/>
  <c r="I2" i="22"/>
  <c r="F10" i="21"/>
  <c r="C10" i="21"/>
  <c r="AK8" i="21"/>
  <c r="AG8" i="21"/>
  <c r="AD8" i="21"/>
  <c r="AB8" i="21"/>
  <c r="X8" i="21"/>
  <c r="T8" i="21"/>
  <c r="O8" i="21"/>
  <c r="K8" i="21"/>
  <c r="G8" i="21"/>
  <c r="D8" i="21"/>
  <c r="B8" i="21"/>
  <c r="AL6" i="21"/>
  <c r="AE4" i="21"/>
  <c r="I4" i="21"/>
  <c r="AE3" i="21"/>
  <c r="I3" i="21"/>
  <c r="AE2" i="21"/>
  <c r="I2" i="21"/>
  <c r="B48" i="20"/>
  <c r="E10" i="20"/>
  <c r="C10" i="20"/>
  <c r="AK8" i="20"/>
  <c r="AG8" i="20"/>
  <c r="AD8" i="20"/>
  <c r="AB8" i="20"/>
  <c r="X8" i="20"/>
  <c r="T8" i="20"/>
  <c r="Q8" i="20"/>
  <c r="O8" i="20"/>
  <c r="K8" i="20"/>
  <c r="G8" i="20"/>
  <c r="D8" i="20"/>
  <c r="B8" i="20"/>
  <c r="AL6" i="20"/>
  <c r="AE4" i="20"/>
  <c r="I4" i="20"/>
  <c r="AE3" i="20"/>
  <c r="I3" i="20"/>
  <c r="AE2" i="20"/>
  <c r="I2" i="20"/>
  <c r="B56" i="19"/>
  <c r="F10" i="19"/>
  <c r="C10" i="19"/>
  <c r="AK8" i="19"/>
  <c r="AG8" i="19"/>
  <c r="AD8" i="19"/>
  <c r="AB8" i="19"/>
  <c r="X8" i="19"/>
  <c r="T8" i="19"/>
  <c r="Q8" i="19"/>
  <c r="O8" i="19"/>
  <c r="K8" i="19"/>
  <c r="G8" i="19"/>
  <c r="D8" i="19"/>
  <c r="B8" i="19"/>
  <c r="AL6" i="19"/>
  <c r="AE4" i="19"/>
  <c r="I4" i="19"/>
  <c r="AE3" i="19"/>
  <c r="I3" i="19"/>
  <c r="AE2" i="19"/>
  <c r="I2" i="19"/>
  <c r="B50" i="18"/>
  <c r="F10" i="18"/>
  <c r="C10" i="18"/>
  <c r="AK8" i="18"/>
  <c r="AG8" i="18"/>
  <c r="AD8" i="18"/>
  <c r="AB8" i="18"/>
  <c r="X8" i="18"/>
  <c r="T8" i="18"/>
  <c r="Q8" i="18"/>
  <c r="O8" i="18"/>
  <c r="K8" i="18"/>
  <c r="G8" i="18"/>
  <c r="D8" i="18"/>
  <c r="B8" i="18"/>
  <c r="AL6" i="18"/>
  <c r="AE4" i="18"/>
  <c r="I4" i="18"/>
  <c r="AE3" i="18"/>
  <c r="I3" i="18"/>
  <c r="AE2" i="18"/>
  <c r="I2" i="18"/>
  <c r="B51" i="16"/>
  <c r="F10" i="16"/>
  <c r="C10" i="16"/>
  <c r="AK8" i="16"/>
  <c r="AG8" i="16"/>
  <c r="AD8" i="16"/>
  <c r="AB8" i="16"/>
  <c r="X8" i="16"/>
  <c r="T8" i="16"/>
  <c r="Q8" i="16"/>
  <c r="O8" i="16"/>
  <c r="K8" i="16"/>
  <c r="G8" i="16"/>
  <c r="D8" i="16"/>
  <c r="B8" i="16"/>
  <c r="AL6" i="16"/>
  <c r="AE4" i="16"/>
  <c r="I4" i="16"/>
  <c r="AE3" i="16"/>
  <c r="I3" i="16"/>
  <c r="AE2" i="16"/>
  <c r="I2" i="16"/>
  <c r="B53" i="17"/>
  <c r="AK8" i="17"/>
  <c r="AG8" i="17"/>
  <c r="AD8" i="17"/>
  <c r="AB8" i="17"/>
  <c r="X8" i="17"/>
  <c r="T8" i="17"/>
  <c r="Q8" i="17"/>
  <c r="O8" i="17"/>
  <c r="K8" i="17"/>
  <c r="G8" i="17"/>
  <c r="D8" i="17"/>
  <c r="B8" i="17"/>
  <c r="AL6" i="17"/>
  <c r="AE4" i="17"/>
  <c r="I4" i="17"/>
  <c r="AE3" i="17"/>
  <c r="I3" i="17"/>
  <c r="AE2" i="17"/>
  <c r="I2" i="17"/>
  <c r="I42" i="13"/>
  <c r="G42" i="13"/>
  <c r="F42" i="13"/>
  <c r="D42" i="13"/>
  <c r="B42" i="13"/>
  <c r="A42" i="13"/>
  <c r="I41" i="13"/>
  <c r="G41" i="13"/>
  <c r="F41" i="13"/>
  <c r="D41" i="13"/>
  <c r="B41" i="13"/>
  <c r="A41" i="13"/>
  <c r="I40" i="13"/>
  <c r="G40" i="13"/>
  <c r="F40" i="13"/>
  <c r="D40" i="13"/>
  <c r="B40" i="13"/>
  <c r="A40" i="13"/>
  <c r="J6" i="13"/>
  <c r="H4" i="13"/>
  <c r="D4" i="13"/>
  <c r="H3" i="13"/>
  <c r="D3" i="13"/>
  <c r="H2" i="13"/>
  <c r="D2" i="13"/>
  <c r="D5" i="14"/>
  <c r="C25" i="10"/>
  <c r="G24" i="10"/>
  <c r="G25" i="10"/>
  <c r="C24" i="10"/>
  <c r="K25" i="10"/>
  <c r="K29" i="10"/>
  <c r="G29" i="10"/>
  <c r="C29" i="10"/>
  <c r="K5" i="32" l="1"/>
  <c r="I5" i="29"/>
  <c r="E11" i="10"/>
  <c r="E10" i="10"/>
  <c r="U36" i="10" s="1"/>
  <c r="K5" i="31"/>
  <c r="E12" i="10"/>
  <c r="E16" i="10"/>
  <c r="I16" i="10"/>
  <c r="M16" i="10"/>
  <c r="M11" i="10"/>
  <c r="M12" i="10"/>
  <c r="M10" i="10"/>
  <c r="I11" i="10"/>
  <c r="I12" i="10"/>
  <c r="I10" i="10"/>
  <c r="Y42" i="10" l="1"/>
  <c r="Y41" i="10"/>
  <c r="AB42" i="10"/>
  <c r="AB41" i="10"/>
  <c r="AB39" i="10"/>
  <c r="Y39" i="10"/>
  <c r="AB38" i="10"/>
  <c r="Y38" i="10"/>
  <c r="Y36" i="10"/>
  <c r="AB36" i="10"/>
  <c r="AB35" i="10"/>
  <c r="Y35" i="10"/>
  <c r="R58" i="10"/>
  <c r="U40" i="10"/>
  <c r="U42" i="10"/>
  <c r="U41" i="10"/>
  <c r="U35" i="10"/>
  <c r="R55" i="10"/>
  <c r="U39" i="10"/>
  <c r="U38" i="10"/>
  <c r="U37" i="10"/>
  <c r="U34" i="10"/>
  <c r="C30" i="10" s="1"/>
  <c r="R52" i="10"/>
  <c r="C26" i="10"/>
  <c r="C27" i="10" s="1"/>
  <c r="AB58" i="10"/>
  <c r="X59" i="10"/>
  <c r="AB59" i="10"/>
  <c r="X58" i="10"/>
  <c r="K26" i="10"/>
  <c r="V59" i="10"/>
  <c r="R59" i="10"/>
  <c r="Z59" i="10"/>
  <c r="Z58" i="10"/>
  <c r="V58" i="10"/>
  <c r="T59" i="10"/>
  <c r="T58" i="10"/>
  <c r="T60" i="10" s="1"/>
  <c r="X52" i="10"/>
  <c r="Z53" i="10"/>
  <c r="V53" i="10"/>
  <c r="X53" i="10"/>
  <c r="T52" i="10"/>
  <c r="Z52" i="10"/>
  <c r="T53" i="10"/>
  <c r="AB52" i="10"/>
  <c r="R53" i="10"/>
  <c r="AB53" i="10"/>
  <c r="V52" i="10"/>
  <c r="V54" i="10" s="1"/>
  <c r="G27" i="10"/>
  <c r="X56" i="10"/>
  <c r="T55" i="10"/>
  <c r="R56" i="10"/>
  <c r="Z56" i="10"/>
  <c r="AB56" i="10"/>
  <c r="T56" i="10"/>
  <c r="AB55" i="10"/>
  <c r="V55" i="10"/>
  <c r="X55" i="10"/>
  <c r="X57" i="10" s="1"/>
  <c r="Z55" i="10"/>
  <c r="V56" i="10"/>
  <c r="R57" i="10" l="1"/>
  <c r="K32" i="10"/>
  <c r="K27" i="10"/>
  <c r="K28" i="10"/>
  <c r="K33" i="10"/>
  <c r="V60" i="10"/>
  <c r="Y43" i="10"/>
  <c r="AB60" i="10"/>
  <c r="K30" i="10"/>
  <c r="AB43" i="10"/>
  <c r="Y37" i="10"/>
  <c r="AB40" i="10"/>
  <c r="G33" i="10"/>
  <c r="G30" i="10"/>
  <c r="Y40" i="10"/>
  <c r="C33" i="10"/>
  <c r="AB37" i="10"/>
  <c r="C32" i="10"/>
  <c r="AB54" i="10"/>
  <c r="R54" i="10"/>
  <c r="X60" i="10"/>
  <c r="Z60" i="10"/>
  <c r="K34" i="10" s="1"/>
  <c r="K35" i="10" s="1"/>
  <c r="R60" i="10"/>
  <c r="Z54" i="10"/>
  <c r="T57" i="10"/>
  <c r="T54" i="10"/>
  <c r="Z57" i="10"/>
  <c r="X54" i="10"/>
  <c r="V57" i="10"/>
  <c r="G32" i="10"/>
  <c r="AB57" i="10"/>
  <c r="K38" i="10" l="1"/>
  <c r="K40" i="10"/>
  <c r="K41" i="10" s="1"/>
  <c r="K39" i="10"/>
  <c r="G34" i="10"/>
  <c r="G35" i="10" s="1"/>
  <c r="G40" i="10" s="1"/>
  <c r="G41" i="10" s="1"/>
  <c r="C34" i="10"/>
  <c r="C35" i="10" s="1"/>
  <c r="C40" i="10" s="1"/>
  <c r="C41" i="10" s="1"/>
  <c r="I5" i="22"/>
  <c r="I5" i="20"/>
  <c r="I5" i="18"/>
  <c r="I5" i="19"/>
  <c r="I5" i="16"/>
  <c r="D5" i="13"/>
  <c r="I5" i="17"/>
  <c r="G38" i="10" l="1"/>
  <c r="G39" i="10"/>
  <c r="C38" i="10"/>
  <c r="C3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Aminu, Abdullah (London)</author>
  </authors>
  <commentList>
    <comment ref="A40" authorId="0" shapeId="0" xr:uid="{00000000-0006-0000-0000-000001000000}">
      <text>
        <r>
          <rPr>
            <b/>
            <sz val="9"/>
            <color indexed="81"/>
            <rFont val="Tahoma"/>
            <family val="2"/>
          </rPr>
          <t>Include conclusion of the vibration assessment study for the cases.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Aminu, Abdullah (London)</author>
  </authors>
  <commentList>
    <comment ref="C12" authorId="0" shapeId="0" xr:uid="{00000000-0006-0000-0300-000001000000}">
      <text>
        <r>
          <rPr>
            <b/>
            <sz val="9"/>
            <color indexed="81"/>
            <rFont val="Tahoma"/>
            <family val="2"/>
          </rPr>
          <t>Describe facility/project and system under consideration.
Confirm the presence of pressure let down devices and describe them.</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Aminu, Abdullah (London)</author>
  </authors>
  <commentList>
    <comment ref="C12" authorId="0" shapeId="0" xr:uid="{00000000-0006-0000-0400-000001000000}">
      <text>
        <r>
          <rPr>
            <b/>
            <sz val="9"/>
            <color indexed="81"/>
            <rFont val="Tahoma"/>
            <family val="2"/>
          </rPr>
          <t>Include a sketch of the system (e.g. excerpt from P&amp;ID or PFD/UFD).
The sketch should identify the sources of Flow Induced Turbulence and Welded Discontinuties.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Aminu, Abdullah (London)</author>
  </authors>
  <commentList>
    <comment ref="C12" authorId="0" shapeId="0" xr:uid="{00000000-0006-0000-0900-000001000000}">
      <text>
        <r>
          <rPr>
            <b/>
            <sz val="9"/>
            <color indexed="81"/>
            <rFont val="Tahoma"/>
            <family val="2"/>
          </rPr>
          <t xml:space="preserve">Identify and describe each case to be considered. These may include expected operating modes, operating or transient conditions. Cite references where relevant. Label each case with roman numerals (e.g. CASE I, CASE II, etc.)
</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Aminu, Abdullah (London)</author>
  </authors>
  <commentList>
    <comment ref="AN12" authorId="0" shapeId="0" xr:uid="{00000000-0006-0000-0A00-000001000000}">
      <text>
        <r>
          <rPr>
            <b/>
            <sz val="9"/>
            <color indexed="81"/>
            <rFont val="Tahoma"/>
            <family val="2"/>
          </rPr>
          <t>Include sources of information in this column.</t>
        </r>
        <r>
          <rPr>
            <sz val="9"/>
            <color indexed="81"/>
            <rFont val="Tahoma"/>
            <family val="2"/>
          </rPr>
          <t xml:space="preserve">
</t>
        </r>
      </text>
    </comment>
    <comment ref="C25" authorId="0" shapeId="0" xr:uid="{00000000-0006-0000-0A00-000002000000}">
      <text>
        <r>
          <rPr>
            <b/>
            <sz val="9"/>
            <color indexed="81"/>
            <rFont val="Tahoma"/>
            <family val="2"/>
          </rPr>
          <t>This is required for advanced screening and can be obtained ONLY from Piping Department or Client following the procedure explained in TM-8 or TM-9 of Ref. 1. This may involve use of pipework sofware or experimental procedure.</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Rohit Aswani</author>
    <author>Aminu, Abdullah (London)</author>
  </authors>
  <commentList>
    <comment ref="B16" authorId="0" shapeId="0" xr:uid="{00000000-0006-0000-0C00-000001000000}">
      <text>
        <r>
          <rPr>
            <sz val="8"/>
            <color indexed="81"/>
            <rFont val="Tahoma"/>
            <family val="2"/>
          </rPr>
          <t>Wall Thickness for Schedule 40 Piping</t>
        </r>
      </text>
    </comment>
    <comment ref="B17" authorId="0" shapeId="0" xr:uid="{00000000-0006-0000-0C00-000002000000}">
      <text>
        <r>
          <rPr>
            <sz val="8"/>
            <color indexed="81"/>
            <rFont val="Tahoma"/>
            <family val="2"/>
          </rPr>
          <t>Wall Thickness for Schedule 40 Piping</t>
        </r>
      </text>
    </comment>
    <comment ref="B31" authorId="1" shapeId="0" xr:uid="{00000000-0006-0000-0C00-000003000000}">
      <text>
        <r>
          <rPr>
            <sz val="9"/>
            <color indexed="81"/>
            <rFont val="Tahoma"/>
            <family val="2"/>
          </rPr>
          <t xml:space="preserve">Select the Stiffness range from drop down.
</t>
        </r>
      </text>
    </comment>
    <comment ref="B37" authorId="1" shapeId="0" xr:uid="{00000000-0006-0000-0C00-000004000000}">
      <text>
        <r>
          <rPr>
            <b/>
            <sz val="9"/>
            <color indexed="81"/>
            <rFont val="Tahoma"/>
            <family val="2"/>
          </rPr>
          <t>This can be obtained ONLY from Piping Department or Client following the procedure explained in TM-8 or TM-9 of Ref. 1. This may involve use of pipework sofware or experimental procedure.</t>
        </r>
        <r>
          <rPr>
            <sz val="9"/>
            <color indexed="81"/>
            <rFont val="Tahoma"/>
            <family val="2"/>
          </rPr>
          <t xml:space="preserve">
</t>
        </r>
      </text>
    </comment>
  </commentList>
</comments>
</file>

<file path=xl/sharedStrings.xml><?xml version="1.0" encoding="utf-8"?>
<sst xmlns="http://schemas.openxmlformats.org/spreadsheetml/2006/main" count="719" uniqueCount="285">
  <si>
    <t>Calculation Cover Sheet</t>
  </si>
  <si>
    <t>Customer</t>
  </si>
  <si>
    <t>customer name</t>
  </si>
  <si>
    <t>Proj No</t>
  </si>
  <si>
    <t>proj no</t>
  </si>
  <si>
    <t>Project Title</t>
  </si>
  <si>
    <t>proj title</t>
  </si>
  <si>
    <t>Calc No</t>
  </si>
  <si>
    <t>650100-PR-CAL-0004</t>
  </si>
  <si>
    <t>Calculation Title</t>
  </si>
  <si>
    <t>Vibration Assessment-Flow Induced Turbulence Template</t>
  </si>
  <si>
    <t>Phase/CTR</t>
  </si>
  <si>
    <t>phase</t>
  </si>
  <si>
    <t>Elec File Location</t>
  </si>
  <si>
    <t>Page</t>
  </si>
  <si>
    <t>of</t>
  </si>
  <si>
    <t>#pages</t>
  </si>
  <si>
    <t>Calculation Objective</t>
  </si>
  <si>
    <t>The objective of this calculation is to determine the main line likelihood of failure (LOF) for vibration induced fatigue due to flow induced turbulence.</t>
  </si>
  <si>
    <t>Calculation Method</t>
  </si>
  <si>
    <t>The LOF calculation methodology is based on Energy Institute guidelines for the avoidance of vibration induced fatigue in process pipework (Ref. 1, Technical Module T2.2). See "Methodology" section for a detailed description of the calculation methodology.
Additional guidance is provided in WorleyParsons Design Guide: "Avoidance of Vibration Induced Fatigue Failure in Process Pipework" (Ref. 2)</t>
  </si>
  <si>
    <t>Assumptions</t>
  </si>
  <si>
    <t>1. System under consideration is a new design, part of an existing plant or change to existing plant that may exhibit or result in flow induced turbulence (Ref. 1, Tables T1-1 &amp; T1-5).
2. In accordance with the Energy Institute (Ref. 1) procedure, the FIT spreadsheet is limited to a main line size with maximum external diameter of 762mm (NPS - 30inches).</t>
  </si>
  <si>
    <t>Software Used</t>
  </si>
  <si>
    <t xml:space="preserve">Title
</t>
  </si>
  <si>
    <r>
      <t>Version</t>
    </r>
    <r>
      <rPr>
        <i/>
        <sz val="11"/>
        <rFont val="Times New Roman"/>
        <family val="1"/>
      </rPr>
      <t xml:space="preserve">
</t>
    </r>
  </si>
  <si>
    <t>Validation (Y / N / N/A)</t>
  </si>
  <si>
    <t>References</t>
  </si>
  <si>
    <t>1. "Guidelines for the Avoidance of Vibration Induced Fatigue Failure in Process Pipework" Energy Institute, 2nd Edition,January 2008
2. "Avoidance of Vibration Induced Fatigue Failure in Process Pipework", 650100-PR-DEG-0004, WorleyParsons Design Guide, Rev 0, November 2016</t>
  </si>
  <si>
    <t>Conclusions</t>
  </si>
  <si>
    <t>Related to a Safety Critical System?</t>
  </si>
  <si>
    <t>No</t>
  </si>
  <si>
    <t>Status of Supplier Data used</t>
  </si>
  <si>
    <t>N/A</t>
  </si>
  <si>
    <t>HOLDS</t>
  </si>
  <si>
    <t>rev3</t>
  </si>
  <si>
    <t>date3</t>
  </si>
  <si>
    <t>desc3</t>
  </si>
  <si>
    <t>by3</t>
  </si>
  <si>
    <t>chkd3</t>
  </si>
  <si>
    <t>app3</t>
  </si>
  <si>
    <t>rev2</t>
  </si>
  <si>
    <t>date2</t>
  </si>
  <si>
    <t>desc2</t>
  </si>
  <si>
    <t>by2</t>
  </si>
  <si>
    <t>chkd2</t>
  </si>
  <si>
    <t>app2</t>
  </si>
  <si>
    <t>rev1</t>
  </si>
  <si>
    <t>date1</t>
  </si>
  <si>
    <t>desc1</t>
  </si>
  <si>
    <t>by1</t>
  </si>
  <si>
    <t>chkd1</t>
  </si>
  <si>
    <t>app1</t>
  </si>
  <si>
    <t>Rev</t>
  </si>
  <si>
    <t>Date</t>
  </si>
  <si>
    <t>Description</t>
  </si>
  <si>
    <t>By</t>
  </si>
  <si>
    <t>Checked</t>
  </si>
  <si>
    <t>Approved</t>
  </si>
  <si>
    <t>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t>
  </si>
  <si>
    <t>Calculation Checklist</t>
  </si>
  <si>
    <t>Please check boxes for all applicable items checked or mark as "N/A" if not appropriate:</t>
  </si>
  <si>
    <t>Calculations:</t>
  </si>
  <si>
    <t>Originator</t>
  </si>
  <si>
    <t>Checker</t>
  </si>
  <si>
    <t>Calculation number assigned and registered. refer to project numbering system or Document Number Standard (DPP-0031-COR-EN) for format.</t>
  </si>
  <si>
    <t>All required information on Cover Sheet provided.</t>
  </si>
  <si>
    <t>Revision history box complete and signed. (Typed names (minimum of first initial and last name e.g. A. Wood)
of Originator, Checker, Approver; to be initialed beside at sign-off) (Dates in standard format (DD-MMM-YY)</t>
  </si>
  <si>
    <t>Table of Contents.</t>
  </si>
  <si>
    <t>Appropriate stamp for preliminary issues.</t>
  </si>
  <si>
    <t>Source of input data stated (with revision number and date if relevant).</t>
  </si>
  <si>
    <t>Customer's requirements included/addressed.</t>
  </si>
  <si>
    <t>Approach used is appropriate for problem being solved.</t>
  </si>
  <si>
    <t>Method clear and easy to follow.</t>
  </si>
  <si>
    <t>Input data correct.</t>
  </si>
  <si>
    <t>Calculation arithmetically correct OR software previously verified and reference to verification checked.</t>
  </si>
  <si>
    <t>Calculation result within expected limits.</t>
  </si>
  <si>
    <t>Calculation tolerances stated if significant.</t>
  </si>
  <si>
    <t>Units used as required by customer. Unit conversions correctly performed.</t>
  </si>
  <si>
    <t>Appropriate cross-references.</t>
  </si>
  <si>
    <t>Sketches included and clearly labelled, where required.</t>
  </si>
  <si>
    <t>Appendices included and referenced, as required.</t>
  </si>
  <si>
    <t>Considered design reviews, Hazop actions, customer input, safety and environmental issues, etc.</t>
  </si>
  <si>
    <t>Safety in Design (SID) and Sustainable Design are addressed. Refer relevant SID Discipline Standard.</t>
  </si>
  <si>
    <t>Conclusions and recommendations are appropriate.</t>
  </si>
  <si>
    <t>Checking Records:</t>
  </si>
  <si>
    <t>Checked and annotated copy of calculation filed (use "Doc Check Print" stamp).</t>
  </si>
  <si>
    <t>Corrections made as required and calculation dated and signed on cover sheet by checker.</t>
  </si>
  <si>
    <t>Alternative method calculation and/or representative check performed and filed, as required.</t>
  </si>
  <si>
    <t>Revisions:</t>
  </si>
  <si>
    <t>Changes clouded.</t>
  </si>
  <si>
    <t>Revision history block updated.</t>
  </si>
  <si>
    <t>Calculation re-checked if required.</t>
  </si>
  <si>
    <t>Calculation Sheet</t>
  </si>
  <si>
    <t>Table of Contents</t>
  </si>
  <si>
    <t>1.0</t>
  </si>
  <si>
    <t>Introduction</t>
  </si>
  <si>
    <t>2.0</t>
  </si>
  <si>
    <t>Sketch</t>
  </si>
  <si>
    <t>3.0</t>
  </si>
  <si>
    <t>Mechanism</t>
  </si>
  <si>
    <t>4.0</t>
  </si>
  <si>
    <t>Methodology</t>
  </si>
  <si>
    <t>5.0</t>
  </si>
  <si>
    <t>Case Description</t>
  </si>
  <si>
    <t>6.0</t>
  </si>
  <si>
    <t>Summary</t>
  </si>
  <si>
    <t>Appendices</t>
  </si>
  <si>
    <t>Pages</t>
  </si>
  <si>
    <t>A</t>
  </si>
  <si>
    <t>App A Title</t>
  </si>
  <si>
    <t>#</t>
  </si>
  <si>
    <t>Turbulence exists in most piping systems especially those with major flow discontinuties. Typical examples are partially closed valves, tees and reducers. In straight pipes, it is generated by the turbulent boundary layer at the pipe wall, the severity is a function of the flow regime as defined by the Reynolds number. (Ref. 1)</t>
  </si>
  <si>
    <t>The turbulence generates potentially high levels of broadboand kinetic energy local to the turbulent source. Although the energy is distributed across a wide frequency range, the majority of the exciation is concentrated at low frequency (usually below 100 Hz); the lower the frequency the higher the excitation from turbulence.This leads to excitation of the low frequency vibration modes of the pipework, in many cases causing visible motion of the pipe, and in some cases, the pipe supports. See Ref. 1 for illustrations.</t>
  </si>
  <si>
    <t xml:space="preserve">The motion caused by excitation generated by the turbulence affects pipework and support, and the main line Likelihood of Failure (LOF) values should be determined to prevent piping fatigue and process down times. </t>
  </si>
  <si>
    <t>See below the methodology flowchart (Ref. 1)</t>
  </si>
  <si>
    <r>
      <t xml:space="preserve">Determine </t>
    </r>
    <r>
      <rPr>
        <b/>
        <sz val="11"/>
        <rFont val="Calibri"/>
        <family val="2"/>
        <scheme val="minor"/>
      </rPr>
      <t>ρV</t>
    </r>
    <r>
      <rPr>
        <b/>
        <vertAlign val="superscript"/>
        <sz val="11"/>
        <rFont val="Calibri"/>
        <family val="2"/>
        <scheme val="minor"/>
      </rPr>
      <t>2</t>
    </r>
  </si>
  <si>
    <r>
      <t xml:space="preserve">Determine </t>
    </r>
    <r>
      <rPr>
        <b/>
        <sz val="11"/>
        <rFont val="Calibri"/>
        <family val="2"/>
        <scheme val="minor"/>
      </rPr>
      <t>FVF</t>
    </r>
  </si>
  <si>
    <t>Determine Support Arrangement</t>
  </si>
  <si>
    <r>
      <t xml:space="preserve">Determine </t>
    </r>
    <r>
      <rPr>
        <b/>
        <sz val="11"/>
        <rFont val="Calibri"/>
        <family val="2"/>
        <scheme val="minor"/>
      </rPr>
      <t>F</t>
    </r>
    <r>
      <rPr>
        <b/>
        <vertAlign val="subscript"/>
        <sz val="11"/>
        <rFont val="Calibri"/>
        <family val="2"/>
        <scheme val="minor"/>
      </rPr>
      <t>v</t>
    </r>
  </si>
  <si>
    <t>Advanced Screening Method Option</t>
  </si>
  <si>
    <t>Recalculate Fv using Advanced Screening Method (Fundamental naturak frequency 1-3Hz)</t>
  </si>
  <si>
    <r>
      <t xml:space="preserve">Calculate Flow Induced Turbulence </t>
    </r>
    <r>
      <rPr>
        <b/>
        <sz val="11"/>
        <rFont val="Calibri"/>
        <family val="2"/>
        <scheme val="minor"/>
      </rPr>
      <t>LOF</t>
    </r>
  </si>
  <si>
    <t>Flexible systems, with LOF greater than or equal to 1, where the actual natural frequencies are known and between 1-3Hz</t>
  </si>
  <si>
    <t>Amend LOF</t>
  </si>
  <si>
    <t>Nomenclature</t>
  </si>
  <si>
    <r>
      <t>L</t>
    </r>
    <r>
      <rPr>
        <vertAlign val="subscript"/>
        <sz val="11"/>
        <rFont val="Calibri"/>
        <family val="2"/>
        <scheme val="minor"/>
      </rPr>
      <t>span</t>
    </r>
  </si>
  <si>
    <t>Maximum Span Length between supports on Line of interest</t>
  </si>
  <si>
    <t>m</t>
  </si>
  <si>
    <r>
      <t>D</t>
    </r>
    <r>
      <rPr>
        <vertAlign val="subscript"/>
        <sz val="11"/>
        <rFont val="Calibri"/>
        <family val="2"/>
        <scheme val="minor"/>
      </rPr>
      <t>ext</t>
    </r>
  </si>
  <si>
    <t>External Diameter of Main Pipe</t>
  </si>
  <si>
    <t>mm</t>
  </si>
  <si>
    <t>T</t>
  </si>
  <si>
    <t>Wall Thickness of Main Pipe</t>
  </si>
  <si>
    <t>V</t>
  </si>
  <si>
    <t>Fluid velocity</t>
  </si>
  <si>
    <t>m/s</t>
  </si>
  <si>
    <t>ρ</t>
  </si>
  <si>
    <t>Fluid Density</t>
  </si>
  <si>
    <r>
      <t>kg/m</t>
    </r>
    <r>
      <rPr>
        <vertAlign val="superscript"/>
        <sz val="11"/>
        <rFont val="Calibri"/>
        <family val="2"/>
        <scheme val="minor"/>
      </rPr>
      <t>3</t>
    </r>
  </si>
  <si>
    <r>
      <t>μ</t>
    </r>
    <r>
      <rPr>
        <vertAlign val="subscript"/>
        <sz val="11"/>
        <rFont val="Calibri"/>
        <family val="2"/>
        <scheme val="minor"/>
      </rPr>
      <t>gas</t>
    </r>
  </si>
  <si>
    <t>Gas Dynamic Viscosity</t>
  </si>
  <si>
    <t>Pa.s</t>
  </si>
  <si>
    <r>
      <t>f</t>
    </r>
    <r>
      <rPr>
        <vertAlign val="subscript"/>
        <sz val="11"/>
        <rFont val="Calibri"/>
        <family val="2"/>
        <scheme val="minor"/>
      </rPr>
      <t>n</t>
    </r>
  </si>
  <si>
    <t>Strutural Natural Frequency</t>
  </si>
  <si>
    <t>Hz</t>
  </si>
  <si>
    <r>
      <t>F</t>
    </r>
    <r>
      <rPr>
        <vertAlign val="subscript"/>
        <sz val="11"/>
        <rFont val="Calibri"/>
        <family val="2"/>
        <scheme val="minor"/>
      </rPr>
      <t>v</t>
    </r>
  </si>
  <si>
    <t>Flow Induced Vibration Factor</t>
  </si>
  <si>
    <t>FVF</t>
  </si>
  <si>
    <t>Fluid Viscosity Factor</t>
  </si>
  <si>
    <t>LOF</t>
  </si>
  <si>
    <t>Likelihood of Failure</t>
  </si>
  <si>
    <t>Cont'd</t>
  </si>
  <si>
    <t>Standard Assessment for Flow Induced Turbulence</t>
  </si>
  <si>
    <r>
      <rPr>
        <b/>
        <sz val="11"/>
        <rFont val="Calibri"/>
        <family val="2"/>
        <scheme val="minor"/>
      </rPr>
      <t>1.</t>
    </r>
    <r>
      <rPr>
        <sz val="11"/>
        <rFont val="Calibri"/>
        <family val="2"/>
        <scheme val="minor"/>
      </rPr>
      <t xml:space="preserve"> Determine ρn</t>
    </r>
    <r>
      <rPr>
        <vertAlign val="superscript"/>
        <sz val="11"/>
        <rFont val="Calibri"/>
        <family val="2"/>
        <scheme val="minor"/>
      </rPr>
      <t>2</t>
    </r>
  </si>
  <si>
    <r>
      <rPr>
        <b/>
        <sz val="11"/>
        <rFont val="Calibri"/>
        <family val="2"/>
        <scheme val="minor"/>
      </rPr>
      <t>2.</t>
    </r>
    <r>
      <rPr>
        <sz val="11"/>
        <rFont val="Calibri"/>
        <family val="2"/>
        <scheme val="minor"/>
      </rPr>
      <t xml:space="preserve"> Determine Fluid Viscocity Factor FVF</t>
    </r>
  </si>
  <si>
    <t>For liquid and multiphase fluids; FVF = 1</t>
  </si>
  <si>
    <r>
      <t xml:space="preserve">3. </t>
    </r>
    <r>
      <rPr>
        <sz val="11"/>
        <rFont val="Calibri"/>
        <family val="2"/>
        <scheme val="minor"/>
      </rPr>
      <t>Determine Support Arrangement</t>
    </r>
  </si>
  <si>
    <r>
      <t>4.</t>
    </r>
    <r>
      <rPr>
        <sz val="11"/>
        <rFont val="Calibri"/>
        <family val="2"/>
        <scheme val="minor"/>
      </rPr>
      <t xml:space="preserve"> Determine the Flow Induced Vibration Factor, F</t>
    </r>
    <r>
      <rPr>
        <vertAlign val="subscript"/>
        <sz val="11"/>
        <rFont val="Calibri"/>
        <family val="2"/>
        <scheme val="minor"/>
      </rPr>
      <t>v</t>
    </r>
  </si>
  <si>
    <r>
      <t xml:space="preserve">5. </t>
    </r>
    <r>
      <rPr>
        <sz val="11"/>
        <rFont val="Calibri"/>
        <family val="2"/>
        <scheme val="minor"/>
      </rPr>
      <t>Calculation of Likelihood of Failure (LOF)</t>
    </r>
  </si>
  <si>
    <r>
      <rPr>
        <b/>
        <i/>
        <u/>
        <sz val="11"/>
        <rFont val="Calibri"/>
        <family val="2"/>
        <scheme val="minor"/>
      </rPr>
      <t>CASE I</t>
    </r>
    <r>
      <rPr>
        <i/>
        <sz val="11"/>
        <rFont val="Calibri"/>
        <family val="2"/>
        <scheme val="minor"/>
      </rPr>
      <t xml:space="preserve">
CASE I represents…
</t>
    </r>
    <r>
      <rPr>
        <b/>
        <i/>
        <u/>
        <sz val="11"/>
        <rFont val="Calibri"/>
        <family val="2"/>
        <scheme val="minor"/>
      </rPr>
      <t>CASE II</t>
    </r>
    <r>
      <rPr>
        <i/>
        <sz val="11"/>
        <rFont val="Calibri"/>
        <family val="2"/>
        <scheme val="minor"/>
      </rPr>
      <t xml:space="preserve">
CASE II represents…
</t>
    </r>
    <r>
      <rPr>
        <b/>
        <i/>
        <sz val="11"/>
        <rFont val="Calibri"/>
        <family val="2"/>
        <scheme val="minor"/>
      </rPr>
      <t>CASE III</t>
    </r>
    <r>
      <rPr>
        <i/>
        <sz val="11"/>
        <rFont val="Calibri"/>
        <family val="2"/>
        <scheme val="minor"/>
      </rPr>
      <t xml:space="preserve">
CASE III represents…</t>
    </r>
  </si>
  <si>
    <t>YES</t>
  </si>
  <si>
    <t>NO</t>
  </si>
  <si>
    <t>Case I</t>
  </si>
  <si>
    <t>Case II</t>
  </si>
  <si>
    <t>Case III</t>
  </si>
  <si>
    <t>REF.</t>
  </si>
  <si>
    <t>Input Data</t>
  </si>
  <si>
    <t>Fluid Phase</t>
  </si>
  <si>
    <t>Gas</t>
  </si>
  <si>
    <r>
      <t>Main Line Ext. Diameter (D</t>
    </r>
    <r>
      <rPr>
        <i/>
        <vertAlign val="subscript"/>
        <sz val="11"/>
        <rFont val="Calibri"/>
        <family val="2"/>
        <scheme val="minor"/>
      </rPr>
      <t>ext</t>
    </r>
    <r>
      <rPr>
        <i/>
        <sz val="11"/>
        <rFont val="Calibri"/>
        <family val="2"/>
        <scheme val="minor"/>
      </rPr>
      <t>)</t>
    </r>
  </si>
  <si>
    <t>Main Line Thickness (T)</t>
  </si>
  <si>
    <r>
      <t>Main Line Int. Diameter (D</t>
    </r>
    <r>
      <rPr>
        <i/>
        <vertAlign val="subscript"/>
        <sz val="11"/>
        <rFont val="Calibri"/>
        <family val="2"/>
        <scheme val="minor"/>
      </rPr>
      <t>int</t>
    </r>
    <r>
      <rPr>
        <i/>
        <sz val="11"/>
        <rFont val="Calibri"/>
        <family val="2"/>
        <scheme val="minor"/>
      </rPr>
      <t>)</t>
    </r>
  </si>
  <si>
    <r>
      <t>Max. Span Length (L</t>
    </r>
    <r>
      <rPr>
        <i/>
        <vertAlign val="subscript"/>
        <sz val="11"/>
        <rFont val="Calibri"/>
        <family val="2"/>
        <scheme val="minor"/>
      </rPr>
      <t>span</t>
    </r>
    <r>
      <rPr>
        <i/>
        <sz val="11"/>
        <rFont val="Calibri"/>
        <family val="2"/>
        <scheme val="minor"/>
      </rPr>
      <t>)</t>
    </r>
  </si>
  <si>
    <r>
      <t>Gas Dynamic Viscosity (μ</t>
    </r>
    <r>
      <rPr>
        <i/>
        <vertAlign val="subscript"/>
        <sz val="11"/>
        <rFont val="Calibri"/>
        <family val="2"/>
        <scheme val="minor"/>
      </rPr>
      <t>gas</t>
    </r>
    <r>
      <rPr>
        <i/>
        <sz val="11"/>
        <rFont val="Calibri"/>
        <family val="2"/>
        <scheme val="minor"/>
      </rPr>
      <t>)</t>
    </r>
  </si>
  <si>
    <r>
      <t>Vapour Density (ρ</t>
    </r>
    <r>
      <rPr>
        <i/>
        <vertAlign val="subscript"/>
        <sz val="11"/>
        <rFont val="Calibri"/>
        <family val="2"/>
        <scheme val="minor"/>
      </rPr>
      <t>gas</t>
    </r>
    <r>
      <rPr>
        <i/>
        <sz val="11"/>
        <rFont val="Calibri"/>
        <family val="2"/>
        <scheme val="minor"/>
      </rPr>
      <t>)</t>
    </r>
  </si>
  <si>
    <r>
      <t>kg/m</t>
    </r>
    <r>
      <rPr>
        <i/>
        <vertAlign val="superscript"/>
        <sz val="11"/>
        <rFont val="Calibri"/>
        <family val="2"/>
        <scheme val="minor"/>
      </rPr>
      <t>3</t>
    </r>
  </si>
  <si>
    <t>Gas Mass Flowrate</t>
  </si>
  <si>
    <t>kg/hr</t>
  </si>
  <si>
    <t>Liquid Mass Flowrate</t>
  </si>
  <si>
    <r>
      <t>Main Line Actual Natural Frequency (f</t>
    </r>
    <r>
      <rPr>
        <i/>
        <vertAlign val="subscript"/>
        <sz val="11"/>
        <rFont val="Calibri"/>
        <family val="2"/>
        <scheme val="minor"/>
      </rPr>
      <t>n</t>
    </r>
    <r>
      <rPr>
        <i/>
        <sz val="11"/>
        <rFont val="Calibri"/>
        <family val="2"/>
        <scheme val="minor"/>
      </rPr>
      <t>)</t>
    </r>
  </si>
  <si>
    <t>Results</t>
  </si>
  <si>
    <r>
      <t>Fluid ρn</t>
    </r>
    <r>
      <rPr>
        <i/>
        <vertAlign val="superscript"/>
        <sz val="11"/>
        <rFont val="Calibri"/>
        <family val="2"/>
        <scheme val="minor"/>
      </rPr>
      <t>2</t>
    </r>
    <r>
      <rPr>
        <i/>
        <sz val="11"/>
        <rFont val="Calibri"/>
        <family val="2"/>
        <scheme val="minor"/>
      </rPr>
      <t xml:space="preserve"> </t>
    </r>
  </si>
  <si>
    <r>
      <t>kg/ms</t>
    </r>
    <r>
      <rPr>
        <i/>
        <vertAlign val="superscript"/>
        <sz val="11"/>
        <rFont val="Calibri"/>
        <family val="2"/>
        <scheme val="minor"/>
      </rPr>
      <t>2</t>
    </r>
  </si>
  <si>
    <t>Support Arrangement</t>
  </si>
  <si>
    <t>Stiff</t>
  </si>
  <si>
    <t>Fluid Viscosity Factor (FVF)</t>
  </si>
  <si>
    <r>
      <t>Flow Induced Turbulence Vibration Factor (F</t>
    </r>
    <r>
      <rPr>
        <i/>
        <vertAlign val="subscript"/>
        <sz val="11"/>
        <rFont val="Calibri"/>
        <family val="2"/>
        <scheme val="minor"/>
      </rPr>
      <t>v</t>
    </r>
    <r>
      <rPr>
        <i/>
        <sz val="11"/>
        <rFont val="Calibri"/>
        <family val="2"/>
        <scheme val="minor"/>
      </rPr>
      <t>)</t>
    </r>
  </si>
  <si>
    <t>Standard Assessment LOF</t>
  </si>
  <si>
    <r>
      <t>Advanced Screening F</t>
    </r>
    <r>
      <rPr>
        <i/>
        <vertAlign val="subscript"/>
        <sz val="11"/>
        <rFont val="Calibri"/>
        <family val="2"/>
        <scheme val="minor"/>
      </rPr>
      <t>v</t>
    </r>
  </si>
  <si>
    <t>Advanced Screening LOF</t>
  </si>
  <si>
    <t xml:space="preserve">The case data are inputted into the validated Flow Induced Turbulence spreadsheet in Appendix A </t>
  </si>
  <si>
    <t>to generate the results.</t>
  </si>
  <si>
    <t>Appendix</t>
  </si>
  <si>
    <t>Flow Induced Turbulence</t>
  </si>
  <si>
    <t>Data For Line Sizing:</t>
  </si>
  <si>
    <t>ASME B36.10 Table 1 - Dimensions and Weights of Welded and Seamless Wrought Steel Pipe</t>
  </si>
  <si>
    <t>Project :</t>
  </si>
  <si>
    <t>Customer :</t>
  </si>
  <si>
    <t>Project No :</t>
  </si>
  <si>
    <t>By :</t>
  </si>
  <si>
    <t>Date :</t>
  </si>
  <si>
    <t>Nominal Diameter</t>
  </si>
  <si>
    <t>Calc No. :</t>
  </si>
  <si>
    <t>Checked :</t>
  </si>
  <si>
    <t>inches</t>
  </si>
  <si>
    <t>Line\Unit Number</t>
  </si>
  <si>
    <t>Example 1</t>
  </si>
  <si>
    <t>Example 2</t>
  </si>
  <si>
    <t>Example 3</t>
  </si>
  <si>
    <t xml:space="preserve">Phase </t>
  </si>
  <si>
    <t>Size</t>
  </si>
  <si>
    <t>OD</t>
  </si>
  <si>
    <t>SCH</t>
  </si>
  <si>
    <t>W.T.</t>
  </si>
  <si>
    <t>I.D.</t>
  </si>
  <si>
    <t>Main Line NPS (inch)</t>
  </si>
  <si>
    <t>Manually Enter</t>
  </si>
  <si>
    <t>Main Line Schedule</t>
  </si>
  <si>
    <t>1/8</t>
  </si>
  <si>
    <t>STD</t>
  </si>
  <si>
    <t>XS</t>
  </si>
  <si>
    <r>
      <t>External Diameter of main line (D</t>
    </r>
    <r>
      <rPr>
        <vertAlign val="subscript"/>
        <sz val="10"/>
        <rFont val="Arial"/>
        <family val="2"/>
      </rPr>
      <t>ext</t>
    </r>
    <r>
      <rPr>
        <sz val="10"/>
        <rFont val="Arial"/>
        <family val="2"/>
      </rPr>
      <t>) (mm)</t>
    </r>
  </si>
  <si>
    <t>1/4</t>
  </si>
  <si>
    <t>Wall thickness of the main line (T) (mm)</t>
  </si>
  <si>
    <t>3/8</t>
  </si>
  <si>
    <r>
      <t>Internal Diameter of main line</t>
    </r>
    <r>
      <rPr>
        <sz val="10"/>
        <rFont val="Arial"/>
        <family val="2"/>
      </rPr>
      <t xml:space="preserve"> (mm)</t>
    </r>
  </si>
  <si>
    <t>1/2</t>
  </si>
  <si>
    <t>XXS</t>
  </si>
  <si>
    <r>
      <t>D</t>
    </r>
    <r>
      <rPr>
        <vertAlign val="subscript"/>
        <sz val="10"/>
        <rFont val="Arial"/>
        <family val="2"/>
      </rPr>
      <t xml:space="preserve">ext </t>
    </r>
    <r>
      <rPr>
        <sz val="10"/>
        <rFont val="Arial"/>
        <family val="2"/>
      </rPr>
      <t>Manual Input (mm)</t>
    </r>
  </si>
  <si>
    <t>3/4</t>
  </si>
  <si>
    <t>T Manual Input (mm)</t>
  </si>
  <si>
    <t>Main Line Int. Diameter Manual Input (mm)</t>
  </si>
  <si>
    <t>Nominal Main Line Wall Thickness (mm)</t>
  </si>
  <si>
    <t>Manual Input Nominal Thickness (mm)</t>
  </si>
  <si>
    <r>
      <t>Max. Span Length (L</t>
    </r>
    <r>
      <rPr>
        <vertAlign val="subscript"/>
        <sz val="10"/>
        <rFont val="Arial"/>
        <family val="2"/>
      </rPr>
      <t>span</t>
    </r>
    <r>
      <rPr>
        <sz val="10"/>
        <rFont val="Arial"/>
        <family val="2"/>
      </rPr>
      <t>)  (m)</t>
    </r>
  </si>
  <si>
    <r>
      <t>Gas Dynamic Viscosity (μ</t>
    </r>
    <r>
      <rPr>
        <vertAlign val="subscript"/>
        <sz val="10"/>
        <rFont val="Arial"/>
        <family val="2"/>
      </rPr>
      <t>gas</t>
    </r>
    <r>
      <rPr>
        <sz val="10"/>
        <rFont val="Arial"/>
        <family val="2"/>
      </rPr>
      <t>) (Pa.s)</t>
    </r>
  </si>
  <si>
    <r>
      <t>Liquid Density (</t>
    </r>
    <r>
      <rPr>
        <sz val="10"/>
        <rFont val="Arial"/>
        <family val="2"/>
      </rPr>
      <t>ρ</t>
    </r>
    <r>
      <rPr>
        <vertAlign val="subscript"/>
        <sz val="10"/>
        <rFont val="Arial"/>
        <family val="2"/>
      </rPr>
      <t>liq</t>
    </r>
    <r>
      <rPr>
        <sz val="10"/>
        <rFont val="Arial"/>
        <family val="2"/>
      </rPr>
      <t>)  (kg/m</t>
    </r>
    <r>
      <rPr>
        <vertAlign val="superscript"/>
        <sz val="10"/>
        <rFont val="Arial"/>
        <family val="2"/>
      </rPr>
      <t>3</t>
    </r>
    <r>
      <rPr>
        <sz val="10"/>
        <rFont val="Arial"/>
        <family val="2"/>
      </rPr>
      <t>)</t>
    </r>
  </si>
  <si>
    <t>Liquid</t>
  </si>
  <si>
    <r>
      <t>Vapour Density (ρ</t>
    </r>
    <r>
      <rPr>
        <vertAlign val="subscript"/>
        <sz val="10"/>
        <rFont val="Arial"/>
        <family val="2"/>
      </rPr>
      <t>gas</t>
    </r>
    <r>
      <rPr>
        <sz val="10"/>
        <rFont val="Arial"/>
        <family val="2"/>
      </rPr>
      <t>) (kg/m</t>
    </r>
    <r>
      <rPr>
        <vertAlign val="superscript"/>
        <sz val="10"/>
        <rFont val="Arial"/>
        <family val="2"/>
      </rPr>
      <t>3</t>
    </r>
    <r>
      <rPr>
        <sz val="10"/>
        <rFont val="Arial"/>
        <family val="2"/>
      </rPr>
      <t>)</t>
    </r>
  </si>
  <si>
    <t xml:space="preserve">Gas Mass Flowrate (kg/hr) </t>
  </si>
  <si>
    <t>Multi-Phase</t>
  </si>
  <si>
    <t xml:space="preserve">Liquid Mass Flowrate (kg/hr) </t>
  </si>
  <si>
    <r>
      <t>Gas Volumetric Flowrate (m</t>
    </r>
    <r>
      <rPr>
        <vertAlign val="superscript"/>
        <sz val="10"/>
        <rFont val="Arial"/>
        <family val="2"/>
      </rPr>
      <t>3</t>
    </r>
    <r>
      <rPr>
        <sz val="10"/>
        <rFont val="Arial"/>
        <family val="2"/>
      </rPr>
      <t>/hr)</t>
    </r>
  </si>
  <si>
    <t>Stiff (60mm to 762mm)</t>
  </si>
  <si>
    <t>Liquid Volumetric Flowrate (m3/hr)</t>
  </si>
  <si>
    <t>Medium Stiff (60mm to 762mm)</t>
  </si>
  <si>
    <r>
      <t>Fluid Velocity (</t>
    </r>
    <r>
      <rPr>
        <sz val="10"/>
        <rFont val="Symbol"/>
        <family val="1"/>
        <charset val="2"/>
      </rPr>
      <t xml:space="preserve">n)  </t>
    </r>
    <r>
      <rPr>
        <sz val="10"/>
        <rFont val="Arial"/>
        <family val="2"/>
      </rPr>
      <t>(m/s)</t>
    </r>
  </si>
  <si>
    <t>Medium (60mm to 219mm)</t>
  </si>
  <si>
    <r>
      <t>Single Phase ρ</t>
    </r>
    <r>
      <rPr>
        <sz val="10"/>
        <rFont val="Symbol"/>
        <family val="1"/>
        <charset val="2"/>
      </rPr>
      <t>n</t>
    </r>
    <r>
      <rPr>
        <vertAlign val="superscript"/>
        <sz val="10"/>
        <rFont val="Arial"/>
        <family val="2"/>
      </rPr>
      <t>2</t>
    </r>
    <r>
      <rPr>
        <sz val="10"/>
        <rFont val="Arial"/>
        <family val="2"/>
      </rPr>
      <t xml:space="preserve"> (kg/ms</t>
    </r>
    <r>
      <rPr>
        <vertAlign val="superscript"/>
        <sz val="10"/>
        <rFont val="Arial"/>
        <family val="2"/>
      </rPr>
      <t>2</t>
    </r>
    <r>
      <rPr>
        <sz val="10"/>
        <rFont val="Arial"/>
        <family val="2"/>
      </rPr>
      <t>)</t>
    </r>
  </si>
  <si>
    <t>Medium (273mm to 762mm)</t>
  </si>
  <si>
    <r>
      <t>Multi Phase ρ</t>
    </r>
    <r>
      <rPr>
        <sz val="10"/>
        <rFont val="Symbol"/>
        <family val="1"/>
        <charset val="2"/>
      </rPr>
      <t>n</t>
    </r>
    <r>
      <rPr>
        <vertAlign val="superscript"/>
        <sz val="10"/>
        <rFont val="Arial"/>
        <family val="2"/>
      </rPr>
      <t>2</t>
    </r>
    <r>
      <rPr>
        <sz val="10"/>
        <rFont val="Arial"/>
        <family val="2"/>
      </rPr>
      <t xml:space="preserve"> (kg/ms</t>
    </r>
    <r>
      <rPr>
        <vertAlign val="superscript"/>
        <sz val="10"/>
        <rFont val="Arial"/>
        <family val="2"/>
      </rPr>
      <t>2</t>
    </r>
    <r>
      <rPr>
        <sz val="10"/>
        <rFont val="Arial"/>
        <family val="2"/>
      </rPr>
      <t>)</t>
    </r>
  </si>
  <si>
    <t>Flexible (60mm to 219mm)</t>
  </si>
  <si>
    <t>Flexible (273mm to 762mm)</t>
  </si>
  <si>
    <t>Support Arrangement Stiffness</t>
  </si>
  <si>
    <r>
      <t>Support Arrangement (D</t>
    </r>
    <r>
      <rPr>
        <vertAlign val="subscript"/>
        <sz val="10"/>
        <rFont val="Arial"/>
        <family val="2"/>
      </rPr>
      <t>ext</t>
    </r>
    <r>
      <rPr>
        <sz val="10"/>
        <rFont val="Arial"/>
        <family val="2"/>
      </rPr>
      <t xml:space="preserve"> Range)</t>
    </r>
  </si>
  <si>
    <t>a</t>
  </si>
  <si>
    <t>b</t>
  </si>
  <si>
    <t>Span Length Criteria Upper Boundaries and Stiffness</t>
  </si>
  <si>
    <t xml:space="preserve">Advanced Screening Method </t>
  </si>
  <si>
    <r>
      <t>F</t>
    </r>
    <r>
      <rPr>
        <vertAlign val="subscript"/>
        <sz val="10"/>
        <rFont val="Arial"/>
        <family val="2"/>
      </rPr>
      <t>v</t>
    </r>
  </si>
  <si>
    <t>Flexible (273 to 762mm)</t>
  </si>
  <si>
    <t>Likelihood of Failure (LOF)</t>
  </si>
  <si>
    <t>Medium Stiff</t>
  </si>
  <si>
    <t>Medium/Flexible</t>
  </si>
  <si>
    <r>
      <t>Main Line Actual Natural Frequency (f</t>
    </r>
    <r>
      <rPr>
        <vertAlign val="subscript"/>
        <sz val="9"/>
        <rFont val="Arial"/>
        <family val="2"/>
      </rPr>
      <t>n</t>
    </r>
    <r>
      <rPr>
        <sz val="9"/>
        <rFont val="Arial"/>
        <family val="2"/>
      </rPr>
      <t>)  (Hz)</t>
    </r>
  </si>
  <si>
    <t>Advanced Screening α</t>
  </si>
  <si>
    <r>
      <t xml:space="preserve">Advanced Screening </t>
    </r>
    <r>
      <rPr>
        <sz val="10"/>
        <rFont val="Arial"/>
        <family val="2"/>
      </rPr>
      <t>β</t>
    </r>
  </si>
  <si>
    <r>
      <t>Advanced Screening F</t>
    </r>
    <r>
      <rPr>
        <vertAlign val="subscript"/>
        <sz val="10"/>
        <rFont val="Arial"/>
        <family val="2"/>
      </rPr>
      <t>v</t>
    </r>
  </si>
  <si>
    <t>Refined LOF</t>
  </si>
  <si>
    <t>Sch</t>
  </si>
  <si>
    <t>Ref</t>
  </si>
  <si>
    <t>n/a</t>
  </si>
  <si>
    <t>Sch 5</t>
  </si>
  <si>
    <t>Standard Assessment Method</t>
  </si>
  <si>
    <t>Sch 10</t>
  </si>
  <si>
    <t>Sch 20</t>
  </si>
  <si>
    <t>Sch 30</t>
  </si>
  <si>
    <t>Sch 40</t>
  </si>
  <si>
    <t>Sch 80</t>
  </si>
  <si>
    <t>Sch 100</t>
  </si>
  <si>
    <t>Sch 120</t>
  </si>
  <si>
    <t>Sch 140</t>
  </si>
  <si>
    <t>Sch 160</t>
  </si>
  <si>
    <t>Std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</si>
</sst>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C09]dd\-mmm\-yy;@"/>
    <numFmt numFmtId="167" formatCode="\ "/>
    <numFmt numFmtId="168" formatCode="#,##0.000"/>
  </numFmts>
  <fonts count="42">
    <font>
      <sz val="10"/>
      <name val="Arial"/>
    </font>
    <font>
      <sz val="10"/>
      <name val="Arial"/>
      <family val="2"/>
    </font>
    <font>
      <sz val="8"/>
      <name val="Arial"/>
      <family val="2"/>
    </font>
    <font>
      <vertAlign val="superscript"/>
      <sz val="10"/>
      <name val="Arial"/>
      <family val="2"/>
    </font>
    <font>
      <vertAlign val="subscript"/>
      <sz val="10"/>
      <name val="Arial"/>
      <family val="2"/>
    </font>
    <font>
      <b/>
      <sz val="10"/>
      <name val="Arial"/>
      <family val="2"/>
    </font>
    <font>
      <sz val="8"/>
      <color indexed="81"/>
      <name val="Tahoma"/>
      <family val="2"/>
    </font>
    <font>
      <sz val="10"/>
      <name val="Arial"/>
      <family val="2"/>
    </font>
    <font>
      <b/>
      <sz val="12"/>
      <name val="Times New Roman"/>
      <family val="1"/>
    </font>
    <font>
      <sz val="12"/>
      <name val="Times New Roman"/>
      <family val="1"/>
    </font>
    <font>
      <b/>
      <sz val="12"/>
      <name val="Arial"/>
      <family val="2"/>
    </font>
    <font>
      <sz val="10"/>
      <name val="Symbol"/>
      <family val="1"/>
      <charset val="2"/>
    </font>
    <font>
      <sz val="10"/>
      <name val="Times New Roman"/>
      <family val="1"/>
    </font>
    <font>
      <b/>
      <sz val="10"/>
      <color indexed="10"/>
      <name val="Times New Roman"/>
      <family val="1"/>
    </font>
    <font>
      <b/>
      <sz val="10"/>
      <name val="Times New Roman"/>
      <family val="1"/>
    </font>
    <font>
      <sz val="10"/>
      <color indexed="10"/>
      <name val="Times New Roman"/>
      <family val="1"/>
    </font>
    <font>
      <sz val="10"/>
      <color indexed="12"/>
      <name val="Times New Roman"/>
      <family val="1"/>
    </font>
    <font>
      <sz val="10"/>
      <color indexed="22"/>
      <name val="Arial"/>
      <family val="2"/>
    </font>
    <font>
      <i/>
      <sz val="10"/>
      <name val="Arial"/>
      <family val="2"/>
    </font>
    <font>
      <sz val="11"/>
      <name val="Times New Roman"/>
      <family val="1"/>
    </font>
    <font>
      <i/>
      <sz val="8"/>
      <name val="Times New Roman"/>
      <family val="1"/>
    </font>
    <font>
      <sz val="11"/>
      <name val="Arial"/>
      <family val="2"/>
    </font>
    <font>
      <b/>
      <sz val="9"/>
      <color indexed="81"/>
      <name val="Tahoma"/>
      <family val="2"/>
    </font>
    <font>
      <sz val="9"/>
      <color indexed="81"/>
      <name val="Tahoma"/>
      <family val="2"/>
    </font>
    <font>
      <sz val="9"/>
      <name val="Arial"/>
      <family val="2"/>
    </font>
    <font>
      <vertAlign val="subscript"/>
      <sz val="9"/>
      <name val="Arial"/>
      <family val="2"/>
    </font>
    <font>
      <b/>
      <sz val="11"/>
      <name val="Calibri"/>
      <family val="2"/>
      <scheme val="minor"/>
    </font>
    <font>
      <sz val="11"/>
      <name val="Calibri"/>
      <family val="2"/>
      <scheme val="minor"/>
    </font>
    <font>
      <i/>
      <sz val="11"/>
      <name val="Calibri"/>
      <family val="2"/>
      <scheme val="minor"/>
    </font>
    <font>
      <b/>
      <sz val="11"/>
      <name val="Arial"/>
      <family val="2"/>
    </font>
    <font>
      <i/>
      <sz val="11"/>
      <name val="Arial"/>
      <family val="2"/>
    </font>
    <font>
      <i/>
      <sz val="11"/>
      <name val="Times New Roman"/>
      <family val="1"/>
    </font>
    <font>
      <b/>
      <vertAlign val="superscript"/>
      <sz val="11"/>
      <name val="Calibri"/>
      <family val="2"/>
      <scheme val="minor"/>
    </font>
    <font>
      <b/>
      <vertAlign val="subscript"/>
      <sz val="11"/>
      <name val="Calibri"/>
      <family val="2"/>
      <scheme val="minor"/>
    </font>
    <font>
      <b/>
      <u/>
      <sz val="11"/>
      <name val="Calibri"/>
      <family val="2"/>
      <scheme val="minor"/>
    </font>
    <font>
      <vertAlign val="subscript"/>
      <sz val="11"/>
      <name val="Calibri"/>
      <family val="2"/>
      <scheme val="minor"/>
    </font>
    <font>
      <vertAlign val="superscript"/>
      <sz val="11"/>
      <name val="Calibri"/>
      <family val="2"/>
      <scheme val="minor"/>
    </font>
    <font>
      <b/>
      <i/>
      <u/>
      <sz val="11"/>
      <name val="Calibri"/>
      <family val="2"/>
      <scheme val="minor"/>
    </font>
    <font>
      <b/>
      <i/>
      <sz val="11"/>
      <name val="Calibri"/>
      <family val="2"/>
      <scheme val="minor"/>
    </font>
    <font>
      <i/>
      <vertAlign val="subscript"/>
      <sz val="11"/>
      <name val="Calibri"/>
      <family val="2"/>
      <scheme val="minor"/>
    </font>
    <font>
      <i/>
      <vertAlign val="superscript"/>
      <sz val="11"/>
      <name val="Calibri"/>
      <family val="2"/>
      <scheme val="minor"/>
    </font>
    <font>
      <sz val="6"/>
      <name val="Arial"/>
      <family val="2"/>
    </font>
  </fonts>
  <fills count="9">
    <fill>
      <patternFill patternType="none"/>
    </fill>
    <fill>
      <patternFill patternType="gray125"/>
    </fill>
    <fill>
      <patternFill patternType="solid">
        <fgColor indexed="26"/>
        <bgColor indexed="26"/>
      </patternFill>
    </fill>
    <fill>
      <patternFill patternType="solid">
        <fgColor indexed="9"/>
        <bgColor indexed="64"/>
      </patternFill>
    </fill>
    <fill>
      <patternFill patternType="solid">
        <fgColor indexed="26"/>
        <bgColor indexed="64"/>
      </patternFill>
    </fill>
    <fill>
      <patternFill patternType="solid">
        <fgColor indexed="22"/>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8"/>
      </right>
      <top/>
      <bottom/>
      <diagonal/>
    </border>
    <border>
      <left/>
      <right style="thin">
        <color indexed="8"/>
      </right>
      <top/>
      <bottom style="thin">
        <color indexed="64"/>
      </bottom>
      <diagonal/>
    </border>
    <border>
      <left/>
      <right style="thin">
        <color indexed="8"/>
      </right>
      <top style="thin">
        <color indexed="64"/>
      </top>
      <bottom/>
      <diagonal/>
    </border>
    <border>
      <left/>
      <right style="thin">
        <color indexed="8"/>
      </right>
      <top style="thin">
        <color indexed="64"/>
      </top>
      <bottom style="thin">
        <color indexed="64"/>
      </bottom>
      <diagonal/>
    </border>
    <border>
      <left style="thin">
        <color indexed="64"/>
      </left>
      <right style="thin">
        <color indexed="64"/>
      </right>
      <top/>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top/>
      <bottom style="dashed">
        <color auto="1"/>
      </bottom>
      <diagonal/>
    </border>
    <border>
      <left/>
      <right style="dashed">
        <color auto="1"/>
      </right>
      <top/>
      <bottom style="dashed">
        <color auto="1"/>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s>
  <cellStyleXfs count="2">
    <xf numFmtId="0" fontId="0" fillId="0" borderId="0"/>
    <xf numFmtId="0" fontId="7" fillId="0" borderId="0"/>
  </cellStyleXfs>
  <cellXfs count="554">
    <xf numFmtId="0" fontId="0" fillId="0" borderId="0" xfId="0"/>
    <xf numFmtId="0" fontId="0" fillId="0" borderId="1" xfId="0" applyBorder="1"/>
    <xf numFmtId="4" fontId="0" fillId="2" borderId="3" xfId="0" applyNumberFormat="1" applyFill="1" applyBorder="1"/>
    <xf numFmtId="0" fontId="0" fillId="0" borderId="3" xfId="0" applyBorder="1"/>
    <xf numFmtId="0" fontId="5" fillId="3" borderId="0" xfId="0" applyFont="1" applyFill="1" applyAlignment="1">
      <alignment horizontal="right" vertical="center"/>
    </xf>
    <xf numFmtId="0" fontId="8" fillId="3" borderId="4" xfId="0" applyFont="1" applyFill="1" applyBorder="1" applyAlignment="1">
      <alignment horizontal="right" vertical="center"/>
    </xf>
    <xf numFmtId="0" fontId="5" fillId="3" borderId="4" xfId="0" applyFont="1" applyFill="1" applyBorder="1" applyAlignment="1">
      <alignment horizontal="right" vertical="center"/>
    </xf>
    <xf numFmtId="0" fontId="5" fillId="3" borderId="17" xfId="0" applyFont="1" applyFill="1" applyBorder="1" applyAlignment="1">
      <alignment horizontal="right" vertical="center"/>
    </xf>
    <xf numFmtId="0" fontId="0" fillId="0" borderId="17" xfId="0" applyBorder="1"/>
    <xf numFmtId="0" fontId="5" fillId="3" borderId="18" xfId="0" applyFont="1" applyFill="1" applyBorder="1" applyAlignment="1">
      <alignment horizontal="right" vertical="center"/>
    </xf>
    <xf numFmtId="0" fontId="0" fillId="0" borderId="0" xfId="0" applyAlignment="1">
      <alignment horizontal="center"/>
    </xf>
    <xf numFmtId="0" fontId="0" fillId="0" borderId="2" xfId="0" applyBorder="1"/>
    <xf numFmtId="0" fontId="0" fillId="0" borderId="14" xfId="0" applyBorder="1"/>
    <xf numFmtId="0" fontId="0" fillId="0" borderId="9" xfId="0" applyBorder="1"/>
    <xf numFmtId="0" fontId="0" fillId="0" borderId="10" xfId="0" applyBorder="1"/>
    <xf numFmtId="0" fontId="0" fillId="0" borderId="11" xfId="0" applyBorder="1"/>
    <xf numFmtId="0" fontId="0" fillId="0" borderId="13" xfId="0" applyBorder="1"/>
    <xf numFmtId="0" fontId="11" fillId="0" borderId="0" xfId="0" applyFont="1"/>
    <xf numFmtId="0" fontId="5" fillId="3" borderId="16" xfId="0" applyFont="1" applyFill="1" applyBorder="1" applyAlignment="1">
      <alignment horizontal="left" vertical="center"/>
    </xf>
    <xf numFmtId="16" fontId="0" fillId="0" borderId="0" xfId="0" quotePrefix="1" applyNumberFormat="1" applyAlignment="1">
      <alignment horizontal="right"/>
    </xf>
    <xf numFmtId="0" fontId="0" fillId="0" borderId="0" xfId="0" quotePrefix="1" applyAlignment="1">
      <alignment horizontal="right"/>
    </xf>
    <xf numFmtId="0" fontId="0" fillId="0" borderId="0" xfId="0" applyAlignment="1">
      <alignment horizontal="right"/>
    </xf>
    <xf numFmtId="0" fontId="0" fillId="0" borderId="2" xfId="0" applyBorder="1" applyAlignment="1">
      <alignment horizontal="center"/>
    </xf>
    <xf numFmtId="0" fontId="0" fillId="0" borderId="12" xfId="0" applyBorder="1"/>
    <xf numFmtId="0" fontId="0" fillId="0" borderId="20" xfId="0" applyBorder="1"/>
    <xf numFmtId="0" fontId="0" fillId="0" borderId="21" xfId="0" applyBorder="1"/>
    <xf numFmtId="0" fontId="5" fillId="3" borderId="15" xfId="0" applyFont="1" applyFill="1" applyBorder="1" applyAlignment="1">
      <alignment horizontal="left" vertical="center"/>
    </xf>
    <xf numFmtId="0" fontId="0" fillId="4" borderId="0" xfId="0" applyFill="1"/>
    <xf numFmtId="0" fontId="0" fillId="4" borderId="0" xfId="0" applyFill="1" applyAlignment="1">
      <alignment horizontal="center"/>
    </xf>
    <xf numFmtId="0" fontId="0" fillId="4" borderId="15" xfId="0" applyFill="1" applyBorder="1"/>
    <xf numFmtId="0" fontId="0" fillId="4" borderId="0" xfId="0" quotePrefix="1" applyFill="1" applyAlignment="1">
      <alignment horizontal="right"/>
    </xf>
    <xf numFmtId="0" fontId="5" fillId="3" borderId="0" xfId="0" applyFont="1" applyFill="1" applyAlignment="1">
      <alignment horizontal="left" vertical="center"/>
    </xf>
    <xf numFmtId="0" fontId="5" fillId="3" borderId="17" xfId="0" applyFont="1" applyFill="1" applyBorder="1" applyAlignment="1">
      <alignment horizontal="left" vertical="center"/>
    </xf>
    <xf numFmtId="0" fontId="0" fillId="0" borderId="0" xfId="0" applyProtection="1">
      <protection locked="0"/>
    </xf>
    <xf numFmtId="1" fontId="0" fillId="0" borderId="0" xfId="0" applyNumberFormat="1" applyProtection="1">
      <protection locked="0"/>
    </xf>
    <xf numFmtId="165" fontId="5" fillId="0" borderId="17" xfId="0" applyNumberFormat="1" applyFont="1" applyBorder="1" applyAlignment="1">
      <alignment horizontal="center" vertical="center"/>
    </xf>
    <xf numFmtId="2" fontId="0" fillId="0" borderId="12" xfId="0" applyNumberFormat="1" applyBorder="1" applyAlignment="1">
      <alignment horizontal="center" vertical="center"/>
    </xf>
    <xf numFmtId="0" fontId="0" fillId="0" borderId="12" xfId="0" applyBorder="1" applyAlignment="1">
      <alignment horizontal="center" vertical="center"/>
    </xf>
    <xf numFmtId="0" fontId="9" fillId="4" borderId="26" xfId="0" applyFont="1" applyFill="1" applyBorder="1" applyAlignment="1">
      <alignment vertical="center"/>
    </xf>
    <xf numFmtId="0" fontId="9" fillId="4" borderId="23" xfId="0" applyFont="1" applyFill="1" applyBorder="1" applyAlignment="1">
      <alignment horizontal="left" vertical="center"/>
    </xf>
    <xf numFmtId="0" fontId="9" fillId="4" borderId="23" xfId="0" applyFont="1" applyFill="1" applyBorder="1" applyAlignment="1">
      <alignment vertical="center"/>
    </xf>
    <xf numFmtId="0" fontId="9" fillId="4" borderId="24" xfId="0" applyFont="1" applyFill="1" applyBorder="1" applyAlignment="1">
      <alignment vertical="center"/>
    </xf>
    <xf numFmtId="0" fontId="9" fillId="4" borderId="15" xfId="0" applyFont="1" applyFill="1" applyBorder="1" applyAlignment="1">
      <alignment vertical="center"/>
    </xf>
    <xf numFmtId="0" fontId="8" fillId="4" borderId="0" xfId="0" applyFont="1" applyFill="1" applyAlignment="1">
      <alignment vertical="center"/>
    </xf>
    <xf numFmtId="0" fontId="9" fillId="4" borderId="0" xfId="0" applyFont="1" applyFill="1" applyAlignment="1">
      <alignment vertical="center"/>
    </xf>
    <xf numFmtId="0" fontId="9" fillId="4" borderId="4" xfId="0" applyFont="1" applyFill="1" applyBorder="1" applyAlignment="1">
      <alignment vertical="center"/>
    </xf>
    <xf numFmtId="0" fontId="9" fillId="4" borderId="0" xfId="0" applyFont="1" applyFill="1" applyAlignment="1">
      <alignment horizontal="left" vertical="center"/>
    </xf>
    <xf numFmtId="0" fontId="9" fillId="4" borderId="0" xfId="0" applyFont="1" applyFill="1" applyAlignment="1">
      <alignment horizontal="right" vertical="center"/>
    </xf>
    <xf numFmtId="0" fontId="1" fillId="0" borderId="0" xfId="0" applyFont="1"/>
    <xf numFmtId="0" fontId="14" fillId="4" borderId="15" xfId="0" applyFont="1" applyFill="1" applyBorder="1" applyAlignment="1">
      <alignment vertical="center"/>
    </xf>
    <xf numFmtId="0" fontId="14" fillId="4" borderId="0" xfId="0" applyFont="1" applyFill="1" applyAlignment="1">
      <alignment horizontal="right" vertical="center"/>
    </xf>
    <xf numFmtId="0" fontId="13" fillId="4" borderId="0" xfId="0" applyFont="1" applyFill="1" applyAlignment="1">
      <alignment horizontal="right" vertical="center"/>
    </xf>
    <xf numFmtId="0" fontId="14" fillId="4" borderId="4" xfId="0" applyFont="1" applyFill="1" applyBorder="1" applyAlignment="1">
      <alignment horizontal="right" vertical="center"/>
    </xf>
    <xf numFmtId="0" fontId="14" fillId="4" borderId="15" xfId="0" quotePrefix="1" applyFont="1" applyFill="1" applyBorder="1" applyAlignment="1">
      <alignment horizontal="right" vertical="center"/>
    </xf>
    <xf numFmtId="0" fontId="15" fillId="4" borderId="0" xfId="0" applyFont="1" applyFill="1" applyAlignment="1">
      <alignment horizontal="right" vertical="center"/>
    </xf>
    <xf numFmtId="165" fontId="12" fillId="4" borderId="0" xfId="0" applyNumberFormat="1" applyFont="1" applyFill="1" applyAlignment="1">
      <alignment horizontal="right" vertical="center"/>
    </xf>
    <xf numFmtId="0" fontId="12" fillId="4" borderId="0" xfId="0" applyFont="1" applyFill="1" applyAlignment="1">
      <alignment horizontal="right" vertical="center"/>
    </xf>
    <xf numFmtId="0" fontId="12" fillId="4" borderId="4" xfId="0" applyFont="1" applyFill="1" applyBorder="1" applyAlignment="1">
      <alignment horizontal="right" vertical="center"/>
    </xf>
    <xf numFmtId="0" fontId="14" fillId="4" borderId="0" xfId="0" applyFont="1" applyFill="1" applyAlignment="1">
      <alignment vertical="center"/>
    </xf>
    <xf numFmtId="165" fontId="12" fillId="4" borderId="0" xfId="0" applyNumberFormat="1" applyFont="1" applyFill="1" applyAlignment="1">
      <alignment vertical="center"/>
    </xf>
    <xf numFmtId="0" fontId="15" fillId="4" borderId="0" xfId="0" applyFont="1" applyFill="1" applyAlignment="1">
      <alignment vertical="center"/>
    </xf>
    <xf numFmtId="0" fontId="12" fillId="4" borderId="0" xfId="0" applyFont="1" applyFill="1" applyAlignment="1">
      <alignment vertical="center"/>
    </xf>
    <xf numFmtId="0" fontId="12" fillId="4" borderId="0" xfId="0" quotePrefix="1" applyFont="1" applyFill="1" applyAlignment="1">
      <alignment horizontal="left" vertical="center"/>
    </xf>
    <xf numFmtId="165" fontId="12" fillId="4" borderId="4" xfId="0" applyNumberFormat="1" applyFont="1" applyFill="1" applyBorder="1" applyAlignment="1">
      <alignment horizontal="right" vertical="center"/>
    </xf>
    <xf numFmtId="165" fontId="12" fillId="4" borderId="4" xfId="0" applyNumberFormat="1" applyFont="1" applyFill="1" applyBorder="1" applyAlignment="1">
      <alignment vertical="center"/>
    </xf>
    <xf numFmtId="0" fontId="12" fillId="4" borderId="4" xfId="0" applyFont="1" applyFill="1" applyBorder="1" applyAlignment="1">
      <alignment vertical="center"/>
    </xf>
    <xf numFmtId="0" fontId="16" fillId="4" borderId="0" xfId="0" applyFont="1" applyFill="1" applyAlignment="1">
      <alignment vertical="center"/>
    </xf>
    <xf numFmtId="0" fontId="14" fillId="4" borderId="16" xfId="0" applyFont="1" applyFill="1" applyBorder="1" applyAlignment="1">
      <alignment vertical="center"/>
    </xf>
    <xf numFmtId="0" fontId="14" fillId="4" borderId="17" xfId="0" applyFont="1" applyFill="1" applyBorder="1" applyAlignment="1">
      <alignment vertical="center"/>
    </xf>
    <xf numFmtId="0" fontId="15" fillId="4" borderId="17" xfId="0" applyFont="1" applyFill="1" applyBorder="1" applyAlignment="1">
      <alignment horizontal="right" vertical="center"/>
    </xf>
    <xf numFmtId="165" fontId="12" fillId="4" borderId="17" xfId="0" applyNumberFormat="1" applyFont="1" applyFill="1" applyBorder="1" applyAlignment="1">
      <alignment vertical="center"/>
    </xf>
    <xf numFmtId="0" fontId="12" fillId="4" borderId="17" xfId="0" applyFont="1" applyFill="1" applyBorder="1" applyAlignment="1">
      <alignment vertical="center"/>
    </xf>
    <xf numFmtId="0" fontId="12" fillId="4" borderId="18" xfId="0" applyFont="1" applyFill="1" applyBorder="1" applyAlignment="1">
      <alignment vertical="center"/>
    </xf>
    <xf numFmtId="0" fontId="10" fillId="0" borderId="0" xfId="0" applyFont="1" applyAlignment="1">
      <alignment horizontal="center"/>
    </xf>
    <xf numFmtId="0" fontId="0" fillId="0" borderId="14" xfId="0" applyBorder="1" applyProtection="1">
      <protection locked="0"/>
    </xf>
    <xf numFmtId="16" fontId="14" fillId="4" borderId="15" xfId="0" quotePrefix="1" applyNumberFormat="1" applyFont="1" applyFill="1" applyBorder="1" applyAlignment="1">
      <alignment horizontal="right" vertical="center"/>
    </xf>
    <xf numFmtId="4" fontId="0" fillId="2" borderId="3" xfId="0" applyNumberFormat="1" applyFill="1" applyBorder="1" applyProtection="1">
      <protection locked="0"/>
    </xf>
    <xf numFmtId="0" fontId="0" fillId="0" borderId="13" xfId="0" applyBorder="1" applyAlignment="1">
      <alignment vertical="center"/>
    </xf>
    <xf numFmtId="0" fontId="0" fillId="4" borderId="12" xfId="0" applyFill="1" applyBorder="1" applyAlignment="1" applyProtection="1">
      <alignment horizontal="center" vertical="center"/>
      <protection locked="0"/>
    </xf>
    <xf numFmtId="0" fontId="0" fillId="4" borderId="13" xfId="0" applyFill="1" applyBorder="1" applyAlignment="1" applyProtection="1">
      <alignment vertical="center"/>
      <protection locked="0"/>
    </xf>
    <xf numFmtId="165" fontId="5" fillId="0" borderId="23" xfId="0" applyNumberFormat="1" applyFont="1" applyBorder="1" applyAlignment="1">
      <alignment horizontal="center" vertical="center"/>
    </xf>
    <xf numFmtId="2" fontId="0" fillId="0" borderId="13" xfId="0" applyNumberFormat="1" applyBorder="1" applyAlignment="1">
      <alignment vertical="center"/>
    </xf>
    <xf numFmtId="165" fontId="5" fillId="0" borderId="24" xfId="0" applyNumberFormat="1" applyFont="1" applyBorder="1" applyAlignment="1">
      <alignment vertical="center"/>
    </xf>
    <xf numFmtId="165" fontId="5" fillId="0" borderId="18" xfId="0" applyNumberFormat="1" applyFont="1" applyBorder="1" applyAlignment="1">
      <alignment vertical="center"/>
    </xf>
    <xf numFmtId="1" fontId="0" fillId="0" borderId="12" xfId="0" applyNumberFormat="1" applyBorder="1" applyAlignment="1">
      <alignment horizontal="center" vertical="center"/>
    </xf>
    <xf numFmtId="165" fontId="0" fillId="0" borderId="12" xfId="0" applyNumberFormat="1" applyBorder="1" applyAlignment="1">
      <alignment horizontal="center" vertical="center"/>
    </xf>
    <xf numFmtId="1" fontId="0" fillId="0" borderId="13" xfId="0" applyNumberFormat="1" applyBorder="1" applyAlignment="1">
      <alignment vertical="center"/>
    </xf>
    <xf numFmtId="165" fontId="0" fillId="0" borderId="13" xfId="0" applyNumberFormat="1" applyBorder="1" applyAlignment="1">
      <alignment vertical="center"/>
    </xf>
    <xf numFmtId="0" fontId="0" fillId="0" borderId="27" xfId="0" applyBorder="1" applyAlignment="1">
      <alignment vertical="center"/>
    </xf>
    <xf numFmtId="0" fontId="11" fillId="0" borderId="27" xfId="0" applyFont="1" applyBorder="1" applyAlignment="1">
      <alignment vertical="center"/>
    </xf>
    <xf numFmtId="0" fontId="0" fillId="0" borderId="25" xfId="0" applyBorder="1"/>
    <xf numFmtId="0" fontId="0" fillId="0" borderId="28" xfId="0" applyBorder="1"/>
    <xf numFmtId="0" fontId="0" fillId="4" borderId="15" xfId="0" applyFill="1" applyBorder="1" applyAlignment="1">
      <alignment horizontal="center"/>
    </xf>
    <xf numFmtId="0" fontId="0" fillId="0" borderId="30" xfId="0" applyBorder="1"/>
    <xf numFmtId="0" fontId="0" fillId="0" borderId="31" xfId="0" applyBorder="1" applyAlignment="1" applyProtection="1">
      <alignment horizontal="left"/>
      <protection locked="0"/>
    </xf>
    <xf numFmtId="0" fontId="0" fillId="0" borderId="30" xfId="0" applyBorder="1" applyAlignment="1">
      <alignment horizontal="left" vertical="center"/>
    </xf>
    <xf numFmtId="2" fontId="5" fillId="0" borderId="23" xfId="0" applyNumberFormat="1" applyFont="1" applyBorder="1" applyAlignment="1">
      <alignment horizontal="center" vertical="center"/>
    </xf>
    <xf numFmtId="2" fontId="5" fillId="0" borderId="17" xfId="0" applyNumberFormat="1" applyFont="1" applyBorder="1" applyAlignment="1">
      <alignment horizontal="center" vertical="center"/>
    </xf>
    <xf numFmtId="2" fontId="5" fillId="0" borderId="24" xfId="0" applyNumberFormat="1" applyFont="1" applyBorder="1" applyAlignment="1">
      <alignment vertical="center"/>
    </xf>
    <xf numFmtId="2" fontId="5" fillId="0" borderId="18" xfId="0" applyNumberFormat="1" applyFont="1" applyBorder="1" applyAlignment="1">
      <alignment vertical="center"/>
    </xf>
    <xf numFmtId="0" fontId="18" fillId="4" borderId="20" xfId="0" applyFont="1" applyFill="1" applyBorder="1" applyProtection="1">
      <protection locked="0"/>
    </xf>
    <xf numFmtId="0" fontId="0" fillId="4" borderId="0" xfId="0" applyFill="1" applyAlignment="1">
      <alignment vertical="center"/>
    </xf>
    <xf numFmtId="0" fontId="10" fillId="0" borderId="15" xfId="0" applyFont="1" applyBorder="1" applyAlignment="1">
      <alignment horizontal="center"/>
    </xf>
    <xf numFmtId="0" fontId="10" fillId="0" borderId="4" xfId="0" applyFont="1" applyBorder="1" applyAlignment="1">
      <alignment horizontal="center"/>
    </xf>
    <xf numFmtId="0" fontId="19" fillId="0" borderId="0" xfId="0" applyFont="1"/>
    <xf numFmtId="0" fontId="20" fillId="0" borderId="0" xfId="0" applyFont="1" applyAlignment="1" applyProtection="1">
      <alignment wrapText="1"/>
      <protection hidden="1"/>
    </xf>
    <xf numFmtId="0" fontId="19" fillId="0" borderId="0" xfId="0" applyFont="1" applyAlignment="1">
      <alignment horizontal="left"/>
    </xf>
    <xf numFmtId="0" fontId="19" fillId="0" borderId="0" xfId="0" applyFont="1" applyAlignment="1">
      <alignment horizontal="centerContinuous"/>
    </xf>
    <xf numFmtId="0" fontId="21" fillId="0" borderId="0" xfId="0" applyFont="1"/>
    <xf numFmtId="0" fontId="19" fillId="0" borderId="0" xfId="0" applyFont="1" applyAlignment="1">
      <alignment wrapText="1"/>
    </xf>
    <xf numFmtId="0" fontId="0" fillId="3" borderId="0" xfId="0" applyFill="1" applyProtection="1">
      <protection locked="0"/>
    </xf>
    <xf numFmtId="0" fontId="0" fillId="3" borderId="0" xfId="0" applyFill="1"/>
    <xf numFmtId="0" fontId="1" fillId="0" borderId="0" xfId="0" applyFont="1" applyAlignment="1">
      <alignment horizontal="right"/>
    </xf>
    <xf numFmtId="0" fontId="1" fillId="0" borderId="27" xfId="0" applyFont="1" applyBorder="1" applyAlignment="1">
      <alignment vertical="center"/>
    </xf>
    <xf numFmtId="0" fontId="0" fillId="6" borderId="0" xfId="0" applyFill="1"/>
    <xf numFmtId="0" fontId="0" fillId="8" borderId="20" xfId="0" applyFill="1" applyBorder="1"/>
    <xf numFmtId="0" fontId="0" fillId="6" borderId="20" xfId="0" applyFill="1" applyBorder="1"/>
    <xf numFmtId="0" fontId="1" fillId="0" borderId="30" xfId="0" applyFont="1" applyBorder="1"/>
    <xf numFmtId="0" fontId="1" fillId="0" borderId="27" xfId="0" applyFont="1" applyBorder="1"/>
    <xf numFmtId="1" fontId="0" fillId="0" borderId="2" xfId="0" applyNumberFormat="1" applyBorder="1"/>
    <xf numFmtId="2" fontId="0" fillId="0" borderId="2" xfId="0" applyNumberFormat="1" applyBorder="1"/>
    <xf numFmtId="1" fontId="0" fillId="0" borderId="12" xfId="0" applyNumberFormat="1" applyBorder="1"/>
    <xf numFmtId="2" fontId="5" fillId="0" borderId="23" xfId="0" applyNumberFormat="1" applyFont="1" applyBorder="1" applyAlignment="1">
      <alignment vertical="center"/>
    </xf>
    <xf numFmtId="2" fontId="5" fillId="0" borderId="17" xfId="0" applyNumberFormat="1" applyFont="1" applyBorder="1" applyAlignment="1">
      <alignment vertical="center"/>
    </xf>
    <xf numFmtId="0" fontId="24" fillId="8" borderId="32" xfId="0" applyFont="1" applyFill="1" applyBorder="1"/>
    <xf numFmtId="0" fontId="9" fillId="4" borderId="15" xfId="0" applyFont="1" applyFill="1" applyBorder="1" applyAlignment="1">
      <alignment horizontal="right" vertical="center"/>
    </xf>
    <xf numFmtId="0" fontId="0" fillId="0" borderId="56" xfId="0" applyBorder="1"/>
    <xf numFmtId="0" fontId="0" fillId="4" borderId="57" xfId="0" applyFill="1" applyBorder="1" applyProtection="1">
      <protection locked="0"/>
    </xf>
    <xf numFmtId="3" fontId="0" fillId="2" borderId="57" xfId="0" applyNumberFormat="1" applyFill="1" applyBorder="1" applyProtection="1">
      <protection locked="0"/>
    </xf>
    <xf numFmtId="0" fontId="1" fillId="0" borderId="25" xfId="0" applyFont="1" applyBorder="1"/>
    <xf numFmtId="0" fontId="5" fillId="0" borderId="17" xfId="0" applyFont="1" applyBorder="1" applyAlignment="1" applyProtection="1">
      <alignment horizontal="center"/>
      <protection locked="0"/>
    </xf>
    <xf numFmtId="0" fontId="5" fillId="0" borderId="0" xfId="0" applyFont="1" applyAlignment="1" applyProtection="1">
      <alignment horizontal="center"/>
      <protection locked="0"/>
    </xf>
    <xf numFmtId="0" fontId="5" fillId="3" borderId="15" xfId="0" quotePrefix="1" applyFont="1" applyFill="1" applyBorder="1" applyAlignment="1" applyProtection="1">
      <alignment horizontal="left" vertical="center"/>
      <protection locked="0"/>
    </xf>
    <xf numFmtId="2" fontId="0" fillId="0" borderId="12" xfId="0" applyNumberFormat="1" applyBorder="1" applyAlignment="1" applyProtection="1">
      <alignment horizontal="center" vertical="center"/>
      <protection hidden="1"/>
    </xf>
    <xf numFmtId="2" fontId="0" fillId="0" borderId="13" xfId="0" applyNumberFormat="1" applyBorder="1" applyAlignment="1" applyProtection="1">
      <alignment vertical="center"/>
      <protection hidden="1"/>
    </xf>
    <xf numFmtId="0" fontId="26" fillId="0" borderId="0" xfId="0" applyFont="1" applyAlignment="1">
      <alignment vertical="top"/>
    </xf>
    <xf numFmtId="0" fontId="26" fillId="0" borderId="10" xfId="0" applyFont="1" applyBorder="1" applyAlignment="1">
      <alignment vertical="top"/>
    </xf>
    <xf numFmtId="0" fontId="27" fillId="3" borderId="10" xfId="0" applyFont="1" applyFill="1" applyBorder="1" applyAlignment="1" applyProtection="1">
      <alignment horizontal="right" vertical="top"/>
      <protection locked="0"/>
    </xf>
    <xf numFmtId="0" fontId="26" fillId="0" borderId="10" xfId="0" applyFont="1" applyBorder="1" applyAlignment="1">
      <alignment horizontal="center" vertical="top"/>
    </xf>
    <xf numFmtId="0" fontId="27" fillId="4" borderId="39" xfId="0" applyFont="1" applyFill="1" applyBorder="1" applyAlignment="1" applyProtection="1">
      <alignment horizontal="left" vertical="top"/>
      <protection locked="0"/>
    </xf>
    <xf numFmtId="0" fontId="29" fillId="0" borderId="37" xfId="0" applyFont="1" applyBorder="1"/>
    <xf numFmtId="0" fontId="29" fillId="0" borderId="12" xfId="0" applyFont="1" applyBorder="1"/>
    <xf numFmtId="0" fontId="29" fillId="0" borderId="40" xfId="0" applyFont="1" applyBorder="1"/>
    <xf numFmtId="0" fontId="29" fillId="0" borderId="36" xfId="0" applyFont="1" applyBorder="1" applyAlignment="1" applyProtection="1">
      <alignment horizontal="center" vertical="top" wrapText="1"/>
      <protection locked="0"/>
    </xf>
    <xf numFmtId="0" fontId="30" fillId="0" borderId="42" xfId="0" applyFont="1" applyBorder="1" applyAlignment="1" applyProtection="1">
      <alignment vertical="top" wrapText="1"/>
      <protection locked="0"/>
    </xf>
    <xf numFmtId="0" fontId="30" fillId="0" borderId="22" xfId="0" applyFont="1" applyBorder="1" applyAlignment="1" applyProtection="1">
      <alignment vertical="top" wrapText="1"/>
      <protection locked="0"/>
    </xf>
    <xf numFmtId="0" fontId="30" fillId="6" borderId="1" xfId="0" applyFont="1" applyFill="1" applyBorder="1" applyAlignment="1" applyProtection="1">
      <alignment horizontal="center" vertical="top" wrapText="1"/>
      <protection locked="0"/>
    </xf>
    <xf numFmtId="0" fontId="21" fillId="4" borderId="5" xfId="0" applyFont="1" applyFill="1" applyBorder="1" applyAlignment="1" applyProtection="1">
      <alignment horizontal="centerContinuous"/>
      <protection locked="0"/>
    </xf>
    <xf numFmtId="0" fontId="21" fillId="4" borderId="1" xfId="0" applyFont="1" applyFill="1" applyBorder="1" applyAlignment="1" applyProtection="1">
      <alignment horizontal="center"/>
      <protection locked="0"/>
    </xf>
    <xf numFmtId="0" fontId="21" fillId="4" borderId="5" xfId="0" applyFont="1" applyFill="1" applyBorder="1" applyAlignment="1" applyProtection="1">
      <alignment horizontal="center"/>
      <protection locked="0"/>
    </xf>
    <xf numFmtId="0" fontId="29" fillId="0" borderId="5" xfId="0" applyFont="1" applyBorder="1" applyAlignment="1">
      <alignment horizontal="centerContinuous"/>
    </xf>
    <xf numFmtId="0" fontId="29" fillId="0" borderId="1" xfId="0" applyFont="1" applyBorder="1" applyAlignment="1">
      <alignment horizontal="center"/>
    </xf>
    <xf numFmtId="0" fontId="27" fillId="0" borderId="0" xfId="0" applyFont="1"/>
    <xf numFmtId="0" fontId="28" fillId="0" borderId="0" xfId="0" applyFont="1" applyAlignment="1">
      <alignment wrapText="1"/>
    </xf>
    <xf numFmtId="0" fontId="27" fillId="3" borderId="10" xfId="0" applyFont="1" applyFill="1" applyBorder="1" applyAlignment="1">
      <alignment horizontal="right" vertical="top"/>
    </xf>
    <xf numFmtId="0" fontId="27" fillId="0" borderId="8" xfId="0" applyFont="1" applyBorder="1" applyAlignment="1">
      <alignment horizontal="left" vertical="top"/>
    </xf>
    <xf numFmtId="0" fontId="27" fillId="0" borderId="35" xfId="0" applyFont="1" applyBorder="1" applyAlignment="1">
      <alignment vertical="center"/>
    </xf>
    <xf numFmtId="0" fontId="27" fillId="0" borderId="0" xfId="0" applyFont="1" applyAlignment="1">
      <alignment vertical="center"/>
    </xf>
    <xf numFmtId="0" fontId="27" fillId="0" borderId="1" xfId="0" applyFont="1" applyBorder="1" applyAlignment="1">
      <alignment horizontal="center" vertical="center"/>
    </xf>
    <xf numFmtId="0" fontId="27" fillId="0" borderId="7" xfId="0" applyFont="1" applyBorder="1" applyAlignment="1">
      <alignment vertical="center"/>
    </xf>
    <xf numFmtId="0" fontId="26" fillId="0" borderId="1" xfId="0" applyFont="1" applyBorder="1" applyAlignment="1">
      <alignment horizontal="center" vertical="center"/>
    </xf>
    <xf numFmtId="0" fontId="26" fillId="0" borderId="35" xfId="0" applyFont="1" applyBorder="1" applyAlignment="1">
      <alignment horizontal="center" vertical="center"/>
    </xf>
    <xf numFmtId="0" fontId="26" fillId="0" borderId="19" xfId="0" applyFont="1" applyBorder="1" applyAlignment="1">
      <alignment horizontal="center" vertical="center"/>
    </xf>
    <xf numFmtId="0" fontId="27" fillId="0" borderId="5" xfId="0" applyFont="1" applyBorder="1" applyAlignment="1">
      <alignment horizontal="center"/>
    </xf>
    <xf numFmtId="0" fontId="27" fillId="0" borderId="1" xfId="0" applyFont="1" applyBorder="1" applyAlignment="1">
      <alignment horizontal="center"/>
    </xf>
    <xf numFmtId="0" fontId="27" fillId="0" borderId="35" xfId="0" applyFont="1" applyBorder="1"/>
    <xf numFmtId="0" fontId="26" fillId="0" borderId="5" xfId="0" applyFont="1" applyBorder="1" applyAlignment="1">
      <alignment horizontal="center"/>
    </xf>
    <xf numFmtId="0" fontId="26" fillId="0" borderId="1" xfId="0" applyFont="1" applyBorder="1" applyAlignment="1">
      <alignment horizontal="center"/>
    </xf>
    <xf numFmtId="0" fontId="27" fillId="3" borderId="0" xfId="0" applyFont="1" applyFill="1" applyProtection="1">
      <protection locked="0"/>
    </xf>
    <xf numFmtId="0" fontId="27" fillId="0" borderId="0" xfId="0" applyFont="1" applyProtection="1">
      <protection locked="0"/>
    </xf>
    <xf numFmtId="0" fontId="26" fillId="3" borderId="12" xfId="0" applyFont="1" applyFill="1" applyBorder="1" applyAlignment="1">
      <alignment vertical="top"/>
    </xf>
    <xf numFmtId="167" fontId="27" fillId="3" borderId="12" xfId="0" applyNumberFormat="1" applyFont="1" applyFill="1" applyBorder="1" applyAlignment="1">
      <alignment vertical="top"/>
    </xf>
    <xf numFmtId="0" fontId="28" fillId="3" borderId="0" xfId="0" applyFont="1" applyFill="1" applyAlignment="1" applyProtection="1">
      <alignment horizontal="center" wrapText="1"/>
      <protection hidden="1"/>
    </xf>
    <xf numFmtId="0" fontId="26" fillId="3" borderId="0" xfId="0" applyFont="1" applyFill="1" applyProtection="1">
      <protection locked="0"/>
    </xf>
    <xf numFmtId="0" fontId="26" fillId="0" borderId="0" xfId="0" applyFont="1" applyProtection="1">
      <protection locked="0"/>
    </xf>
    <xf numFmtId="0" fontId="26" fillId="3" borderId="0" xfId="0" applyFont="1" applyFill="1" applyAlignment="1">
      <alignment vertical="top"/>
    </xf>
    <xf numFmtId="167" fontId="27" fillId="3" borderId="0" xfId="0" applyNumberFormat="1" applyFont="1" applyFill="1" applyAlignment="1">
      <alignment vertical="top"/>
    </xf>
    <xf numFmtId="0" fontId="27" fillId="3" borderId="0" xfId="0" applyFont="1" applyFill="1" applyAlignment="1">
      <alignment vertical="top"/>
    </xf>
    <xf numFmtId="0" fontId="27" fillId="3" borderId="0" xfId="0" applyFont="1" applyFill="1" applyAlignment="1" applyProtection="1">
      <alignment vertical="center"/>
      <protection locked="0"/>
    </xf>
    <xf numFmtId="0" fontId="27" fillId="0" borderId="37" xfId="0" applyFont="1" applyBorder="1" applyAlignment="1" applyProtection="1">
      <alignment vertical="top"/>
      <protection locked="0"/>
    </xf>
    <xf numFmtId="0" fontId="27" fillId="0" borderId="12" xfId="0" applyFont="1" applyBorder="1" applyAlignment="1" applyProtection="1">
      <alignment vertical="top"/>
      <protection locked="0"/>
    </xf>
    <xf numFmtId="0" fontId="27" fillId="0" borderId="6" xfId="0" applyFont="1" applyBorder="1" applyAlignment="1" applyProtection="1">
      <alignment vertical="top"/>
      <protection locked="0"/>
    </xf>
    <xf numFmtId="0" fontId="27" fillId="0" borderId="35" xfId="0" applyFont="1" applyBorder="1" applyAlignment="1" applyProtection="1">
      <alignment vertical="top"/>
      <protection locked="0"/>
    </xf>
    <xf numFmtId="0" fontId="27" fillId="0" borderId="0" xfId="0" applyFont="1" applyAlignment="1" applyProtection="1">
      <alignment vertical="top"/>
      <protection locked="0"/>
    </xf>
    <xf numFmtId="0" fontId="27" fillId="0" borderId="7" xfId="0" applyFont="1" applyBorder="1" applyAlignment="1" applyProtection="1">
      <alignment vertical="top"/>
      <protection locked="0"/>
    </xf>
    <xf numFmtId="0" fontId="27" fillId="0" borderId="0" xfId="1" applyFont="1" applyAlignment="1" applyProtection="1">
      <alignment vertical="top"/>
      <protection locked="0"/>
    </xf>
    <xf numFmtId="0" fontId="27" fillId="0" borderId="0" xfId="1" quotePrefix="1" applyFont="1" applyAlignment="1" applyProtection="1">
      <alignment horizontal="center" vertical="top"/>
      <protection locked="0"/>
    </xf>
    <xf numFmtId="164" fontId="27" fillId="0" borderId="0" xfId="0" quotePrefix="1" applyNumberFormat="1" applyFont="1" applyAlignment="1" applyProtection="1">
      <alignment vertical="top"/>
      <protection locked="0"/>
    </xf>
    <xf numFmtId="0" fontId="27" fillId="0" borderId="0" xfId="0" quotePrefix="1" applyFont="1" applyAlignment="1" applyProtection="1">
      <alignment vertical="top"/>
      <protection locked="0"/>
    </xf>
    <xf numFmtId="0" fontId="27" fillId="6" borderId="0" xfId="0" applyFont="1" applyFill="1" applyAlignment="1" applyProtection="1">
      <alignment vertical="top"/>
      <protection locked="0"/>
    </xf>
    <xf numFmtId="0" fontId="27" fillId="0" borderId="19" xfId="0" applyFont="1" applyBorder="1" applyAlignment="1" applyProtection="1">
      <alignment vertical="top"/>
      <protection locked="0"/>
    </xf>
    <xf numFmtId="0" fontId="27" fillId="0" borderId="10" xfId="0" applyFont="1" applyBorder="1" applyAlignment="1" applyProtection="1">
      <alignment vertical="top"/>
      <protection locked="0"/>
    </xf>
    <xf numFmtId="0" fontId="27" fillId="0" borderId="8" xfId="0" applyFont="1" applyBorder="1" applyAlignment="1" applyProtection="1">
      <alignment vertical="top"/>
      <protection locked="0"/>
    </xf>
    <xf numFmtId="0" fontId="27" fillId="3" borderId="0" xfId="0" applyFont="1" applyFill="1"/>
    <xf numFmtId="0" fontId="26" fillId="3" borderId="0" xfId="0" applyFont="1" applyFill="1"/>
    <xf numFmtId="0" fontId="26" fillId="0" borderId="0" xfId="0" applyFont="1"/>
    <xf numFmtId="0" fontId="27" fillId="3" borderId="0" xfId="0" applyFont="1" applyFill="1" applyAlignment="1">
      <alignment vertical="center"/>
    </xf>
    <xf numFmtId="0" fontId="26" fillId="0" borderId="0" xfId="0" applyFont="1" applyAlignment="1" applyProtection="1">
      <alignment vertical="top"/>
      <protection locked="0"/>
    </xf>
    <xf numFmtId="167" fontId="27" fillId="3" borderId="0" xfId="0" applyNumberFormat="1" applyFont="1" applyFill="1" applyAlignment="1">
      <alignment horizontal="left" vertical="top"/>
    </xf>
    <xf numFmtId="0" fontId="28" fillId="3" borderId="0" xfId="0" applyFont="1" applyFill="1" applyAlignment="1">
      <alignment horizontal="center" wrapText="1"/>
    </xf>
    <xf numFmtId="0" fontId="27" fillId="3" borderId="0" xfId="0" applyFont="1" applyFill="1" applyAlignment="1">
      <alignment horizontal="left" vertical="top"/>
    </xf>
    <xf numFmtId="0" fontId="27" fillId="0" borderId="12" xfId="0" applyFont="1" applyBorder="1" applyAlignment="1">
      <alignment vertical="top"/>
    </xf>
    <xf numFmtId="0" fontId="27" fillId="0" borderId="0" xfId="0" applyFont="1" applyAlignment="1">
      <alignment vertical="top"/>
    </xf>
    <xf numFmtId="0" fontId="27" fillId="0" borderId="7" xfId="0" applyFont="1" applyBorder="1" applyAlignment="1">
      <alignment vertical="top"/>
    </xf>
    <xf numFmtId="0" fontId="28" fillId="0" borderId="0" xfId="0" applyFont="1" applyAlignment="1" applyProtection="1">
      <alignment vertical="top"/>
      <protection locked="0"/>
    </xf>
    <xf numFmtId="0" fontId="34" fillId="0" borderId="0" xfId="1" applyFont="1" applyProtection="1">
      <protection locked="0"/>
    </xf>
    <xf numFmtId="0" fontId="27" fillId="0" borderId="0" xfId="1" applyFont="1" applyProtection="1">
      <protection locked="0"/>
    </xf>
    <xf numFmtId="0" fontId="29" fillId="3" borderId="0" xfId="0" applyFont="1" applyFill="1" applyProtection="1">
      <protection locked="0"/>
    </xf>
    <xf numFmtId="0" fontId="29" fillId="0" borderId="0" xfId="0" applyFont="1" applyProtection="1">
      <protection locked="0"/>
    </xf>
    <xf numFmtId="0" fontId="21" fillId="3" borderId="0" xfId="0" applyFont="1" applyFill="1" applyProtection="1">
      <protection locked="0"/>
    </xf>
    <xf numFmtId="0" fontId="21" fillId="0" borderId="0" xfId="0" applyFont="1" applyProtection="1">
      <protection locked="0"/>
    </xf>
    <xf numFmtId="0" fontId="26" fillId="0" borderId="0" xfId="0" applyFont="1" applyAlignment="1" applyProtection="1">
      <alignment horizontal="left" vertical="top"/>
      <protection locked="0"/>
    </xf>
    <xf numFmtId="0" fontId="21" fillId="3" borderId="0" xfId="0" applyFont="1" applyFill="1" applyAlignment="1" applyProtection="1">
      <alignment vertical="center"/>
      <protection locked="0"/>
    </xf>
    <xf numFmtId="0" fontId="5" fillId="0" borderId="0" xfId="0" applyFont="1"/>
    <xf numFmtId="0" fontId="1" fillId="3" borderId="0" xfId="0" applyFont="1" applyFill="1" applyProtection="1">
      <protection locked="0"/>
    </xf>
    <xf numFmtId="0" fontId="1" fillId="3" borderId="32" xfId="0" applyFont="1" applyFill="1" applyBorder="1" applyAlignment="1">
      <alignment horizontal="left" vertical="center"/>
    </xf>
    <xf numFmtId="0" fontId="26" fillId="0" borderId="5" xfId="0" applyFont="1" applyBorder="1" applyAlignment="1">
      <alignment horizontal="center" vertical="center"/>
    </xf>
    <xf numFmtId="0" fontId="26" fillId="0" borderId="2" xfId="0" applyFont="1" applyBorder="1" applyAlignment="1">
      <alignment horizontal="center" vertical="center"/>
    </xf>
    <xf numFmtId="0" fontId="26" fillId="0" borderId="14" xfId="0" applyFont="1" applyBorder="1" applyAlignment="1">
      <alignment horizontal="center" vertical="center"/>
    </xf>
    <xf numFmtId="0" fontId="26" fillId="0" borderId="35" xfId="0" applyFont="1" applyBorder="1" applyAlignment="1">
      <alignment vertical="top"/>
    </xf>
    <xf numFmtId="0" fontId="26" fillId="0" borderId="0" xfId="0" applyFont="1" applyAlignment="1">
      <alignment vertical="top"/>
    </xf>
    <xf numFmtId="0" fontId="27" fillId="6" borderId="0" xfId="0" applyFont="1" applyFill="1" applyAlignment="1" applyProtection="1">
      <alignment vertical="top"/>
      <protection locked="0"/>
    </xf>
    <xf numFmtId="0" fontId="27" fillId="4" borderId="0" xfId="0" applyFont="1" applyFill="1" applyAlignment="1">
      <alignment horizontal="center" vertical="top"/>
    </xf>
    <xf numFmtId="0" fontId="27" fillId="4" borderId="38" xfId="0" applyFont="1" applyFill="1" applyBorder="1" applyAlignment="1">
      <alignment horizontal="center" vertical="top"/>
    </xf>
    <xf numFmtId="0" fontId="19" fillId="0" borderId="0" xfId="0" applyFont="1" applyAlignment="1">
      <alignment horizontal="left" wrapText="1"/>
    </xf>
    <xf numFmtId="0" fontId="26" fillId="0" borderId="35" xfId="0" applyFont="1" applyBorder="1" applyAlignment="1">
      <alignment horizontal="left" vertical="top"/>
    </xf>
    <xf numFmtId="0" fontId="26" fillId="0" borderId="0" xfId="0" applyFont="1" applyAlignment="1">
      <alignment horizontal="left" vertical="top"/>
    </xf>
    <xf numFmtId="0" fontId="27" fillId="4" borderId="0" xfId="0" applyFont="1" applyFill="1" applyAlignment="1">
      <alignment vertical="top" wrapText="1"/>
    </xf>
    <xf numFmtId="0" fontId="27" fillId="0" borderId="0" xfId="0" applyFont="1" applyAlignment="1">
      <alignment vertical="top"/>
    </xf>
    <xf numFmtId="0" fontId="27" fillId="4" borderId="38" xfId="0" applyFont="1" applyFill="1" applyBorder="1" applyAlignment="1">
      <alignment vertical="top" wrapText="1"/>
    </xf>
    <xf numFmtId="0" fontId="26" fillId="0" borderId="19" xfId="0" applyFont="1" applyBorder="1" applyAlignment="1">
      <alignment horizontal="left" vertical="top"/>
    </xf>
    <xf numFmtId="0" fontId="26" fillId="0" borderId="10" xfId="0" applyFont="1" applyBorder="1" applyAlignment="1">
      <alignment horizontal="left" vertical="top"/>
    </xf>
    <xf numFmtId="0" fontId="27" fillId="4" borderId="10" xfId="0" applyFont="1" applyFill="1" applyBorder="1" applyAlignment="1" applyProtection="1">
      <alignment vertical="top"/>
      <protection locked="0"/>
    </xf>
    <xf numFmtId="0" fontId="5" fillId="0" borderId="0" xfId="0" applyFont="1" applyAlignment="1"/>
    <xf numFmtId="0" fontId="26" fillId="0" borderId="37" xfId="0" applyFont="1" applyBorder="1" applyAlignment="1"/>
    <xf numFmtId="0" fontId="26" fillId="0" borderId="12" xfId="0" applyFont="1" applyBorder="1" applyAlignment="1"/>
    <xf numFmtId="0" fontId="26" fillId="0" borderId="40" xfId="0" applyFont="1" applyBorder="1" applyAlignment="1"/>
    <xf numFmtId="0" fontId="28" fillId="0" borderId="35" xfId="0" applyFont="1" applyBorder="1"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28" fillId="0" borderId="38" xfId="0" applyFont="1" applyBorder="1" applyAlignment="1" applyProtection="1">
      <alignment horizontal="left" vertical="top" wrapText="1"/>
      <protection locked="0"/>
    </xf>
    <xf numFmtId="0" fontId="28" fillId="0" borderId="19" xfId="0" applyFont="1" applyBorder="1" applyAlignment="1" applyProtection="1">
      <alignment horizontal="left" vertical="top" wrapText="1"/>
      <protection locked="0"/>
    </xf>
    <xf numFmtId="0" fontId="28" fillId="0" borderId="10" xfId="0" applyFont="1" applyBorder="1" applyAlignment="1" applyProtection="1">
      <alignment horizontal="left" vertical="top" wrapText="1"/>
      <protection locked="0"/>
    </xf>
    <xf numFmtId="0" fontId="28" fillId="0" borderId="39" xfId="0" applyFont="1" applyBorder="1" applyAlignment="1" applyProtection="1">
      <alignment horizontal="left" vertical="top" wrapText="1"/>
      <protection locked="0"/>
    </xf>
    <xf numFmtId="0" fontId="29" fillId="0" borderId="37" xfId="0" applyFont="1" applyBorder="1" applyAlignment="1"/>
    <xf numFmtId="0" fontId="29" fillId="0" borderId="12" xfId="0" applyFont="1" applyBorder="1" applyAlignment="1"/>
    <xf numFmtId="0" fontId="29" fillId="0" borderId="40" xfId="0" applyFont="1" applyBorder="1" applyAlignment="1"/>
    <xf numFmtId="0" fontId="30" fillId="0" borderId="0" xfId="0" applyFont="1" applyAlignment="1" applyProtection="1">
      <alignment horizontal="left" vertical="top" wrapText="1"/>
      <protection locked="0"/>
    </xf>
    <xf numFmtId="0" fontId="30" fillId="0" borderId="38" xfId="0" applyFont="1" applyBorder="1" applyAlignment="1" applyProtection="1">
      <alignment horizontal="left" vertical="top" wrapText="1"/>
      <protection locked="0"/>
    </xf>
    <xf numFmtId="0" fontId="30" fillId="0" borderId="35" xfId="0" applyFont="1" applyBorder="1" applyAlignment="1" applyProtection="1">
      <alignment horizontal="left" vertical="top" wrapText="1"/>
      <protection locked="0"/>
    </xf>
    <xf numFmtId="0" fontId="30" fillId="0" borderId="19" xfId="0" applyFont="1" applyBorder="1" applyAlignment="1" applyProtection="1">
      <alignment horizontal="left" vertical="top" wrapText="1"/>
      <protection locked="0"/>
    </xf>
    <xf numFmtId="0" fontId="30" fillId="0" borderId="10" xfId="0" applyFont="1" applyBorder="1" applyAlignment="1" applyProtection="1">
      <alignment horizontal="left" vertical="top" wrapText="1"/>
      <protection locked="0"/>
    </xf>
    <xf numFmtId="0" fontId="30" fillId="0" borderId="39" xfId="0" applyFont="1" applyBorder="1" applyAlignment="1" applyProtection="1">
      <alignment horizontal="left" vertical="top" wrapText="1"/>
      <protection locked="0"/>
    </xf>
    <xf numFmtId="0" fontId="29" fillId="0" borderId="5" xfId="0" applyFont="1" applyBorder="1" applyAlignment="1" applyProtection="1">
      <alignment horizontal="left" vertical="center" wrapText="1"/>
      <protection locked="0"/>
    </xf>
    <xf numFmtId="0" fontId="29" fillId="0" borderId="2" xfId="0" applyFont="1" applyBorder="1" applyAlignment="1" applyProtection="1">
      <alignment horizontal="left" vertical="center" wrapText="1"/>
      <protection locked="0"/>
    </xf>
    <xf numFmtId="0" fontId="29" fillId="0" borderId="41" xfId="0" applyFont="1" applyBorder="1" applyAlignment="1" applyProtection="1">
      <alignment horizontal="left" vertical="center" wrapText="1"/>
      <protection locked="0"/>
    </xf>
    <xf numFmtId="0" fontId="29" fillId="0" borderId="37" xfId="0" applyFont="1" applyBorder="1" applyAlignment="1" applyProtection="1">
      <alignment horizontal="center" vertical="top" wrapText="1"/>
      <protection locked="0"/>
    </xf>
    <xf numFmtId="0" fontId="29" fillId="0" borderId="12" xfId="0" applyFont="1" applyBorder="1" applyAlignment="1" applyProtection="1">
      <alignment horizontal="center" vertical="top" wrapText="1"/>
      <protection locked="0"/>
    </xf>
    <xf numFmtId="0" fontId="29" fillId="0" borderId="6" xfId="0" applyFont="1" applyBorder="1" applyAlignment="1" applyProtection="1">
      <alignment horizontal="center" vertical="top" wrapText="1"/>
      <protection locked="0"/>
    </xf>
    <xf numFmtId="0" fontId="29" fillId="0" borderId="40" xfId="0" applyFont="1" applyBorder="1" applyAlignment="1" applyProtection="1">
      <alignment horizontal="center" vertical="top" wrapText="1"/>
      <protection locked="0"/>
    </xf>
    <xf numFmtId="0" fontId="30" fillId="0" borderId="7" xfId="0" applyFont="1" applyBorder="1" applyAlignment="1" applyProtection="1">
      <alignment horizontal="left" vertical="top" wrapText="1"/>
      <protection locked="0"/>
    </xf>
    <xf numFmtId="0" fontId="30" fillId="0" borderId="35" xfId="0" applyFont="1" applyBorder="1" applyAlignment="1" applyProtection="1">
      <alignment horizontal="center" vertical="top" wrapText="1"/>
      <protection locked="0"/>
    </xf>
    <xf numFmtId="0" fontId="30" fillId="0" borderId="0" xfId="0" applyFont="1" applyAlignment="1" applyProtection="1">
      <alignment horizontal="center" vertical="top" wrapText="1"/>
      <protection locked="0"/>
    </xf>
    <xf numFmtId="0" fontId="30" fillId="0" borderId="38" xfId="0" applyFont="1" applyBorder="1" applyAlignment="1" applyProtection="1">
      <alignment horizontal="center" vertical="top" wrapText="1"/>
      <protection locked="0"/>
    </xf>
    <xf numFmtId="166" fontId="21" fillId="4" borderId="5" xfId="0" applyNumberFormat="1" applyFont="1" applyFill="1" applyBorder="1" applyAlignment="1" applyProtection="1">
      <alignment horizontal="center"/>
      <protection locked="0"/>
    </xf>
    <xf numFmtId="166" fontId="21" fillId="4" borderId="14" xfId="0" applyNumberFormat="1" applyFont="1" applyFill="1" applyBorder="1" applyAlignment="1" applyProtection="1">
      <alignment horizontal="center"/>
      <protection locked="0"/>
    </xf>
    <xf numFmtId="0" fontId="21" fillId="4" borderId="5" xfId="0" applyFont="1" applyFill="1" applyBorder="1" applyAlignment="1" applyProtection="1">
      <protection locked="0"/>
    </xf>
    <xf numFmtId="0" fontId="21" fillId="4" borderId="14" xfId="0" applyFont="1" applyFill="1" applyBorder="1" applyAlignment="1" applyProtection="1">
      <protection locked="0"/>
    </xf>
    <xf numFmtId="0" fontId="21" fillId="4" borderId="5" xfId="0" applyFont="1" applyFill="1" applyBorder="1" applyAlignment="1" applyProtection="1">
      <alignment horizontal="center"/>
      <protection locked="0"/>
    </xf>
    <xf numFmtId="0" fontId="21" fillId="4" borderId="2" xfId="0" applyFont="1" applyFill="1" applyBorder="1" applyAlignment="1">
      <alignment horizontal="center"/>
    </xf>
    <xf numFmtId="0" fontId="21" fillId="4" borderId="5" xfId="0" applyFont="1" applyFill="1" applyBorder="1" applyAlignment="1">
      <alignment horizontal="center"/>
    </xf>
    <xf numFmtId="0" fontId="21" fillId="4" borderId="41" xfId="0" applyFont="1" applyFill="1" applyBorder="1" applyAlignment="1">
      <alignment horizontal="center"/>
    </xf>
    <xf numFmtId="0" fontId="30" fillId="0" borderId="8" xfId="0" applyFont="1" applyBorder="1" applyAlignment="1" applyProtection="1">
      <alignment horizontal="left" vertical="top" wrapText="1"/>
      <protection locked="0"/>
    </xf>
    <xf numFmtId="0" fontId="30" fillId="0" borderId="19" xfId="0" applyFont="1" applyBorder="1" applyAlignment="1" applyProtection="1">
      <alignment horizontal="center" vertical="top" wrapText="1"/>
      <protection locked="0"/>
    </xf>
    <xf numFmtId="0" fontId="30" fillId="0" borderId="10" xfId="0" applyFont="1" applyBorder="1" applyAlignment="1" applyProtection="1">
      <alignment horizontal="center" vertical="top" wrapText="1"/>
      <protection locked="0"/>
    </xf>
    <xf numFmtId="0" fontId="30" fillId="0" borderId="39" xfId="0" applyFont="1" applyBorder="1" applyAlignment="1" applyProtection="1">
      <alignment horizontal="center" vertical="top" wrapText="1"/>
      <protection locked="0"/>
    </xf>
    <xf numFmtId="0" fontId="30" fillId="0" borderId="35" xfId="0" applyFont="1" applyBorder="1" applyAlignment="1">
      <alignment horizontal="left" vertical="top" wrapText="1"/>
    </xf>
    <xf numFmtId="0" fontId="30" fillId="0" borderId="0" xfId="0" applyFont="1" applyAlignment="1">
      <alignment horizontal="left" vertical="top" wrapText="1"/>
    </xf>
    <xf numFmtId="0" fontId="30" fillId="0" borderId="38" xfId="0" applyFont="1" applyBorder="1" applyAlignment="1">
      <alignment horizontal="left" vertical="top" wrapText="1"/>
    </xf>
    <xf numFmtId="0" fontId="30" fillId="0" borderId="19" xfId="0" applyFont="1" applyBorder="1" applyAlignment="1">
      <alignment horizontal="left" vertical="top" wrapText="1"/>
    </xf>
    <xf numFmtId="0" fontId="30" fillId="0" borderId="10" xfId="0" applyFont="1" applyBorder="1" applyAlignment="1">
      <alignment horizontal="left" vertical="top" wrapText="1"/>
    </xf>
    <xf numFmtId="0" fontId="30" fillId="0" borderId="39" xfId="0" applyFont="1" applyBorder="1" applyAlignment="1">
      <alignment horizontal="left" vertical="top" wrapText="1"/>
    </xf>
    <xf numFmtId="0" fontId="30" fillId="0" borderId="5" xfId="0" applyFont="1" applyBorder="1" applyAlignment="1" applyProtection="1">
      <alignment horizontal="left" vertical="top"/>
      <protection locked="0"/>
    </xf>
    <xf numFmtId="0" fontId="30" fillId="0" borderId="2" xfId="0" applyFont="1" applyBorder="1" applyAlignment="1" applyProtection="1">
      <alignment horizontal="left" vertical="top"/>
      <protection locked="0"/>
    </xf>
    <xf numFmtId="0" fontId="30" fillId="0" borderId="2" xfId="0" applyFont="1" applyBorder="1" applyAlignment="1" applyProtection="1">
      <alignment horizontal="center" vertical="top"/>
      <protection locked="0"/>
    </xf>
    <xf numFmtId="0" fontId="30" fillId="0" borderId="14" xfId="0" applyFont="1" applyBorder="1" applyAlignment="1" applyProtection="1">
      <alignment horizontal="center" vertical="top"/>
      <protection locked="0"/>
    </xf>
    <xf numFmtId="0" fontId="30" fillId="6" borderId="5" xfId="0" applyFont="1" applyFill="1" applyBorder="1" applyAlignment="1" applyProtection="1">
      <alignment horizontal="center" vertical="top" wrapText="1"/>
      <protection locked="0"/>
    </xf>
    <xf numFmtId="0" fontId="30" fillId="6" borderId="2" xfId="0" applyFont="1" applyFill="1" applyBorder="1" applyAlignment="1" applyProtection="1">
      <alignment horizontal="center" vertical="top" wrapText="1"/>
      <protection locked="0"/>
    </xf>
    <xf numFmtId="0" fontId="30" fillId="6" borderId="14" xfId="0" applyFont="1" applyFill="1" applyBorder="1" applyAlignment="1" applyProtection="1">
      <alignment horizontal="center" vertical="top" wrapText="1"/>
      <protection locked="0"/>
    </xf>
    <xf numFmtId="0" fontId="29" fillId="0" borderId="5" xfId="0" applyFont="1" applyBorder="1" applyAlignment="1">
      <alignment horizontal="center"/>
    </xf>
    <xf numFmtId="0" fontId="29" fillId="0" borderId="14" xfId="0" applyFont="1" applyBorder="1" applyAlignment="1">
      <alignment horizontal="center"/>
    </xf>
    <xf numFmtId="0" fontId="29" fillId="0" borderId="2" xfId="0" applyFont="1" applyBorder="1" applyAlignment="1">
      <alignment horizontal="center"/>
    </xf>
    <xf numFmtId="0" fontId="29" fillId="0" borderId="41" xfId="0" applyFont="1" applyBorder="1" applyAlignment="1">
      <alignment horizontal="center"/>
    </xf>
    <xf numFmtId="0" fontId="41" fillId="0" borderId="12" xfId="0" applyFont="1" applyBorder="1" applyAlignment="1">
      <alignment horizontal="center" wrapText="1"/>
    </xf>
    <xf numFmtId="166" fontId="21" fillId="0" borderId="14" xfId="0" applyNumberFormat="1" applyFont="1" applyBorder="1" applyAlignment="1">
      <alignment horizontal="center"/>
    </xf>
    <xf numFmtId="0" fontId="21" fillId="0" borderId="2" xfId="0" applyFont="1" applyBorder="1" applyAlignment="1">
      <alignment horizontal="center"/>
    </xf>
    <xf numFmtId="0" fontId="21" fillId="0" borderId="14" xfId="0" applyFont="1" applyBorder="1" applyAlignment="1">
      <alignment horizontal="center"/>
    </xf>
    <xf numFmtId="167" fontId="27" fillId="0" borderId="12" xfId="0" applyNumberFormat="1" applyFont="1" applyBorder="1" applyAlignment="1">
      <alignment horizontal="left" vertical="top"/>
    </xf>
    <xf numFmtId="0" fontId="27" fillId="0" borderId="0" xfId="0" applyFont="1" applyAlignment="1">
      <alignment horizontal="center" vertical="top"/>
    </xf>
    <xf numFmtId="0" fontId="27" fillId="0" borderId="7" xfId="0" applyFont="1" applyBorder="1" applyAlignment="1">
      <alignment horizontal="center" vertical="top"/>
    </xf>
    <xf numFmtId="167" fontId="27" fillId="0" borderId="0" xfId="0" applyNumberFormat="1" applyFont="1" applyAlignment="1">
      <alignment horizontal="left" vertical="top"/>
    </xf>
    <xf numFmtId="0" fontId="27" fillId="4" borderId="35" xfId="0" applyFont="1" applyFill="1" applyBorder="1" applyAlignment="1">
      <alignment horizontal="left" vertical="center"/>
    </xf>
    <xf numFmtId="0" fontId="27" fillId="4" borderId="0" xfId="0" applyFont="1" applyFill="1" applyAlignment="1">
      <alignment horizontal="left" vertical="center"/>
    </xf>
    <xf numFmtId="0" fontId="27" fillId="4" borderId="7" xfId="0" applyFont="1" applyFill="1" applyBorder="1" applyAlignment="1">
      <alignment horizontal="left" vertical="center"/>
    </xf>
    <xf numFmtId="0" fontId="27" fillId="0" borderId="0" xfId="0" applyFont="1" applyAlignment="1">
      <alignment vertical="top" wrapText="1"/>
    </xf>
    <xf numFmtId="0" fontId="27" fillId="0" borderId="7" xfId="0" applyFont="1" applyBorder="1" applyAlignment="1">
      <alignment vertical="top"/>
    </xf>
    <xf numFmtId="167" fontId="27" fillId="0" borderId="0" xfId="0" applyNumberFormat="1" applyFont="1" applyAlignment="1">
      <alignment vertical="top" wrapText="1"/>
    </xf>
    <xf numFmtId="167" fontId="27" fillId="0" borderId="7" xfId="0" applyNumberFormat="1" applyFont="1" applyBorder="1" applyAlignment="1">
      <alignment vertical="top" wrapText="1"/>
    </xf>
    <xf numFmtId="0" fontId="26" fillId="0" borderId="19" xfId="0" applyFont="1" applyBorder="1" applyAlignment="1">
      <alignment horizontal="center" vertical="top"/>
    </xf>
    <xf numFmtId="0" fontId="26" fillId="0" borderId="10" xfId="0" applyFont="1" applyBorder="1" applyAlignment="1">
      <alignment horizontal="center" vertical="top"/>
    </xf>
    <xf numFmtId="167" fontId="27" fillId="0" borderId="10" xfId="0" applyNumberFormat="1" applyFont="1" applyBorder="1" applyAlignment="1">
      <alignment horizontal="left" vertical="top"/>
    </xf>
    <xf numFmtId="0" fontId="26" fillId="0" borderId="35" xfId="0" applyFont="1" applyBorder="1" applyAlignment="1">
      <alignment vertical="center"/>
    </xf>
    <xf numFmtId="0" fontId="27" fillId="0" borderId="0" xfId="0" applyFont="1" applyAlignment="1">
      <alignment vertical="center"/>
    </xf>
    <xf numFmtId="0" fontId="27" fillId="0" borderId="7" xfId="0" applyFont="1" applyBorder="1" applyAlignment="1">
      <alignment vertical="center"/>
    </xf>
    <xf numFmtId="0" fontId="27" fillId="4" borderId="35" xfId="0" applyFont="1" applyFill="1" applyBorder="1" applyAlignment="1">
      <alignment horizontal="left" vertical="center" wrapText="1"/>
    </xf>
    <xf numFmtId="0" fontId="27" fillId="4" borderId="0" xfId="0" applyFont="1" applyFill="1" applyAlignment="1">
      <alignment horizontal="left" vertical="center" wrapText="1"/>
    </xf>
    <xf numFmtId="0" fontId="27" fillId="4" borderId="7" xfId="0" applyFont="1" applyFill="1" applyBorder="1" applyAlignment="1">
      <alignment horizontal="left" vertical="center" wrapText="1"/>
    </xf>
    <xf numFmtId="0" fontId="26" fillId="0" borderId="0" xfId="0" applyFont="1" applyAlignment="1">
      <alignment vertical="center"/>
    </xf>
    <xf numFmtId="0" fontId="26" fillId="0" borderId="7" xfId="0" applyFont="1" applyBorder="1" applyAlignment="1">
      <alignment vertical="center"/>
    </xf>
    <xf numFmtId="166" fontId="27" fillId="0" borderId="1" xfId="0" applyNumberFormat="1" applyFont="1" applyBorder="1" applyAlignment="1">
      <alignment horizontal="center"/>
    </xf>
    <xf numFmtId="0" fontId="27" fillId="0" borderId="1" xfId="0" applyFont="1" applyBorder="1" applyAlignment="1">
      <alignment horizontal="left"/>
    </xf>
    <xf numFmtId="0" fontId="27" fillId="0" borderId="5" xfId="0" applyFont="1" applyBorder="1" applyAlignment="1">
      <alignment horizontal="center"/>
    </xf>
    <xf numFmtId="0" fontId="27" fillId="0" borderId="14" xfId="0" applyFont="1" applyBorder="1" applyAlignment="1">
      <alignment horizontal="center"/>
    </xf>
    <xf numFmtId="166" fontId="27" fillId="0" borderId="5" xfId="0" applyNumberFormat="1" applyFont="1" applyBorder="1" applyAlignment="1">
      <alignment horizontal="center"/>
    </xf>
    <xf numFmtId="166" fontId="27" fillId="0" borderId="14" xfId="0" applyNumberFormat="1" applyFont="1" applyBorder="1" applyAlignment="1">
      <alignment horizontal="center"/>
    </xf>
    <xf numFmtId="0" fontId="27" fillId="0" borderId="5" xfId="0" applyFont="1" applyBorder="1" applyAlignment="1">
      <alignment horizontal="left"/>
    </xf>
    <xf numFmtId="0" fontId="27" fillId="0" borderId="14" xfId="0" applyFont="1" applyBorder="1" applyAlignment="1">
      <alignment horizontal="left"/>
    </xf>
    <xf numFmtId="0" fontId="26" fillId="0" borderId="5" xfId="0" applyFont="1" applyBorder="1" applyAlignment="1">
      <alignment horizontal="center"/>
    </xf>
    <xf numFmtId="0" fontId="26" fillId="0" borderId="14" xfId="0" applyFont="1" applyBorder="1" applyAlignment="1">
      <alignment horizontal="center"/>
    </xf>
    <xf numFmtId="0" fontId="26" fillId="0" borderId="1" xfId="0" applyFont="1" applyBorder="1" applyAlignment="1">
      <alignment horizontal="center"/>
    </xf>
    <xf numFmtId="0" fontId="26" fillId="0" borderId="2" xfId="0" applyFont="1" applyBorder="1" applyAlignment="1">
      <alignment horizontal="center"/>
    </xf>
    <xf numFmtId="0" fontId="26" fillId="0" borderId="41" xfId="0" applyFont="1" applyBorder="1" applyAlignment="1">
      <alignment horizontal="center"/>
    </xf>
    <xf numFmtId="0" fontId="26" fillId="3" borderId="37" xfId="0" applyFont="1" applyFill="1" applyBorder="1" applyAlignment="1">
      <alignment vertical="top"/>
    </xf>
    <xf numFmtId="0" fontId="26" fillId="3" borderId="12" xfId="0" applyFont="1" applyFill="1" applyBorder="1" applyAlignment="1">
      <alignment vertical="top"/>
    </xf>
    <xf numFmtId="0" fontId="26" fillId="3" borderId="12" xfId="0" applyFont="1" applyFill="1" applyBorder="1" applyAlignment="1">
      <alignment horizontal="left" vertical="top" wrapText="1"/>
    </xf>
    <xf numFmtId="0" fontId="27" fillId="3" borderId="12" xfId="0" applyFont="1" applyFill="1" applyBorder="1" applyAlignment="1">
      <alignment horizontal="center" vertical="top"/>
    </xf>
    <xf numFmtId="0" fontId="27" fillId="3" borderId="6" xfId="0" applyFont="1" applyFill="1" applyBorder="1" applyAlignment="1">
      <alignment horizontal="center" vertical="top"/>
    </xf>
    <xf numFmtId="0" fontId="26" fillId="3" borderId="35" xfId="0" applyFont="1" applyFill="1" applyBorder="1" applyAlignment="1">
      <alignment vertical="top"/>
    </xf>
    <xf numFmtId="0" fontId="26" fillId="3" borderId="0" xfId="0" applyFont="1" applyFill="1" applyAlignment="1">
      <alignment vertical="top"/>
    </xf>
    <xf numFmtId="0" fontId="26" fillId="3" borderId="0" xfId="0" applyFont="1" applyFill="1" applyAlignment="1">
      <alignment horizontal="left" vertical="top"/>
    </xf>
    <xf numFmtId="0" fontId="27" fillId="3" borderId="0" xfId="0" applyFont="1" applyFill="1" applyAlignment="1">
      <alignment horizontal="center" vertical="top"/>
    </xf>
    <xf numFmtId="0" fontId="27" fillId="3" borderId="7" xfId="0" applyFont="1" applyFill="1" applyBorder="1" applyAlignment="1">
      <alignment horizontal="center" vertical="top"/>
    </xf>
    <xf numFmtId="0" fontId="27" fillId="3" borderId="10" xfId="0" applyFont="1" applyFill="1" applyBorder="1" applyAlignment="1">
      <alignment horizontal="center" vertical="top"/>
    </xf>
    <xf numFmtId="0" fontId="27" fillId="3" borderId="8" xfId="0" applyFont="1" applyFill="1" applyBorder="1" applyAlignment="1">
      <alignment horizontal="center" vertical="top"/>
    </xf>
    <xf numFmtId="0" fontId="26" fillId="3" borderId="35" xfId="0" applyFont="1" applyFill="1" applyBorder="1" applyAlignment="1">
      <alignment horizontal="left" vertical="top"/>
    </xf>
    <xf numFmtId="0" fontId="27" fillId="3" borderId="0" xfId="0" applyFont="1" applyFill="1" applyAlignment="1">
      <alignment horizontal="left" vertical="top" wrapText="1"/>
    </xf>
    <xf numFmtId="0" fontId="27" fillId="3" borderId="7" xfId="0" applyFont="1" applyFill="1" applyBorder="1" applyAlignment="1">
      <alignment horizontal="left" vertical="top" wrapText="1"/>
    </xf>
    <xf numFmtId="0" fontId="26" fillId="3" borderId="19" xfId="0" applyFont="1" applyFill="1" applyBorder="1" applyAlignment="1">
      <alignment horizontal="left" vertical="top"/>
    </xf>
    <xf numFmtId="0" fontId="26" fillId="3" borderId="10" xfId="0" applyFont="1" applyFill="1" applyBorder="1" applyAlignment="1">
      <alignment horizontal="left" vertical="top"/>
    </xf>
    <xf numFmtId="0" fontId="26" fillId="3" borderId="10" xfId="0" applyFont="1" applyFill="1" applyBorder="1" applyAlignment="1">
      <alignment horizontal="center" vertical="top"/>
    </xf>
    <xf numFmtId="0" fontId="26" fillId="0" borderId="19" xfId="0" applyFont="1" applyBorder="1" applyAlignment="1">
      <alignment horizontal="center" vertical="center"/>
    </xf>
    <xf numFmtId="0" fontId="26" fillId="0" borderId="10" xfId="0" applyFont="1" applyBorder="1" applyAlignment="1">
      <alignment horizontal="center" vertical="center"/>
    </xf>
    <xf numFmtId="0" fontId="26" fillId="0" borderId="8" xfId="0" applyFont="1" applyBorder="1" applyAlignment="1">
      <alignment horizontal="center" vertical="center"/>
    </xf>
    <xf numFmtId="0" fontId="26" fillId="0" borderId="43" xfId="0" applyFont="1" applyBorder="1" applyAlignment="1">
      <alignment horizontal="center" vertical="center"/>
    </xf>
    <xf numFmtId="0" fontId="27" fillId="3" borderId="5" xfId="0" applyFont="1" applyFill="1" applyBorder="1" applyAlignment="1">
      <alignment horizontal="center" vertical="center"/>
    </xf>
    <xf numFmtId="0" fontId="27" fillId="3" borderId="2" xfId="0" applyFont="1" applyFill="1" applyBorder="1" applyAlignment="1">
      <alignment horizontal="center" vertical="center"/>
    </xf>
    <xf numFmtId="0" fontId="27" fillId="3" borderId="14" xfId="0" applyFont="1" applyFill="1" applyBorder="1" applyAlignment="1">
      <alignment horizontal="center" vertical="center"/>
    </xf>
    <xf numFmtId="166" fontId="27" fillId="3" borderId="5" xfId="0" applyNumberFormat="1" applyFont="1" applyFill="1" applyBorder="1" applyAlignment="1">
      <alignment horizontal="center" vertical="center"/>
    </xf>
    <xf numFmtId="166" fontId="27" fillId="3" borderId="2" xfId="0" applyNumberFormat="1" applyFont="1" applyFill="1" applyBorder="1" applyAlignment="1">
      <alignment horizontal="center" vertical="center"/>
    </xf>
    <xf numFmtId="0" fontId="27" fillId="3" borderId="19" xfId="0" applyFont="1" applyFill="1" applyBorder="1" applyAlignment="1">
      <alignment horizontal="center" vertical="center"/>
    </xf>
    <xf numFmtId="0" fontId="27" fillId="3" borderId="10" xfId="0" applyFont="1" applyFill="1" applyBorder="1" applyAlignment="1">
      <alignment horizontal="center" vertical="center"/>
    </xf>
    <xf numFmtId="0" fontId="27" fillId="3" borderId="8" xfId="0" applyFont="1" applyFill="1" applyBorder="1" applyAlignment="1">
      <alignment horizontal="center" vertical="center"/>
    </xf>
    <xf numFmtId="0" fontId="27" fillId="3" borderId="44" xfId="0" applyFont="1" applyFill="1" applyBorder="1" applyAlignment="1">
      <alignment horizontal="center" vertical="center"/>
    </xf>
    <xf numFmtId="0" fontId="27" fillId="4" borderId="0" xfId="0" applyFont="1" applyFill="1" applyAlignment="1">
      <alignment horizontal="left" vertical="top"/>
    </xf>
    <xf numFmtId="0" fontId="41" fillId="3" borderId="12" xfId="0" applyFont="1" applyFill="1" applyBorder="1" applyAlignment="1" applyProtection="1">
      <alignment horizontal="center" wrapText="1"/>
      <protection locked="0"/>
    </xf>
    <xf numFmtId="0" fontId="26" fillId="0" borderId="35" xfId="0" applyFont="1" applyBorder="1" applyAlignment="1" applyProtection="1">
      <alignment horizontal="center" vertical="top"/>
      <protection locked="0"/>
    </xf>
    <xf numFmtId="0" fontId="26" fillId="0" borderId="0" xfId="0" applyFont="1" applyAlignment="1" applyProtection="1">
      <alignment horizontal="center" vertical="top"/>
      <protection locked="0"/>
    </xf>
    <xf numFmtId="0" fontId="26" fillId="0" borderId="7" xfId="0" applyFont="1" applyBorder="1" applyAlignment="1" applyProtection="1">
      <alignment horizontal="center" vertical="top"/>
      <protection locked="0"/>
    </xf>
    <xf numFmtId="0" fontId="27" fillId="0" borderId="0" xfId="1" applyFont="1" applyAlignment="1" applyProtection="1">
      <alignment horizontal="center" vertical="top"/>
      <protection locked="0"/>
    </xf>
    <xf numFmtId="167" fontId="27" fillId="3" borderId="0" xfId="0" applyNumberFormat="1" applyFont="1" applyFill="1" applyAlignment="1">
      <alignment horizontal="left" vertical="top"/>
    </xf>
    <xf numFmtId="167" fontId="27" fillId="3" borderId="12" xfId="0" applyNumberFormat="1" applyFont="1" applyFill="1" applyBorder="1" applyAlignment="1">
      <alignment horizontal="left" vertical="top"/>
    </xf>
    <xf numFmtId="0" fontId="26" fillId="3" borderId="12" xfId="0" applyFont="1" applyFill="1" applyBorder="1" applyAlignment="1">
      <alignment horizontal="left" vertical="top"/>
    </xf>
    <xf numFmtId="0" fontId="27" fillId="4" borderId="10" xfId="0" applyFont="1" applyFill="1" applyBorder="1" applyAlignment="1">
      <alignment horizontal="center" vertical="top"/>
    </xf>
    <xf numFmtId="0" fontId="26" fillId="0" borderId="44" xfId="0" applyFont="1" applyBorder="1" applyAlignment="1">
      <alignment horizontal="center" vertical="center"/>
    </xf>
    <xf numFmtId="0" fontId="27" fillId="6" borderId="0" xfId="0" applyFont="1" applyFill="1" applyAlignment="1" applyProtection="1">
      <alignment horizontal="center" vertical="top"/>
      <protection locked="0"/>
    </xf>
    <xf numFmtId="0" fontId="27" fillId="0" borderId="12" xfId="0" applyFont="1" applyBorder="1" applyAlignment="1">
      <alignment vertical="top"/>
    </xf>
    <xf numFmtId="0" fontId="27" fillId="3" borderId="0" xfId="0" applyFont="1" applyFill="1" applyAlignment="1">
      <alignment horizontal="left" vertical="top"/>
    </xf>
    <xf numFmtId="0" fontId="27" fillId="0" borderId="0" xfId="0" applyFont="1" applyAlignment="1">
      <alignment horizontal="left" vertical="top"/>
    </xf>
    <xf numFmtId="0" fontId="27" fillId="0" borderId="7" xfId="0" applyFont="1" applyBorder="1" applyAlignment="1">
      <alignment horizontal="left" vertical="top"/>
    </xf>
    <xf numFmtId="0" fontId="27" fillId="0" borderId="10" xfId="0" applyFont="1" applyBorder="1" applyAlignment="1">
      <alignment horizontal="left" vertical="top"/>
    </xf>
    <xf numFmtId="0" fontId="27" fillId="3" borderId="10" xfId="0" applyFont="1" applyFill="1" applyBorder="1" applyAlignment="1">
      <alignment horizontal="left" vertical="top"/>
    </xf>
    <xf numFmtId="0" fontId="27" fillId="0" borderId="10" xfId="0" applyFont="1" applyBorder="1" applyAlignment="1">
      <alignment vertical="top"/>
    </xf>
    <xf numFmtId="0" fontId="26" fillId="3" borderId="0" xfId="0" applyFont="1" applyFill="1" applyAlignment="1">
      <alignment horizontal="center" vertical="top"/>
    </xf>
    <xf numFmtId="0" fontId="26" fillId="4" borderId="0" xfId="0" applyFont="1" applyFill="1" applyAlignment="1" applyProtection="1">
      <alignment horizontal="center" vertical="top"/>
      <protection locked="0"/>
    </xf>
    <xf numFmtId="0" fontId="26" fillId="0" borderId="1" xfId="0" applyFont="1" applyBorder="1" applyAlignment="1">
      <alignment horizontal="center" vertical="center"/>
    </xf>
    <xf numFmtId="0" fontId="26" fillId="0" borderId="46" xfId="0" applyFont="1" applyBorder="1" applyAlignment="1">
      <alignment horizontal="center" vertical="center"/>
    </xf>
    <xf numFmtId="0" fontId="26" fillId="0" borderId="47" xfId="0" applyFont="1" applyBorder="1" applyAlignment="1">
      <alignment horizontal="center" vertical="center"/>
    </xf>
    <xf numFmtId="0" fontId="26" fillId="0" borderId="45" xfId="0" applyFont="1" applyBorder="1" applyAlignment="1">
      <alignment horizontal="center" vertical="center"/>
    </xf>
    <xf numFmtId="0" fontId="27" fillId="3" borderId="1" xfId="0" applyFont="1" applyFill="1" applyBorder="1" applyAlignment="1">
      <alignment horizontal="center" vertical="center"/>
    </xf>
    <xf numFmtId="0" fontId="27" fillId="3" borderId="46" xfId="0" applyFont="1" applyFill="1" applyBorder="1" applyAlignment="1">
      <alignment horizontal="center" vertical="center"/>
    </xf>
    <xf numFmtId="0" fontId="27" fillId="3" borderId="47" xfId="0" applyFont="1" applyFill="1" applyBorder="1" applyAlignment="1">
      <alignment horizontal="center" vertical="center"/>
    </xf>
    <xf numFmtId="0" fontId="27" fillId="3" borderId="45" xfId="0" applyFont="1" applyFill="1" applyBorder="1" applyAlignment="1">
      <alignment horizontal="center" vertical="center"/>
    </xf>
    <xf numFmtId="166" fontId="27" fillId="3" borderId="14" xfId="0" applyNumberFormat="1" applyFont="1" applyFill="1" applyBorder="1" applyAlignment="1">
      <alignment horizontal="center" vertical="center"/>
    </xf>
    <xf numFmtId="166" fontId="27" fillId="3" borderId="1" xfId="0" applyNumberFormat="1" applyFont="1" applyFill="1" applyBorder="1" applyAlignment="1">
      <alignment horizontal="center" vertical="center"/>
    </xf>
    <xf numFmtId="0" fontId="27" fillId="0" borderId="0" xfId="0" applyFont="1" applyAlignment="1" applyProtection="1">
      <alignment horizontal="left" vertical="top" wrapText="1"/>
      <protection locked="0"/>
    </xf>
    <xf numFmtId="0" fontId="28" fillId="0" borderId="0" xfId="0" applyFont="1" applyAlignment="1" applyProtection="1">
      <alignment horizontal="left" vertical="top"/>
      <protection locked="0"/>
    </xf>
    <xf numFmtId="0" fontId="27" fillId="0" borderId="48" xfId="0" applyFont="1" applyBorder="1" applyAlignment="1" applyProtection="1">
      <alignment horizontal="center" vertical="center" wrapText="1"/>
      <protection locked="0"/>
    </xf>
    <xf numFmtId="0" fontId="27" fillId="0" borderId="49" xfId="0" applyFont="1" applyBorder="1" applyAlignment="1" applyProtection="1">
      <alignment horizontal="center" vertical="center" wrapText="1"/>
      <protection locked="0"/>
    </xf>
    <xf numFmtId="0" fontId="27" fillId="0" borderId="50" xfId="0" applyFont="1" applyBorder="1" applyAlignment="1" applyProtection="1">
      <alignment horizontal="center" vertical="center" wrapText="1"/>
      <protection locked="0"/>
    </xf>
    <xf numFmtId="0" fontId="27" fillId="0" borderId="53" xfId="0" applyFont="1" applyBorder="1" applyAlignment="1" applyProtection="1">
      <alignment horizontal="center" vertical="center" wrapText="1"/>
      <protection locked="0"/>
    </xf>
    <xf numFmtId="0" fontId="27" fillId="0" borderId="54" xfId="0" applyFont="1" applyBorder="1" applyAlignment="1" applyProtection="1">
      <alignment horizontal="center" vertical="center" wrapText="1"/>
      <protection locked="0"/>
    </xf>
    <xf numFmtId="0" fontId="27" fillId="0" borderId="55" xfId="0" applyFont="1" applyBorder="1" applyAlignment="1" applyProtection="1">
      <alignment horizontal="center" vertical="center" wrapText="1"/>
      <protection locked="0"/>
    </xf>
    <xf numFmtId="0" fontId="27" fillId="0" borderId="0" xfId="0" applyFont="1" applyAlignment="1" applyProtection="1">
      <alignment horizontal="center" vertical="top"/>
      <protection locked="0"/>
    </xf>
    <xf numFmtId="0" fontId="28" fillId="0" borderId="49" xfId="0" applyFont="1" applyBorder="1" applyAlignment="1" applyProtection="1">
      <alignment horizontal="center" vertical="center" wrapText="1"/>
      <protection locked="0"/>
    </xf>
    <xf numFmtId="0" fontId="28" fillId="0" borderId="50" xfId="0" applyFont="1" applyBorder="1" applyAlignment="1" applyProtection="1">
      <alignment horizontal="center" vertical="center" wrapText="1"/>
      <protection locked="0"/>
    </xf>
    <xf numFmtId="0" fontId="28" fillId="0" borderId="51" xfId="0" applyFont="1" applyBorder="1" applyAlignment="1" applyProtection="1">
      <alignment horizontal="center" vertical="center" wrapText="1"/>
      <protection locked="0"/>
    </xf>
    <xf numFmtId="0" fontId="28" fillId="0" borderId="0" xfId="0" applyFont="1" applyAlignment="1" applyProtection="1">
      <alignment horizontal="center" vertical="center" wrapText="1"/>
      <protection locked="0"/>
    </xf>
    <xf numFmtId="0" fontId="28" fillId="0" borderId="52" xfId="0" applyFont="1" applyBorder="1" applyAlignment="1" applyProtection="1">
      <alignment horizontal="center" vertical="center" wrapText="1"/>
      <protection locked="0"/>
    </xf>
    <xf numFmtId="0" fontId="28" fillId="0" borderId="53" xfId="0" applyFont="1" applyBorder="1" applyAlignment="1" applyProtection="1">
      <alignment horizontal="center" vertical="center" wrapText="1"/>
      <protection locked="0"/>
    </xf>
    <xf numFmtId="0" fontId="28" fillId="0" borderId="54" xfId="0" applyFont="1" applyBorder="1" applyAlignment="1" applyProtection="1">
      <alignment horizontal="center" vertical="center" wrapText="1"/>
      <protection locked="0"/>
    </xf>
    <xf numFmtId="0" fontId="28" fillId="0" borderId="55" xfId="0" applyFont="1" applyBorder="1" applyAlignment="1" applyProtection="1">
      <alignment horizontal="center" vertical="center" wrapText="1"/>
      <protection locked="0"/>
    </xf>
    <xf numFmtId="0" fontId="27" fillId="0" borderId="26" xfId="0" applyFont="1" applyBorder="1" applyAlignment="1" applyProtection="1">
      <alignment horizontal="center" vertical="center" wrapText="1"/>
      <protection locked="0"/>
    </xf>
    <xf numFmtId="0" fontId="27" fillId="0" borderId="23" xfId="0" applyFont="1" applyBorder="1" applyAlignment="1" applyProtection="1">
      <alignment horizontal="center" vertical="center" wrapText="1"/>
      <protection locked="0"/>
    </xf>
    <xf numFmtId="0" fontId="27" fillId="0" borderId="24" xfId="0" applyFont="1" applyBorder="1" applyAlignment="1" applyProtection="1">
      <alignment horizontal="center" vertical="center" wrapText="1"/>
      <protection locked="0"/>
    </xf>
    <xf numFmtId="0" fontId="27" fillId="0" borderId="16" xfId="0" applyFont="1" applyBorder="1" applyAlignment="1" applyProtection="1">
      <alignment horizontal="center" vertical="center" wrapText="1"/>
      <protection locked="0"/>
    </xf>
    <xf numFmtId="0" fontId="27" fillId="0" borderId="17" xfId="0" applyFont="1" applyBorder="1" applyAlignment="1" applyProtection="1">
      <alignment horizontal="center" vertical="center" wrapText="1"/>
      <protection locked="0"/>
    </xf>
    <xf numFmtId="0" fontId="27" fillId="0" borderId="18" xfId="0" applyFont="1" applyBorder="1" applyAlignment="1" applyProtection="1">
      <alignment horizontal="center" vertical="center" wrapText="1"/>
      <protection locked="0"/>
    </xf>
    <xf numFmtId="0" fontId="27" fillId="0" borderId="26" xfId="0" applyFont="1" applyBorder="1" applyAlignment="1" applyProtection="1">
      <alignment horizontal="center" vertical="top" wrapText="1"/>
      <protection locked="0"/>
    </xf>
    <xf numFmtId="0" fontId="27" fillId="0" borderId="23" xfId="0" applyFont="1" applyBorder="1" applyAlignment="1" applyProtection="1">
      <alignment horizontal="center" vertical="top" wrapText="1"/>
      <protection locked="0"/>
    </xf>
    <xf numFmtId="0" fontId="27" fillId="0" borderId="24" xfId="0" applyFont="1" applyBorder="1" applyAlignment="1" applyProtection="1">
      <alignment horizontal="center" vertical="top" wrapText="1"/>
      <protection locked="0"/>
    </xf>
    <xf numFmtId="0" fontId="27" fillId="0" borderId="16" xfId="0" applyFont="1" applyBorder="1" applyAlignment="1" applyProtection="1">
      <alignment horizontal="center" vertical="top" wrapText="1"/>
      <protection locked="0"/>
    </xf>
    <xf numFmtId="0" fontId="27" fillId="0" borderId="17" xfId="0" applyFont="1" applyBorder="1" applyAlignment="1" applyProtection="1">
      <alignment horizontal="center" vertical="top" wrapText="1"/>
      <protection locked="0"/>
    </xf>
    <xf numFmtId="0" fontId="27" fillId="0" borderId="18" xfId="0" applyFont="1" applyBorder="1" applyAlignment="1" applyProtection="1">
      <alignment horizontal="center" vertical="top" wrapText="1"/>
      <protection locked="0"/>
    </xf>
    <xf numFmtId="0" fontId="28" fillId="6" borderId="0" xfId="0" applyFont="1" applyFill="1" applyAlignment="1" applyProtection="1">
      <alignment horizontal="left" vertical="top" wrapText="1"/>
      <protection locked="0"/>
    </xf>
    <xf numFmtId="0" fontId="28" fillId="6" borderId="0" xfId="0" applyFont="1" applyFill="1" applyAlignment="1" applyProtection="1">
      <alignment horizontal="left" vertical="top"/>
      <protection locked="0"/>
    </xf>
    <xf numFmtId="0" fontId="27" fillId="3" borderId="12" xfId="0" applyFont="1" applyFill="1" applyBorder="1" applyAlignment="1" applyProtection="1">
      <alignment horizontal="center" wrapText="1"/>
      <protection locked="0"/>
    </xf>
    <xf numFmtId="0" fontId="28" fillId="7" borderId="5" xfId="0" applyFont="1" applyFill="1" applyBorder="1" applyAlignment="1" applyProtection="1">
      <alignment horizontal="left" vertical="top"/>
      <protection locked="0"/>
    </xf>
    <xf numFmtId="0" fontId="28" fillId="7" borderId="2" xfId="0" applyFont="1" applyFill="1" applyBorder="1" applyAlignment="1" applyProtection="1">
      <alignment horizontal="left" vertical="top"/>
      <protection locked="0"/>
    </xf>
    <xf numFmtId="0" fontId="28" fillId="7" borderId="14" xfId="0" applyFont="1" applyFill="1" applyBorder="1" applyAlignment="1" applyProtection="1">
      <alignment horizontal="left" vertical="top"/>
      <protection locked="0"/>
    </xf>
    <xf numFmtId="0" fontId="28" fillId="7" borderId="1" xfId="0" applyFont="1" applyFill="1" applyBorder="1" applyAlignment="1" applyProtection="1">
      <alignment horizontal="center" vertical="center"/>
      <protection locked="0"/>
    </xf>
    <xf numFmtId="0" fontId="27" fillId="0" borderId="5" xfId="0" applyFont="1" applyBorder="1" applyAlignment="1" applyProtection="1">
      <alignment horizontal="center" vertical="top"/>
      <protection locked="0"/>
    </xf>
    <xf numFmtId="0" fontId="27" fillId="0" borderId="2" xfId="0" applyFont="1" applyBorder="1" applyAlignment="1" applyProtection="1">
      <alignment horizontal="center" vertical="top"/>
      <protection locked="0"/>
    </xf>
    <xf numFmtId="0" fontId="27" fillId="0" borderId="14" xfId="0" applyFont="1" applyBorder="1" applyAlignment="1" applyProtection="1">
      <alignment horizontal="center" vertical="top"/>
      <protection locked="0"/>
    </xf>
    <xf numFmtId="0" fontId="38" fillId="0" borderId="5" xfId="0" applyFont="1" applyBorder="1" applyAlignment="1" applyProtection="1">
      <alignment horizontal="center" vertical="top"/>
      <protection locked="0"/>
    </xf>
    <xf numFmtId="0" fontId="38" fillId="0" borderId="2" xfId="0" applyFont="1" applyBorder="1" applyAlignment="1" applyProtection="1">
      <alignment horizontal="center" vertical="top"/>
      <protection locked="0"/>
    </xf>
    <xf numFmtId="0" fontId="38" fillId="0" borderId="14" xfId="0" applyFont="1" applyBorder="1" applyAlignment="1" applyProtection="1">
      <alignment horizontal="center" vertical="top"/>
      <protection locked="0"/>
    </xf>
    <xf numFmtId="0" fontId="38" fillId="7" borderId="5" xfId="0" applyFont="1" applyFill="1" applyBorder="1" applyAlignment="1" applyProtection="1">
      <alignment horizontal="center" vertical="top"/>
      <protection locked="0"/>
    </xf>
    <xf numFmtId="0" fontId="38" fillId="7" borderId="2" xfId="0" applyFont="1" applyFill="1" applyBorder="1" applyAlignment="1" applyProtection="1">
      <alignment horizontal="center" vertical="top"/>
      <protection locked="0"/>
    </xf>
    <xf numFmtId="0" fontId="38" fillId="7" borderId="14" xfId="0" applyFont="1" applyFill="1" applyBorder="1" applyAlignment="1" applyProtection="1">
      <alignment horizontal="center" vertical="top"/>
      <protection locked="0"/>
    </xf>
    <xf numFmtId="0" fontId="28" fillId="7" borderId="1" xfId="0" applyFont="1" applyFill="1" applyBorder="1" applyAlignment="1" applyProtection="1">
      <alignment horizontal="left" vertical="top"/>
      <protection locked="0"/>
    </xf>
    <xf numFmtId="0" fontId="27" fillId="6" borderId="5" xfId="0" applyFont="1" applyFill="1" applyBorder="1" applyAlignment="1" applyProtection="1">
      <alignment horizontal="center" vertical="top"/>
      <protection locked="0"/>
    </xf>
    <xf numFmtId="0" fontId="27" fillId="6" borderId="2" xfId="0" applyFont="1" applyFill="1" applyBorder="1" applyAlignment="1" applyProtection="1">
      <alignment horizontal="center" vertical="top"/>
      <protection locked="0"/>
    </xf>
    <xf numFmtId="0" fontId="27" fillId="6" borderId="14" xfId="0" applyFont="1" applyFill="1" applyBorder="1" applyAlignment="1" applyProtection="1">
      <alignment horizontal="center" vertical="top"/>
      <protection locked="0"/>
    </xf>
    <xf numFmtId="0" fontId="28" fillId="7" borderId="37" xfId="0" applyFont="1" applyFill="1" applyBorder="1" applyAlignment="1" applyProtection="1">
      <alignment horizontal="left" vertical="top" wrapText="1"/>
      <protection locked="0"/>
    </xf>
    <xf numFmtId="0" fontId="28" fillId="7" borderId="12" xfId="0" applyFont="1" applyFill="1" applyBorder="1" applyAlignment="1" applyProtection="1">
      <alignment horizontal="left" vertical="top" wrapText="1"/>
      <protection locked="0"/>
    </xf>
    <xf numFmtId="0" fontId="28" fillId="7" borderId="6" xfId="0" applyFont="1" applyFill="1" applyBorder="1" applyAlignment="1" applyProtection="1">
      <alignment horizontal="left" vertical="top" wrapText="1"/>
      <protection locked="0"/>
    </xf>
    <xf numFmtId="0" fontId="28" fillId="7" borderId="19" xfId="0" applyFont="1" applyFill="1" applyBorder="1" applyAlignment="1" applyProtection="1">
      <alignment horizontal="left" vertical="top" wrapText="1"/>
      <protection locked="0"/>
    </xf>
    <xf numFmtId="0" fontId="28" fillId="7" borderId="10" xfId="0" applyFont="1" applyFill="1" applyBorder="1" applyAlignment="1" applyProtection="1">
      <alignment horizontal="left" vertical="top" wrapText="1"/>
      <protection locked="0"/>
    </xf>
    <xf numFmtId="0" fontId="28" fillId="7" borderId="8" xfId="0" applyFont="1" applyFill="1" applyBorder="1" applyAlignment="1" applyProtection="1">
      <alignment horizontal="left" vertical="top" wrapText="1"/>
      <protection locked="0"/>
    </xf>
    <xf numFmtId="0" fontId="28" fillId="7" borderId="37" xfId="0" applyFont="1" applyFill="1" applyBorder="1" applyAlignment="1" applyProtection="1">
      <alignment horizontal="center" vertical="center"/>
      <protection locked="0"/>
    </xf>
    <xf numFmtId="0" fontId="28" fillId="7" borderId="6" xfId="0" applyFont="1" applyFill="1" applyBorder="1" applyAlignment="1" applyProtection="1">
      <alignment horizontal="center" vertical="center"/>
      <protection locked="0"/>
    </xf>
    <xf numFmtId="0" fontId="28" fillId="7" borderId="19" xfId="0" applyFont="1" applyFill="1" applyBorder="1" applyAlignment="1" applyProtection="1">
      <alignment horizontal="center" vertical="center"/>
      <protection locked="0"/>
    </xf>
    <xf numFmtId="0" fontId="28" fillId="7" borderId="8" xfId="0" applyFont="1" applyFill="1" applyBorder="1" applyAlignment="1" applyProtection="1">
      <alignment horizontal="center" vertical="center"/>
      <protection locked="0"/>
    </xf>
    <xf numFmtId="0" fontId="27" fillId="6" borderId="37" xfId="0" applyFont="1" applyFill="1" applyBorder="1" applyAlignment="1" applyProtection="1">
      <alignment horizontal="center" vertical="top"/>
      <protection locked="0"/>
    </xf>
    <xf numFmtId="0" fontId="27" fillId="6" borderId="12" xfId="0" applyFont="1" applyFill="1" applyBorder="1" applyAlignment="1" applyProtection="1">
      <alignment horizontal="center" vertical="top"/>
      <protection locked="0"/>
    </xf>
    <xf numFmtId="0" fontId="27" fillId="6" borderId="6" xfId="0" applyFont="1" applyFill="1" applyBorder="1" applyAlignment="1" applyProtection="1">
      <alignment horizontal="center" vertical="top"/>
      <protection locked="0"/>
    </xf>
    <xf numFmtId="0" fontId="27" fillId="6" borderId="19" xfId="0" applyFont="1" applyFill="1" applyBorder="1" applyAlignment="1" applyProtection="1">
      <alignment horizontal="center" vertical="top"/>
      <protection locked="0"/>
    </xf>
    <xf numFmtId="0" fontId="27" fillId="6" borderId="10" xfId="0" applyFont="1" applyFill="1" applyBorder="1" applyAlignment="1" applyProtection="1">
      <alignment horizontal="center" vertical="top"/>
      <protection locked="0"/>
    </xf>
    <xf numFmtId="0" fontId="27" fillId="6" borderId="8" xfId="0" applyFont="1" applyFill="1" applyBorder="1" applyAlignment="1" applyProtection="1">
      <alignment horizontal="center" vertical="top"/>
      <protection locked="0"/>
    </xf>
    <xf numFmtId="0" fontId="27" fillId="0" borderId="37" xfId="0" applyFont="1" applyBorder="1" applyAlignment="1" applyProtection="1">
      <alignment horizontal="center" vertical="center"/>
      <protection locked="0"/>
    </xf>
    <xf numFmtId="0" fontId="27" fillId="0" borderId="12" xfId="0" applyFont="1" applyBorder="1" applyAlignment="1" applyProtection="1">
      <alignment horizontal="center" vertical="center"/>
      <protection locked="0"/>
    </xf>
    <xf numFmtId="0" fontId="27" fillId="0" borderId="6" xfId="0" applyFont="1" applyBorder="1" applyAlignment="1" applyProtection="1">
      <alignment horizontal="center" vertical="center"/>
      <protection locked="0"/>
    </xf>
    <xf numFmtId="0" fontId="27" fillId="0" borderId="19" xfId="0" applyFont="1" applyBorder="1" applyAlignment="1" applyProtection="1">
      <alignment horizontal="center" vertical="center"/>
      <protection locked="0"/>
    </xf>
    <xf numFmtId="0" fontId="27" fillId="0" borderId="10" xfId="0" applyFont="1" applyBorder="1" applyAlignment="1" applyProtection="1">
      <alignment horizontal="center" vertical="center"/>
      <protection locked="0"/>
    </xf>
    <xf numFmtId="0" fontId="27" fillId="0" borderId="8" xfId="0" applyFont="1" applyBorder="1" applyAlignment="1" applyProtection="1">
      <alignment horizontal="center" vertical="center"/>
      <protection locked="0"/>
    </xf>
    <xf numFmtId="0" fontId="27" fillId="0" borderId="37" xfId="0" applyFont="1" applyBorder="1" applyAlignment="1" applyProtection="1">
      <alignment horizontal="center" vertical="top"/>
      <protection locked="0"/>
    </xf>
    <xf numFmtId="0" fontId="27" fillId="0" borderId="12" xfId="0" applyFont="1" applyBorder="1" applyAlignment="1" applyProtection="1">
      <alignment horizontal="center" vertical="top"/>
      <protection locked="0"/>
    </xf>
    <xf numFmtId="0" fontId="27" fillId="0" borderId="6" xfId="0" applyFont="1" applyBorder="1" applyAlignment="1" applyProtection="1">
      <alignment horizontal="center" vertical="top"/>
      <protection locked="0"/>
    </xf>
    <xf numFmtId="0" fontId="27" fillId="0" borderId="19" xfId="0" applyFont="1" applyBorder="1" applyAlignment="1" applyProtection="1">
      <alignment horizontal="center" vertical="top"/>
      <protection locked="0"/>
    </xf>
    <xf numFmtId="0" fontId="27" fillId="0" borderId="10" xfId="0" applyFont="1" applyBorder="1" applyAlignment="1" applyProtection="1">
      <alignment horizontal="center" vertical="top"/>
      <protection locked="0"/>
    </xf>
    <xf numFmtId="0" fontId="27" fillId="0" borderId="8" xfId="0" applyFont="1" applyBorder="1" applyAlignment="1" applyProtection="1">
      <alignment horizontal="center" vertical="top"/>
      <protection locked="0"/>
    </xf>
    <xf numFmtId="0" fontId="38" fillId="7" borderId="37" xfId="0" applyFont="1" applyFill="1" applyBorder="1" applyAlignment="1" applyProtection="1">
      <alignment horizontal="left" vertical="center"/>
      <protection locked="0"/>
    </xf>
    <xf numFmtId="0" fontId="38" fillId="7" borderId="12" xfId="0" applyFont="1" applyFill="1" applyBorder="1" applyAlignment="1" applyProtection="1">
      <alignment horizontal="left" vertical="center"/>
      <protection locked="0"/>
    </xf>
    <xf numFmtId="0" fontId="38" fillId="7" borderId="6" xfId="0" applyFont="1" applyFill="1" applyBorder="1" applyAlignment="1" applyProtection="1">
      <alignment horizontal="left" vertical="center"/>
      <protection locked="0"/>
    </xf>
    <xf numFmtId="0" fontId="38" fillId="7" borderId="19" xfId="0" applyFont="1" applyFill="1" applyBorder="1" applyAlignment="1" applyProtection="1">
      <alignment horizontal="left" vertical="center"/>
      <protection locked="0"/>
    </xf>
    <xf numFmtId="0" fontId="38" fillId="7" borderId="10" xfId="0" applyFont="1" applyFill="1" applyBorder="1" applyAlignment="1" applyProtection="1">
      <alignment horizontal="left" vertical="center"/>
      <protection locked="0"/>
    </xf>
    <xf numFmtId="0" fontId="38" fillId="7" borderId="8" xfId="0" applyFont="1" applyFill="1" applyBorder="1" applyAlignment="1" applyProtection="1">
      <alignment horizontal="left" vertical="center"/>
      <protection locked="0"/>
    </xf>
    <xf numFmtId="0" fontId="26" fillId="0" borderId="1" xfId="0" applyFont="1" applyBorder="1" applyAlignment="1" applyProtection="1">
      <alignment horizontal="center" vertical="center"/>
      <protection locked="0"/>
    </xf>
    <xf numFmtId="0" fontId="26" fillId="0" borderId="1" xfId="0" applyFont="1" applyBorder="1" applyAlignment="1" applyProtection="1">
      <alignment horizontal="center" vertical="top"/>
      <protection locked="0"/>
    </xf>
    <xf numFmtId="0" fontId="27" fillId="0" borderId="1" xfId="0" applyFont="1" applyBorder="1" applyAlignment="1" applyProtection="1">
      <alignment horizontal="center" vertical="center"/>
      <protection locked="0"/>
    </xf>
    <xf numFmtId="0" fontId="26" fillId="0" borderId="37" xfId="0" applyFont="1" applyBorder="1" applyAlignment="1" applyProtection="1">
      <alignment horizontal="center" vertical="center"/>
      <protection locked="0"/>
    </xf>
    <xf numFmtId="0" fontId="26" fillId="0" borderId="12" xfId="0" applyFont="1" applyBorder="1" applyAlignment="1" applyProtection="1">
      <alignment horizontal="center" vertical="center"/>
      <protection locked="0"/>
    </xf>
    <xf numFmtId="0" fontId="26" fillId="0" borderId="6" xfId="0" applyFont="1" applyBorder="1" applyAlignment="1" applyProtection="1">
      <alignment horizontal="center" vertical="center"/>
      <protection locked="0"/>
    </xf>
    <xf numFmtId="0" fontId="26" fillId="0" borderId="19" xfId="0" applyFont="1" applyBorder="1" applyAlignment="1" applyProtection="1">
      <alignment horizontal="center" vertical="center"/>
      <protection locked="0"/>
    </xf>
    <xf numFmtId="0" fontId="26" fillId="0" borderId="10" xfId="0" applyFont="1" applyBorder="1" applyAlignment="1" applyProtection="1">
      <alignment horizontal="center" vertical="center"/>
      <protection locked="0"/>
    </xf>
    <xf numFmtId="0" fontId="26" fillId="0" borderId="8" xfId="0" applyFont="1" applyBorder="1" applyAlignment="1" applyProtection="1">
      <alignment horizontal="center" vertical="center"/>
      <protection locked="0"/>
    </xf>
    <xf numFmtId="0" fontId="26" fillId="4" borderId="10" xfId="0" applyFont="1" applyFill="1" applyBorder="1" applyAlignment="1">
      <alignment horizontal="center" vertical="top"/>
    </xf>
    <xf numFmtId="0" fontId="26" fillId="4" borderId="8" xfId="0" applyFont="1" applyFill="1" applyBorder="1" applyAlignment="1">
      <alignment horizontal="center" vertical="top"/>
    </xf>
    <xf numFmtId="0" fontId="27" fillId="0" borderId="0" xfId="0" applyFont="1" applyAlignment="1" applyProtection="1">
      <alignment horizontal="right" vertical="top"/>
      <protection locked="0"/>
    </xf>
    <xf numFmtId="0" fontId="27" fillId="0" borderId="0" xfId="0" applyFont="1" applyAlignment="1" applyProtection="1">
      <alignment horizontal="left" vertical="top"/>
      <protection locked="0"/>
    </xf>
    <xf numFmtId="0" fontId="0" fillId="0" borderId="0" xfId="0" applyAlignment="1">
      <alignment horizontal="center"/>
    </xf>
    <xf numFmtId="0" fontId="0" fillId="0" borderId="0" xfId="0" applyAlignment="1">
      <alignment horizontal="left"/>
    </xf>
    <xf numFmtId="1" fontId="0" fillId="0" borderId="28" xfId="0" applyNumberFormat="1" applyBorder="1" applyAlignment="1">
      <alignment horizontal="center" vertical="center"/>
    </xf>
    <xf numFmtId="1" fontId="0" fillId="0" borderId="13" xfId="0" applyNumberFormat="1" applyBorder="1" applyAlignment="1">
      <alignment horizontal="center" vertical="center"/>
    </xf>
    <xf numFmtId="1" fontId="0" fillId="0" borderId="25" xfId="0" applyNumberFormat="1" applyBorder="1" applyAlignment="1">
      <alignment horizontal="center"/>
    </xf>
    <xf numFmtId="1" fontId="0" fillId="0" borderId="9" xfId="0" applyNumberFormat="1" applyBorder="1" applyAlignment="1">
      <alignment horizontal="center"/>
    </xf>
    <xf numFmtId="2" fontId="0" fillId="0" borderId="25" xfId="0" applyNumberFormat="1" applyBorder="1" applyAlignment="1">
      <alignment horizontal="center"/>
    </xf>
    <xf numFmtId="2" fontId="0" fillId="0" borderId="9" xfId="0" applyNumberFormat="1" applyBorder="1" applyAlignment="1">
      <alignment horizontal="center"/>
    </xf>
    <xf numFmtId="1" fontId="0" fillId="0" borderId="28" xfId="0" applyNumberFormat="1" applyBorder="1" applyAlignment="1">
      <alignment horizontal="center"/>
    </xf>
    <xf numFmtId="1" fontId="0" fillId="0" borderId="13" xfId="0" applyNumberFormat="1" applyBorder="1" applyAlignment="1">
      <alignment horizontal="center"/>
    </xf>
    <xf numFmtId="0" fontId="10" fillId="0" borderId="26" xfId="0" applyFont="1" applyBorder="1" applyAlignment="1">
      <alignment horizontal="center"/>
    </xf>
    <xf numFmtId="0" fontId="10" fillId="0" borderId="23" xfId="0" applyFont="1" applyBorder="1" applyAlignment="1">
      <alignment horizontal="center"/>
    </xf>
    <xf numFmtId="0" fontId="10" fillId="0" borderId="24" xfId="0" applyFont="1" applyBorder="1" applyAlignment="1">
      <alignment horizontal="center"/>
    </xf>
    <xf numFmtId="0" fontId="0" fillId="0" borderId="25" xfId="0" applyBorder="1" applyAlignment="1" applyProtection="1">
      <alignment horizontal="center"/>
      <protection locked="0"/>
    </xf>
    <xf numFmtId="0" fontId="0" fillId="0" borderId="9" xfId="0" applyBorder="1" applyAlignment="1" applyProtection="1">
      <alignment horizontal="center"/>
      <protection locked="0"/>
    </xf>
    <xf numFmtId="0" fontId="18" fillId="4" borderId="29" xfId="0" applyFont="1" applyFill="1" applyBorder="1" applyAlignment="1" applyProtection="1">
      <alignment horizontal="center" vertical="center"/>
      <protection locked="0"/>
    </xf>
    <xf numFmtId="0" fontId="18" fillId="4" borderId="21" xfId="0" applyFont="1" applyFill="1" applyBorder="1" applyAlignment="1" applyProtection="1">
      <alignment horizontal="center" vertical="center"/>
      <protection locked="0"/>
    </xf>
    <xf numFmtId="2" fontId="0" fillId="0" borderId="28" xfId="0" applyNumberFormat="1" applyBorder="1" applyAlignment="1">
      <alignment horizontal="center" vertical="center"/>
    </xf>
    <xf numFmtId="2" fontId="0" fillId="0" borderId="12" xfId="0" applyNumberFormat="1" applyBorder="1" applyAlignment="1">
      <alignment horizontal="center" vertical="center"/>
    </xf>
    <xf numFmtId="2" fontId="5" fillId="0" borderId="26" xfId="0" applyNumberFormat="1" applyFont="1" applyBorder="1" applyAlignment="1">
      <alignment horizontal="center" vertical="center"/>
    </xf>
    <xf numFmtId="2" fontId="5" fillId="0" borderId="24" xfId="0" applyNumberFormat="1" applyFont="1" applyBorder="1" applyAlignment="1">
      <alignment horizontal="center" vertical="center"/>
    </xf>
    <xf numFmtId="2" fontId="5" fillId="0" borderId="16" xfId="0" applyNumberFormat="1" applyFont="1" applyBorder="1" applyAlignment="1">
      <alignment horizontal="center" vertical="center"/>
    </xf>
    <xf numFmtId="2" fontId="5" fillId="0" borderId="18" xfId="0" applyNumberFormat="1" applyFont="1" applyBorder="1" applyAlignment="1">
      <alignment horizontal="center" vertical="center"/>
    </xf>
    <xf numFmtId="165" fontId="0" fillId="0" borderId="28" xfId="0" applyNumberFormat="1" applyBorder="1" applyAlignment="1">
      <alignment horizontal="center" vertical="center"/>
    </xf>
    <xf numFmtId="165" fontId="0" fillId="0" borderId="12" xfId="0" applyNumberFormat="1" applyBorder="1" applyAlignment="1">
      <alignment horizontal="center" vertical="center"/>
    </xf>
    <xf numFmtId="0" fontId="0" fillId="0" borderId="25" xfId="0" applyBorder="1" applyAlignment="1">
      <alignment horizontal="center"/>
    </xf>
    <xf numFmtId="0" fontId="0" fillId="0" borderId="2" xfId="0" applyBorder="1" applyAlignment="1">
      <alignment horizontal="center"/>
    </xf>
    <xf numFmtId="1" fontId="0" fillId="0" borderId="12" xfId="0" applyNumberFormat="1" applyBorder="1" applyAlignment="1">
      <alignment horizontal="center" vertical="center"/>
    </xf>
    <xf numFmtId="1" fontId="0" fillId="0" borderId="25" xfId="0" applyNumberFormat="1" applyBorder="1" applyAlignment="1">
      <alignment horizontal="center" vertical="center"/>
    </xf>
    <xf numFmtId="1" fontId="0" fillId="0" borderId="9" xfId="0" applyNumberFormat="1" applyBorder="1" applyAlignment="1">
      <alignment horizontal="center" vertical="center"/>
    </xf>
    <xf numFmtId="2" fontId="0" fillId="0" borderId="13" xfId="0" applyNumberFormat="1" applyBorder="1" applyAlignment="1">
      <alignment horizontal="center" vertical="center"/>
    </xf>
    <xf numFmtId="165" fontId="0" fillId="0" borderId="13" xfId="0" applyNumberFormat="1" applyBorder="1" applyAlignment="1">
      <alignment horizontal="center" vertical="center"/>
    </xf>
    <xf numFmtId="165" fontId="0" fillId="0" borderId="25" xfId="0" applyNumberFormat="1" applyBorder="1" applyAlignment="1">
      <alignment horizontal="center" vertical="center"/>
    </xf>
    <xf numFmtId="165" fontId="0" fillId="0" borderId="9" xfId="0" applyNumberFormat="1" applyBorder="1" applyAlignment="1">
      <alignment horizontal="center" vertical="center"/>
    </xf>
    <xf numFmtId="0" fontId="5" fillId="0" borderId="33" xfId="0" applyFont="1" applyBorder="1" applyAlignment="1">
      <alignment horizontal="center" vertical="center"/>
    </xf>
    <xf numFmtId="0" fontId="5" fillId="0" borderId="34" xfId="0" applyFont="1" applyBorder="1" applyAlignment="1">
      <alignment horizontal="center" vertical="center"/>
    </xf>
    <xf numFmtId="0" fontId="0" fillId="4" borderId="28"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 fontId="0" fillId="4" borderId="25" xfId="0" applyNumberFormat="1" applyFill="1" applyBorder="1" applyAlignment="1" applyProtection="1">
      <alignment horizontal="center" vertical="center"/>
      <protection locked="0"/>
    </xf>
    <xf numFmtId="1" fontId="0" fillId="4" borderId="2" xfId="0" applyNumberFormat="1" applyFill="1" applyBorder="1" applyAlignment="1" applyProtection="1">
      <alignment horizontal="center" vertical="center"/>
      <protection locked="0"/>
    </xf>
    <xf numFmtId="2" fontId="5" fillId="0" borderId="23" xfId="0" applyNumberFormat="1" applyFont="1" applyBorder="1" applyAlignment="1">
      <alignment horizontal="center" vertical="center"/>
    </xf>
    <xf numFmtId="2" fontId="5" fillId="0" borderId="17" xfId="0" applyNumberFormat="1" applyFont="1" applyBorder="1" applyAlignment="1">
      <alignment horizontal="center" vertical="center"/>
    </xf>
    <xf numFmtId="2" fontId="0" fillId="0" borderId="28" xfId="0" applyNumberFormat="1" applyBorder="1" applyAlignment="1" applyProtection="1">
      <alignment horizontal="center" vertical="center"/>
      <protection hidden="1"/>
    </xf>
    <xf numFmtId="2" fontId="0" fillId="0" borderId="12" xfId="0" applyNumberFormat="1" applyBorder="1" applyAlignment="1" applyProtection="1">
      <alignment horizontal="center" vertical="center"/>
      <protection hidden="1"/>
    </xf>
    <xf numFmtId="0" fontId="17" fillId="5" borderId="25" xfId="0" applyFont="1" applyFill="1" applyBorder="1" applyAlignment="1" applyProtection="1">
      <alignment horizontal="center"/>
      <protection locked="0"/>
    </xf>
    <xf numFmtId="0" fontId="17" fillId="5" borderId="9" xfId="0" applyFont="1" applyFill="1" applyBorder="1" applyAlignment="1" applyProtection="1">
      <alignment horizontal="center"/>
      <protection locked="0"/>
    </xf>
    <xf numFmtId="0" fontId="0" fillId="0" borderId="9" xfId="0" applyBorder="1" applyAlignment="1">
      <alignment horizontal="center"/>
    </xf>
    <xf numFmtId="165" fontId="17" fillId="5" borderId="25" xfId="0" applyNumberFormat="1" applyFont="1" applyFill="1" applyBorder="1" applyAlignment="1" applyProtection="1">
      <alignment horizontal="center"/>
      <protection locked="0"/>
    </xf>
    <xf numFmtId="165" fontId="17" fillId="5" borderId="9" xfId="0" applyNumberFormat="1" applyFont="1" applyFill="1" applyBorder="1" applyAlignment="1" applyProtection="1">
      <alignment horizontal="center"/>
      <protection locked="0"/>
    </xf>
    <xf numFmtId="164" fontId="0" fillId="4" borderId="28" xfId="0" applyNumberFormat="1" applyFill="1" applyBorder="1" applyAlignment="1" applyProtection="1">
      <alignment horizontal="center" vertical="center"/>
      <protection locked="0"/>
    </xf>
    <xf numFmtId="164" fontId="0" fillId="4" borderId="12" xfId="0" applyNumberFormat="1" applyFill="1" applyBorder="1" applyAlignment="1" applyProtection="1">
      <alignment horizontal="center" vertical="center"/>
      <protection locked="0"/>
    </xf>
    <xf numFmtId="0" fontId="0" fillId="4" borderId="13" xfId="0" applyFill="1" applyBorder="1" applyAlignment="1" applyProtection="1">
      <alignment horizontal="center" vertical="center"/>
      <protection locked="0"/>
    </xf>
    <xf numFmtId="1" fontId="0" fillId="4" borderId="9" xfId="0" applyNumberFormat="1" applyFill="1" applyBorder="1" applyAlignment="1" applyProtection="1">
      <alignment horizontal="center" vertical="center"/>
      <protection locked="0"/>
    </xf>
    <xf numFmtId="0" fontId="0" fillId="4" borderId="25" xfId="0" applyFill="1" applyBorder="1" applyAlignment="1" applyProtection="1">
      <alignment horizontal="center" vertical="center"/>
      <protection locked="0"/>
    </xf>
    <xf numFmtId="0" fontId="0" fillId="4" borderId="9" xfId="0" applyFill="1" applyBorder="1" applyAlignment="1" applyProtection="1">
      <alignment horizontal="center" vertical="center"/>
      <protection locked="0"/>
    </xf>
    <xf numFmtId="2" fontId="0" fillId="0" borderId="25" xfId="0" applyNumberFormat="1" applyBorder="1" applyAlignment="1" applyProtection="1">
      <alignment horizontal="center" vertical="center"/>
      <protection hidden="1"/>
    </xf>
    <xf numFmtId="2" fontId="0" fillId="0" borderId="9" xfId="0" applyNumberFormat="1" applyBorder="1" applyAlignment="1" applyProtection="1">
      <alignment horizontal="center" vertical="center"/>
      <protection hidden="1"/>
    </xf>
    <xf numFmtId="0" fontId="9" fillId="4" borderId="15" xfId="0" applyFont="1" applyFill="1" applyBorder="1" applyAlignment="1">
      <alignment horizontal="right" vertical="center"/>
    </xf>
    <xf numFmtId="0" fontId="9" fillId="4" borderId="0" xfId="0" applyFont="1" applyFill="1" applyAlignment="1">
      <alignment horizontal="right" vertical="center"/>
    </xf>
    <xf numFmtId="0" fontId="0" fillId="6" borderId="29" xfId="0" applyFill="1" applyBorder="1" applyAlignment="1" applyProtection="1">
      <alignment horizontal="center"/>
      <protection locked="0"/>
    </xf>
    <xf numFmtId="0" fontId="0" fillId="6" borderId="21" xfId="0" applyFill="1" applyBorder="1" applyAlignment="1" applyProtection="1">
      <alignment horizontal="center"/>
      <protection locked="0"/>
    </xf>
    <xf numFmtId="168" fontId="1" fillId="0" borderId="25" xfId="0" applyNumberFormat="1" applyFont="1" applyBorder="1" applyAlignment="1">
      <alignment horizontal="center"/>
    </xf>
    <xf numFmtId="168" fontId="1" fillId="0" borderId="9" xfId="0" applyNumberFormat="1" applyFont="1" applyBorder="1" applyAlignment="1">
      <alignment horizontal="center"/>
    </xf>
    <xf numFmtId="4" fontId="1" fillId="0" borderId="25" xfId="0" applyNumberFormat="1" applyFont="1" applyBorder="1" applyAlignment="1">
      <alignment horizontal="center"/>
    </xf>
    <xf numFmtId="4" fontId="1" fillId="0" borderId="9" xfId="0" applyNumberFormat="1" applyFont="1" applyBorder="1" applyAlignment="1">
      <alignment horizontal="center"/>
    </xf>
  </cellXfs>
  <cellStyles count="2">
    <cellStyle name="Normal" xfId="0" builtinId="0"/>
    <cellStyle name="Normal 2" xfId="1" xr:uid="{00000000-0005-0000-0000-000001000000}"/>
  </cellStyles>
  <dxfs count="35">
    <dxf>
      <font>
        <color theme="0"/>
      </font>
    </dxf>
    <dxf>
      <font>
        <color theme="0"/>
      </font>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fill>
        <patternFill>
          <bgColor theme="0"/>
        </patternFill>
      </fill>
    </dxf>
    <dxf>
      <font>
        <color theme="0"/>
      </font>
      <fill>
        <patternFill>
          <bgColor theme="0"/>
        </patternFill>
      </fill>
    </dxf>
    <dxf>
      <font>
        <color theme="0" tint="-0.24994659260841701"/>
      </font>
      <fill>
        <patternFill>
          <bgColor theme="0" tint="-0.24994659260841701"/>
        </patternFill>
      </fill>
    </dxf>
    <dxf>
      <font>
        <strike val="0"/>
        <color theme="0" tint="-0.24994659260841701"/>
      </font>
      <fill>
        <patternFill patternType="solid">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dxf>
    <dxf>
      <font>
        <strike val="0"/>
        <color theme="0"/>
      </font>
      <fill>
        <patternFill patternType="none">
          <bgColor auto="1"/>
        </patternFill>
      </fill>
    </dxf>
    <dxf>
      <font>
        <strike val="0"/>
        <condense val="0"/>
        <extend val="0"/>
        <color indexed="8"/>
      </font>
      <fill>
        <patternFill>
          <bgColor indexed="26"/>
        </patternFill>
      </fill>
    </dxf>
    <dxf>
      <font>
        <strike val="0"/>
        <condense val="0"/>
        <extend val="0"/>
        <color indexed="8"/>
      </font>
      <fill>
        <patternFill>
          <bgColor indexed="26"/>
        </patternFill>
      </fill>
    </dxf>
    <dxf>
      <font>
        <strike val="0"/>
        <condense val="0"/>
        <extend val="0"/>
        <color indexed="9"/>
      </font>
    </dxf>
    <dxf>
      <font>
        <strike val="0"/>
        <condense val="0"/>
        <extend val="0"/>
        <color indexed="8"/>
      </font>
      <fill>
        <patternFill>
          <bgColor indexed="26"/>
        </patternFill>
      </fill>
    </dxf>
    <dxf>
      <font>
        <strike val="0"/>
        <condense val="0"/>
        <extend val="0"/>
        <color indexed="8"/>
      </font>
      <fill>
        <patternFill>
          <bgColor indexed="26"/>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Drop" dropStyle="combo" dx="16" fmlaLink="$V$20" fmlaRange="$U$20:$U$23" noThreeD="1" sel="2" val="0"/>
</file>

<file path=xl/ctrlProps/ctrlProp2.xml><?xml version="1.0" encoding="utf-8"?>
<formControlPr xmlns="http://schemas.microsoft.com/office/spreadsheetml/2009/9/main" objectType="Drop" dropStyle="combo" dx="16" fmlaLink="$V$24" fmlaRange="$U$24:$U$30" noThreeD="1" sel="1" val="0"/>
</file>

<file path=xl/ctrlProps/ctrlProp3.xml><?xml version="1.0" encoding="utf-8"?>
<formControlPr xmlns="http://schemas.microsoft.com/office/spreadsheetml/2009/9/main" objectType="Drop" dropStyle="combo" dx="16" fmlaLink="$X$20" fmlaRange="$W$20:$W$23" noThreeD="1" sel="1" val="0"/>
</file>

<file path=xl/ctrlProps/ctrlProp4.xml><?xml version="1.0" encoding="utf-8"?>
<formControlPr xmlns="http://schemas.microsoft.com/office/spreadsheetml/2009/9/main" objectType="Drop" dropStyle="combo" dx="16" fmlaLink="$X$24" fmlaRange="$W$24:$W$30" noThreeD="1" sel="5" val="0"/>
</file>

<file path=xl/ctrlProps/ctrlProp5.xml><?xml version="1.0" encoding="utf-8"?>
<formControlPr xmlns="http://schemas.microsoft.com/office/spreadsheetml/2009/9/main" objectType="Drop" dropStyle="combo" dx="16" fmlaLink="$Z$24" fmlaRange="$Y$24:$Y$30" noThreeD="1" sel="2" val="0"/>
</file>

<file path=xl/ctrlProps/ctrlProp6.xml><?xml version="1.0" encoding="utf-8"?>
<formControlPr xmlns="http://schemas.microsoft.com/office/spreadsheetml/2009/9/main" objectType="Drop" dropStyle="combo" dx="16" fmlaLink="$Z$20" fmlaRange="$Y$20:$Y$23" noThreeD="1" sel="3" val="0"/>
</file>

<file path=xl/ctrlProps/ctrlProp7.xml><?xml version="1.0" encoding="utf-8"?>
<formControlPr xmlns="http://schemas.microsoft.com/office/spreadsheetml/2009/9/main" objectType="Drop" dropStyle="combo" dx="16" fmlaLink="$E$8" fmlaRange="$AD$8:$AD$44" noThreeD="1" sel="16" val="15"/>
</file>

<file path=xl/ctrlProps/ctrlProp8.xml><?xml version="1.0" encoding="utf-8"?>
<formControlPr xmlns="http://schemas.microsoft.com/office/spreadsheetml/2009/9/main" objectType="Drop" dropStyle="combo" dx="16" fmlaLink="$E$9" fmlaRange="$AK$47:$AK$60" noThreeD="1" sel="14" val="6"/>
</file>

<file path=xl/ctrlProps/ctrlProp9.xml><?xml version="1.0" encoding="utf-8"?>
<formControlPr xmlns="http://schemas.microsoft.com/office/spreadsheetml/2009/9/main" objectType="Drop" dropStyle="combo" dx="16" fmlaLink="$I$8" fmlaRange="$AD$8:$AD$44" noThreeD="1" sel="21" val="16"/>
</file>

<file path=xl/ctrlProps/ctrlProp10.xml><?xml version="1.0" encoding="utf-8"?>
<formControlPr xmlns="http://schemas.microsoft.com/office/spreadsheetml/2009/9/main" objectType="Drop" dropStyle="combo" dx="16" fmlaLink="$I$9" fmlaRange="$AK$47:$AK$60" noThreeD="1" sel="4" val="0"/>
</file>

<file path=xl/ctrlProps/ctrlProp11.xml><?xml version="1.0" encoding="utf-8"?>
<formControlPr xmlns="http://schemas.microsoft.com/office/spreadsheetml/2009/9/main" objectType="Drop" dropStyle="combo" dx="16" fmlaLink="$M$8" fmlaRange="$AD$8:$AD$44" noThreeD="1" sel="27" val="19"/>
</file>

<file path=xl/ctrlProps/ctrlProp12.xml><?xml version="1.0" encoding="utf-8"?>
<formControlPr xmlns="http://schemas.microsoft.com/office/spreadsheetml/2009/9/main" objectType="Drop" dropStyle="combo" dx="16" fmlaLink="$M$9" fmlaRange="$AK$47:$AK$60" noThreeD="1" sel="4" val="3"/>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164902</xdr:rowOff>
    </xdr:from>
    <xdr:to>
      <xdr:col>3</xdr:col>
      <xdr:colOff>257175</xdr:colOff>
      <xdr:row>0</xdr:row>
      <xdr:rowOff>597098</xdr:rowOff>
    </xdr:to>
    <xdr:pic>
      <xdr:nvPicPr>
        <xdr:cNvPr id="2" name="Picture 3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38100" y="16490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38100</xdr:colOff>
      <xdr:row>0</xdr:row>
      <xdr:rowOff>28576</xdr:rowOff>
    </xdr:from>
    <xdr:to>
      <xdr:col>12</xdr:col>
      <xdr:colOff>328820</xdr:colOff>
      <xdr:row>3</xdr:row>
      <xdr:rowOff>161926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924675" y="28576"/>
          <a:ext cx="2252870" cy="1276350"/>
        </a:xfrm>
        <a:prstGeom prst="rect">
          <a:avLst/>
        </a:prstGeom>
        <a:solidFill>
          <a:srgbClr val="CCFFFF"/>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GB" sz="1100" b="1" i="1" baseline="0">
              <a:solidFill>
                <a:srgbClr val="FF0000"/>
              </a:solidFill>
              <a:effectLst/>
              <a:latin typeface="+mn-lt"/>
              <a:ea typeface="+mn-ea"/>
              <a:cs typeface="+mn-cs"/>
            </a:rPr>
            <a:t>Please do not edit the cell names on this worksheet.</a:t>
          </a:r>
          <a:endParaRPr lang="en-US" sz="1100" b="1">
            <a:solidFill>
              <a:srgbClr val="FF0000"/>
            </a:solidFill>
            <a:effectLst/>
            <a:latin typeface="+mn-lt"/>
          </a:endParaRPr>
        </a:p>
        <a:p>
          <a:r>
            <a:rPr lang="en-US" sz="1100" b="1" i="1">
              <a:solidFill>
                <a:srgbClr val="FF0000"/>
              </a:solidFill>
              <a:latin typeface="+mn-lt"/>
            </a:rPr>
            <a:t>Other worksheets in this workbook are</a:t>
          </a:r>
          <a:r>
            <a:rPr lang="en-US" sz="1100" b="1" i="1" baseline="0">
              <a:solidFill>
                <a:srgbClr val="FF0000"/>
              </a:solidFill>
              <a:latin typeface="+mn-lt"/>
            </a:rPr>
            <a:t> linked to the cell names.</a:t>
          </a:r>
        </a:p>
        <a:p>
          <a:r>
            <a:rPr lang="en-US" sz="1100" b="1" i="1" baseline="0">
              <a:solidFill>
                <a:srgbClr val="FF0000"/>
              </a:solidFill>
              <a:latin typeface="+mn-lt"/>
            </a:rPr>
            <a:t>The information and reference on this sheet are samples. User to include information relevant to the individual project. </a:t>
          </a:r>
          <a:endParaRPr lang="en-US" sz="1100" b="1" i="1">
            <a:solidFill>
              <a:srgbClr val="FF0000"/>
            </a:solidFill>
            <a:latin typeface="+mn-lt"/>
          </a:endParaRPr>
        </a:p>
      </xdr:txBody>
    </xdr:sp>
    <xdr:clientData/>
  </xdr:twoCellAnchor>
  <xdr:twoCellAnchor>
    <xdr:from>
      <xdr:col>10</xdr:col>
      <xdr:colOff>57150</xdr:colOff>
      <xdr:row>3</xdr:row>
      <xdr:rowOff>190500</xdr:rowOff>
    </xdr:from>
    <xdr:to>
      <xdr:col>11</xdr:col>
      <xdr:colOff>209550</xdr:colOff>
      <xdr:row>8</xdr:row>
      <xdr:rowOff>57151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943725" y="1333500"/>
          <a:ext cx="1504950" cy="1095376"/>
        </a:xfrm>
        <a:prstGeom prst="rect">
          <a:avLst/>
        </a:prstGeom>
        <a:solidFill>
          <a:srgbClr val="CCFFFF"/>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GB" sz="1100" b="1" i="1" baseline="0">
              <a:solidFill>
                <a:srgbClr val="0000FF"/>
              </a:solidFill>
              <a:effectLst/>
              <a:latin typeface="+mn-lt"/>
              <a:ea typeface="+mn-ea"/>
              <a:cs typeface="+mn-cs"/>
            </a:rPr>
            <a:t>Please do not select  the Spreadsheet Flow Induced Turbulence  when doing multiple print to avoid rearrangement of macros.</a:t>
          </a:r>
          <a:endParaRPr lang="en-US" sz="1100" b="1" i="1">
            <a:solidFill>
              <a:srgbClr val="0000FF"/>
            </a:solidFill>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47625</xdr:colOff>
      <xdr:row>0</xdr:row>
      <xdr:rowOff>145852</xdr:rowOff>
    </xdr:from>
    <xdr:to>
      <xdr:col>3</xdr:col>
      <xdr:colOff>200025</xdr:colOff>
      <xdr:row>0</xdr:row>
      <xdr:rowOff>578048</xdr:rowOff>
    </xdr:to>
    <xdr:pic>
      <xdr:nvPicPr>
        <xdr:cNvPr id="2" name="Picture 33">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7625" y="14585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126802</xdr:rowOff>
    </xdr:from>
    <xdr:to>
      <xdr:col>9</xdr:col>
      <xdr:colOff>95250</xdr:colOff>
      <xdr:row>0</xdr:row>
      <xdr:rowOff>558998</xdr:rowOff>
    </xdr:to>
    <xdr:pic>
      <xdr:nvPicPr>
        <xdr:cNvPr id="2" name="Picture 33">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5725" y="12680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126802</xdr:rowOff>
    </xdr:from>
    <xdr:to>
      <xdr:col>9</xdr:col>
      <xdr:colOff>95250</xdr:colOff>
      <xdr:row>0</xdr:row>
      <xdr:rowOff>558998</xdr:rowOff>
    </xdr:to>
    <xdr:pic>
      <xdr:nvPicPr>
        <xdr:cNvPr id="2" name="Picture 33">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5725" y="12680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0</xdr:row>
      <xdr:rowOff>145852</xdr:rowOff>
    </xdr:from>
    <xdr:to>
      <xdr:col>9</xdr:col>
      <xdr:colOff>104775</xdr:colOff>
      <xdr:row>0</xdr:row>
      <xdr:rowOff>578048</xdr:rowOff>
    </xdr:to>
    <xdr:pic>
      <xdr:nvPicPr>
        <xdr:cNvPr id="2" name="Picture 33">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5250" y="14585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0</xdr:row>
      <xdr:rowOff>126802</xdr:rowOff>
    </xdr:from>
    <xdr:to>
      <xdr:col>9</xdr:col>
      <xdr:colOff>95250</xdr:colOff>
      <xdr:row>0</xdr:row>
      <xdr:rowOff>558998</xdr:rowOff>
    </xdr:to>
    <xdr:pic>
      <xdr:nvPicPr>
        <xdr:cNvPr id="2" name="Picture 33">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5725" y="12680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104775</xdr:colOff>
      <xdr:row>0</xdr:row>
      <xdr:rowOff>155377</xdr:rowOff>
    </xdr:from>
    <xdr:to>
      <xdr:col>9</xdr:col>
      <xdr:colOff>161925</xdr:colOff>
      <xdr:row>0</xdr:row>
      <xdr:rowOff>587573</xdr:rowOff>
    </xdr:to>
    <xdr:pic>
      <xdr:nvPicPr>
        <xdr:cNvPr id="2" name="Picture 33">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152400" y="155377"/>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0</xdr:colOff>
      <xdr:row>15</xdr:row>
      <xdr:rowOff>9525</xdr:rowOff>
    </xdr:from>
    <xdr:to>
      <xdr:col>9</xdr:col>
      <xdr:colOff>0</xdr:colOff>
      <xdr:row>17</xdr:row>
      <xdr:rowOff>0</xdr:rowOff>
    </xdr:to>
    <xdr:cxnSp macro="">
      <xdr:nvCxnSpPr>
        <xdr:cNvPr id="4" name="Straight Arrow Connector 3">
          <a:extLst>
            <a:ext uri="{FF2B5EF4-FFF2-40B4-BE49-F238E27FC236}">
              <a16:creationId xmlns:a16="http://schemas.microsoft.com/office/drawing/2014/main" id="{00000000-0008-0000-0600-000004000000}"/>
            </a:ext>
          </a:extLst>
        </xdr:cNvPr>
        <xdr:cNvCxnSpPr/>
      </xdr:nvCxnSpPr>
      <xdr:spPr>
        <a:xfrm>
          <a:off x="1419225" y="3638550"/>
          <a:ext cx="0" cy="352425"/>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161925</xdr:colOff>
      <xdr:row>19</xdr:row>
      <xdr:rowOff>0</xdr:rowOff>
    </xdr:from>
    <xdr:to>
      <xdr:col>8</xdr:col>
      <xdr:colOff>161925</xdr:colOff>
      <xdr:row>20</xdr:row>
      <xdr:rowOff>171450</xdr:rowOff>
    </xdr:to>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a:off x="1409700" y="4352925"/>
          <a:ext cx="0" cy="352425"/>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23</xdr:row>
      <xdr:rowOff>0</xdr:rowOff>
    </xdr:from>
    <xdr:to>
      <xdr:col>9</xdr:col>
      <xdr:colOff>0</xdr:colOff>
      <xdr:row>24</xdr:row>
      <xdr:rowOff>171450</xdr:rowOff>
    </xdr:to>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a:off x="1419225" y="5076825"/>
          <a:ext cx="0" cy="352425"/>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27</xdr:row>
      <xdr:rowOff>9525</xdr:rowOff>
    </xdr:from>
    <xdr:to>
      <xdr:col>9</xdr:col>
      <xdr:colOff>9525</xdr:colOff>
      <xdr:row>29</xdr:row>
      <xdr:rowOff>0</xdr:rowOff>
    </xdr:to>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1428750" y="5810250"/>
          <a:ext cx="0" cy="352425"/>
        </a:xfrm>
        <a:prstGeom prst="straightConnector1">
          <a:avLst/>
        </a:prstGeom>
        <a:ln w="158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4763</xdr:colOff>
      <xdr:row>29</xdr:row>
      <xdr:rowOff>176214</xdr:rowOff>
    </xdr:from>
    <xdr:to>
      <xdr:col>26</xdr:col>
      <xdr:colOff>152403</xdr:colOff>
      <xdr:row>29</xdr:row>
      <xdr:rowOff>176214</xdr:rowOff>
    </xdr:to>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a:off x="2452688" y="6338889"/>
          <a:ext cx="2033590" cy="0"/>
        </a:xfrm>
        <a:prstGeom prst="straightConnector1">
          <a:avLst/>
        </a:prstGeom>
        <a:ln w="9525">
          <a:solidFill>
            <a:schemeClr val="tx1"/>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4763</xdr:colOff>
      <xdr:row>35</xdr:row>
      <xdr:rowOff>176214</xdr:rowOff>
    </xdr:from>
    <xdr:to>
      <xdr:col>32</xdr:col>
      <xdr:colOff>0</xdr:colOff>
      <xdr:row>35</xdr:row>
      <xdr:rowOff>176214</xdr:rowOff>
    </xdr:to>
    <xdr:cxnSp macro="">
      <xdr:nvCxnSpPr>
        <xdr:cNvPr id="46" name="Straight Arrow Connector 45">
          <a:extLst>
            <a:ext uri="{FF2B5EF4-FFF2-40B4-BE49-F238E27FC236}">
              <a16:creationId xmlns:a16="http://schemas.microsoft.com/office/drawing/2014/main" id="{00000000-0008-0000-0600-00002E000000}"/>
            </a:ext>
          </a:extLst>
        </xdr:cNvPr>
        <xdr:cNvCxnSpPr/>
      </xdr:nvCxnSpPr>
      <xdr:spPr>
        <a:xfrm flipH="1">
          <a:off x="4338638" y="7424739"/>
          <a:ext cx="1023937" cy="0"/>
        </a:xfrm>
        <a:prstGeom prst="straightConnector1">
          <a:avLst/>
        </a:prstGeom>
        <a:ln w="9525">
          <a:solidFill>
            <a:schemeClr val="tx1"/>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2382</xdr:colOff>
      <xdr:row>32</xdr:row>
      <xdr:rowOff>9525</xdr:rowOff>
    </xdr:from>
    <xdr:to>
      <xdr:col>32</xdr:col>
      <xdr:colOff>2382</xdr:colOff>
      <xdr:row>35</xdr:row>
      <xdr:rowOff>171453</xdr:rowOff>
    </xdr:to>
    <xdr:cxnSp macro="">
      <xdr:nvCxnSpPr>
        <xdr:cNvPr id="48" name="Straight Arrow Connector 47">
          <a:extLst>
            <a:ext uri="{FF2B5EF4-FFF2-40B4-BE49-F238E27FC236}">
              <a16:creationId xmlns:a16="http://schemas.microsoft.com/office/drawing/2014/main" id="{00000000-0008-0000-0600-000030000000}"/>
            </a:ext>
          </a:extLst>
        </xdr:cNvPr>
        <xdr:cNvCxnSpPr/>
      </xdr:nvCxnSpPr>
      <xdr:spPr>
        <a:xfrm>
          <a:off x="5364957" y="6715125"/>
          <a:ext cx="0" cy="704853"/>
        </a:xfrm>
        <a:prstGeom prst="straightConnector1">
          <a:avLst/>
        </a:prstGeom>
        <a:ln w="9525">
          <a:solidFill>
            <a:schemeClr val="tx1"/>
          </a:solidFill>
          <a:prstDash val="dash"/>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xdr:colOff>
      <xdr:row>36</xdr:row>
      <xdr:rowOff>3</xdr:rowOff>
    </xdr:from>
    <xdr:to>
      <xdr:col>15</xdr:col>
      <xdr:colOff>164309</xdr:colOff>
      <xdr:row>36</xdr:row>
      <xdr:rowOff>3</xdr:rowOff>
    </xdr:to>
    <xdr:cxnSp macro="">
      <xdr:nvCxnSpPr>
        <xdr:cNvPr id="51" name="Straight Arrow Connector 50">
          <a:extLst>
            <a:ext uri="{FF2B5EF4-FFF2-40B4-BE49-F238E27FC236}">
              <a16:creationId xmlns:a16="http://schemas.microsoft.com/office/drawing/2014/main" id="{00000000-0008-0000-0600-000033000000}"/>
            </a:ext>
          </a:extLst>
        </xdr:cNvPr>
        <xdr:cNvCxnSpPr/>
      </xdr:nvCxnSpPr>
      <xdr:spPr>
        <a:xfrm>
          <a:off x="1419228" y="7429503"/>
          <a:ext cx="1193006" cy="0"/>
        </a:xfrm>
        <a:prstGeom prst="straightConnector1">
          <a:avLst/>
        </a:prstGeom>
        <a:ln w="9525">
          <a:solidFill>
            <a:schemeClr val="tx1"/>
          </a:solidFill>
          <a:prstDash val="dash"/>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164307</xdr:colOff>
      <xdr:row>30</xdr:row>
      <xdr:rowOff>178596</xdr:rowOff>
    </xdr:from>
    <xdr:to>
      <xdr:col>8</xdr:col>
      <xdr:colOff>164307</xdr:colOff>
      <xdr:row>36</xdr:row>
      <xdr:rowOff>3</xdr:rowOff>
    </xdr:to>
    <xdr:cxnSp macro="">
      <xdr:nvCxnSpPr>
        <xdr:cNvPr id="53" name="Straight Arrow Connector 52">
          <a:extLst>
            <a:ext uri="{FF2B5EF4-FFF2-40B4-BE49-F238E27FC236}">
              <a16:creationId xmlns:a16="http://schemas.microsoft.com/office/drawing/2014/main" id="{00000000-0008-0000-0600-000035000000}"/>
            </a:ext>
          </a:extLst>
        </xdr:cNvPr>
        <xdr:cNvCxnSpPr/>
      </xdr:nvCxnSpPr>
      <xdr:spPr>
        <a:xfrm flipV="1">
          <a:off x="1412082" y="6522246"/>
          <a:ext cx="0" cy="907257"/>
        </a:xfrm>
        <a:prstGeom prst="straightConnector1">
          <a:avLst/>
        </a:prstGeom>
        <a:ln w="9525">
          <a:solidFill>
            <a:schemeClr val="tx1"/>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76201</xdr:colOff>
      <xdr:row>25</xdr:row>
      <xdr:rowOff>85725</xdr:rowOff>
    </xdr:from>
    <xdr:to>
      <xdr:col>38</xdr:col>
      <xdr:colOff>19051</xdr:colOff>
      <xdr:row>37</xdr:row>
      <xdr:rowOff>171450</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2524126" y="5524500"/>
          <a:ext cx="3886200" cy="2257425"/>
        </a:xfrm>
        <a:prstGeom prst="rect">
          <a:avLst/>
        </a:prstGeom>
        <a:noFill/>
        <a:ln>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38100</xdr:colOff>
      <xdr:row>0</xdr:row>
      <xdr:rowOff>130348</xdr:rowOff>
    </xdr:from>
    <xdr:to>
      <xdr:col>9</xdr:col>
      <xdr:colOff>95250</xdr:colOff>
      <xdr:row>0</xdr:row>
      <xdr:rowOff>555452</xdr:rowOff>
    </xdr:to>
    <xdr:pic>
      <xdr:nvPicPr>
        <xdr:cNvPr id="2" name="Picture 33">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9388" y="130348"/>
          <a:ext cx="1405304" cy="42510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14</xdr:row>
      <xdr:rowOff>0</xdr:rowOff>
    </xdr:from>
    <xdr:to>
      <xdr:col>10</xdr:col>
      <xdr:colOff>65942</xdr:colOff>
      <xdr:row>16</xdr:row>
      <xdr:rowOff>155223</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stretch>
          <a:fillRect/>
        </a:stretch>
      </xdr:blipFill>
      <xdr:spPr>
        <a:xfrm>
          <a:off x="725365" y="3516923"/>
          <a:ext cx="908539" cy="521569"/>
        </a:xfrm>
        <a:prstGeom prst="rect">
          <a:avLst/>
        </a:prstGeom>
      </xdr:spPr>
    </xdr:pic>
    <xdr:clientData/>
  </xdr:twoCellAnchor>
  <xdr:twoCellAnchor editAs="oneCell">
    <xdr:from>
      <xdr:col>1</xdr:col>
      <xdr:colOff>139211</xdr:colOff>
      <xdr:row>20</xdr:row>
      <xdr:rowOff>175845</xdr:rowOff>
    </xdr:from>
    <xdr:to>
      <xdr:col>39</xdr:col>
      <xdr:colOff>80596</xdr:colOff>
      <xdr:row>34</xdr:row>
      <xdr:rowOff>149467</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0499" y="4791807"/>
          <a:ext cx="6345116" cy="25380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36635</xdr:colOff>
      <xdr:row>36</xdr:row>
      <xdr:rowOff>168521</xdr:rowOff>
    </xdr:from>
    <xdr:to>
      <xdr:col>38</xdr:col>
      <xdr:colOff>131885</xdr:colOff>
      <xdr:row>53</xdr:row>
      <xdr:rowOff>67175</xdr:rowOff>
    </xdr:to>
    <xdr:pic>
      <xdr:nvPicPr>
        <xdr:cNvPr id="7" name="Picture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6443" y="7715252"/>
          <a:ext cx="6161942" cy="3012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xdr:colOff>
      <xdr:row>55</xdr:row>
      <xdr:rowOff>0</xdr:rowOff>
    </xdr:from>
    <xdr:to>
      <xdr:col>12</xdr:col>
      <xdr:colOff>153866</xdr:colOff>
      <xdr:row>58</xdr:row>
      <xdr:rowOff>149776</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5"/>
        <a:stretch>
          <a:fillRect/>
        </a:stretch>
      </xdr:blipFill>
      <xdr:spPr>
        <a:xfrm>
          <a:off x="388328" y="11027019"/>
          <a:ext cx="1670538" cy="69929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47625</xdr:colOff>
      <xdr:row>0</xdr:row>
      <xdr:rowOff>145852</xdr:rowOff>
    </xdr:from>
    <xdr:to>
      <xdr:col>9</xdr:col>
      <xdr:colOff>104775</xdr:colOff>
      <xdr:row>0</xdr:row>
      <xdr:rowOff>578048</xdr:rowOff>
    </xdr:to>
    <xdr:pic>
      <xdr:nvPicPr>
        <xdr:cNvPr id="2" name="Picture 33">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5250" y="14585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66675</xdr:colOff>
      <xdr:row>10</xdr:row>
      <xdr:rowOff>114300</xdr:rowOff>
    </xdr:from>
    <xdr:to>
      <xdr:col>58</xdr:col>
      <xdr:colOff>133350</xdr:colOff>
      <xdr:row>39</xdr:row>
      <xdr:rowOff>153574</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2771775"/>
          <a:ext cx="9667875" cy="52875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38100</xdr:colOff>
      <xdr:row>0</xdr:row>
      <xdr:rowOff>136327</xdr:rowOff>
    </xdr:from>
    <xdr:to>
      <xdr:col>9</xdr:col>
      <xdr:colOff>95250</xdr:colOff>
      <xdr:row>0</xdr:row>
      <xdr:rowOff>568523</xdr:rowOff>
    </xdr:to>
    <xdr:pic>
      <xdr:nvPicPr>
        <xdr:cNvPr id="2" name="Picture 33">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85725" y="136327"/>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40</xdr:col>
      <xdr:colOff>19051</xdr:colOff>
      <xdr:row>0</xdr:row>
      <xdr:rowOff>28575</xdr:rowOff>
    </xdr:from>
    <xdr:to>
      <xdr:col>40</xdr:col>
      <xdr:colOff>1143001</xdr:colOff>
      <xdr:row>0</xdr:row>
      <xdr:rowOff>571500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305676" y="28575"/>
          <a:ext cx="1123950" cy="542925"/>
        </a:xfrm>
        <a:prstGeom prst="rect">
          <a:avLst/>
        </a:prstGeom>
        <a:solidFill>
          <a:srgbClr val="CCFFFF"/>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GB" sz="900" b="1" i="1" baseline="0">
              <a:solidFill>
                <a:srgbClr val="FF0000"/>
              </a:solidFill>
              <a:effectLst/>
              <a:latin typeface="+mn-lt"/>
              <a:ea typeface="+mn-ea"/>
              <a:cs typeface="+mn-cs"/>
            </a:rPr>
            <a:t>You may reproduce this sheet for more cases.</a:t>
          </a:r>
        </a:p>
      </xdr:txBody>
    </xdr:sp>
    <xdr:clientData/>
  </xdr:twoCellAnchor>
  <xdr:twoCellAnchor editAs="oneCell">
    <xdr:from>
      <xdr:col>1</xdr:col>
      <xdr:colOff>28575</xdr:colOff>
      <xdr:row>0</xdr:row>
      <xdr:rowOff>145852</xdr:rowOff>
    </xdr:from>
    <xdr:to>
      <xdr:col>7</xdr:col>
      <xdr:colOff>257175</xdr:colOff>
      <xdr:row>0</xdr:row>
      <xdr:rowOff>578048</xdr:rowOff>
    </xdr:to>
    <xdr:pic>
      <xdr:nvPicPr>
        <xdr:cNvPr id="3" name="Picture 33">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6200" y="14585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28575</xdr:colOff>
      <xdr:row>0</xdr:row>
      <xdr:rowOff>145852</xdr:rowOff>
    </xdr:from>
    <xdr:to>
      <xdr:col>9</xdr:col>
      <xdr:colOff>85725</xdr:colOff>
      <xdr:row>0</xdr:row>
      <xdr:rowOff>578048</xdr:rowOff>
    </xdr:to>
    <xdr:pic>
      <xdr:nvPicPr>
        <xdr:cNvPr id="2" name="Picture 33">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6200" y="145852"/>
          <a:ext cx="1428750" cy="43219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9525</xdr:rowOff>
        </xdr:from>
        <xdr:to>
          <xdr:col>3</xdr:col>
          <xdr:colOff>819150</xdr:colOff>
          <xdr:row>6</xdr:row>
          <xdr:rowOff>209550</xdr:rowOff>
        </xdr:to>
        <xdr:sp macro="" textlink="">
          <xdr:nvSpPr>
            <xdr:cNvPr id="10241" name="Drop Down 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4</xdr:col>
          <xdr:colOff>0</xdr:colOff>
          <xdr:row>31</xdr:row>
          <xdr:rowOff>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9525</xdr:rowOff>
        </xdr:from>
        <xdr:to>
          <xdr:col>7</xdr:col>
          <xdr:colOff>838200</xdr:colOff>
          <xdr:row>7</xdr:row>
          <xdr:rowOff>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8</xdr:col>
          <xdr:colOff>0</xdr:colOff>
          <xdr:row>31</xdr:row>
          <xdr:rowOff>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11</xdr:col>
          <xdr:colOff>819150</xdr:colOff>
          <xdr:row>31</xdr:row>
          <xdr:rowOff>0</xdr:rowOff>
        </xdr:to>
        <xdr:sp macro="" textlink="">
          <xdr:nvSpPr>
            <xdr:cNvPr id="10246" name="Drop Down 6" hidden="1">
              <a:extLst>
                <a:ext uri="{63B3BB69-23CF-44E3-9099-C40C66FF867C}">
                  <a14:compatExt spid="_x0000_s10246"/>
                </a:ext>
                <a:ext uri="{FF2B5EF4-FFF2-40B4-BE49-F238E27FC236}">
                  <a16:creationId xmlns:a16="http://schemas.microsoft.com/office/drawing/2014/main" id="{00000000-0008-0000-0C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9525</xdr:rowOff>
        </xdr:from>
        <xdr:to>
          <xdr:col>11</xdr:col>
          <xdr:colOff>809625</xdr:colOff>
          <xdr:row>7</xdr:row>
          <xdr:rowOff>0</xdr:rowOff>
        </xdr:to>
        <xdr:sp macro="" textlink="">
          <xdr:nvSpPr>
            <xdr:cNvPr id="10247" name="Drop Down 7" hidden="1">
              <a:extLst>
                <a:ext uri="{63B3BB69-23CF-44E3-9099-C40C66FF867C}">
                  <a14:compatExt spid="_x0000_s10247"/>
                </a:ext>
                <a:ext uri="{FF2B5EF4-FFF2-40B4-BE49-F238E27FC236}">
                  <a16:creationId xmlns:a16="http://schemas.microsoft.com/office/drawing/2014/main" id="{00000000-0008-0000-0C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11</xdr:col>
      <xdr:colOff>180975</xdr:colOff>
      <xdr:row>0</xdr:row>
      <xdr:rowOff>123825</xdr:rowOff>
    </xdr:from>
    <xdr:to>
      <xdr:col>11</xdr:col>
      <xdr:colOff>704850</xdr:colOff>
      <xdr:row>1</xdr:row>
      <xdr:rowOff>160198</xdr:rowOff>
    </xdr:to>
    <xdr:pic>
      <xdr:nvPicPr>
        <xdr:cNvPr id="10248" name="Picture 8">
          <a:extLst>
            <a:ext uri="{FF2B5EF4-FFF2-40B4-BE49-F238E27FC236}">
              <a16:creationId xmlns:a16="http://schemas.microsoft.com/office/drawing/2014/main" id="{00000000-0008-0000-0C00-000008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91400" y="123825"/>
          <a:ext cx="523875" cy="2363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209550</xdr:rowOff>
        </xdr:from>
        <xdr:to>
          <xdr:col>4</xdr:col>
          <xdr:colOff>0</xdr:colOff>
          <xdr:row>8</xdr:row>
          <xdr:rowOff>0</xdr:rowOff>
        </xdr:to>
        <xdr:sp macro="" textlink="">
          <xdr:nvSpPr>
            <xdr:cNvPr id="10260" name="Drop Down 20" hidden="1">
              <a:extLst>
                <a:ext uri="{63B3BB69-23CF-44E3-9099-C40C66FF867C}">
                  <a14:compatExt spid="_x0000_s10260"/>
                </a:ext>
                <a:ext uri="{FF2B5EF4-FFF2-40B4-BE49-F238E27FC236}">
                  <a16:creationId xmlns:a16="http://schemas.microsoft.com/office/drawing/2014/main" id="{00000000-0008-0000-0C00-00001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xdr:row>
          <xdr:rowOff>190500</xdr:rowOff>
        </xdr:from>
        <xdr:to>
          <xdr:col>4</xdr:col>
          <xdr:colOff>0</xdr:colOff>
          <xdr:row>9</xdr:row>
          <xdr:rowOff>0</xdr:rowOff>
        </xdr:to>
        <xdr:sp macro="" textlink="">
          <xdr:nvSpPr>
            <xdr:cNvPr id="10261" name="Drop Down 21" hidden="1">
              <a:extLst>
                <a:ext uri="{63B3BB69-23CF-44E3-9099-C40C66FF867C}">
                  <a14:compatExt spid="_x0000_s10261"/>
                </a:ext>
                <a:ext uri="{FF2B5EF4-FFF2-40B4-BE49-F238E27FC236}">
                  <a16:creationId xmlns:a16="http://schemas.microsoft.com/office/drawing/2014/main" id="{00000000-0008-0000-0C00-00001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209550</xdr:rowOff>
        </xdr:from>
        <xdr:to>
          <xdr:col>7</xdr:col>
          <xdr:colOff>838200</xdr:colOff>
          <xdr:row>8</xdr:row>
          <xdr:rowOff>0</xdr:rowOff>
        </xdr:to>
        <xdr:sp macro="" textlink="">
          <xdr:nvSpPr>
            <xdr:cNvPr id="10262" name="Drop Down 22" hidden="1">
              <a:extLst>
                <a:ext uri="{63B3BB69-23CF-44E3-9099-C40C66FF867C}">
                  <a14:compatExt spid="_x0000_s10262"/>
                </a:ext>
                <a:ext uri="{FF2B5EF4-FFF2-40B4-BE49-F238E27FC236}">
                  <a16:creationId xmlns:a16="http://schemas.microsoft.com/office/drawing/2014/main" id="{00000000-0008-0000-0C00-00001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190500</xdr:rowOff>
        </xdr:from>
        <xdr:to>
          <xdr:col>7</xdr:col>
          <xdr:colOff>838200</xdr:colOff>
          <xdr:row>9</xdr:row>
          <xdr:rowOff>0</xdr:rowOff>
        </xdr:to>
        <xdr:sp macro="" textlink="">
          <xdr:nvSpPr>
            <xdr:cNvPr id="10263" name="Drop Down 23" hidden="1">
              <a:extLst>
                <a:ext uri="{63B3BB69-23CF-44E3-9099-C40C66FF867C}">
                  <a14:compatExt spid="_x0000_s10263"/>
                </a:ext>
                <a:ext uri="{FF2B5EF4-FFF2-40B4-BE49-F238E27FC236}">
                  <a16:creationId xmlns:a16="http://schemas.microsoft.com/office/drawing/2014/main" id="{00000000-0008-0000-0C00-00001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209550</xdr:rowOff>
        </xdr:from>
        <xdr:to>
          <xdr:col>11</xdr:col>
          <xdr:colOff>809625</xdr:colOff>
          <xdr:row>8</xdr:row>
          <xdr:rowOff>0</xdr:rowOff>
        </xdr:to>
        <xdr:sp macro="" textlink="">
          <xdr:nvSpPr>
            <xdr:cNvPr id="10264" name="Drop Down 24" hidden="1">
              <a:extLst>
                <a:ext uri="{63B3BB69-23CF-44E3-9099-C40C66FF867C}">
                  <a14:compatExt spid="_x0000_s10264"/>
                </a:ext>
                <a:ext uri="{FF2B5EF4-FFF2-40B4-BE49-F238E27FC236}">
                  <a16:creationId xmlns:a16="http://schemas.microsoft.com/office/drawing/2014/main" id="{00000000-0008-0000-0C00-00001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190500</xdr:rowOff>
        </xdr:from>
        <xdr:to>
          <xdr:col>11</xdr:col>
          <xdr:colOff>809625</xdr:colOff>
          <xdr:row>9</xdr:row>
          <xdr:rowOff>0</xdr:rowOff>
        </xdr:to>
        <xdr:sp macro="" textlink="">
          <xdr:nvSpPr>
            <xdr:cNvPr id="10265" name="Drop Down 25" hidden="1">
              <a:extLst>
                <a:ext uri="{63B3BB69-23CF-44E3-9099-C40C66FF867C}">
                  <a14:compatExt spid="_x0000_s10265"/>
                </a:ext>
                <a:ext uri="{FF2B5EF4-FFF2-40B4-BE49-F238E27FC236}">
                  <a16:creationId xmlns:a16="http://schemas.microsoft.com/office/drawing/2014/main" id="{00000000-0008-0000-0C00-00001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74</xdr:col>
      <xdr:colOff>31295</xdr:colOff>
      <xdr:row>0</xdr:row>
      <xdr:rowOff>19050</xdr:rowOff>
    </xdr:from>
    <xdr:to>
      <xdr:col>77</xdr:col>
      <xdr:colOff>448917</xdr:colOff>
      <xdr:row>4</xdr:row>
      <xdr:rowOff>200025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7860845" y="19050"/>
          <a:ext cx="2246422" cy="981075"/>
        </a:xfrm>
        <a:prstGeom prst="rect">
          <a:avLst/>
        </a:prstGeom>
        <a:solidFill>
          <a:srgbClr val="CCFFFF"/>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GB" sz="900" b="1" i="1" baseline="0">
              <a:solidFill>
                <a:srgbClr val="FF0000"/>
              </a:solidFill>
              <a:effectLst/>
              <a:latin typeface="+mn-lt"/>
              <a:ea typeface="+mn-ea"/>
              <a:cs typeface="+mn-cs"/>
            </a:rPr>
            <a:t>To copy this sheet please ONLY use Edit or Move/Copy Sheet.</a:t>
          </a:r>
          <a:endParaRPr lang="en-US" sz="900" b="1">
            <a:solidFill>
              <a:srgbClr val="FF0000"/>
            </a:solidFill>
            <a:effectLst/>
          </a:endParaRPr>
        </a:p>
        <a:p>
          <a:r>
            <a:rPr lang="en-US" sz="900" b="1" i="1" baseline="0">
              <a:solidFill>
                <a:srgbClr val="FF0000"/>
              </a:solidFill>
            </a:rPr>
            <a:t>You may consider a blank template for use as appendix if the project template is different from this global template. </a:t>
          </a:r>
          <a:endParaRPr lang="en-US" sz="900" b="1" i="1">
            <a:solidFill>
              <a:srgbClr val="FF0000"/>
            </a:solidFill>
          </a:endParaRPr>
        </a:p>
      </xdr:txBody>
    </xdr:sp>
    <xdr:clientData/>
  </xdr:twoCellAnchor>
  <xdr:twoCellAnchor>
    <xdr:from>
      <xdr:col>74</xdr:col>
      <xdr:colOff>35731</xdr:colOff>
      <xdr:row>5</xdr:row>
      <xdr:rowOff>26268</xdr:rowOff>
    </xdr:from>
    <xdr:to>
      <xdr:col>76</xdr:col>
      <xdr:colOff>315033</xdr:colOff>
      <xdr:row>8</xdr:row>
      <xdr:rowOff>12248</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7865281" y="1035918"/>
          <a:ext cx="1498502" cy="795605"/>
        </a:xfrm>
        <a:prstGeom prst="rect">
          <a:avLst/>
        </a:prstGeom>
        <a:solidFill>
          <a:srgbClr val="CCFFFF"/>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GB" sz="900" b="1" i="1" baseline="0">
              <a:solidFill>
                <a:srgbClr val="0000FF"/>
              </a:solidFill>
              <a:effectLst/>
              <a:latin typeface="+mn-lt"/>
              <a:ea typeface="+mn-ea"/>
              <a:cs typeface="+mn-cs"/>
            </a:rPr>
            <a:t>Please do not select  this Spreadsheet when doing multiple print to avoid rearrangement of combo selection box.</a:t>
          </a:r>
          <a:endParaRPr lang="en-US" sz="900" b="1" i="1">
            <a:solidFill>
              <a:srgbClr val="0000FF"/>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3.xml"/><Relationship Id="rId16" Type="http://schemas.openxmlformats.org/officeDocument/2006/relationships/comments" Target="../comments6.xml"/><Relationship Id="rId1" Type="http://schemas.openxmlformats.org/officeDocument/2006/relationships/printerSettings" Target="../printerSettings/printerSettings1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U54"/>
  <sheetViews>
    <sheetView showGridLines="0" view="pageLayout" topLeftCell="A52" zoomScaleNormal="100" workbookViewId="0">
      <selection activeCell="H57" sqref="H57"/>
    </sheetView>
  </sheetViews>
  <sheetFormatPr defaultColWidth="9.140625" defaultRowHeight="15"/>
  <cols>
    <col min="1" max="1" width="6.7109375" style="104" customWidth="1"/>
    <col min="2" max="3" width="5.7109375" style="104" customWidth="1"/>
    <col min="4" max="4" width="18.7109375" style="104" customWidth="1"/>
    <col min="5" max="5" width="14.7109375" style="104" customWidth="1"/>
    <col min="6" max="6" width="16.7109375" style="104" customWidth="1"/>
    <col min="7" max="7" width="10.85546875" style="104" bestFit="1" customWidth="1"/>
    <col min="8" max="8" width="6.7109375" style="104" customWidth="1"/>
    <col min="9" max="10" width="8.7109375" style="104" customWidth="1"/>
    <col min="11" max="11" width="20.28515625" style="104" customWidth="1"/>
    <col min="12" max="16384" width="9.140625" style="104"/>
  </cols>
  <sheetData>
    <row r="1" spans="1:21" ht="60" customHeight="1">
      <c r="A1" s="216" t="s">
        <v>0</v>
      </c>
      <c r="B1" s="217"/>
      <c r="C1" s="217"/>
      <c r="D1" s="217"/>
      <c r="E1" s="217"/>
      <c r="F1" s="217"/>
      <c r="G1" s="217"/>
      <c r="H1" s="217"/>
      <c r="I1" s="217"/>
      <c r="J1" s="218"/>
    </row>
    <row r="2" spans="1:21" customFormat="1" ht="15" customHeight="1">
      <c r="A2" s="219" t="s">
        <v>1</v>
      </c>
      <c r="B2" s="220"/>
      <c r="C2" s="220"/>
      <c r="D2" s="221" t="s">
        <v>2</v>
      </c>
      <c r="E2" s="221"/>
      <c r="F2" s="221"/>
      <c r="G2" s="135" t="s">
        <v>3</v>
      </c>
      <c r="H2" s="222" t="s">
        <v>4</v>
      </c>
      <c r="I2" s="222"/>
      <c r="J2" s="223"/>
      <c r="K2" s="105"/>
      <c r="L2" s="104"/>
    </row>
    <row r="3" spans="1:21">
      <c r="A3" s="219" t="s">
        <v>5</v>
      </c>
      <c r="B3" s="220"/>
      <c r="C3" s="220"/>
      <c r="D3" s="221" t="s">
        <v>6</v>
      </c>
      <c r="E3" s="221"/>
      <c r="F3" s="221"/>
      <c r="G3" s="135" t="s">
        <v>7</v>
      </c>
      <c r="H3" s="222" t="s">
        <v>8</v>
      </c>
      <c r="I3" s="222"/>
      <c r="J3" s="223"/>
      <c r="K3" s="105"/>
      <c r="L3" s="106"/>
    </row>
    <row r="4" spans="1:21" ht="18" customHeight="1">
      <c r="A4" s="225" t="s">
        <v>9</v>
      </c>
      <c r="B4" s="226"/>
      <c r="C4" s="226"/>
      <c r="D4" s="227" t="s">
        <v>10</v>
      </c>
      <c r="E4" s="227"/>
      <c r="F4" s="227"/>
      <c r="G4" s="135" t="s">
        <v>11</v>
      </c>
      <c r="H4" s="222" t="s">
        <v>12</v>
      </c>
      <c r="I4" s="222"/>
      <c r="J4" s="223"/>
      <c r="K4" s="105"/>
      <c r="L4" s="107"/>
    </row>
    <row r="5" spans="1:21" customFormat="1" ht="22.5" customHeight="1">
      <c r="A5" s="219" t="s">
        <v>13</v>
      </c>
      <c r="B5" s="228"/>
      <c r="C5" s="228"/>
      <c r="D5" s="227" t="str">
        <f ca="1">SUBSTITUTE(LEFT(CELL("filename"),FIND("]",CELL("filename"))-1),"[","")</f>
        <v>https://pdomobility-my.sharepoint.com/personal/lakshmanan_lk_krishnamurthy_pdo_co_om/Documents/Lakshman/atmct2/KS-PR-CAL-0086 Vibration Assessment - Flow Induced Turbulence Calculation.xlsm</v>
      </c>
      <c r="E5" s="227"/>
      <c r="F5" s="227"/>
      <c r="G5" s="227"/>
      <c r="H5" s="227"/>
      <c r="I5" s="227"/>
      <c r="J5" s="229"/>
    </row>
    <row r="6" spans="1:21" ht="15" customHeight="1">
      <c r="A6" s="230"/>
      <c r="B6" s="231"/>
      <c r="C6" s="231"/>
      <c r="D6" s="232"/>
      <c r="E6" s="232"/>
      <c r="F6" s="232"/>
      <c r="G6" s="136" t="s">
        <v>14</v>
      </c>
      <c r="H6" s="137">
        <v>1</v>
      </c>
      <c r="I6" s="138" t="s">
        <v>15</v>
      </c>
      <c r="J6" s="139" t="s">
        <v>16</v>
      </c>
      <c r="K6"/>
      <c r="L6" s="233"/>
      <c r="M6" s="233"/>
    </row>
    <row r="7" spans="1:21" ht="15" customHeight="1">
      <c r="A7" s="234" t="s">
        <v>17</v>
      </c>
      <c r="B7" s="235"/>
      <c r="C7" s="235"/>
      <c r="D7" s="235"/>
      <c r="E7" s="235"/>
      <c r="F7" s="235"/>
      <c r="G7" s="235"/>
      <c r="H7" s="235"/>
      <c r="I7" s="235"/>
      <c r="J7" s="236"/>
    </row>
    <row r="8" spans="1:21" ht="15" customHeight="1">
      <c r="A8" s="237" t="s">
        <v>18</v>
      </c>
      <c r="B8" s="238"/>
      <c r="C8" s="238"/>
      <c r="D8" s="238"/>
      <c r="E8" s="238"/>
      <c r="F8" s="238"/>
      <c r="G8" s="238"/>
      <c r="H8" s="238"/>
      <c r="I8" s="238"/>
      <c r="J8" s="239"/>
      <c r="K8" s="108"/>
      <c r="L8" s="108"/>
      <c r="M8" s="108"/>
      <c r="N8" s="108"/>
      <c r="O8" s="108"/>
      <c r="P8" s="108"/>
      <c r="Q8" s="108"/>
      <c r="R8" s="108"/>
      <c r="S8" s="108"/>
      <c r="T8" s="108"/>
      <c r="U8" s="108"/>
    </row>
    <row r="9" spans="1:21" ht="15" customHeight="1">
      <c r="A9" s="237"/>
      <c r="B9" s="238"/>
      <c r="C9" s="238"/>
      <c r="D9" s="238"/>
      <c r="E9" s="238"/>
      <c r="F9" s="238"/>
      <c r="G9" s="238"/>
      <c r="H9" s="238"/>
      <c r="I9" s="238"/>
      <c r="J9" s="239"/>
    </row>
    <row r="10" spans="1:21" ht="15" customHeight="1">
      <c r="A10" s="237"/>
      <c r="B10" s="238"/>
      <c r="C10" s="238"/>
      <c r="D10" s="238"/>
      <c r="E10" s="238"/>
      <c r="F10" s="238"/>
      <c r="G10" s="238"/>
      <c r="H10" s="238"/>
      <c r="I10" s="238"/>
      <c r="J10" s="239"/>
    </row>
    <row r="11" spans="1:21" ht="15" customHeight="1">
      <c r="A11" s="237"/>
      <c r="B11" s="238"/>
      <c r="C11" s="238"/>
      <c r="D11" s="238"/>
      <c r="E11" s="238"/>
      <c r="F11" s="238"/>
      <c r="G11" s="238"/>
      <c r="H11" s="238"/>
      <c r="I11" s="238"/>
      <c r="J11" s="239"/>
    </row>
    <row r="12" spans="1:21" ht="15" customHeight="1">
      <c r="A12" s="240"/>
      <c r="B12" s="241"/>
      <c r="C12" s="241"/>
      <c r="D12" s="241"/>
      <c r="E12" s="241"/>
      <c r="F12" s="241"/>
      <c r="G12" s="241"/>
      <c r="H12" s="241"/>
      <c r="I12" s="241"/>
      <c r="J12" s="242"/>
    </row>
    <row r="13" spans="1:21" ht="15" customHeight="1">
      <c r="A13" s="243" t="s">
        <v>19</v>
      </c>
      <c r="B13" s="244"/>
      <c r="C13" s="244"/>
      <c r="D13" s="244"/>
      <c r="E13" s="244"/>
      <c r="F13" s="244"/>
      <c r="G13" s="244"/>
      <c r="H13" s="244"/>
      <c r="I13" s="244"/>
      <c r="J13" s="245"/>
    </row>
    <row r="14" spans="1:21" ht="15" customHeight="1">
      <c r="A14" s="237" t="s">
        <v>20</v>
      </c>
      <c r="B14" s="246"/>
      <c r="C14" s="246"/>
      <c r="D14" s="246"/>
      <c r="E14" s="246"/>
      <c r="F14" s="246"/>
      <c r="G14" s="246"/>
      <c r="H14" s="246"/>
      <c r="I14" s="246"/>
      <c r="J14" s="247"/>
    </row>
    <row r="15" spans="1:21" ht="15" customHeight="1">
      <c r="A15" s="248"/>
      <c r="B15" s="246"/>
      <c r="C15" s="246"/>
      <c r="D15" s="246"/>
      <c r="E15" s="246"/>
      <c r="F15" s="246"/>
      <c r="G15" s="246"/>
      <c r="H15" s="246"/>
      <c r="I15" s="246"/>
      <c r="J15" s="247"/>
    </row>
    <row r="16" spans="1:21" ht="15" customHeight="1">
      <c r="A16" s="248"/>
      <c r="B16" s="246"/>
      <c r="C16" s="246"/>
      <c r="D16" s="246"/>
      <c r="E16" s="246"/>
      <c r="F16" s="246"/>
      <c r="G16" s="246"/>
      <c r="H16" s="246"/>
      <c r="I16" s="246"/>
      <c r="J16" s="247"/>
    </row>
    <row r="17" spans="1:15" ht="15" customHeight="1">
      <c r="A17" s="248"/>
      <c r="B17" s="246"/>
      <c r="C17" s="246"/>
      <c r="D17" s="246"/>
      <c r="E17" s="246"/>
      <c r="F17" s="246"/>
      <c r="G17" s="246"/>
      <c r="H17" s="246"/>
      <c r="I17" s="246"/>
      <c r="J17" s="247"/>
      <c r="N17" s="224"/>
      <c r="O17" s="224"/>
    </row>
    <row r="18" spans="1:15" ht="15" customHeight="1">
      <c r="A18" s="248"/>
      <c r="B18" s="246"/>
      <c r="C18" s="246"/>
      <c r="D18" s="246"/>
      <c r="E18" s="246"/>
      <c r="F18" s="246"/>
      <c r="G18" s="246"/>
      <c r="H18" s="246"/>
      <c r="I18" s="246"/>
      <c r="J18" s="247"/>
      <c r="N18" s="224"/>
      <c r="O18" s="224"/>
    </row>
    <row r="19" spans="1:15" ht="15" customHeight="1">
      <c r="A19" s="249"/>
      <c r="B19" s="250"/>
      <c r="C19" s="250"/>
      <c r="D19" s="250"/>
      <c r="E19" s="250"/>
      <c r="F19" s="250"/>
      <c r="G19" s="250"/>
      <c r="H19" s="250"/>
      <c r="I19" s="250"/>
      <c r="J19" s="251"/>
    </row>
    <row r="20" spans="1:15" ht="15" customHeight="1">
      <c r="A20" s="140" t="s">
        <v>21</v>
      </c>
      <c r="B20" s="141"/>
      <c r="C20" s="141"/>
      <c r="D20" s="141"/>
      <c r="E20" s="141"/>
      <c r="F20" s="141"/>
      <c r="G20" s="141"/>
      <c r="H20" s="141"/>
      <c r="I20" s="141"/>
      <c r="J20" s="142"/>
    </row>
    <row r="21" spans="1:15" ht="15" customHeight="1">
      <c r="A21" s="248" t="s">
        <v>22</v>
      </c>
      <c r="B21" s="246"/>
      <c r="C21" s="246"/>
      <c r="D21" s="246"/>
      <c r="E21" s="246"/>
      <c r="F21" s="246"/>
      <c r="G21" s="246"/>
      <c r="H21" s="246"/>
      <c r="I21" s="246"/>
      <c r="J21" s="247"/>
    </row>
    <row r="22" spans="1:15" ht="15" customHeight="1">
      <c r="A22" s="248"/>
      <c r="B22" s="246"/>
      <c r="C22" s="246"/>
      <c r="D22" s="246"/>
      <c r="E22" s="246"/>
      <c r="F22" s="246"/>
      <c r="G22" s="246"/>
      <c r="H22" s="246"/>
      <c r="I22" s="246"/>
      <c r="J22" s="247"/>
    </row>
    <row r="23" spans="1:15" ht="15" customHeight="1">
      <c r="A23" s="248"/>
      <c r="B23" s="246"/>
      <c r="C23" s="246"/>
      <c r="D23" s="246"/>
      <c r="E23" s="246"/>
      <c r="F23" s="246"/>
      <c r="G23" s="246"/>
      <c r="H23" s="246"/>
      <c r="I23" s="246"/>
      <c r="J23" s="247"/>
    </row>
    <row r="24" spans="1:15" ht="15" customHeight="1">
      <c r="A24" s="248"/>
      <c r="B24" s="246"/>
      <c r="C24" s="246"/>
      <c r="D24" s="246"/>
      <c r="E24" s="246"/>
      <c r="F24" s="246"/>
      <c r="G24" s="246"/>
      <c r="H24" s="246"/>
      <c r="I24" s="246"/>
      <c r="J24" s="247"/>
    </row>
    <row r="25" spans="1:15" ht="15" customHeight="1">
      <c r="A25" s="248"/>
      <c r="B25" s="246"/>
      <c r="C25" s="246"/>
      <c r="D25" s="246"/>
      <c r="E25" s="246"/>
      <c r="F25" s="246"/>
      <c r="G25" s="246"/>
      <c r="H25" s="246"/>
      <c r="I25" s="246"/>
      <c r="J25" s="247"/>
    </row>
    <row r="26" spans="1:15" ht="15" customHeight="1">
      <c r="A26" s="248"/>
      <c r="B26" s="246"/>
      <c r="C26" s="246"/>
      <c r="D26" s="246"/>
      <c r="E26" s="246"/>
      <c r="F26" s="246"/>
      <c r="G26" s="246"/>
      <c r="H26" s="246"/>
      <c r="I26" s="246"/>
      <c r="J26" s="247"/>
    </row>
    <row r="27" spans="1:15" ht="15" customHeight="1">
      <c r="A27" s="249"/>
      <c r="B27" s="250"/>
      <c r="C27" s="250"/>
      <c r="D27" s="250"/>
      <c r="E27" s="250"/>
      <c r="F27" s="250"/>
      <c r="G27" s="250"/>
      <c r="H27" s="250"/>
      <c r="I27" s="250"/>
      <c r="J27" s="251"/>
    </row>
    <row r="28" spans="1:15" ht="15" customHeight="1">
      <c r="A28" s="252" t="s">
        <v>23</v>
      </c>
      <c r="B28" s="253"/>
      <c r="C28" s="253"/>
      <c r="D28" s="253"/>
      <c r="E28" s="253"/>
      <c r="F28" s="253"/>
      <c r="G28" s="253"/>
      <c r="H28" s="253"/>
      <c r="I28" s="253"/>
      <c r="J28" s="254"/>
    </row>
    <row r="29" spans="1:15" ht="15" customHeight="1">
      <c r="A29" s="255" t="s">
        <v>24</v>
      </c>
      <c r="B29" s="256"/>
      <c r="C29" s="256"/>
      <c r="D29" s="256"/>
      <c r="E29" s="256"/>
      <c r="F29" s="257"/>
      <c r="G29" s="143" t="s">
        <v>25</v>
      </c>
      <c r="H29" s="256" t="s">
        <v>26</v>
      </c>
      <c r="I29" s="256"/>
      <c r="J29" s="258"/>
    </row>
    <row r="30" spans="1:15" ht="15" customHeight="1">
      <c r="A30" s="248"/>
      <c r="B30" s="246"/>
      <c r="C30" s="246"/>
      <c r="D30" s="246"/>
      <c r="E30" s="246"/>
      <c r="F30" s="259"/>
      <c r="G30" s="144"/>
      <c r="H30" s="260"/>
      <c r="I30" s="261"/>
      <c r="J30" s="262"/>
    </row>
    <row r="31" spans="1:15" ht="15" customHeight="1">
      <c r="A31" s="249"/>
      <c r="B31" s="250"/>
      <c r="C31" s="250"/>
      <c r="D31" s="250"/>
      <c r="E31" s="250"/>
      <c r="F31" s="271"/>
      <c r="G31" s="145"/>
      <c r="H31" s="272"/>
      <c r="I31" s="273"/>
      <c r="J31" s="274"/>
    </row>
    <row r="32" spans="1:15" ht="15" customHeight="1">
      <c r="A32" s="243" t="s">
        <v>27</v>
      </c>
      <c r="B32" s="244"/>
      <c r="C32" s="244"/>
      <c r="D32" s="244"/>
      <c r="E32" s="244"/>
      <c r="F32" s="244"/>
      <c r="G32" s="244"/>
      <c r="H32" s="244"/>
      <c r="I32" s="244"/>
      <c r="J32" s="245"/>
    </row>
    <row r="33" spans="1:16" ht="15" customHeight="1">
      <c r="A33" s="248" t="s">
        <v>28</v>
      </c>
      <c r="B33" s="246"/>
      <c r="C33" s="246"/>
      <c r="D33" s="246"/>
      <c r="E33" s="246"/>
      <c r="F33" s="246"/>
      <c r="G33" s="246"/>
      <c r="H33" s="246"/>
      <c r="I33" s="246"/>
      <c r="J33" s="259"/>
    </row>
    <row r="34" spans="1:16" ht="15" customHeight="1">
      <c r="A34" s="248"/>
      <c r="B34" s="246"/>
      <c r="C34" s="246"/>
      <c r="D34" s="246"/>
      <c r="E34" s="246"/>
      <c r="F34" s="246"/>
      <c r="G34" s="246"/>
      <c r="H34" s="246"/>
      <c r="I34" s="246"/>
      <c r="J34" s="259"/>
    </row>
    <row r="35" spans="1:16" ht="15" customHeight="1">
      <c r="A35" s="248"/>
      <c r="B35" s="246"/>
      <c r="C35" s="246"/>
      <c r="D35" s="246"/>
      <c r="E35" s="246"/>
      <c r="F35" s="246"/>
      <c r="G35" s="246"/>
      <c r="H35" s="246"/>
      <c r="I35" s="246"/>
      <c r="J35" s="259"/>
    </row>
    <row r="36" spans="1:16" ht="15" customHeight="1">
      <c r="A36" s="248"/>
      <c r="B36" s="246"/>
      <c r="C36" s="246"/>
      <c r="D36" s="246"/>
      <c r="E36" s="246"/>
      <c r="F36" s="246"/>
      <c r="G36" s="246"/>
      <c r="H36" s="246"/>
      <c r="I36" s="246"/>
      <c r="J36" s="259"/>
    </row>
    <row r="37" spans="1:16" ht="15" customHeight="1">
      <c r="A37" s="248"/>
      <c r="B37" s="246"/>
      <c r="C37" s="246"/>
      <c r="D37" s="246"/>
      <c r="E37" s="246"/>
      <c r="F37" s="246"/>
      <c r="G37" s="246"/>
      <c r="H37" s="246"/>
      <c r="I37" s="246"/>
      <c r="J37" s="259"/>
    </row>
    <row r="38" spans="1:16" ht="15" customHeight="1">
      <c r="A38" s="249"/>
      <c r="B38" s="250"/>
      <c r="C38" s="250"/>
      <c r="D38" s="250"/>
      <c r="E38" s="250"/>
      <c r="F38" s="250"/>
      <c r="G38" s="250"/>
      <c r="H38" s="250"/>
      <c r="I38" s="250"/>
      <c r="J38" s="271"/>
    </row>
    <row r="39" spans="1:16" ht="15" customHeight="1">
      <c r="A39" s="243" t="s">
        <v>29</v>
      </c>
      <c r="B39" s="244"/>
      <c r="C39" s="244"/>
      <c r="D39" s="244"/>
      <c r="E39" s="244"/>
      <c r="F39" s="244"/>
      <c r="G39" s="244"/>
      <c r="H39" s="244"/>
      <c r="I39" s="244"/>
      <c r="J39" s="245"/>
    </row>
    <row r="40" spans="1:16" ht="15" customHeight="1">
      <c r="A40" s="275"/>
      <c r="B40" s="276"/>
      <c r="C40" s="276"/>
      <c r="D40" s="276"/>
      <c r="E40" s="276"/>
      <c r="F40" s="276"/>
      <c r="G40" s="276"/>
      <c r="H40" s="276"/>
      <c r="I40" s="276"/>
      <c r="J40" s="277"/>
    </row>
    <row r="41" spans="1:16" ht="15" customHeight="1">
      <c r="A41" s="275"/>
      <c r="B41" s="276"/>
      <c r="C41" s="276"/>
      <c r="D41" s="276"/>
      <c r="E41" s="276"/>
      <c r="F41" s="276"/>
      <c r="G41" s="276"/>
      <c r="H41" s="276"/>
      <c r="I41" s="276"/>
      <c r="J41" s="277"/>
    </row>
    <row r="42" spans="1:16" ht="15" customHeight="1">
      <c r="A42" s="275"/>
      <c r="B42" s="276"/>
      <c r="C42" s="276"/>
      <c r="D42" s="276"/>
      <c r="E42" s="276"/>
      <c r="F42" s="276"/>
      <c r="G42" s="276"/>
      <c r="H42" s="276"/>
      <c r="I42" s="276"/>
      <c r="J42" s="277"/>
    </row>
    <row r="43" spans="1:16" ht="15" customHeight="1">
      <c r="A43" s="275"/>
      <c r="B43" s="276"/>
      <c r="C43" s="276"/>
      <c r="D43" s="276"/>
      <c r="E43" s="276"/>
      <c r="F43" s="276"/>
      <c r="G43" s="276"/>
      <c r="H43" s="276"/>
      <c r="I43" s="276"/>
      <c r="J43" s="277"/>
    </row>
    <row r="44" spans="1:16" ht="15" customHeight="1">
      <c r="A44" s="278"/>
      <c r="B44" s="279"/>
      <c r="C44" s="279"/>
      <c r="D44" s="279"/>
      <c r="E44" s="279"/>
      <c r="F44" s="279"/>
      <c r="G44" s="279"/>
      <c r="H44" s="279"/>
      <c r="I44" s="279"/>
      <c r="J44" s="280"/>
    </row>
    <row r="45" spans="1:16" ht="15" customHeight="1">
      <c r="A45" s="281" t="s">
        <v>30</v>
      </c>
      <c r="B45" s="282"/>
      <c r="C45" s="282"/>
      <c r="D45" s="282"/>
      <c r="E45" s="146" t="s">
        <v>31</v>
      </c>
      <c r="F45" s="283" t="s">
        <v>32</v>
      </c>
      <c r="G45" s="284"/>
      <c r="H45" s="285" t="s">
        <v>33</v>
      </c>
      <c r="I45" s="286"/>
      <c r="J45" s="287"/>
      <c r="P45" s="109"/>
    </row>
    <row r="46" spans="1:16" ht="15" customHeight="1">
      <c r="A46" s="243" t="s">
        <v>34</v>
      </c>
      <c r="B46" s="244"/>
      <c r="C46" s="244"/>
      <c r="D46" s="244"/>
      <c r="E46" s="244"/>
      <c r="F46" s="244"/>
      <c r="G46" s="244"/>
      <c r="H46" s="244"/>
      <c r="I46" s="244"/>
      <c r="J46" s="245"/>
      <c r="P46" s="109"/>
    </row>
    <row r="47" spans="1:16" ht="15" customHeight="1">
      <c r="A47" s="248"/>
      <c r="B47" s="246"/>
      <c r="C47" s="246"/>
      <c r="D47" s="246"/>
      <c r="E47" s="246"/>
      <c r="F47" s="246"/>
      <c r="G47" s="246"/>
      <c r="H47" s="246"/>
      <c r="I47" s="246"/>
      <c r="J47" s="247"/>
      <c r="P47" s="109"/>
    </row>
    <row r="48" spans="1:16" ht="15" customHeight="1">
      <c r="A48" s="248"/>
      <c r="B48" s="246"/>
      <c r="C48" s="246"/>
      <c r="D48" s="246"/>
      <c r="E48" s="246"/>
      <c r="F48" s="246"/>
      <c r="G48" s="246"/>
      <c r="H48" s="246"/>
      <c r="I48" s="246"/>
      <c r="J48" s="247"/>
      <c r="P48" s="109"/>
    </row>
    <row r="49" spans="1:16" ht="15" customHeight="1">
      <c r="A49" s="249"/>
      <c r="B49" s="250"/>
      <c r="C49" s="250"/>
      <c r="D49" s="250"/>
      <c r="E49" s="250"/>
      <c r="F49" s="250"/>
      <c r="G49" s="250"/>
      <c r="H49" s="250"/>
      <c r="I49" s="250"/>
      <c r="J49" s="251"/>
    </row>
    <row r="50" spans="1:16" ht="15" customHeight="1">
      <c r="A50" s="147" t="s">
        <v>35</v>
      </c>
      <c r="B50" s="263" t="s">
        <v>36</v>
      </c>
      <c r="C50" s="264"/>
      <c r="D50" s="265" t="s">
        <v>37</v>
      </c>
      <c r="E50" s="266"/>
      <c r="F50" s="148" t="s">
        <v>38</v>
      </c>
      <c r="G50" s="267" t="s">
        <v>39</v>
      </c>
      <c r="H50" s="268"/>
      <c r="I50" s="269" t="s">
        <v>40</v>
      </c>
      <c r="J50" s="270"/>
      <c r="P50" s="109"/>
    </row>
    <row r="51" spans="1:16" ht="15" customHeight="1">
      <c r="A51" s="147" t="s">
        <v>41</v>
      </c>
      <c r="B51" s="263" t="s">
        <v>42</v>
      </c>
      <c r="C51" s="264"/>
      <c r="D51" s="265" t="s">
        <v>43</v>
      </c>
      <c r="E51" s="266"/>
      <c r="F51" s="148" t="s">
        <v>44</v>
      </c>
      <c r="G51" s="267" t="s">
        <v>45</v>
      </c>
      <c r="H51" s="268"/>
      <c r="I51" s="269" t="s">
        <v>46</v>
      </c>
      <c r="J51" s="270"/>
    </row>
    <row r="52" spans="1:16" ht="15" customHeight="1">
      <c r="A52" s="149" t="s">
        <v>47</v>
      </c>
      <c r="B52" s="263" t="s">
        <v>48</v>
      </c>
      <c r="C52" s="293"/>
      <c r="D52" s="265" t="s">
        <v>49</v>
      </c>
      <c r="E52" s="266"/>
      <c r="F52" s="148" t="s">
        <v>50</v>
      </c>
      <c r="G52" s="267" t="s">
        <v>51</v>
      </c>
      <c r="H52" s="294"/>
      <c r="I52" s="267" t="s">
        <v>52</v>
      </c>
      <c r="J52" s="295"/>
    </row>
    <row r="53" spans="1:16" ht="15" customHeight="1">
      <c r="A53" s="150" t="s">
        <v>53</v>
      </c>
      <c r="B53" s="150" t="s">
        <v>54</v>
      </c>
      <c r="C53" s="150"/>
      <c r="D53" s="288" t="s">
        <v>55</v>
      </c>
      <c r="E53" s="289"/>
      <c r="F53" s="151" t="s">
        <v>56</v>
      </c>
      <c r="G53" s="288" t="s">
        <v>57</v>
      </c>
      <c r="H53" s="290"/>
      <c r="I53" s="288" t="s">
        <v>58</v>
      </c>
      <c r="J53" s="291"/>
    </row>
    <row r="54" spans="1:16" ht="36" customHeight="1">
      <c r="A54" s="292" t="s">
        <v>59</v>
      </c>
      <c r="B54" s="292"/>
      <c r="C54" s="292"/>
      <c r="D54" s="292"/>
      <c r="E54" s="292"/>
      <c r="F54" s="292"/>
      <c r="G54" s="292"/>
      <c r="H54" s="292"/>
      <c r="I54" s="292"/>
      <c r="J54" s="292"/>
    </row>
  </sheetData>
  <mergeCells count="53">
    <mergeCell ref="D53:E53"/>
    <mergeCell ref="G53:H53"/>
    <mergeCell ref="I53:J53"/>
    <mergeCell ref="A54:J54"/>
    <mergeCell ref="B51:C51"/>
    <mergeCell ref="D51:E51"/>
    <mergeCell ref="G51:H51"/>
    <mergeCell ref="I51:J51"/>
    <mergeCell ref="B52:C52"/>
    <mergeCell ref="D52:E52"/>
    <mergeCell ref="G52:H52"/>
    <mergeCell ref="I52:J52"/>
    <mergeCell ref="B50:C50"/>
    <mergeCell ref="D50:E50"/>
    <mergeCell ref="G50:H50"/>
    <mergeCell ref="I50:J50"/>
    <mergeCell ref="A31:F31"/>
    <mergeCell ref="H31:J31"/>
    <mergeCell ref="A32:J32"/>
    <mergeCell ref="A33:J38"/>
    <mergeCell ref="A39:J39"/>
    <mergeCell ref="A40:J44"/>
    <mergeCell ref="A45:D45"/>
    <mergeCell ref="F45:G45"/>
    <mergeCell ref="H45:J45"/>
    <mergeCell ref="A46:J46"/>
    <mergeCell ref="A47:J49"/>
    <mergeCell ref="A21:J27"/>
    <mergeCell ref="A28:J28"/>
    <mergeCell ref="A29:F29"/>
    <mergeCell ref="H29:J29"/>
    <mergeCell ref="A30:F30"/>
    <mergeCell ref="H30:J30"/>
    <mergeCell ref="N17:O18"/>
    <mergeCell ref="A4:C4"/>
    <mergeCell ref="D4:F4"/>
    <mergeCell ref="H4:J4"/>
    <mergeCell ref="A5:C5"/>
    <mergeCell ref="D5:J5"/>
    <mergeCell ref="A6:C6"/>
    <mergeCell ref="D6:F6"/>
    <mergeCell ref="L6:M6"/>
    <mergeCell ref="A7:J7"/>
    <mergeCell ref="A8:J12"/>
    <mergeCell ref="A13:J13"/>
    <mergeCell ref="A14:J19"/>
    <mergeCell ref="A1:J1"/>
    <mergeCell ref="A2:C2"/>
    <mergeCell ref="D2:F2"/>
    <mergeCell ref="H2:J2"/>
    <mergeCell ref="A3:C3"/>
    <mergeCell ref="D3:F3"/>
    <mergeCell ref="H3:J3"/>
  </mergeCells>
  <pageMargins left="0.7" right="0.7" top="0.75" bottom="0.75" header="0.3" footer="0.3"/>
  <pageSetup paperSize="9" scale="85"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K45"/>
  <sheetViews>
    <sheetView showGridLines="0" view="pageLayout" topLeftCell="A22" zoomScaleNormal="100" workbookViewId="0">
      <selection activeCell="A44" sqref="A44:J44"/>
    </sheetView>
  </sheetViews>
  <sheetFormatPr defaultColWidth="9.140625" defaultRowHeight="15"/>
  <cols>
    <col min="1" max="2" width="6.7109375" style="104" customWidth="1"/>
    <col min="3" max="3" width="5.7109375" style="104" customWidth="1"/>
    <col min="4" max="4" width="18.7109375" style="104" customWidth="1"/>
    <col min="5" max="5" width="14.7109375" style="104" customWidth="1"/>
    <col min="6" max="6" width="16.7109375" style="104" customWidth="1"/>
    <col min="7" max="7" width="11" style="104" customWidth="1"/>
    <col min="8" max="8" width="6.7109375" style="104" customWidth="1"/>
    <col min="9" max="9" width="8.85546875" style="104" customWidth="1"/>
    <col min="10" max="10" width="8.5703125" style="104" customWidth="1"/>
    <col min="11" max="11" width="20.7109375" style="104" customWidth="1"/>
    <col min="12" max="16384" width="9.140625" style="104"/>
  </cols>
  <sheetData>
    <row r="1" spans="1:11" s="152" customFormat="1" ht="60" customHeight="1">
      <c r="A1" s="216" t="s">
        <v>60</v>
      </c>
      <c r="B1" s="217"/>
      <c r="C1" s="217"/>
      <c r="D1" s="217"/>
      <c r="E1" s="217"/>
      <c r="F1" s="217"/>
      <c r="G1" s="217"/>
      <c r="H1" s="217"/>
      <c r="I1" s="217"/>
      <c r="J1" s="218"/>
    </row>
    <row r="2" spans="1:11" s="152" customFormat="1" ht="15" customHeight="1">
      <c r="A2" s="219" t="s">
        <v>1</v>
      </c>
      <c r="B2" s="220"/>
      <c r="C2" s="220"/>
      <c r="D2" s="296" t="str">
        <f>customer</f>
        <v>customer name</v>
      </c>
      <c r="E2" s="296"/>
      <c r="F2" s="296"/>
      <c r="G2" s="135" t="s">
        <v>3</v>
      </c>
      <c r="H2" s="297" t="str">
        <f>Proj_no</f>
        <v>proj no</v>
      </c>
      <c r="I2" s="297"/>
      <c r="J2" s="298"/>
      <c r="K2" s="153"/>
    </row>
    <row r="3" spans="1:11" s="152" customFormat="1" ht="15" customHeight="1">
      <c r="A3" s="219" t="s">
        <v>5</v>
      </c>
      <c r="B3" s="220"/>
      <c r="C3" s="220"/>
      <c r="D3" s="299" t="str">
        <f>proj_title</f>
        <v>proj title</v>
      </c>
      <c r="E3" s="299"/>
      <c r="F3" s="299"/>
      <c r="G3" s="135" t="s">
        <v>7</v>
      </c>
      <c r="H3" s="297" t="str">
        <f>Calc_no</f>
        <v>650100-PR-CAL-0004</v>
      </c>
      <c r="I3" s="297"/>
      <c r="J3" s="298"/>
      <c r="K3" s="153"/>
    </row>
    <row r="4" spans="1:11" s="152" customFormat="1" ht="26.25" customHeight="1">
      <c r="A4" s="219" t="s">
        <v>9</v>
      </c>
      <c r="B4" s="228"/>
      <c r="C4" s="228"/>
      <c r="D4" s="303" t="str">
        <f>calc_title</f>
        <v>Vibration Assessment-Flow Induced Turbulence Template</v>
      </c>
      <c r="E4" s="303"/>
      <c r="F4" s="303"/>
      <c r="G4" s="135" t="s">
        <v>11</v>
      </c>
      <c r="H4" s="297" t="str">
        <f>Phase_CTR</f>
        <v>phase</v>
      </c>
      <c r="I4" s="297"/>
      <c r="J4" s="304"/>
      <c r="K4" s="153"/>
    </row>
    <row r="5" spans="1:11" s="152" customFormat="1" ht="22.5" customHeight="1">
      <c r="A5" s="219" t="s">
        <v>13</v>
      </c>
      <c r="B5" s="228"/>
      <c r="C5" s="228"/>
      <c r="D5" s="305" t="str">
        <f ca="1">elec_file</f>
        <v>https://pdomobility-my.sharepoint.com/personal/lakshmanan_lk_krishnamurthy_pdo_co_om/Documents/Lakshman/atmct2/KS-PR-CAL-0086 Vibration Assessment - Flow Induced Turbulence Calculation.xlsm</v>
      </c>
      <c r="E5" s="305"/>
      <c r="F5" s="305"/>
      <c r="G5" s="305"/>
      <c r="H5" s="305"/>
      <c r="I5" s="305"/>
      <c r="J5" s="306"/>
    </row>
    <row r="6" spans="1:11" s="152" customFormat="1" ht="15" customHeight="1">
      <c r="A6" s="307"/>
      <c r="B6" s="308"/>
      <c r="C6" s="308"/>
      <c r="D6" s="309"/>
      <c r="E6" s="309"/>
      <c r="F6" s="309"/>
      <c r="G6" s="136" t="s">
        <v>14</v>
      </c>
      <c r="H6" s="154">
        <v>2</v>
      </c>
      <c r="I6" s="138" t="s">
        <v>15</v>
      </c>
      <c r="J6" s="155" t="str">
        <f>num_pages</f>
        <v>#pages</v>
      </c>
    </row>
    <row r="7" spans="1:11" s="157" customFormat="1">
      <c r="A7" s="310" t="s">
        <v>61</v>
      </c>
      <c r="B7" s="311"/>
      <c r="C7" s="311"/>
      <c r="D7" s="311"/>
      <c r="E7" s="311"/>
      <c r="F7" s="311"/>
      <c r="G7" s="311"/>
      <c r="H7" s="311"/>
      <c r="I7" s="311"/>
      <c r="J7" s="312"/>
      <c r="K7" s="156"/>
    </row>
    <row r="8" spans="1:11" s="157" customFormat="1">
      <c r="A8" s="310" t="s">
        <v>62</v>
      </c>
      <c r="B8" s="311"/>
      <c r="C8" s="311"/>
      <c r="D8" s="311"/>
      <c r="E8" s="311"/>
      <c r="F8" s="311"/>
      <c r="G8" s="311"/>
      <c r="H8" s="311"/>
      <c r="I8" s="311"/>
      <c r="J8" s="312"/>
      <c r="K8" s="156"/>
    </row>
    <row r="9" spans="1:11" s="157" customFormat="1" ht="19.5" customHeight="1">
      <c r="A9" s="158" t="s">
        <v>63</v>
      </c>
      <c r="B9" s="158" t="s">
        <v>64</v>
      </c>
      <c r="J9" s="159"/>
      <c r="K9" s="156"/>
    </row>
    <row r="10" spans="1:11" s="157" customFormat="1" ht="30" customHeight="1">
      <c r="A10" s="160"/>
      <c r="B10" s="160"/>
      <c r="C10" s="313" t="s">
        <v>65</v>
      </c>
      <c r="D10" s="314"/>
      <c r="E10" s="314"/>
      <c r="F10" s="314"/>
      <c r="G10" s="314"/>
      <c r="H10" s="314"/>
      <c r="I10" s="314"/>
      <c r="J10" s="315"/>
      <c r="K10" s="156"/>
    </row>
    <row r="11" spans="1:11" s="157" customFormat="1" ht="20.100000000000001" customHeight="1">
      <c r="A11" s="160"/>
      <c r="B11" s="160"/>
      <c r="C11" s="300" t="s">
        <v>66</v>
      </c>
      <c r="D11" s="301"/>
      <c r="E11" s="301"/>
      <c r="F11" s="301"/>
      <c r="G11" s="301"/>
      <c r="H11" s="301"/>
      <c r="I11" s="301"/>
      <c r="J11" s="302"/>
      <c r="K11" s="156"/>
    </row>
    <row r="12" spans="1:11" s="157" customFormat="1" ht="30" customHeight="1">
      <c r="A12" s="160"/>
      <c r="B12" s="160"/>
      <c r="C12" s="313" t="s">
        <v>67</v>
      </c>
      <c r="D12" s="314"/>
      <c r="E12" s="314"/>
      <c r="F12" s="314"/>
      <c r="G12" s="314"/>
      <c r="H12" s="314"/>
      <c r="I12" s="314"/>
      <c r="J12" s="315"/>
      <c r="K12" s="156"/>
    </row>
    <row r="13" spans="1:11" s="157" customFormat="1" ht="20.100000000000001" customHeight="1">
      <c r="A13" s="160"/>
      <c r="B13" s="160"/>
      <c r="C13" s="300" t="s">
        <v>68</v>
      </c>
      <c r="D13" s="301"/>
      <c r="E13" s="301"/>
      <c r="F13" s="301"/>
      <c r="G13" s="301"/>
      <c r="H13" s="301"/>
      <c r="I13" s="301"/>
      <c r="J13" s="302"/>
      <c r="K13" s="156"/>
    </row>
    <row r="14" spans="1:11" s="157" customFormat="1" ht="20.100000000000001" customHeight="1">
      <c r="A14" s="160"/>
      <c r="B14" s="160"/>
      <c r="C14" s="300" t="s">
        <v>69</v>
      </c>
      <c r="D14" s="301"/>
      <c r="E14" s="301"/>
      <c r="F14" s="301"/>
      <c r="G14" s="301"/>
      <c r="H14" s="301"/>
      <c r="I14" s="301"/>
      <c r="J14" s="302"/>
      <c r="K14" s="156"/>
    </row>
    <row r="15" spans="1:11" s="157" customFormat="1" ht="20.100000000000001" customHeight="1">
      <c r="A15" s="160"/>
      <c r="B15" s="160"/>
      <c r="C15" s="300" t="s">
        <v>70</v>
      </c>
      <c r="D15" s="301"/>
      <c r="E15" s="301"/>
      <c r="F15" s="301"/>
      <c r="G15" s="301"/>
      <c r="H15" s="301"/>
      <c r="I15" s="301"/>
      <c r="J15" s="302"/>
      <c r="K15" s="156"/>
    </row>
    <row r="16" spans="1:11" s="157" customFormat="1" ht="20.100000000000001" customHeight="1">
      <c r="A16" s="160"/>
      <c r="B16" s="160"/>
      <c r="C16" s="300" t="s">
        <v>71</v>
      </c>
      <c r="D16" s="301"/>
      <c r="E16" s="301"/>
      <c r="F16" s="301"/>
      <c r="G16" s="301"/>
      <c r="H16" s="301"/>
      <c r="I16" s="301"/>
      <c r="J16" s="302"/>
      <c r="K16" s="156"/>
    </row>
    <row r="17" spans="1:11" s="157" customFormat="1" ht="20.100000000000001" customHeight="1">
      <c r="A17" s="160"/>
      <c r="B17" s="160"/>
      <c r="C17" s="300" t="s">
        <v>72</v>
      </c>
      <c r="D17" s="301"/>
      <c r="E17" s="301"/>
      <c r="F17" s="301"/>
      <c r="G17" s="301"/>
      <c r="H17" s="301"/>
      <c r="I17" s="301"/>
      <c r="J17" s="302"/>
      <c r="K17" s="156"/>
    </row>
    <row r="18" spans="1:11" s="157" customFormat="1" ht="20.100000000000001" customHeight="1">
      <c r="A18" s="160"/>
      <c r="B18" s="160"/>
      <c r="C18" s="300" t="s">
        <v>73</v>
      </c>
      <c r="D18" s="301"/>
      <c r="E18" s="301"/>
      <c r="F18" s="301"/>
      <c r="G18" s="301"/>
      <c r="H18" s="301"/>
      <c r="I18" s="301"/>
      <c r="J18" s="302"/>
      <c r="K18" s="156"/>
    </row>
    <row r="19" spans="1:11" s="157" customFormat="1" ht="20.100000000000001" customHeight="1">
      <c r="A19" s="160"/>
      <c r="B19" s="160"/>
      <c r="C19" s="300" t="s">
        <v>74</v>
      </c>
      <c r="D19" s="301"/>
      <c r="E19" s="301"/>
      <c r="F19" s="301"/>
      <c r="G19" s="301"/>
      <c r="H19" s="301"/>
      <c r="I19" s="301"/>
      <c r="J19" s="302"/>
      <c r="K19" s="156"/>
    </row>
    <row r="20" spans="1:11" s="157" customFormat="1" ht="20.100000000000001" customHeight="1">
      <c r="A20" s="160"/>
      <c r="B20" s="160"/>
      <c r="C20" s="313" t="s">
        <v>75</v>
      </c>
      <c r="D20" s="314"/>
      <c r="E20" s="314"/>
      <c r="F20" s="314"/>
      <c r="G20" s="314"/>
      <c r="H20" s="314"/>
      <c r="I20" s="314"/>
      <c r="J20" s="315"/>
      <c r="K20" s="156"/>
    </row>
    <row r="21" spans="1:11" s="157" customFormat="1" ht="20.100000000000001" customHeight="1">
      <c r="A21" s="160"/>
      <c r="B21" s="160"/>
      <c r="C21" s="300" t="s">
        <v>76</v>
      </c>
      <c r="D21" s="301"/>
      <c r="E21" s="301"/>
      <c r="F21" s="301"/>
      <c r="G21" s="301"/>
      <c r="H21" s="301"/>
      <c r="I21" s="301"/>
      <c r="J21" s="302"/>
      <c r="K21" s="156"/>
    </row>
    <row r="22" spans="1:11" s="157" customFormat="1" ht="20.100000000000001" customHeight="1">
      <c r="A22" s="160"/>
      <c r="B22" s="160"/>
      <c r="C22" s="300" t="s">
        <v>77</v>
      </c>
      <c r="D22" s="301"/>
      <c r="E22" s="301"/>
      <c r="F22" s="301"/>
      <c r="G22" s="301"/>
      <c r="H22" s="301"/>
      <c r="I22" s="301"/>
      <c r="J22" s="302"/>
      <c r="K22" s="156"/>
    </row>
    <row r="23" spans="1:11" s="157" customFormat="1" ht="20.100000000000001" customHeight="1">
      <c r="A23" s="160"/>
      <c r="B23" s="160"/>
      <c r="C23" s="300" t="s">
        <v>78</v>
      </c>
      <c r="D23" s="301"/>
      <c r="E23" s="301"/>
      <c r="F23" s="301"/>
      <c r="G23" s="301"/>
      <c r="H23" s="301"/>
      <c r="I23" s="301"/>
      <c r="J23" s="302"/>
      <c r="K23" s="156"/>
    </row>
    <row r="24" spans="1:11" s="157" customFormat="1" ht="20.100000000000001" customHeight="1">
      <c r="A24" s="160"/>
      <c r="B24" s="160"/>
      <c r="C24" s="300" t="s">
        <v>79</v>
      </c>
      <c r="D24" s="301"/>
      <c r="E24" s="301"/>
      <c r="F24" s="301"/>
      <c r="G24" s="301"/>
      <c r="H24" s="301"/>
      <c r="I24" s="301"/>
      <c r="J24" s="302"/>
      <c r="K24" s="156"/>
    </row>
    <row r="25" spans="1:11" s="157" customFormat="1" ht="20.100000000000001" customHeight="1">
      <c r="A25" s="160"/>
      <c r="B25" s="160"/>
      <c r="C25" s="300" t="s">
        <v>80</v>
      </c>
      <c r="D25" s="301"/>
      <c r="E25" s="301"/>
      <c r="F25" s="301"/>
      <c r="G25" s="301"/>
      <c r="H25" s="301"/>
      <c r="I25" s="301"/>
      <c r="J25" s="302"/>
      <c r="K25" s="156"/>
    </row>
    <row r="26" spans="1:11" s="157" customFormat="1" ht="20.100000000000001" customHeight="1">
      <c r="A26" s="160"/>
      <c r="B26" s="160"/>
      <c r="C26" s="300" t="s">
        <v>81</v>
      </c>
      <c r="D26" s="301"/>
      <c r="E26" s="301"/>
      <c r="F26" s="301"/>
      <c r="G26" s="301"/>
      <c r="H26" s="301"/>
      <c r="I26" s="301"/>
      <c r="J26" s="302"/>
      <c r="K26" s="156"/>
    </row>
    <row r="27" spans="1:11" s="157" customFormat="1" ht="20.100000000000001" customHeight="1">
      <c r="A27" s="160"/>
      <c r="B27" s="160"/>
      <c r="C27" s="300" t="s">
        <v>82</v>
      </c>
      <c r="D27" s="301"/>
      <c r="E27" s="301"/>
      <c r="F27" s="301"/>
      <c r="G27" s="301"/>
      <c r="H27" s="301"/>
      <c r="I27" s="301"/>
      <c r="J27" s="302"/>
      <c r="K27" s="156"/>
    </row>
    <row r="28" spans="1:11" s="157" customFormat="1" ht="20.100000000000001" customHeight="1">
      <c r="A28" s="160"/>
      <c r="B28" s="160"/>
      <c r="C28" s="300" t="s">
        <v>83</v>
      </c>
      <c r="D28" s="301"/>
      <c r="E28" s="301"/>
      <c r="F28" s="301"/>
      <c r="G28" s="301"/>
      <c r="H28" s="301"/>
      <c r="I28" s="301"/>
      <c r="J28" s="302"/>
      <c r="K28" s="156"/>
    </row>
    <row r="29" spans="1:11" s="157" customFormat="1" ht="20.100000000000001" customHeight="1">
      <c r="A29" s="160"/>
      <c r="B29" s="160"/>
      <c r="C29" s="300" t="s">
        <v>84</v>
      </c>
      <c r="D29" s="301"/>
      <c r="E29" s="301"/>
      <c r="F29" s="301"/>
      <c r="G29" s="301"/>
      <c r="H29" s="301"/>
      <c r="I29" s="301"/>
      <c r="J29" s="302"/>
      <c r="K29" s="156"/>
    </row>
    <row r="30" spans="1:11" s="157" customFormat="1">
      <c r="A30" s="310" t="s">
        <v>85</v>
      </c>
      <c r="B30" s="316"/>
      <c r="C30" s="316"/>
      <c r="D30" s="316"/>
      <c r="E30" s="316"/>
      <c r="F30" s="316"/>
      <c r="G30" s="316"/>
      <c r="H30" s="316"/>
      <c r="I30" s="316"/>
      <c r="J30" s="317"/>
      <c r="K30" s="156"/>
    </row>
    <row r="31" spans="1:11" s="157" customFormat="1" ht="20.100000000000001" customHeight="1">
      <c r="A31" s="160"/>
      <c r="B31" s="160"/>
      <c r="C31" s="300" t="s">
        <v>86</v>
      </c>
      <c r="D31" s="301"/>
      <c r="E31" s="301"/>
      <c r="F31" s="301"/>
      <c r="G31" s="301"/>
      <c r="H31" s="301"/>
      <c r="I31" s="301"/>
      <c r="J31" s="302"/>
      <c r="K31" s="156"/>
    </row>
    <row r="32" spans="1:11" s="157" customFormat="1" ht="20.100000000000001" customHeight="1">
      <c r="A32" s="160"/>
      <c r="B32" s="160"/>
      <c r="C32" s="300" t="s">
        <v>87</v>
      </c>
      <c r="D32" s="301"/>
      <c r="E32" s="301"/>
      <c r="F32" s="301"/>
      <c r="G32" s="301"/>
      <c r="H32" s="301"/>
      <c r="I32" s="301"/>
      <c r="J32" s="302"/>
      <c r="K32" s="156"/>
    </row>
    <row r="33" spans="1:11" s="157" customFormat="1" ht="20.100000000000001" customHeight="1">
      <c r="A33" s="160"/>
      <c r="B33" s="160"/>
      <c r="C33" s="300" t="s">
        <v>88</v>
      </c>
      <c r="D33" s="301"/>
      <c r="E33" s="301"/>
      <c r="F33" s="301"/>
      <c r="G33" s="301"/>
      <c r="H33" s="301"/>
      <c r="I33" s="301"/>
      <c r="J33" s="302"/>
      <c r="K33" s="156"/>
    </row>
    <row r="34" spans="1:11" s="157" customFormat="1">
      <c r="A34" s="310" t="s">
        <v>89</v>
      </c>
      <c r="B34" s="316"/>
      <c r="C34" s="316"/>
      <c r="D34" s="316"/>
      <c r="E34" s="316"/>
      <c r="F34" s="316"/>
      <c r="G34" s="316"/>
      <c r="H34" s="316"/>
      <c r="I34" s="316"/>
      <c r="J34" s="317"/>
      <c r="K34" s="156"/>
    </row>
    <row r="35" spans="1:11" s="157" customFormat="1" ht="20.100000000000001" customHeight="1">
      <c r="A35" s="160"/>
      <c r="B35" s="160"/>
      <c r="C35" s="300" t="s">
        <v>90</v>
      </c>
      <c r="D35" s="301"/>
      <c r="E35" s="301"/>
      <c r="F35" s="301"/>
      <c r="G35" s="301"/>
      <c r="H35" s="301"/>
      <c r="I35" s="301"/>
      <c r="J35" s="302"/>
      <c r="K35" s="156"/>
    </row>
    <row r="36" spans="1:11" s="157" customFormat="1" ht="20.100000000000001" customHeight="1">
      <c r="A36" s="160"/>
      <c r="B36" s="160"/>
      <c r="C36" s="300" t="s">
        <v>91</v>
      </c>
      <c r="D36" s="301"/>
      <c r="E36" s="301"/>
      <c r="F36" s="301"/>
      <c r="G36" s="301"/>
      <c r="H36" s="301"/>
      <c r="I36" s="301"/>
      <c r="J36" s="302"/>
      <c r="K36" s="156"/>
    </row>
    <row r="37" spans="1:11" s="157" customFormat="1" ht="20.100000000000001" customHeight="1">
      <c r="A37" s="160"/>
      <c r="B37" s="160"/>
      <c r="C37" s="300" t="s">
        <v>92</v>
      </c>
      <c r="D37" s="301"/>
      <c r="E37" s="301"/>
      <c r="F37" s="301"/>
      <c r="G37" s="301"/>
      <c r="H37" s="301"/>
      <c r="I37" s="301"/>
      <c r="J37" s="302"/>
      <c r="K37" s="156"/>
    </row>
    <row r="38" spans="1:11" s="157" customFormat="1" ht="20.100000000000001" customHeight="1">
      <c r="A38" s="161"/>
      <c r="J38" s="159"/>
      <c r="K38" s="156"/>
    </row>
    <row r="39" spans="1:11" s="157" customFormat="1" ht="20.100000000000001" customHeight="1">
      <c r="A39" s="162"/>
      <c r="J39" s="159"/>
      <c r="K39" s="156"/>
    </row>
    <row r="40" spans="1:11" s="152" customFormat="1">
      <c r="A40" s="163" t="str">
        <f>_rev3</f>
        <v>rev3</v>
      </c>
      <c r="B40" s="318" t="str">
        <f>date3</f>
        <v>date3</v>
      </c>
      <c r="C40" s="318"/>
      <c r="D40" s="319" t="str">
        <f>desc3</f>
        <v>desc3</v>
      </c>
      <c r="E40" s="319"/>
      <c r="F40" s="164" t="str">
        <f>orig3</f>
        <v>by3</v>
      </c>
      <c r="G40" s="320" t="str">
        <f>_chk3</f>
        <v>chkd3</v>
      </c>
      <c r="H40" s="321"/>
      <c r="I40" s="322" t="str">
        <f>_app3</f>
        <v>app3</v>
      </c>
      <c r="J40" s="323"/>
      <c r="K40" s="165"/>
    </row>
    <row r="41" spans="1:11" s="152" customFormat="1">
      <c r="A41" s="163" t="str">
        <f>_rev2</f>
        <v>rev2</v>
      </c>
      <c r="B41" s="318" t="str">
        <f>date2</f>
        <v>date2</v>
      </c>
      <c r="C41" s="318"/>
      <c r="D41" s="319" t="str">
        <f>desc2</f>
        <v>desc2</v>
      </c>
      <c r="E41" s="319"/>
      <c r="F41" s="164" t="str">
        <f>orig2</f>
        <v>by2</v>
      </c>
      <c r="G41" s="320" t="str">
        <f>_chk2</f>
        <v>chkd2</v>
      </c>
      <c r="H41" s="321"/>
      <c r="I41" s="322" t="str">
        <f>_app2</f>
        <v>app2</v>
      </c>
      <c r="J41" s="323"/>
      <c r="K41" s="165"/>
    </row>
    <row r="42" spans="1:11" s="152" customFormat="1">
      <c r="A42" s="163" t="str">
        <f>_rev1</f>
        <v>rev1</v>
      </c>
      <c r="B42" s="322" t="str">
        <f>date1</f>
        <v>date1</v>
      </c>
      <c r="C42" s="323"/>
      <c r="D42" s="324" t="str">
        <f>desc1</f>
        <v>desc1</v>
      </c>
      <c r="E42" s="325"/>
      <c r="F42" s="164" t="str">
        <f>orig1</f>
        <v>by1</v>
      </c>
      <c r="G42" s="320" t="str">
        <f>_chk1</f>
        <v>chkd1</v>
      </c>
      <c r="H42" s="321"/>
      <c r="I42" s="320" t="str">
        <f>_app1</f>
        <v>app1</v>
      </c>
      <c r="J42" s="321"/>
      <c r="K42" s="165"/>
    </row>
    <row r="43" spans="1:11" s="152" customFormat="1">
      <c r="A43" s="166" t="s">
        <v>53</v>
      </c>
      <c r="B43" s="326" t="s">
        <v>54</v>
      </c>
      <c r="C43" s="327"/>
      <c r="D43" s="328" t="s">
        <v>55</v>
      </c>
      <c r="E43" s="328"/>
      <c r="F43" s="167" t="s">
        <v>56</v>
      </c>
      <c r="G43" s="326" t="s">
        <v>57</v>
      </c>
      <c r="H43" s="329"/>
      <c r="I43" s="326" t="s">
        <v>58</v>
      </c>
      <c r="J43" s="330"/>
      <c r="K43" s="165"/>
    </row>
    <row r="44" spans="1:11" s="152" customFormat="1" ht="36" customHeight="1">
      <c r="A44" s="292"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B44" s="292"/>
      <c r="C44" s="292"/>
      <c r="D44" s="292"/>
      <c r="E44" s="292"/>
      <c r="F44" s="292"/>
      <c r="G44" s="292"/>
      <c r="H44" s="292"/>
      <c r="I44" s="292"/>
      <c r="J44" s="292"/>
    </row>
    <row r="45" spans="1:11" s="152" customFormat="1"/>
  </sheetData>
  <mergeCells count="61">
    <mergeCell ref="A44:J44"/>
    <mergeCell ref="B42:C42"/>
    <mergeCell ref="D42:E42"/>
    <mergeCell ref="G42:H42"/>
    <mergeCell ref="I42:J42"/>
    <mergeCell ref="B43:C43"/>
    <mergeCell ref="D43:E43"/>
    <mergeCell ref="G43:H43"/>
    <mergeCell ref="I43:J43"/>
    <mergeCell ref="B40:C40"/>
    <mergeCell ref="D40:E40"/>
    <mergeCell ref="G40:H40"/>
    <mergeCell ref="I40:J40"/>
    <mergeCell ref="B41:C41"/>
    <mergeCell ref="D41:E41"/>
    <mergeCell ref="G41:H41"/>
    <mergeCell ref="I41:J41"/>
    <mergeCell ref="C37:J37"/>
    <mergeCell ref="C26:J26"/>
    <mergeCell ref="C27:J27"/>
    <mergeCell ref="C28:J28"/>
    <mergeCell ref="C29:J29"/>
    <mergeCell ref="A30:J30"/>
    <mergeCell ref="C31:J31"/>
    <mergeCell ref="C32:J32"/>
    <mergeCell ref="C33:J33"/>
    <mergeCell ref="A34:J34"/>
    <mergeCell ref="C35:J35"/>
    <mergeCell ref="C36:J36"/>
    <mergeCell ref="C25:J25"/>
    <mergeCell ref="C14:J14"/>
    <mergeCell ref="C15:J15"/>
    <mergeCell ref="C16:J16"/>
    <mergeCell ref="C17:J17"/>
    <mergeCell ref="C18:J18"/>
    <mergeCell ref="C19:J19"/>
    <mergeCell ref="C20:J20"/>
    <mergeCell ref="C21:J21"/>
    <mergeCell ref="C22:J22"/>
    <mergeCell ref="C23:J23"/>
    <mergeCell ref="C24:J24"/>
    <mergeCell ref="C13:J13"/>
    <mergeCell ref="A4:C4"/>
    <mergeCell ref="D4:F4"/>
    <mergeCell ref="H4:J4"/>
    <mergeCell ref="A5:C5"/>
    <mergeCell ref="D5:J5"/>
    <mergeCell ref="A6:C6"/>
    <mergeCell ref="D6:F6"/>
    <mergeCell ref="A7:J7"/>
    <mergeCell ref="A8:J8"/>
    <mergeCell ref="C10:J10"/>
    <mergeCell ref="C11:J11"/>
    <mergeCell ref="C12:J12"/>
    <mergeCell ref="A1:J1"/>
    <mergeCell ref="A2:C2"/>
    <mergeCell ref="D2:F2"/>
    <mergeCell ref="H2:J2"/>
    <mergeCell ref="A3:C3"/>
    <mergeCell ref="D3:F3"/>
    <mergeCell ref="H3:J3"/>
  </mergeCells>
  <pageMargins left="0.7" right="0.7" top="0.75" bottom="0.75" header="0.3" footer="0.3"/>
  <pageSetup paperSize="9" scale="83" orientation="portrait" r:id="rId1"/>
  <colBreaks count="1" manualBreakCount="1">
    <brk id="10"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AX75"/>
  <sheetViews>
    <sheetView view="pageLayout" topLeftCell="A34" zoomScaleNormal="100" zoomScaleSheetLayoutView="100" workbookViewId="0">
      <selection activeCell="B53" sqref="B53:AN53"/>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43" width="9.140625" style="110"/>
    <col min="44" max="16384" width="9.140625" style="33"/>
  </cols>
  <sheetData>
    <row r="1" spans="2:44" s="169"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68"/>
      <c r="AP1" s="168"/>
      <c r="AQ1" s="168"/>
    </row>
    <row r="2" spans="2:44" s="174" customFormat="1" ht="15" customHeight="1">
      <c r="B2" s="331" t="s">
        <v>1</v>
      </c>
      <c r="C2" s="332"/>
      <c r="D2" s="332"/>
      <c r="E2" s="332"/>
      <c r="F2" s="332"/>
      <c r="G2" s="332"/>
      <c r="H2" s="170"/>
      <c r="I2" s="171" t="str">
        <f>customer</f>
        <v>customer name</v>
      </c>
      <c r="J2" s="171"/>
      <c r="K2" s="171"/>
      <c r="L2" s="171"/>
      <c r="M2" s="171"/>
      <c r="N2" s="171"/>
      <c r="O2" s="171"/>
      <c r="P2" s="171"/>
      <c r="Q2" s="171"/>
      <c r="R2" s="171"/>
      <c r="S2" s="171"/>
      <c r="T2" s="171"/>
      <c r="U2" s="171"/>
      <c r="V2" s="171"/>
      <c r="W2" s="171"/>
      <c r="X2" s="171"/>
      <c r="Y2" s="171"/>
      <c r="Z2" s="171"/>
      <c r="AA2" s="333" t="s">
        <v>3</v>
      </c>
      <c r="AB2" s="333"/>
      <c r="AC2" s="333"/>
      <c r="AD2" s="333"/>
      <c r="AE2" s="334" t="str">
        <f>Proj_no</f>
        <v>proj no</v>
      </c>
      <c r="AF2" s="334"/>
      <c r="AG2" s="334"/>
      <c r="AH2" s="334"/>
      <c r="AI2" s="334"/>
      <c r="AJ2" s="334"/>
      <c r="AK2" s="334"/>
      <c r="AL2" s="334"/>
      <c r="AM2" s="334"/>
      <c r="AN2" s="335"/>
      <c r="AO2" s="172"/>
      <c r="AP2" s="173"/>
      <c r="AQ2" s="173"/>
    </row>
    <row r="3" spans="2:44" s="174" customFormat="1" ht="15" customHeight="1">
      <c r="B3" s="336" t="s">
        <v>5</v>
      </c>
      <c r="C3" s="337"/>
      <c r="D3" s="337"/>
      <c r="E3" s="337"/>
      <c r="F3" s="337"/>
      <c r="G3" s="337"/>
      <c r="H3" s="175"/>
      <c r="I3" s="176" t="str">
        <f>proj_title</f>
        <v>proj title</v>
      </c>
      <c r="J3" s="176"/>
      <c r="K3" s="176"/>
      <c r="L3" s="176"/>
      <c r="M3" s="176"/>
      <c r="N3" s="176"/>
      <c r="O3" s="176"/>
      <c r="P3" s="176"/>
      <c r="Q3" s="176"/>
      <c r="R3" s="176"/>
      <c r="S3" s="176"/>
      <c r="T3" s="176"/>
      <c r="U3" s="176"/>
      <c r="V3" s="176"/>
      <c r="W3" s="176"/>
      <c r="X3" s="176"/>
      <c r="Y3" s="176"/>
      <c r="Z3" s="176"/>
      <c r="AA3" s="338" t="s">
        <v>7</v>
      </c>
      <c r="AB3" s="338"/>
      <c r="AC3" s="338"/>
      <c r="AD3" s="338"/>
      <c r="AE3" s="339" t="str">
        <f>Calc_no</f>
        <v>650100-PR-CAL-0004</v>
      </c>
      <c r="AF3" s="339"/>
      <c r="AG3" s="339"/>
      <c r="AH3" s="339"/>
      <c r="AI3" s="339"/>
      <c r="AJ3" s="339"/>
      <c r="AK3" s="339"/>
      <c r="AL3" s="339"/>
      <c r="AM3" s="339"/>
      <c r="AN3" s="340"/>
      <c r="AO3" s="172"/>
      <c r="AP3" s="173"/>
      <c r="AQ3" s="173"/>
    </row>
    <row r="4" spans="2:44" s="174" customFormat="1" ht="24.75"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177"/>
      <c r="AA4" s="338" t="s">
        <v>11</v>
      </c>
      <c r="AB4" s="338"/>
      <c r="AC4" s="338"/>
      <c r="AD4" s="338"/>
      <c r="AE4" s="339" t="str">
        <f>Phase_CTR</f>
        <v>phase</v>
      </c>
      <c r="AF4" s="339"/>
      <c r="AG4" s="339"/>
      <c r="AH4" s="339"/>
      <c r="AI4" s="339"/>
      <c r="AJ4" s="339"/>
      <c r="AK4" s="339"/>
      <c r="AL4" s="339"/>
      <c r="AM4" s="339"/>
      <c r="AN4" s="340"/>
      <c r="AO4" s="172"/>
      <c r="AP4" s="173"/>
      <c r="AQ4" s="173"/>
    </row>
    <row r="5" spans="2:44" s="174" customFormat="1" ht="22.5" customHeight="1">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c r="AP5" s="173"/>
      <c r="AQ5" s="173"/>
    </row>
    <row r="6" spans="2:44" s="174"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41">
        <v>3</v>
      </c>
      <c r="AH6" s="341"/>
      <c r="AI6" s="341"/>
      <c r="AJ6" s="348" t="s">
        <v>15</v>
      </c>
      <c r="AK6" s="348"/>
      <c r="AL6" s="341" t="str">
        <f>num_pages</f>
        <v>#pages</v>
      </c>
      <c r="AM6" s="341"/>
      <c r="AN6" s="342"/>
      <c r="AO6" s="173"/>
      <c r="AP6" s="173"/>
      <c r="AQ6" s="173"/>
    </row>
    <row r="7" spans="2:44" s="169" customFormat="1" ht="15" customHeight="1">
      <c r="B7" s="349" t="s">
        <v>53</v>
      </c>
      <c r="C7" s="351"/>
      <c r="D7" s="349" t="s">
        <v>54</v>
      </c>
      <c r="E7" s="350"/>
      <c r="F7" s="350"/>
      <c r="G7" s="349" t="s">
        <v>56</v>
      </c>
      <c r="H7" s="350"/>
      <c r="I7" s="350"/>
      <c r="J7" s="351"/>
      <c r="K7" s="349" t="s">
        <v>57</v>
      </c>
      <c r="L7" s="350"/>
      <c r="M7" s="350"/>
      <c r="N7" s="352"/>
      <c r="O7" s="350" t="s">
        <v>53</v>
      </c>
      <c r="P7" s="351"/>
      <c r="Q7" s="349" t="s">
        <v>54</v>
      </c>
      <c r="R7" s="350"/>
      <c r="S7" s="350"/>
      <c r="T7" s="349" t="s">
        <v>56</v>
      </c>
      <c r="U7" s="350"/>
      <c r="V7" s="350"/>
      <c r="W7" s="351"/>
      <c r="X7" s="349" t="s">
        <v>57</v>
      </c>
      <c r="Y7" s="350"/>
      <c r="Z7" s="350"/>
      <c r="AA7" s="352"/>
      <c r="AB7" s="350" t="s">
        <v>53</v>
      </c>
      <c r="AC7" s="351"/>
      <c r="AD7" s="349" t="s">
        <v>54</v>
      </c>
      <c r="AE7" s="350"/>
      <c r="AF7" s="350"/>
      <c r="AG7" s="349" t="s">
        <v>56</v>
      </c>
      <c r="AH7" s="350"/>
      <c r="AI7" s="350"/>
      <c r="AJ7" s="351"/>
      <c r="AK7" s="349" t="s">
        <v>57</v>
      </c>
      <c r="AL7" s="350"/>
      <c r="AM7" s="350"/>
      <c r="AN7" s="351"/>
      <c r="AO7" s="168"/>
      <c r="AP7" s="168"/>
      <c r="AQ7" s="168"/>
    </row>
    <row r="8" spans="2:44" s="178"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4"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c r="AP9" s="173"/>
      <c r="AQ9" s="173"/>
      <c r="AR9" s="168"/>
    </row>
    <row r="10" spans="2:44" s="169" customFormat="1" ht="14.85" customHeight="1">
      <c r="B10" s="182"/>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c r="AP10" s="173"/>
      <c r="AQ10" s="173"/>
      <c r="AR10" s="168"/>
    </row>
    <row r="11" spans="2:44" s="169" customFormat="1" ht="14.85" customHeight="1">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c r="AP11" s="173"/>
      <c r="AQ11" s="168"/>
      <c r="AR11" s="168"/>
    </row>
    <row r="12" spans="2:44" s="169" customFormat="1" ht="14.85" customHeight="1">
      <c r="B12" s="364" t="s">
        <v>94</v>
      </c>
      <c r="C12" s="365"/>
      <c r="D12" s="365"/>
      <c r="E12" s="365"/>
      <c r="F12" s="365"/>
      <c r="G12" s="365"/>
      <c r="H12" s="365"/>
      <c r="I12" s="365"/>
      <c r="J12" s="365"/>
      <c r="K12" s="365"/>
      <c r="L12" s="365"/>
      <c r="M12" s="365"/>
      <c r="N12" s="365"/>
      <c r="O12" s="365"/>
      <c r="P12" s="365"/>
      <c r="Q12" s="365"/>
      <c r="R12" s="365"/>
      <c r="S12" s="365"/>
      <c r="T12" s="365"/>
      <c r="U12" s="365"/>
      <c r="V12" s="365"/>
      <c r="W12" s="365"/>
      <c r="X12" s="365"/>
      <c r="Y12" s="365"/>
      <c r="Z12" s="365"/>
      <c r="AA12" s="365"/>
      <c r="AB12" s="365"/>
      <c r="AC12" s="365"/>
      <c r="AD12" s="365"/>
      <c r="AE12" s="365"/>
      <c r="AF12" s="365"/>
      <c r="AG12" s="365"/>
      <c r="AH12" s="365"/>
      <c r="AI12" s="365"/>
      <c r="AJ12" s="365"/>
      <c r="AK12" s="365"/>
      <c r="AL12" s="365"/>
      <c r="AM12" s="365"/>
      <c r="AN12" s="366"/>
      <c r="AO12" s="168"/>
      <c r="AP12" s="168"/>
      <c r="AQ12" s="168"/>
      <c r="AR12" s="168"/>
    </row>
    <row r="13" spans="2:44" s="169" customFormat="1" ht="14.85" customHeight="1">
      <c r="B13" s="182"/>
      <c r="C13" s="183"/>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367" t="s">
        <v>14</v>
      </c>
      <c r="AI13" s="367"/>
      <c r="AJ13" s="367"/>
      <c r="AK13" s="183"/>
      <c r="AL13" s="183"/>
      <c r="AM13" s="183"/>
      <c r="AN13" s="184"/>
      <c r="AO13" s="168"/>
      <c r="AP13" s="168"/>
      <c r="AQ13" s="168"/>
      <c r="AR13" s="168"/>
    </row>
    <row r="14" spans="2:44" s="169" customFormat="1" ht="14.85" customHeight="1">
      <c r="B14" s="182"/>
      <c r="C14" s="183"/>
      <c r="D14" s="186"/>
      <c r="E14" s="185"/>
      <c r="F14" s="186" t="s">
        <v>95</v>
      </c>
      <c r="G14" s="185"/>
      <c r="H14" s="185" t="s">
        <v>96</v>
      </c>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367">
        <v>4</v>
      </c>
      <c r="AI14" s="367"/>
      <c r="AJ14" s="367"/>
      <c r="AK14" s="183"/>
      <c r="AL14" s="183"/>
      <c r="AM14" s="183"/>
      <c r="AN14" s="184"/>
      <c r="AO14" s="168"/>
      <c r="AP14" s="168"/>
      <c r="AQ14" s="168"/>
      <c r="AR14" s="168"/>
    </row>
    <row r="15" spans="2:44" s="169" customFormat="1" ht="14.85" customHeight="1">
      <c r="B15" s="182"/>
      <c r="C15" s="183"/>
      <c r="D15" s="183"/>
      <c r="E15" s="183"/>
      <c r="F15" s="187" t="s">
        <v>97</v>
      </c>
      <c r="G15" s="183"/>
      <c r="H15" s="183" t="s">
        <v>98</v>
      </c>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4"/>
      <c r="AO15" s="168"/>
      <c r="AP15" s="168"/>
      <c r="AQ15" s="168"/>
      <c r="AR15" s="168"/>
    </row>
    <row r="16" spans="2:44" s="169" customFormat="1" ht="14.85" customHeight="1">
      <c r="B16" s="182"/>
      <c r="C16" s="183"/>
      <c r="D16" s="183"/>
      <c r="E16" s="183"/>
      <c r="F16" s="188" t="s">
        <v>99</v>
      </c>
      <c r="G16" s="183"/>
      <c r="H16" s="183" t="s">
        <v>100</v>
      </c>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4"/>
      <c r="AO16" s="168"/>
      <c r="AP16" s="183"/>
      <c r="AQ16" s="168"/>
      <c r="AR16" s="168"/>
    </row>
    <row r="17" spans="2:44" s="169" customFormat="1" ht="14.85" customHeight="1">
      <c r="B17" s="182"/>
      <c r="C17" s="183"/>
      <c r="D17" s="183"/>
      <c r="E17" s="183"/>
      <c r="F17" s="188" t="s">
        <v>101</v>
      </c>
      <c r="G17" s="183"/>
      <c r="H17" s="183" t="s">
        <v>102</v>
      </c>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4"/>
      <c r="AO17" s="168"/>
      <c r="AP17" s="168"/>
      <c r="AQ17" s="168"/>
      <c r="AR17" s="168"/>
    </row>
    <row r="18" spans="2:44" s="169" customFormat="1" ht="14.85" customHeight="1">
      <c r="B18" s="182"/>
      <c r="C18" s="183"/>
      <c r="D18" s="183"/>
      <c r="E18" s="183"/>
      <c r="F18" s="188" t="s">
        <v>103</v>
      </c>
      <c r="G18" s="183"/>
      <c r="H18" s="183" t="s">
        <v>104</v>
      </c>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4"/>
      <c r="AO18" s="168"/>
      <c r="AP18" s="168"/>
      <c r="AQ18" s="168"/>
      <c r="AR18" s="168"/>
    </row>
    <row r="19" spans="2:44" s="169" customFormat="1" ht="14.85" customHeight="1">
      <c r="B19" s="182"/>
      <c r="C19" s="183"/>
      <c r="D19" s="183"/>
      <c r="E19" s="183"/>
      <c r="F19" s="188" t="s">
        <v>105</v>
      </c>
      <c r="G19" s="183"/>
      <c r="H19" s="183" t="s">
        <v>106</v>
      </c>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4"/>
      <c r="AO19" s="168"/>
      <c r="AP19" s="168"/>
      <c r="AQ19" s="168"/>
      <c r="AR19" s="168"/>
    </row>
    <row r="20" spans="2:44" s="169" customFormat="1" ht="14.85" customHeight="1">
      <c r="B20" s="182"/>
      <c r="C20" s="183"/>
      <c r="D20" s="183"/>
      <c r="E20" s="183"/>
      <c r="F20" s="188"/>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4"/>
      <c r="AO20" s="168"/>
      <c r="AP20" s="168"/>
      <c r="AQ20" s="168"/>
      <c r="AR20" s="168"/>
    </row>
    <row r="21" spans="2:44" s="169" customFormat="1" ht="14.85" customHeight="1">
      <c r="B21" s="182"/>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4"/>
      <c r="AO21" s="168"/>
      <c r="AP21" s="168"/>
      <c r="AQ21" s="168"/>
      <c r="AR21" s="168"/>
    </row>
    <row r="22" spans="2:44" s="169" customFormat="1" ht="14.85" customHeight="1">
      <c r="B22" s="182"/>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4"/>
      <c r="AO22" s="168"/>
      <c r="AP22" s="168"/>
      <c r="AQ22" s="168"/>
      <c r="AR22" s="168"/>
    </row>
    <row r="23" spans="2:44" s="169" customFormat="1" ht="14.85" customHeight="1">
      <c r="B23" s="182"/>
      <c r="C23" s="183"/>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4"/>
      <c r="AO23" s="168"/>
      <c r="AP23" s="168"/>
      <c r="AQ23" s="168"/>
      <c r="AR23" s="168"/>
    </row>
    <row r="24" spans="2:44" s="169" customFormat="1" ht="14.85" customHeight="1">
      <c r="B24" s="182"/>
      <c r="C24" s="183"/>
      <c r="D24" s="183"/>
      <c r="E24" s="183"/>
      <c r="F24" s="18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4"/>
      <c r="AO24" s="168"/>
      <c r="AP24" s="168"/>
      <c r="AQ24" s="168"/>
      <c r="AR24" s="168"/>
    </row>
    <row r="25" spans="2:44" s="169" customFormat="1" ht="14.85" customHeight="1">
      <c r="B25" s="182"/>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4"/>
      <c r="AO25" s="168"/>
      <c r="AP25" s="168"/>
      <c r="AQ25" s="168"/>
      <c r="AR25" s="168"/>
    </row>
    <row r="26" spans="2:44" s="169" customFormat="1" ht="14.85" customHeight="1">
      <c r="B26" s="182"/>
      <c r="C26" s="183"/>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4"/>
      <c r="AO26" s="168"/>
      <c r="AP26" s="168"/>
      <c r="AQ26" s="168"/>
      <c r="AR26" s="168"/>
    </row>
    <row r="27" spans="2:44" s="169" customFormat="1" ht="14.85" customHeight="1">
      <c r="B27" s="182"/>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4"/>
      <c r="AO27" s="168"/>
      <c r="AP27" s="168"/>
      <c r="AQ27" s="168"/>
      <c r="AR27" s="168"/>
    </row>
    <row r="28" spans="2:44" s="169" customFormat="1" ht="14.85" customHeight="1">
      <c r="B28" s="182"/>
      <c r="C28" s="183"/>
      <c r="D28" s="183"/>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4"/>
      <c r="AO28" s="168"/>
      <c r="AP28" s="168"/>
      <c r="AQ28" s="168"/>
      <c r="AR28" s="168"/>
    </row>
    <row r="29" spans="2:44" s="169" customFormat="1" ht="14.85" customHeight="1">
      <c r="B29" s="182"/>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4"/>
      <c r="AO29" s="168"/>
      <c r="AP29" s="168"/>
      <c r="AQ29" s="168"/>
      <c r="AR29" s="168"/>
    </row>
    <row r="30" spans="2:44" s="169" customFormat="1" ht="14.85" customHeight="1">
      <c r="B30" s="182"/>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4"/>
      <c r="AO30" s="168"/>
      <c r="AP30" s="168"/>
      <c r="AQ30" s="168"/>
      <c r="AR30" s="168"/>
    </row>
    <row r="31" spans="2:44" s="169" customFormat="1" ht="14.85" customHeight="1">
      <c r="B31" s="182"/>
      <c r="C31" s="183"/>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4"/>
      <c r="AO31" s="168"/>
      <c r="AP31" s="168"/>
      <c r="AQ31" s="168"/>
      <c r="AR31" s="168"/>
    </row>
    <row r="32" spans="2:44" s="169" customFormat="1" ht="14.85" customHeight="1">
      <c r="B32" s="364" t="s">
        <v>107</v>
      </c>
      <c r="C32" s="365"/>
      <c r="D32" s="365"/>
      <c r="E32" s="365"/>
      <c r="F32" s="365"/>
      <c r="G32" s="365"/>
      <c r="H32" s="365"/>
      <c r="I32" s="365"/>
      <c r="J32" s="365"/>
      <c r="K32" s="365"/>
      <c r="L32" s="365"/>
      <c r="M32" s="365"/>
      <c r="N32" s="365"/>
      <c r="O32" s="365"/>
      <c r="P32" s="365"/>
      <c r="Q32" s="365"/>
      <c r="R32" s="365"/>
      <c r="S32" s="365"/>
      <c r="T32" s="365"/>
      <c r="U32" s="365"/>
      <c r="V32" s="365"/>
      <c r="W32" s="365"/>
      <c r="X32" s="365"/>
      <c r="Y32" s="365"/>
      <c r="Z32" s="365"/>
      <c r="AA32" s="365"/>
      <c r="AB32" s="365"/>
      <c r="AC32" s="365"/>
      <c r="AD32" s="365"/>
      <c r="AE32" s="365"/>
      <c r="AF32" s="365"/>
      <c r="AG32" s="365"/>
      <c r="AH32" s="365"/>
      <c r="AI32" s="365"/>
      <c r="AJ32" s="365"/>
      <c r="AK32" s="365"/>
      <c r="AL32" s="365"/>
      <c r="AM32" s="365"/>
      <c r="AN32" s="366"/>
      <c r="AO32" s="168"/>
      <c r="AP32" s="168"/>
      <c r="AQ32" s="168"/>
      <c r="AR32" s="168"/>
    </row>
    <row r="33" spans="2:44" s="169" customFormat="1" ht="14.85" customHeight="1">
      <c r="B33" s="182"/>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367" t="s">
        <v>108</v>
      </c>
      <c r="AI33" s="367"/>
      <c r="AJ33" s="367"/>
      <c r="AK33" s="183"/>
      <c r="AL33" s="183"/>
      <c r="AM33" s="183"/>
      <c r="AN33" s="184"/>
      <c r="AO33" s="168"/>
      <c r="AP33" s="168"/>
      <c r="AQ33" s="168"/>
      <c r="AR33" s="168"/>
    </row>
    <row r="34" spans="2:44" s="169" customFormat="1" ht="14.85" customHeight="1">
      <c r="B34" s="182"/>
      <c r="C34" s="183"/>
      <c r="F34" s="189" t="s">
        <v>109</v>
      </c>
      <c r="G34" s="183"/>
      <c r="H34" s="362" t="s">
        <v>110</v>
      </c>
      <c r="I34" s="362"/>
      <c r="J34" s="362"/>
      <c r="K34" s="362"/>
      <c r="L34" s="362"/>
      <c r="M34" s="362"/>
      <c r="N34" s="362"/>
      <c r="O34" s="362"/>
      <c r="P34" s="362"/>
      <c r="Q34" s="362"/>
      <c r="R34" s="362"/>
      <c r="S34" s="362"/>
      <c r="T34" s="362"/>
      <c r="U34" s="362"/>
      <c r="V34" s="362"/>
      <c r="W34" s="362"/>
      <c r="X34" s="362"/>
      <c r="Y34" s="362"/>
      <c r="Z34" s="362"/>
      <c r="AA34" s="362"/>
      <c r="AB34" s="362"/>
      <c r="AC34" s="362"/>
      <c r="AD34" s="362"/>
      <c r="AE34" s="362"/>
      <c r="AF34" s="362"/>
      <c r="AG34" s="183"/>
      <c r="AH34" s="222" t="s">
        <v>111</v>
      </c>
      <c r="AI34" s="222"/>
      <c r="AJ34" s="222"/>
      <c r="AK34" s="183"/>
      <c r="AL34" s="183"/>
      <c r="AM34" s="183"/>
      <c r="AN34" s="184"/>
      <c r="AO34" s="168"/>
      <c r="AP34" s="168"/>
      <c r="AQ34" s="168"/>
      <c r="AR34" s="168"/>
    </row>
    <row r="35" spans="2:44" s="169" customFormat="1" ht="14.85" customHeight="1">
      <c r="B35" s="182"/>
      <c r="C35" s="183"/>
      <c r="F35" s="189"/>
      <c r="G35" s="183"/>
      <c r="H35" s="362"/>
      <c r="I35" s="362"/>
      <c r="J35" s="362"/>
      <c r="K35" s="362"/>
      <c r="L35" s="362"/>
      <c r="M35" s="362"/>
      <c r="N35" s="362"/>
      <c r="O35" s="362"/>
      <c r="P35" s="362"/>
      <c r="Q35" s="362"/>
      <c r="R35" s="362"/>
      <c r="S35" s="362"/>
      <c r="T35" s="362"/>
      <c r="U35" s="362"/>
      <c r="V35" s="362"/>
      <c r="W35" s="362"/>
      <c r="X35" s="362"/>
      <c r="Y35" s="362"/>
      <c r="Z35" s="362"/>
      <c r="AA35" s="362"/>
      <c r="AB35" s="362"/>
      <c r="AC35" s="362"/>
      <c r="AD35" s="362"/>
      <c r="AE35" s="362"/>
      <c r="AF35" s="362"/>
      <c r="AG35" s="183"/>
      <c r="AH35" s="222"/>
      <c r="AI35" s="222"/>
      <c r="AJ35" s="222"/>
      <c r="AK35" s="183"/>
      <c r="AL35" s="183"/>
      <c r="AM35" s="183"/>
      <c r="AN35" s="184"/>
      <c r="AO35" s="168"/>
      <c r="AP35" s="168"/>
      <c r="AQ35" s="168"/>
      <c r="AR35" s="168"/>
    </row>
    <row r="36" spans="2:44" s="169" customFormat="1" ht="14.85" customHeight="1">
      <c r="B36" s="182"/>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4"/>
      <c r="AO36" s="168"/>
      <c r="AP36" s="168"/>
      <c r="AQ36" s="168"/>
      <c r="AR36" s="168"/>
    </row>
    <row r="37" spans="2:44" s="169" customFormat="1" ht="14.85" customHeight="1">
      <c r="B37" s="182"/>
      <c r="C37" s="183"/>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4"/>
      <c r="AO37" s="168"/>
      <c r="AP37" s="168"/>
      <c r="AQ37" s="168"/>
      <c r="AR37" s="168"/>
    </row>
    <row r="38" spans="2:44" s="169" customFormat="1" ht="14.85" customHeight="1">
      <c r="B38" s="182"/>
      <c r="C38" s="183"/>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4"/>
      <c r="AO38" s="168"/>
      <c r="AP38" s="168"/>
      <c r="AQ38" s="168"/>
      <c r="AR38" s="168"/>
    </row>
    <row r="39" spans="2:44" s="169" customFormat="1" ht="14.85" customHeight="1">
      <c r="B39" s="182"/>
      <c r="C39" s="183"/>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4"/>
      <c r="AO39" s="168"/>
      <c r="AP39" s="168"/>
      <c r="AQ39" s="168"/>
      <c r="AR39" s="168"/>
    </row>
    <row r="40" spans="2:44" s="169" customFormat="1" ht="14.85" customHeight="1">
      <c r="B40" s="182"/>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4"/>
      <c r="AO40" s="168"/>
      <c r="AP40" s="168"/>
      <c r="AQ40" s="168"/>
      <c r="AR40" s="168"/>
    </row>
    <row r="41" spans="2:44" s="169" customFormat="1" ht="14.85" customHeight="1">
      <c r="B41" s="182"/>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4"/>
      <c r="AO41" s="168"/>
      <c r="AP41" s="168"/>
      <c r="AQ41" s="168"/>
      <c r="AR41" s="168"/>
    </row>
    <row r="42" spans="2:44" s="169" customFormat="1" ht="14.85" customHeight="1">
      <c r="B42" s="182"/>
      <c r="C42" s="183"/>
      <c r="D42" s="183"/>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4"/>
      <c r="AO42" s="168"/>
      <c r="AP42" s="168"/>
      <c r="AQ42" s="168"/>
      <c r="AR42" s="168"/>
    </row>
    <row r="43" spans="2:44" s="169" customFormat="1" ht="14.85" customHeight="1">
      <c r="B43" s="182"/>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4"/>
      <c r="AO43" s="168"/>
      <c r="AP43" s="168"/>
      <c r="AQ43" s="168"/>
      <c r="AR43" s="168"/>
    </row>
    <row r="44" spans="2:44" s="169" customFormat="1" ht="14.85" customHeight="1">
      <c r="B44" s="182"/>
      <c r="C44" s="183"/>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4"/>
      <c r="AO44" s="168"/>
      <c r="AP44" s="168"/>
      <c r="AQ44" s="168"/>
      <c r="AR44" s="168"/>
    </row>
    <row r="45" spans="2:44" s="169" customFormat="1" ht="14.85" customHeight="1">
      <c r="B45" s="182"/>
      <c r="C45" s="183"/>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4"/>
      <c r="AO45" s="168"/>
      <c r="AP45" s="168"/>
      <c r="AQ45" s="168"/>
      <c r="AR45" s="168"/>
    </row>
    <row r="46" spans="2:44" s="169" customFormat="1" ht="14.85" customHeight="1">
      <c r="B46" s="182"/>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4"/>
      <c r="AO46" s="168"/>
      <c r="AP46" s="168"/>
      <c r="AQ46" s="168"/>
      <c r="AR46" s="168"/>
    </row>
    <row r="47" spans="2:44" s="169" customFormat="1" ht="14.85" customHeight="1">
      <c r="B47" s="182"/>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4"/>
      <c r="AO47" s="168"/>
      <c r="AP47" s="168"/>
      <c r="AQ47" s="168"/>
      <c r="AR47" s="168"/>
    </row>
    <row r="48" spans="2:44" s="169" customFormat="1" ht="14.85" customHeight="1">
      <c r="B48" s="182"/>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4"/>
      <c r="AO48" s="168"/>
      <c r="AP48" s="168"/>
      <c r="AQ48" s="168"/>
      <c r="AR48" s="168"/>
    </row>
    <row r="49" spans="2:50" s="169" customFormat="1" ht="14.85" customHeight="1">
      <c r="B49" s="182"/>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4"/>
      <c r="AO49" s="168"/>
      <c r="AP49" s="168"/>
      <c r="AQ49" s="168"/>
      <c r="AR49" s="168"/>
    </row>
    <row r="50" spans="2:50" s="169" customFormat="1" ht="14.85" customHeight="1">
      <c r="B50" s="182"/>
      <c r="C50" s="183"/>
      <c r="D50" s="183"/>
      <c r="E50" s="183"/>
      <c r="F50" s="183"/>
      <c r="G50" s="183"/>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c r="AG50" s="183"/>
      <c r="AH50" s="183"/>
      <c r="AI50" s="183"/>
      <c r="AJ50" s="183"/>
      <c r="AK50" s="183"/>
      <c r="AL50" s="183"/>
      <c r="AM50" s="183"/>
      <c r="AN50" s="184"/>
      <c r="AO50" s="168"/>
      <c r="AP50" s="168"/>
      <c r="AQ50" s="168"/>
      <c r="AR50" s="168"/>
    </row>
    <row r="51" spans="2:50" s="169" customFormat="1" ht="14.85" customHeight="1">
      <c r="B51" s="182"/>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4"/>
      <c r="AO51" s="168"/>
      <c r="AP51" s="168"/>
      <c r="AQ51" s="168"/>
      <c r="AR51" s="168"/>
    </row>
    <row r="52" spans="2:50" s="168" customFormat="1" ht="14.85" customHeight="1">
      <c r="B52" s="190"/>
      <c r="C52" s="191"/>
      <c r="D52" s="191"/>
      <c r="E52" s="191"/>
      <c r="F52" s="191"/>
      <c r="G52" s="191"/>
      <c r="H52" s="191"/>
      <c r="I52" s="191"/>
      <c r="J52" s="191"/>
      <c r="K52" s="191"/>
      <c r="L52" s="191"/>
      <c r="M52" s="191"/>
      <c r="N52" s="191"/>
      <c r="O52" s="191"/>
      <c r="P52" s="191"/>
      <c r="Q52" s="191"/>
      <c r="R52" s="191"/>
      <c r="S52" s="191"/>
      <c r="T52" s="191"/>
      <c r="U52" s="191"/>
      <c r="V52" s="191"/>
      <c r="W52" s="191"/>
      <c r="X52" s="191"/>
      <c r="Y52" s="191"/>
      <c r="Z52" s="191"/>
      <c r="AA52" s="191"/>
      <c r="AB52" s="191"/>
      <c r="AC52" s="191"/>
      <c r="AD52" s="191"/>
      <c r="AE52" s="191"/>
      <c r="AF52" s="191"/>
      <c r="AG52" s="191"/>
      <c r="AH52" s="191"/>
      <c r="AI52" s="191"/>
      <c r="AJ52" s="191"/>
      <c r="AK52" s="191"/>
      <c r="AL52" s="191"/>
      <c r="AM52" s="191"/>
      <c r="AN52" s="192"/>
      <c r="AS52" s="169"/>
      <c r="AT52" s="169"/>
      <c r="AU52" s="169"/>
      <c r="AV52" s="169"/>
      <c r="AW52" s="169"/>
      <c r="AX52" s="169"/>
    </row>
    <row r="53" spans="2:50" s="168" customFormat="1" ht="36" customHeight="1">
      <c r="B53"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53" s="363"/>
      <c r="D53" s="363"/>
      <c r="E53" s="363"/>
      <c r="F53" s="363"/>
      <c r="G53" s="363"/>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R53" s="169"/>
      <c r="AS53" s="169"/>
      <c r="AT53" s="169"/>
      <c r="AU53" s="169"/>
      <c r="AV53" s="169"/>
      <c r="AW53" s="169"/>
    </row>
    <row r="54" spans="2:50" s="168" customFormat="1" ht="15">
      <c r="AR54" s="169"/>
      <c r="AS54" s="169"/>
      <c r="AT54" s="169"/>
      <c r="AU54" s="169"/>
      <c r="AV54" s="169"/>
      <c r="AW54" s="169"/>
    </row>
    <row r="55" spans="2:50" s="110" customFormat="1" ht="5.25" customHeight="1">
      <c r="AR55" s="33"/>
      <c r="AS55" s="33"/>
      <c r="AT55" s="33"/>
      <c r="AU55" s="33"/>
      <c r="AV55" s="33"/>
      <c r="AW55" s="33"/>
    </row>
    <row r="56" spans="2:50" s="110" customFormat="1">
      <c r="AR56" s="33"/>
      <c r="AS56" s="33"/>
      <c r="AT56" s="33"/>
      <c r="AU56" s="33"/>
      <c r="AV56" s="33"/>
      <c r="AW56" s="33"/>
    </row>
    <row r="57" spans="2:50" s="110" customFormat="1">
      <c r="AR57" s="33"/>
      <c r="AS57" s="33"/>
      <c r="AT57" s="33"/>
      <c r="AU57" s="33"/>
      <c r="AV57" s="33"/>
      <c r="AW57" s="33"/>
    </row>
    <row r="58" spans="2:50" s="110" customFormat="1">
      <c r="AR58" s="33"/>
      <c r="AS58" s="33"/>
      <c r="AT58" s="33"/>
      <c r="AU58" s="33"/>
      <c r="AV58" s="33"/>
      <c r="AW58" s="33"/>
    </row>
    <row r="59" spans="2:50" s="110" customFormat="1">
      <c r="AR59" s="33"/>
      <c r="AS59" s="33"/>
      <c r="AT59" s="33"/>
      <c r="AU59" s="33"/>
      <c r="AV59" s="33"/>
      <c r="AW59" s="33"/>
    </row>
    <row r="60" spans="2:50" s="110" customFormat="1">
      <c r="AR60" s="33"/>
      <c r="AS60" s="33"/>
      <c r="AT60" s="33"/>
      <c r="AU60" s="33"/>
      <c r="AV60" s="33"/>
      <c r="AW60" s="33"/>
    </row>
    <row r="61" spans="2:50" s="110" customFormat="1">
      <c r="AR61" s="33"/>
      <c r="AS61" s="33"/>
      <c r="AT61" s="33"/>
      <c r="AU61" s="33"/>
      <c r="AV61" s="33"/>
      <c r="AW61" s="33"/>
    </row>
    <row r="62" spans="2:50" s="110" customFormat="1">
      <c r="AR62" s="33"/>
      <c r="AS62" s="33"/>
      <c r="AT62" s="33"/>
      <c r="AU62" s="33"/>
      <c r="AV62" s="33"/>
      <c r="AW62" s="33"/>
    </row>
    <row r="63" spans="2:50" s="110" customFormat="1">
      <c r="AR63" s="33"/>
      <c r="AS63" s="33"/>
      <c r="AT63" s="33"/>
      <c r="AU63" s="33"/>
      <c r="AV63" s="33"/>
      <c r="AW63" s="33"/>
    </row>
    <row r="64" spans="2:50" s="110" customFormat="1">
      <c r="AR64" s="33"/>
      <c r="AS64" s="33"/>
      <c r="AT64" s="33"/>
      <c r="AU64" s="33"/>
      <c r="AV64" s="33"/>
      <c r="AW64" s="33"/>
    </row>
    <row r="65" spans="44:49" s="110" customFormat="1">
      <c r="AR65" s="33"/>
      <c r="AS65" s="33"/>
      <c r="AT65" s="33"/>
      <c r="AU65" s="33"/>
      <c r="AV65" s="33"/>
      <c r="AW65" s="33"/>
    </row>
    <row r="66" spans="44:49" s="110" customFormat="1">
      <c r="AR66" s="33"/>
      <c r="AS66" s="33"/>
      <c r="AT66" s="33"/>
      <c r="AU66" s="33"/>
      <c r="AV66" s="33"/>
      <c r="AW66" s="33"/>
    </row>
    <row r="67" spans="44:49" s="110" customFormat="1">
      <c r="AR67" s="33"/>
      <c r="AS67" s="33"/>
      <c r="AT67" s="33"/>
      <c r="AU67" s="33"/>
      <c r="AV67" s="33"/>
      <c r="AW67" s="33"/>
    </row>
    <row r="68" spans="44:49" s="110" customFormat="1">
      <c r="AR68" s="33"/>
      <c r="AS68" s="33"/>
      <c r="AT68" s="33"/>
      <c r="AU68" s="33"/>
      <c r="AV68" s="33"/>
      <c r="AW68" s="33"/>
    </row>
    <row r="69" spans="44:49" s="110" customFormat="1">
      <c r="AR69" s="33"/>
      <c r="AS69" s="33"/>
      <c r="AT69" s="33"/>
      <c r="AU69" s="33"/>
      <c r="AV69" s="33"/>
      <c r="AW69" s="33"/>
    </row>
    <row r="70" spans="44:49" s="110" customFormat="1">
      <c r="AR70" s="33"/>
      <c r="AS70" s="33"/>
      <c r="AT70" s="33"/>
      <c r="AU70" s="33"/>
      <c r="AV70" s="33"/>
      <c r="AW70" s="33"/>
    </row>
    <row r="71" spans="44:49" s="110" customFormat="1">
      <c r="AR71" s="33"/>
      <c r="AS71" s="33"/>
      <c r="AT71" s="33"/>
      <c r="AU71" s="33"/>
      <c r="AV71" s="33"/>
      <c r="AW71" s="33"/>
    </row>
    <row r="72" spans="44:49" s="110" customFormat="1">
      <c r="AR72" s="33"/>
      <c r="AS72" s="33"/>
      <c r="AT72" s="33"/>
      <c r="AU72" s="33"/>
      <c r="AV72" s="33"/>
      <c r="AW72" s="33"/>
    </row>
    <row r="73" spans="44:49" s="110" customFormat="1">
      <c r="AR73" s="33"/>
      <c r="AS73" s="33"/>
      <c r="AT73" s="33"/>
      <c r="AU73" s="33"/>
      <c r="AV73" s="33"/>
      <c r="AW73" s="33"/>
    </row>
    <row r="74" spans="44:49" s="110" customFormat="1">
      <c r="AR74" s="33"/>
      <c r="AS74" s="33"/>
      <c r="AT74" s="33"/>
      <c r="AU74" s="33"/>
      <c r="AV74" s="33"/>
      <c r="AW74" s="33"/>
    </row>
    <row r="75" spans="44:49" s="110" customFormat="1">
      <c r="AR75" s="33"/>
      <c r="AS75" s="33"/>
      <c r="AT75" s="33"/>
      <c r="AU75" s="33"/>
      <c r="AV75" s="33"/>
      <c r="AW75" s="33"/>
    </row>
  </sheetData>
  <mergeCells count="53">
    <mergeCell ref="H35:AF35"/>
    <mergeCell ref="AH35:AJ35"/>
    <mergeCell ref="B53:AN53"/>
    <mergeCell ref="B12:AN12"/>
    <mergeCell ref="AH13:AJ13"/>
    <mergeCell ref="AH14:AJ14"/>
    <mergeCell ref="B32:AN32"/>
    <mergeCell ref="AH33:AJ33"/>
    <mergeCell ref="H34:AF34"/>
    <mergeCell ref="AH34:AJ34"/>
    <mergeCell ref="AK8:AN8"/>
    <mergeCell ref="B8:C8"/>
    <mergeCell ref="D8:F8"/>
    <mergeCell ref="G8:J8"/>
    <mergeCell ref="K8:N8"/>
    <mergeCell ref="O8:P8"/>
    <mergeCell ref="Q8:S8"/>
    <mergeCell ref="T8:W8"/>
    <mergeCell ref="X8:AA8"/>
    <mergeCell ref="AB8:AC8"/>
    <mergeCell ref="AD8:AF8"/>
    <mergeCell ref="AG8:AJ8"/>
    <mergeCell ref="AK7:AN7"/>
    <mergeCell ref="B7:C7"/>
    <mergeCell ref="D7:F7"/>
    <mergeCell ref="G7:J7"/>
    <mergeCell ref="K7:N7"/>
    <mergeCell ref="O7:P7"/>
    <mergeCell ref="Q7:S7"/>
    <mergeCell ref="T7:W7"/>
    <mergeCell ref="X7:AA7"/>
    <mergeCell ref="AB7:AC7"/>
    <mergeCell ref="AD7:AF7"/>
    <mergeCell ref="AG7:AJ7"/>
    <mergeCell ref="AL6:AN6"/>
    <mergeCell ref="B4:G4"/>
    <mergeCell ref="I4:Y4"/>
    <mergeCell ref="AA4:AD4"/>
    <mergeCell ref="AE4:AN4"/>
    <mergeCell ref="B5:H5"/>
    <mergeCell ref="I5:AN5"/>
    <mergeCell ref="B6:I6"/>
    <mergeCell ref="J6:AC6"/>
    <mergeCell ref="AD6:AF6"/>
    <mergeCell ref="AG6:AI6"/>
    <mergeCell ref="AJ6:AK6"/>
    <mergeCell ref="B1:AN1"/>
    <mergeCell ref="B2:G2"/>
    <mergeCell ref="AA2:AD2"/>
    <mergeCell ref="AE2:AN2"/>
    <mergeCell ref="B3:G3"/>
    <mergeCell ref="AA3:AD3"/>
    <mergeCell ref="AE3:AN3"/>
  </mergeCells>
  <pageMargins left="0.7" right="0.7" top="0.75" bottom="0.75" header="0.3" footer="0.3"/>
  <pageSetup paperSize="9" scale="87"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sheetPr>
  <dimension ref="B1:AX73"/>
  <sheetViews>
    <sheetView view="pageLayout" topLeftCell="A25" zoomScaleNormal="100" workbookViewId="0">
      <selection activeCell="B51" sqref="B51:AN51"/>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43" width="9.140625" style="110"/>
    <col min="44" max="16384" width="9.140625" style="33"/>
  </cols>
  <sheetData>
    <row r="1" spans="2:44"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93"/>
      <c r="AP1" s="193"/>
      <c r="AQ1" s="193"/>
    </row>
    <row r="2" spans="2:44" s="174" customFormat="1" ht="15" customHeight="1">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c r="AP2" s="173"/>
      <c r="AQ2" s="173"/>
    </row>
    <row r="3" spans="2:44" s="174" customFormat="1" ht="15" customHeight="1">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c r="AP3" s="173"/>
      <c r="AQ3" s="173"/>
    </row>
    <row r="4" spans="2:44" s="174" customFormat="1" ht="26.25"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c r="AP4" s="173"/>
      <c r="AQ4" s="173"/>
    </row>
    <row r="5" spans="2:44" s="174" customFormat="1" ht="22.5" customHeight="1">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c r="AP5" s="173"/>
      <c r="AQ5" s="173"/>
    </row>
    <row r="6" spans="2:44" s="195"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71"/>
      <c r="AH6" s="371"/>
      <c r="AI6" s="371"/>
      <c r="AJ6" s="348" t="s">
        <v>15</v>
      </c>
      <c r="AK6" s="348"/>
      <c r="AL6" s="341" t="str">
        <f>num_pages</f>
        <v>#pages</v>
      </c>
      <c r="AM6" s="341"/>
      <c r="AN6" s="342"/>
      <c r="AO6" s="194"/>
      <c r="AP6" s="194"/>
      <c r="AQ6" s="194"/>
    </row>
    <row r="7" spans="2:44" s="152" customFormat="1" ht="15" customHeight="1">
      <c r="B7" s="216" t="s">
        <v>53</v>
      </c>
      <c r="C7" s="218"/>
      <c r="D7" s="216" t="s">
        <v>54</v>
      </c>
      <c r="E7" s="217"/>
      <c r="F7" s="217"/>
      <c r="G7" s="216" t="s">
        <v>56</v>
      </c>
      <c r="H7" s="217"/>
      <c r="I7" s="217"/>
      <c r="J7" s="218"/>
      <c r="K7" s="216" t="s">
        <v>57</v>
      </c>
      <c r="L7" s="217"/>
      <c r="M7" s="217"/>
      <c r="N7" s="372"/>
      <c r="O7" s="217" t="s">
        <v>53</v>
      </c>
      <c r="P7" s="218"/>
      <c r="Q7" s="216" t="s">
        <v>54</v>
      </c>
      <c r="R7" s="217"/>
      <c r="S7" s="217"/>
      <c r="T7" s="216" t="s">
        <v>56</v>
      </c>
      <c r="U7" s="217"/>
      <c r="V7" s="217"/>
      <c r="W7" s="218"/>
      <c r="X7" s="216" t="s">
        <v>57</v>
      </c>
      <c r="Y7" s="217"/>
      <c r="Z7" s="217"/>
      <c r="AA7" s="372"/>
      <c r="AB7" s="217" t="s">
        <v>53</v>
      </c>
      <c r="AC7" s="218"/>
      <c r="AD7" s="216" t="s">
        <v>54</v>
      </c>
      <c r="AE7" s="217"/>
      <c r="AF7" s="217"/>
      <c r="AG7" s="216" t="s">
        <v>56</v>
      </c>
      <c r="AH7" s="217"/>
      <c r="AI7" s="217"/>
      <c r="AJ7" s="218"/>
      <c r="AK7" s="216" t="s">
        <v>57</v>
      </c>
      <c r="AL7" s="217"/>
      <c r="AM7" s="217"/>
      <c r="AN7" s="218"/>
      <c r="AO7" s="193"/>
      <c r="AP7" s="193"/>
      <c r="AQ7" s="193"/>
    </row>
    <row r="8" spans="2:44" s="196"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4"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c r="AP9" s="173"/>
      <c r="AQ9" s="173"/>
      <c r="AR9" s="168"/>
    </row>
    <row r="10" spans="2:44" s="169" customFormat="1" ht="14.85" customHeight="1">
      <c r="B10" s="182"/>
      <c r="C10" s="365" t="str">
        <f>ToC!F14</f>
        <v>1.0</v>
      </c>
      <c r="D10" s="365"/>
      <c r="E10" s="183"/>
      <c r="F10" s="197" t="str">
        <f>ToC!H14</f>
        <v>Introduction</v>
      </c>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c r="AP10" s="173"/>
      <c r="AQ10" s="173"/>
      <c r="AR10" s="168"/>
    </row>
    <row r="11" spans="2:44" s="169" customFormat="1" ht="14.85" customHeight="1">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c r="AP11" s="173"/>
      <c r="AQ11" s="168"/>
      <c r="AR11" s="168"/>
    </row>
    <row r="12" spans="2:44" s="169" customFormat="1" ht="14.85" customHeight="1">
      <c r="B12" s="182"/>
      <c r="C12" s="373"/>
      <c r="D12" s="373"/>
      <c r="E12" s="373"/>
      <c r="F12" s="373"/>
      <c r="G12" s="373"/>
      <c r="H12" s="373"/>
      <c r="I12" s="373"/>
      <c r="J12" s="373"/>
      <c r="K12" s="373"/>
      <c r="L12" s="373"/>
      <c r="M12" s="373"/>
      <c r="N12" s="373"/>
      <c r="O12" s="373"/>
      <c r="P12" s="373"/>
      <c r="Q12" s="373"/>
      <c r="R12" s="373"/>
      <c r="S12" s="373"/>
      <c r="T12" s="373"/>
      <c r="U12" s="373"/>
      <c r="V12" s="373"/>
      <c r="W12" s="373"/>
      <c r="X12" s="373"/>
      <c r="Y12" s="373"/>
      <c r="Z12" s="373"/>
      <c r="AA12" s="373"/>
      <c r="AB12" s="373"/>
      <c r="AC12" s="373"/>
      <c r="AD12" s="373"/>
      <c r="AE12" s="373"/>
      <c r="AF12" s="373"/>
      <c r="AG12" s="373"/>
      <c r="AH12" s="373"/>
      <c r="AI12" s="373"/>
      <c r="AJ12" s="373"/>
      <c r="AK12" s="373"/>
      <c r="AL12" s="373"/>
      <c r="AM12" s="373"/>
      <c r="AN12" s="184"/>
      <c r="AO12" s="168"/>
      <c r="AP12" s="168"/>
      <c r="AQ12" s="168"/>
      <c r="AR12" s="168"/>
    </row>
    <row r="13" spans="2:44" s="169" customFormat="1" ht="14.85" customHeight="1">
      <c r="B13" s="182"/>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c r="AM13" s="373"/>
      <c r="AN13" s="184"/>
      <c r="AO13" s="168"/>
      <c r="AP13" s="168"/>
      <c r="AQ13" s="168"/>
      <c r="AR13" s="168"/>
    </row>
    <row r="14" spans="2:44" s="169" customFormat="1" ht="14.85" customHeight="1">
      <c r="B14" s="182"/>
      <c r="C14" s="373"/>
      <c r="D14" s="373"/>
      <c r="E14" s="373"/>
      <c r="F14" s="373"/>
      <c r="G14" s="373"/>
      <c r="H14" s="373"/>
      <c r="I14" s="373"/>
      <c r="J14" s="373"/>
      <c r="K14" s="373"/>
      <c r="L14" s="373"/>
      <c r="M14" s="373"/>
      <c r="N14" s="373"/>
      <c r="O14" s="373"/>
      <c r="P14" s="373"/>
      <c r="Q14" s="373"/>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184"/>
      <c r="AO14" s="168"/>
      <c r="AP14" s="168"/>
      <c r="AQ14" s="168"/>
      <c r="AR14" s="168"/>
    </row>
    <row r="15" spans="2:44" s="169" customFormat="1" ht="14.85" customHeight="1">
      <c r="B15" s="182"/>
      <c r="C15" s="373"/>
      <c r="D15" s="373"/>
      <c r="E15" s="373"/>
      <c r="F15" s="373"/>
      <c r="G15" s="373"/>
      <c r="H15" s="373"/>
      <c r="I15" s="373"/>
      <c r="J15" s="373"/>
      <c r="K15" s="373"/>
      <c r="L15" s="373"/>
      <c r="M15" s="373"/>
      <c r="N15" s="373"/>
      <c r="O15" s="373"/>
      <c r="P15" s="373"/>
      <c r="Q15" s="373"/>
      <c r="R15" s="373"/>
      <c r="S15" s="373"/>
      <c r="T15" s="373"/>
      <c r="U15" s="373"/>
      <c r="V15" s="373"/>
      <c r="W15" s="373"/>
      <c r="X15" s="373"/>
      <c r="Y15" s="373"/>
      <c r="Z15" s="373"/>
      <c r="AA15" s="373"/>
      <c r="AB15" s="373"/>
      <c r="AC15" s="373"/>
      <c r="AD15" s="373"/>
      <c r="AE15" s="373"/>
      <c r="AF15" s="373"/>
      <c r="AG15" s="373"/>
      <c r="AH15" s="373"/>
      <c r="AI15" s="373"/>
      <c r="AJ15" s="373"/>
      <c r="AK15" s="373"/>
      <c r="AL15" s="373"/>
      <c r="AM15" s="373"/>
      <c r="AN15" s="184"/>
      <c r="AO15" s="168"/>
      <c r="AP15" s="168"/>
      <c r="AQ15" s="168"/>
      <c r="AR15" s="168"/>
    </row>
    <row r="16" spans="2:44" s="169" customFormat="1" ht="14.85" customHeight="1">
      <c r="B16" s="182"/>
      <c r="C16" s="373"/>
      <c r="D16" s="373"/>
      <c r="E16" s="373"/>
      <c r="F16" s="373"/>
      <c r="G16" s="373"/>
      <c r="H16" s="373"/>
      <c r="I16" s="373"/>
      <c r="J16" s="373"/>
      <c r="K16" s="373"/>
      <c r="L16" s="373"/>
      <c r="M16" s="373"/>
      <c r="N16" s="373"/>
      <c r="O16" s="373"/>
      <c r="P16" s="373"/>
      <c r="Q16" s="373"/>
      <c r="R16" s="373"/>
      <c r="S16" s="373"/>
      <c r="T16" s="373"/>
      <c r="U16" s="373"/>
      <c r="V16" s="373"/>
      <c r="W16" s="373"/>
      <c r="X16" s="373"/>
      <c r="Y16" s="373"/>
      <c r="Z16" s="373"/>
      <c r="AA16" s="373"/>
      <c r="AB16" s="373"/>
      <c r="AC16" s="373"/>
      <c r="AD16" s="373"/>
      <c r="AE16" s="373"/>
      <c r="AF16" s="373"/>
      <c r="AG16" s="373"/>
      <c r="AH16" s="373"/>
      <c r="AI16" s="373"/>
      <c r="AJ16" s="373"/>
      <c r="AK16" s="373"/>
      <c r="AL16" s="373"/>
      <c r="AM16" s="373"/>
      <c r="AN16" s="184"/>
      <c r="AO16" s="168"/>
      <c r="AP16" s="168"/>
      <c r="AQ16" s="168"/>
      <c r="AR16" s="168"/>
    </row>
    <row r="17" spans="2:44" s="169" customFormat="1" ht="14.85" customHeight="1">
      <c r="B17" s="182"/>
      <c r="C17" s="373"/>
      <c r="D17" s="373"/>
      <c r="E17" s="373"/>
      <c r="F17" s="373"/>
      <c r="G17" s="373"/>
      <c r="H17" s="373"/>
      <c r="I17" s="373"/>
      <c r="J17" s="373"/>
      <c r="K17" s="373"/>
      <c r="L17" s="373"/>
      <c r="M17" s="373"/>
      <c r="N17" s="373"/>
      <c r="O17" s="373"/>
      <c r="P17" s="373"/>
      <c r="Q17" s="373"/>
      <c r="R17" s="373"/>
      <c r="S17" s="373"/>
      <c r="T17" s="373"/>
      <c r="U17" s="373"/>
      <c r="V17" s="373"/>
      <c r="W17" s="373"/>
      <c r="X17" s="373"/>
      <c r="Y17" s="373"/>
      <c r="Z17" s="373"/>
      <c r="AA17" s="373"/>
      <c r="AB17" s="373"/>
      <c r="AC17" s="373"/>
      <c r="AD17" s="373"/>
      <c r="AE17" s="373"/>
      <c r="AF17" s="373"/>
      <c r="AG17" s="373"/>
      <c r="AH17" s="373"/>
      <c r="AI17" s="373"/>
      <c r="AJ17" s="373"/>
      <c r="AK17" s="373"/>
      <c r="AL17" s="373"/>
      <c r="AM17" s="373"/>
      <c r="AN17" s="184"/>
      <c r="AO17" s="168"/>
      <c r="AP17" s="168"/>
      <c r="AQ17" s="168"/>
      <c r="AR17" s="168"/>
    </row>
    <row r="18" spans="2:44" s="169" customFormat="1" ht="14.85" customHeight="1">
      <c r="B18" s="182"/>
      <c r="C18" s="373"/>
      <c r="D18" s="373"/>
      <c r="E18" s="373"/>
      <c r="F18" s="373"/>
      <c r="G18" s="373"/>
      <c r="H18" s="373"/>
      <c r="I18" s="373"/>
      <c r="J18" s="373"/>
      <c r="K18" s="373"/>
      <c r="L18" s="373"/>
      <c r="M18" s="373"/>
      <c r="N18" s="373"/>
      <c r="O18" s="373"/>
      <c r="P18" s="373"/>
      <c r="Q18" s="373"/>
      <c r="R18" s="373"/>
      <c r="S18" s="373"/>
      <c r="T18" s="373"/>
      <c r="U18" s="373"/>
      <c r="V18" s="373"/>
      <c r="W18" s="373"/>
      <c r="X18" s="373"/>
      <c r="Y18" s="373"/>
      <c r="Z18" s="373"/>
      <c r="AA18" s="373"/>
      <c r="AB18" s="373"/>
      <c r="AC18" s="373"/>
      <c r="AD18" s="373"/>
      <c r="AE18" s="373"/>
      <c r="AF18" s="373"/>
      <c r="AG18" s="373"/>
      <c r="AH18" s="373"/>
      <c r="AI18" s="373"/>
      <c r="AJ18" s="373"/>
      <c r="AK18" s="373"/>
      <c r="AL18" s="373"/>
      <c r="AM18" s="373"/>
      <c r="AN18" s="184"/>
      <c r="AO18" s="168"/>
      <c r="AP18" s="168"/>
      <c r="AQ18" s="168"/>
      <c r="AR18" s="168"/>
    </row>
    <row r="19" spans="2:44" s="169" customFormat="1" ht="14.85" customHeight="1">
      <c r="B19" s="182"/>
      <c r="C19" s="373"/>
      <c r="D19" s="373"/>
      <c r="E19" s="373"/>
      <c r="F19" s="373"/>
      <c r="G19" s="373"/>
      <c r="H19" s="373"/>
      <c r="I19" s="373"/>
      <c r="J19" s="373"/>
      <c r="K19" s="373"/>
      <c r="L19" s="373"/>
      <c r="M19" s="373"/>
      <c r="N19" s="373"/>
      <c r="O19" s="373"/>
      <c r="P19" s="373"/>
      <c r="Q19" s="373"/>
      <c r="R19" s="373"/>
      <c r="S19" s="373"/>
      <c r="T19" s="373"/>
      <c r="U19" s="373"/>
      <c r="V19" s="373"/>
      <c r="W19" s="373"/>
      <c r="X19" s="373"/>
      <c r="Y19" s="373"/>
      <c r="Z19" s="373"/>
      <c r="AA19" s="373"/>
      <c r="AB19" s="373"/>
      <c r="AC19" s="373"/>
      <c r="AD19" s="373"/>
      <c r="AE19" s="373"/>
      <c r="AF19" s="373"/>
      <c r="AG19" s="373"/>
      <c r="AH19" s="373"/>
      <c r="AI19" s="373"/>
      <c r="AJ19" s="373"/>
      <c r="AK19" s="373"/>
      <c r="AL19" s="373"/>
      <c r="AM19" s="373"/>
      <c r="AN19" s="184"/>
      <c r="AO19" s="168"/>
      <c r="AP19" s="168"/>
      <c r="AQ19" s="168"/>
      <c r="AR19" s="168"/>
    </row>
    <row r="20" spans="2:44" s="169" customFormat="1" ht="14.85" customHeight="1">
      <c r="B20" s="182"/>
      <c r="C20" s="373"/>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3"/>
      <c r="AE20" s="373"/>
      <c r="AF20" s="373"/>
      <c r="AG20" s="373"/>
      <c r="AH20" s="373"/>
      <c r="AI20" s="373"/>
      <c r="AJ20" s="373"/>
      <c r="AK20" s="373"/>
      <c r="AL20" s="373"/>
      <c r="AM20" s="373"/>
      <c r="AN20" s="184"/>
      <c r="AO20" s="168"/>
      <c r="AP20" s="168"/>
      <c r="AQ20" s="168"/>
      <c r="AR20" s="168"/>
    </row>
    <row r="21" spans="2:44" s="169" customFormat="1" ht="14.85" customHeight="1">
      <c r="B21" s="182"/>
      <c r="C21" s="373"/>
      <c r="D21" s="373"/>
      <c r="E21" s="373"/>
      <c r="F21" s="373"/>
      <c r="G21" s="373"/>
      <c r="H21" s="373"/>
      <c r="I21" s="373"/>
      <c r="J21" s="373"/>
      <c r="K21" s="373"/>
      <c r="L21" s="373"/>
      <c r="M21" s="373"/>
      <c r="N21" s="373"/>
      <c r="O21" s="373"/>
      <c r="P21" s="373"/>
      <c r="Q21" s="373"/>
      <c r="R21" s="373"/>
      <c r="S21" s="373"/>
      <c r="T21" s="373"/>
      <c r="U21" s="373"/>
      <c r="V21" s="373"/>
      <c r="W21" s="373"/>
      <c r="X21" s="373"/>
      <c r="Y21" s="373"/>
      <c r="Z21" s="373"/>
      <c r="AA21" s="373"/>
      <c r="AB21" s="373"/>
      <c r="AC21" s="373"/>
      <c r="AD21" s="373"/>
      <c r="AE21" s="373"/>
      <c r="AF21" s="373"/>
      <c r="AG21" s="373"/>
      <c r="AH21" s="373"/>
      <c r="AI21" s="373"/>
      <c r="AJ21" s="373"/>
      <c r="AK21" s="373"/>
      <c r="AL21" s="373"/>
      <c r="AM21" s="373"/>
      <c r="AN21" s="184"/>
      <c r="AO21" s="168"/>
      <c r="AP21" s="168"/>
      <c r="AQ21" s="168"/>
      <c r="AR21" s="168"/>
    </row>
    <row r="22" spans="2:44" s="169" customFormat="1" ht="14.85" customHeight="1">
      <c r="B22" s="182"/>
      <c r="C22" s="373"/>
      <c r="D22" s="373"/>
      <c r="E22" s="373"/>
      <c r="F22" s="373"/>
      <c r="G22" s="373"/>
      <c r="H22" s="373"/>
      <c r="I22" s="373"/>
      <c r="J22" s="373"/>
      <c r="K22" s="373"/>
      <c r="L22" s="373"/>
      <c r="M22" s="373"/>
      <c r="N22" s="373"/>
      <c r="O22" s="373"/>
      <c r="P22" s="373"/>
      <c r="Q22" s="373"/>
      <c r="R22" s="373"/>
      <c r="S22" s="373"/>
      <c r="T22" s="373"/>
      <c r="U22" s="373"/>
      <c r="V22" s="373"/>
      <c r="W22" s="373"/>
      <c r="X22" s="373"/>
      <c r="Y22" s="373"/>
      <c r="Z22" s="373"/>
      <c r="AA22" s="373"/>
      <c r="AB22" s="373"/>
      <c r="AC22" s="373"/>
      <c r="AD22" s="373"/>
      <c r="AE22" s="373"/>
      <c r="AF22" s="373"/>
      <c r="AG22" s="373"/>
      <c r="AH22" s="373"/>
      <c r="AI22" s="373"/>
      <c r="AJ22" s="373"/>
      <c r="AK22" s="373"/>
      <c r="AL22" s="373"/>
      <c r="AM22" s="373"/>
      <c r="AN22" s="184"/>
      <c r="AO22" s="168"/>
      <c r="AP22" s="168"/>
      <c r="AQ22" s="168"/>
      <c r="AR22" s="168"/>
    </row>
    <row r="23" spans="2:44" s="169" customFormat="1" ht="14.85" customHeight="1">
      <c r="B23" s="182"/>
      <c r="C23" s="373"/>
      <c r="D23" s="373"/>
      <c r="E23" s="373"/>
      <c r="F23" s="373"/>
      <c r="G23" s="373"/>
      <c r="H23" s="373"/>
      <c r="I23" s="373"/>
      <c r="J23" s="373"/>
      <c r="K23" s="373"/>
      <c r="L23" s="373"/>
      <c r="M23" s="373"/>
      <c r="N23" s="373"/>
      <c r="O23" s="373"/>
      <c r="P23" s="373"/>
      <c r="Q23" s="373"/>
      <c r="R23" s="373"/>
      <c r="S23" s="373"/>
      <c r="T23" s="373"/>
      <c r="U23" s="373"/>
      <c r="V23" s="373"/>
      <c r="W23" s="373"/>
      <c r="X23" s="373"/>
      <c r="Y23" s="373"/>
      <c r="Z23" s="373"/>
      <c r="AA23" s="373"/>
      <c r="AB23" s="373"/>
      <c r="AC23" s="373"/>
      <c r="AD23" s="373"/>
      <c r="AE23" s="373"/>
      <c r="AF23" s="373"/>
      <c r="AG23" s="373"/>
      <c r="AH23" s="373"/>
      <c r="AI23" s="373"/>
      <c r="AJ23" s="373"/>
      <c r="AK23" s="373"/>
      <c r="AL23" s="373"/>
      <c r="AM23" s="373"/>
      <c r="AN23" s="184"/>
      <c r="AO23" s="168"/>
      <c r="AP23" s="168"/>
      <c r="AQ23" s="168"/>
      <c r="AR23" s="168"/>
    </row>
    <row r="24" spans="2:44" s="169" customFormat="1" ht="14.85" customHeight="1">
      <c r="B24" s="182"/>
      <c r="C24" s="373"/>
      <c r="D24" s="373"/>
      <c r="E24" s="373"/>
      <c r="F24" s="373"/>
      <c r="G24" s="373"/>
      <c r="H24" s="373"/>
      <c r="I24" s="373"/>
      <c r="J24" s="373"/>
      <c r="K24" s="373"/>
      <c r="L24" s="373"/>
      <c r="M24" s="373"/>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3"/>
      <c r="AK24" s="373"/>
      <c r="AL24" s="373"/>
      <c r="AM24" s="373"/>
      <c r="AN24" s="184"/>
      <c r="AO24" s="168"/>
      <c r="AP24" s="168"/>
      <c r="AQ24" s="168"/>
      <c r="AR24" s="168"/>
    </row>
    <row r="25" spans="2:44" s="169" customFormat="1" ht="14.85" customHeight="1">
      <c r="B25" s="182"/>
      <c r="C25" s="373"/>
      <c r="D25" s="373"/>
      <c r="E25" s="373"/>
      <c r="F25" s="373"/>
      <c r="G25" s="373"/>
      <c r="H25" s="373"/>
      <c r="I25" s="373"/>
      <c r="J25" s="373"/>
      <c r="K25" s="373"/>
      <c r="L25" s="373"/>
      <c r="M25" s="373"/>
      <c r="N25" s="373"/>
      <c r="O25" s="373"/>
      <c r="P25" s="373"/>
      <c r="Q25" s="373"/>
      <c r="R25" s="373"/>
      <c r="S25" s="373"/>
      <c r="T25" s="373"/>
      <c r="U25" s="373"/>
      <c r="V25" s="373"/>
      <c r="W25" s="373"/>
      <c r="X25" s="373"/>
      <c r="Y25" s="373"/>
      <c r="Z25" s="373"/>
      <c r="AA25" s="373"/>
      <c r="AB25" s="373"/>
      <c r="AC25" s="373"/>
      <c r="AD25" s="373"/>
      <c r="AE25" s="373"/>
      <c r="AF25" s="373"/>
      <c r="AG25" s="373"/>
      <c r="AH25" s="373"/>
      <c r="AI25" s="373"/>
      <c r="AJ25" s="373"/>
      <c r="AK25" s="373"/>
      <c r="AL25" s="373"/>
      <c r="AM25" s="373"/>
      <c r="AN25" s="184"/>
      <c r="AO25" s="168"/>
      <c r="AP25" s="168"/>
      <c r="AQ25" s="168"/>
      <c r="AR25" s="168"/>
    </row>
    <row r="26" spans="2:44" s="169" customFormat="1" ht="14.85" customHeight="1">
      <c r="B26" s="182"/>
      <c r="C26" s="373"/>
      <c r="D26" s="373"/>
      <c r="E26" s="373"/>
      <c r="F26" s="373"/>
      <c r="G26" s="373"/>
      <c r="H26" s="373"/>
      <c r="I26" s="373"/>
      <c r="J26" s="373"/>
      <c r="K26" s="373"/>
      <c r="L26" s="373"/>
      <c r="M26" s="373"/>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3"/>
      <c r="AK26" s="373"/>
      <c r="AL26" s="373"/>
      <c r="AM26" s="373"/>
      <c r="AN26" s="184"/>
      <c r="AO26" s="168"/>
      <c r="AP26" s="168"/>
      <c r="AQ26" s="168"/>
      <c r="AR26" s="168"/>
    </row>
    <row r="27" spans="2:44" s="169" customFormat="1" ht="14.85" customHeight="1">
      <c r="B27" s="182"/>
      <c r="C27" s="373"/>
      <c r="D27" s="373"/>
      <c r="E27" s="373"/>
      <c r="F27" s="373"/>
      <c r="G27" s="373"/>
      <c r="H27" s="373"/>
      <c r="I27" s="373"/>
      <c r="J27" s="373"/>
      <c r="K27" s="373"/>
      <c r="L27" s="373"/>
      <c r="M27" s="373"/>
      <c r="N27" s="373"/>
      <c r="O27" s="373"/>
      <c r="P27" s="373"/>
      <c r="Q27" s="373"/>
      <c r="R27" s="373"/>
      <c r="S27" s="373"/>
      <c r="T27" s="373"/>
      <c r="U27" s="373"/>
      <c r="V27" s="373"/>
      <c r="W27" s="373"/>
      <c r="X27" s="373"/>
      <c r="Y27" s="373"/>
      <c r="Z27" s="373"/>
      <c r="AA27" s="373"/>
      <c r="AB27" s="373"/>
      <c r="AC27" s="373"/>
      <c r="AD27" s="373"/>
      <c r="AE27" s="373"/>
      <c r="AF27" s="373"/>
      <c r="AG27" s="373"/>
      <c r="AH27" s="373"/>
      <c r="AI27" s="373"/>
      <c r="AJ27" s="373"/>
      <c r="AK27" s="373"/>
      <c r="AL27" s="373"/>
      <c r="AM27" s="373"/>
      <c r="AN27" s="184"/>
      <c r="AO27" s="168"/>
      <c r="AP27" s="168"/>
      <c r="AQ27" s="168"/>
      <c r="AR27" s="168"/>
    </row>
    <row r="28" spans="2:44" s="169" customFormat="1" ht="14.85" customHeight="1">
      <c r="B28" s="182"/>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184"/>
      <c r="AO28" s="168"/>
      <c r="AP28" s="168"/>
      <c r="AQ28" s="168"/>
      <c r="AR28" s="168"/>
    </row>
    <row r="29" spans="2:44" s="169" customFormat="1" ht="14.85" customHeight="1">
      <c r="B29" s="182"/>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184"/>
      <c r="AO29" s="168"/>
      <c r="AP29" s="168"/>
      <c r="AQ29" s="168"/>
      <c r="AR29" s="168"/>
    </row>
    <row r="30" spans="2:44" s="169" customFormat="1" ht="14.85" customHeight="1">
      <c r="B30" s="182"/>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184"/>
      <c r="AO30" s="168"/>
      <c r="AP30" s="168"/>
      <c r="AQ30" s="168"/>
      <c r="AR30" s="168"/>
    </row>
    <row r="31" spans="2:44" s="169" customFormat="1" ht="14.85" customHeight="1">
      <c r="B31" s="182"/>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184"/>
      <c r="AO31" s="168"/>
      <c r="AP31" s="168"/>
      <c r="AQ31" s="168"/>
      <c r="AR31" s="168"/>
    </row>
    <row r="32" spans="2:44" s="169" customFormat="1" ht="14.85" customHeight="1">
      <c r="B32" s="182"/>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184"/>
      <c r="AO32" s="168"/>
      <c r="AP32" s="168"/>
      <c r="AQ32" s="168"/>
      <c r="AR32" s="168"/>
    </row>
    <row r="33" spans="2:44" s="169" customFormat="1" ht="14.85" customHeight="1">
      <c r="B33" s="182"/>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184"/>
      <c r="AO33" s="168"/>
      <c r="AP33" s="168"/>
      <c r="AQ33" s="168"/>
      <c r="AR33" s="168"/>
    </row>
    <row r="34" spans="2:44" s="169" customFormat="1" ht="14.85" customHeight="1">
      <c r="B34" s="182"/>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184"/>
      <c r="AO34" s="168"/>
      <c r="AP34" s="168"/>
      <c r="AQ34" s="168"/>
      <c r="AR34" s="168"/>
    </row>
    <row r="35" spans="2:44" s="169" customFormat="1" ht="14.85" customHeight="1">
      <c r="B35" s="182"/>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184"/>
      <c r="AO35" s="168"/>
      <c r="AP35" s="168"/>
      <c r="AQ35" s="168"/>
      <c r="AR35" s="168"/>
    </row>
    <row r="36" spans="2:44" s="169" customFormat="1" ht="14.85" customHeight="1">
      <c r="B36" s="182"/>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184"/>
      <c r="AO36" s="168"/>
      <c r="AP36" s="168"/>
      <c r="AQ36" s="168"/>
      <c r="AR36" s="168"/>
    </row>
    <row r="37" spans="2:44" s="169" customFormat="1" ht="14.85" customHeight="1">
      <c r="B37" s="182"/>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184"/>
      <c r="AO37" s="168"/>
      <c r="AP37" s="168"/>
      <c r="AQ37" s="168"/>
      <c r="AR37" s="168"/>
    </row>
    <row r="38" spans="2:44" s="169" customFormat="1" ht="14.85" customHeight="1">
      <c r="B38" s="182"/>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184"/>
      <c r="AO38" s="168"/>
      <c r="AP38" s="168"/>
      <c r="AQ38" s="168"/>
      <c r="AR38" s="168"/>
    </row>
    <row r="39" spans="2:44" s="169" customFormat="1" ht="14.85" customHeight="1">
      <c r="B39" s="182"/>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184"/>
      <c r="AO39" s="168"/>
      <c r="AP39" s="168"/>
      <c r="AQ39" s="168"/>
      <c r="AR39" s="168"/>
    </row>
    <row r="40" spans="2:44" s="169" customFormat="1" ht="14.85" customHeight="1">
      <c r="B40" s="182"/>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184"/>
      <c r="AO40" s="168"/>
      <c r="AP40" s="168"/>
      <c r="AQ40" s="168"/>
      <c r="AR40" s="168"/>
    </row>
    <row r="41" spans="2:44" s="169" customFormat="1" ht="14.85" customHeight="1">
      <c r="B41" s="182"/>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184"/>
      <c r="AO41" s="168"/>
      <c r="AP41" s="168"/>
      <c r="AQ41" s="168"/>
      <c r="AR41" s="168"/>
    </row>
    <row r="42" spans="2:44" s="169" customFormat="1" ht="14.85" customHeight="1">
      <c r="B42" s="182"/>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184"/>
      <c r="AO42" s="168"/>
      <c r="AP42" s="168"/>
      <c r="AQ42" s="168"/>
      <c r="AR42" s="168"/>
    </row>
    <row r="43" spans="2:44" s="169" customFormat="1" ht="14.85" customHeight="1">
      <c r="B43" s="182"/>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184"/>
      <c r="AO43" s="168"/>
      <c r="AP43" s="168"/>
      <c r="AQ43" s="168"/>
      <c r="AR43" s="168"/>
    </row>
    <row r="44" spans="2:44" s="169" customFormat="1" ht="14.85" customHeight="1">
      <c r="B44" s="182"/>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184"/>
      <c r="AO44" s="168"/>
      <c r="AP44" s="168"/>
      <c r="AQ44" s="168"/>
      <c r="AR44" s="168"/>
    </row>
    <row r="45" spans="2:44" s="169" customFormat="1" ht="14.85" customHeight="1">
      <c r="B45" s="182"/>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184"/>
      <c r="AO45" s="168"/>
      <c r="AP45" s="168"/>
      <c r="AQ45" s="168"/>
      <c r="AR45" s="168"/>
    </row>
    <row r="46" spans="2:44" s="169" customFormat="1" ht="14.85" customHeight="1">
      <c r="B46" s="182"/>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184"/>
      <c r="AO46" s="168"/>
      <c r="AP46" s="168"/>
      <c r="AQ46" s="168"/>
      <c r="AR46" s="168"/>
    </row>
    <row r="47" spans="2:44" s="169" customFormat="1" ht="14.85" customHeight="1">
      <c r="B47" s="182"/>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184"/>
      <c r="AO47" s="168"/>
      <c r="AP47" s="168"/>
      <c r="AQ47" s="168"/>
      <c r="AR47" s="168"/>
    </row>
    <row r="48" spans="2:44" s="169" customFormat="1" ht="14.85" customHeight="1">
      <c r="B48" s="182"/>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184"/>
      <c r="AO48" s="168"/>
      <c r="AP48" s="168"/>
      <c r="AQ48" s="168"/>
      <c r="AR48" s="168"/>
    </row>
    <row r="49" spans="2:50" s="169" customFormat="1" ht="14.85" customHeight="1">
      <c r="B49" s="182"/>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4"/>
      <c r="AO49" s="168"/>
      <c r="AP49" s="168"/>
      <c r="AQ49" s="168"/>
      <c r="AR49" s="168"/>
    </row>
    <row r="50" spans="2:50" s="168" customFormat="1" ht="14.85" customHeight="1">
      <c r="B50" s="190"/>
      <c r="C50" s="191"/>
      <c r="D50" s="191"/>
      <c r="E50" s="191"/>
      <c r="F50" s="191"/>
      <c r="G50" s="191"/>
      <c r="H50" s="191"/>
      <c r="I50" s="191"/>
      <c r="J50" s="191"/>
      <c r="K50" s="191"/>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191"/>
      <c r="AN50" s="192"/>
      <c r="AS50" s="169"/>
      <c r="AT50" s="169"/>
      <c r="AU50" s="169"/>
      <c r="AV50" s="169"/>
      <c r="AW50" s="169"/>
      <c r="AX50" s="169"/>
    </row>
    <row r="51" spans="2:50" s="168" customFormat="1" ht="36" customHeight="1">
      <c r="B51"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51" s="363"/>
      <c r="D51" s="363"/>
      <c r="E51" s="363"/>
      <c r="F51" s="363"/>
      <c r="G51" s="363"/>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R51" s="169"/>
      <c r="AS51" s="169"/>
      <c r="AT51" s="169"/>
      <c r="AU51" s="169"/>
      <c r="AV51" s="169"/>
      <c r="AW51" s="169"/>
    </row>
    <row r="52" spans="2:50" s="168" customFormat="1" ht="15">
      <c r="AR52" s="169"/>
      <c r="AS52" s="169"/>
      <c r="AT52" s="169"/>
      <c r="AU52" s="169"/>
      <c r="AV52" s="169"/>
      <c r="AW52" s="169"/>
    </row>
    <row r="53" spans="2:50" s="110" customFormat="1">
      <c r="AR53" s="33"/>
      <c r="AS53" s="33"/>
      <c r="AT53" s="33"/>
      <c r="AU53" s="33"/>
      <c r="AV53" s="33"/>
      <c r="AW53" s="33"/>
    </row>
    <row r="54" spans="2:50" s="110" customFormat="1">
      <c r="AR54" s="33"/>
      <c r="AS54" s="33"/>
      <c r="AT54" s="33"/>
      <c r="AU54" s="33"/>
      <c r="AV54" s="33"/>
      <c r="AW54" s="33"/>
    </row>
    <row r="55" spans="2:50" s="110" customFormat="1">
      <c r="AR55" s="33"/>
      <c r="AS55" s="33"/>
      <c r="AT55" s="33"/>
      <c r="AU55" s="33"/>
      <c r="AV55" s="33"/>
      <c r="AW55" s="33"/>
    </row>
    <row r="56" spans="2:50" s="110" customFormat="1">
      <c r="AR56" s="33"/>
      <c r="AS56" s="33"/>
      <c r="AT56" s="33"/>
      <c r="AU56" s="33"/>
      <c r="AV56" s="33"/>
      <c r="AW56" s="33"/>
    </row>
    <row r="57" spans="2:50" s="110" customFormat="1">
      <c r="AR57" s="33"/>
      <c r="AS57" s="33"/>
      <c r="AT57" s="33"/>
      <c r="AU57" s="33"/>
      <c r="AV57" s="33"/>
      <c r="AW57" s="33"/>
    </row>
    <row r="58" spans="2:50" s="110" customFormat="1">
      <c r="AR58" s="33"/>
      <c r="AS58" s="33"/>
      <c r="AT58" s="33"/>
      <c r="AU58" s="33"/>
      <c r="AV58" s="33"/>
      <c r="AW58" s="33"/>
    </row>
    <row r="59" spans="2:50" s="110" customFormat="1">
      <c r="AR59" s="33"/>
      <c r="AS59" s="33"/>
      <c r="AT59" s="33"/>
      <c r="AU59" s="33"/>
      <c r="AV59" s="33"/>
      <c r="AW59" s="33"/>
    </row>
    <row r="60" spans="2:50" s="110" customFormat="1">
      <c r="AR60" s="33"/>
      <c r="AS60" s="33"/>
      <c r="AT60" s="33"/>
      <c r="AU60" s="33"/>
      <c r="AV60" s="33"/>
      <c r="AW60" s="33"/>
    </row>
    <row r="61" spans="2:50" s="110" customFormat="1">
      <c r="AR61" s="33"/>
      <c r="AS61" s="33"/>
      <c r="AT61" s="33"/>
      <c r="AU61" s="33"/>
      <c r="AV61" s="33"/>
      <c r="AW61" s="33"/>
    </row>
    <row r="62" spans="2:50" s="110" customFormat="1">
      <c r="AR62" s="33"/>
      <c r="AS62" s="33"/>
      <c r="AT62" s="33"/>
      <c r="AU62" s="33"/>
      <c r="AV62" s="33"/>
      <c r="AW62" s="33"/>
    </row>
    <row r="63" spans="2:50" s="110" customFormat="1">
      <c r="AR63" s="33"/>
      <c r="AS63" s="33"/>
      <c r="AT63" s="33"/>
      <c r="AU63" s="33"/>
      <c r="AV63" s="33"/>
      <c r="AW63" s="33"/>
    </row>
    <row r="64" spans="2:50" s="110" customFormat="1">
      <c r="AR64" s="33"/>
      <c r="AS64" s="33"/>
      <c r="AT64" s="33"/>
      <c r="AU64" s="33"/>
      <c r="AV64" s="33"/>
      <c r="AW64" s="33"/>
    </row>
    <row r="65" spans="44:49" s="110" customFormat="1">
      <c r="AR65" s="33"/>
      <c r="AS65" s="33"/>
      <c r="AT65" s="33"/>
      <c r="AU65" s="33"/>
      <c r="AV65" s="33"/>
      <c r="AW65" s="33"/>
    </row>
    <row r="66" spans="44:49" s="110" customFormat="1">
      <c r="AR66" s="33"/>
      <c r="AS66" s="33"/>
      <c r="AT66" s="33"/>
      <c r="AU66" s="33"/>
      <c r="AV66" s="33"/>
      <c r="AW66" s="33"/>
    </row>
    <row r="67" spans="44:49" s="110" customFormat="1">
      <c r="AR67" s="33"/>
      <c r="AS67" s="33"/>
      <c r="AT67" s="33"/>
      <c r="AU67" s="33"/>
      <c r="AV67" s="33"/>
      <c r="AW67" s="33"/>
    </row>
    <row r="68" spans="44:49" s="110" customFormat="1">
      <c r="AR68" s="33"/>
      <c r="AS68" s="33"/>
      <c r="AT68" s="33"/>
      <c r="AU68" s="33"/>
      <c r="AV68" s="33"/>
      <c r="AW68" s="33"/>
    </row>
    <row r="69" spans="44:49" s="110" customFormat="1">
      <c r="AR69" s="33"/>
      <c r="AS69" s="33"/>
      <c r="AT69" s="33"/>
      <c r="AU69" s="33"/>
      <c r="AV69" s="33"/>
      <c r="AW69" s="33"/>
    </row>
    <row r="70" spans="44:49" s="110" customFormat="1">
      <c r="AR70" s="33"/>
      <c r="AS70" s="33"/>
      <c r="AT70" s="33"/>
      <c r="AU70" s="33"/>
      <c r="AV70" s="33"/>
      <c r="AW70" s="33"/>
    </row>
    <row r="71" spans="44:49" s="110" customFormat="1">
      <c r="AR71" s="33"/>
      <c r="AS71" s="33"/>
      <c r="AT71" s="33"/>
      <c r="AU71" s="33"/>
      <c r="AV71" s="33"/>
      <c r="AW71" s="33"/>
    </row>
    <row r="72" spans="44:49" s="110" customFormat="1">
      <c r="AR72" s="33"/>
      <c r="AS72" s="33"/>
      <c r="AT72" s="33"/>
      <c r="AU72" s="33"/>
      <c r="AV72" s="33"/>
      <c r="AW72" s="33"/>
    </row>
    <row r="73" spans="44:49" s="110" customFormat="1">
      <c r="AR73" s="33"/>
      <c r="AS73" s="33"/>
      <c r="AT73" s="33"/>
      <c r="AU73" s="33"/>
      <c r="AV73" s="33"/>
      <c r="AW73" s="33"/>
    </row>
  </sheetData>
  <mergeCells count="48">
    <mergeCell ref="C10:D10"/>
    <mergeCell ref="C12:AM48"/>
    <mergeCell ref="B51:AN51"/>
    <mergeCell ref="T8:W8"/>
    <mergeCell ref="X8:AA8"/>
    <mergeCell ref="AB8:AC8"/>
    <mergeCell ref="AD8:AF8"/>
    <mergeCell ref="AG8:AJ8"/>
    <mergeCell ref="AK8:AN8"/>
    <mergeCell ref="B8:C8"/>
    <mergeCell ref="D8:F8"/>
    <mergeCell ref="G8:J8"/>
    <mergeCell ref="K8:N8"/>
    <mergeCell ref="O8:P8"/>
    <mergeCell ref="Q8:S8"/>
    <mergeCell ref="AK7:AN7"/>
    <mergeCell ref="B7:C7"/>
    <mergeCell ref="D7:F7"/>
    <mergeCell ref="G7:J7"/>
    <mergeCell ref="K7:N7"/>
    <mergeCell ref="O7:P7"/>
    <mergeCell ref="Q7:S7"/>
    <mergeCell ref="T7:W7"/>
    <mergeCell ref="X7:AA7"/>
    <mergeCell ref="AB7:AC7"/>
    <mergeCell ref="AD7:AF7"/>
    <mergeCell ref="AG7:AJ7"/>
    <mergeCell ref="AL6:AN6"/>
    <mergeCell ref="B4:G4"/>
    <mergeCell ref="I4:Z4"/>
    <mergeCell ref="AA4:AD4"/>
    <mergeCell ref="AE4:AN4"/>
    <mergeCell ref="B5:H5"/>
    <mergeCell ref="I5:AN5"/>
    <mergeCell ref="B6:I6"/>
    <mergeCell ref="J6:AC6"/>
    <mergeCell ref="AD6:AF6"/>
    <mergeCell ref="AG6:AI6"/>
    <mergeCell ref="AJ6:AK6"/>
    <mergeCell ref="B3:G3"/>
    <mergeCell ref="I3:Z3"/>
    <mergeCell ref="AA3:AD3"/>
    <mergeCell ref="AE3:AN3"/>
    <mergeCell ref="B1:AN1"/>
    <mergeCell ref="B2:G2"/>
    <mergeCell ref="I2:Z2"/>
    <mergeCell ref="AA2:AD2"/>
    <mergeCell ref="AE2:AN2"/>
  </mergeCells>
  <pageMargins left="0.7" right="0.7" top="0.75" bottom="0.75" header="0.3" footer="0.3"/>
  <pageSetup paperSize="9" scale="88"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tabColor theme="3" tint="0.39997558519241921"/>
  </sheetPr>
  <dimension ref="B1:BV86"/>
  <sheetViews>
    <sheetView view="pageLayout" topLeftCell="B19" zoomScaleNormal="100" zoomScaleSheetLayoutView="100" workbookViewId="0">
      <selection activeCell="B41" sqref="B41:BH41"/>
    </sheetView>
  </sheetViews>
  <sheetFormatPr defaultColWidth="9.140625" defaultRowHeight="12.75"/>
  <cols>
    <col min="1" max="1" width="0.7109375" customWidth="1"/>
    <col min="2" max="60" width="2.5703125" customWidth="1"/>
    <col min="61" max="61" width="22.140625" customWidth="1"/>
  </cols>
  <sheetData>
    <row r="1" spans="2:74"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c r="BE1" s="217"/>
      <c r="BF1" s="217"/>
      <c r="BG1" s="217"/>
      <c r="BH1" s="218"/>
    </row>
    <row r="2" spans="2:74" s="195" customFormat="1" ht="15" customHeight="1">
      <c r="B2" s="331" t="s">
        <v>1</v>
      </c>
      <c r="C2" s="374"/>
      <c r="D2" s="374"/>
      <c r="E2" s="374"/>
      <c r="F2" s="374"/>
      <c r="G2" s="374"/>
      <c r="H2" s="175"/>
      <c r="I2" s="198"/>
      <c r="J2" s="198"/>
      <c r="K2" s="369" t="str">
        <f>customer</f>
        <v>customer name</v>
      </c>
      <c r="L2" s="369"/>
      <c r="M2" s="369"/>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c r="AQ2" s="369"/>
      <c r="AR2" s="369"/>
      <c r="AS2" s="369"/>
      <c r="AT2" s="369"/>
      <c r="AU2" s="370" t="s">
        <v>3</v>
      </c>
      <c r="AV2" s="370"/>
      <c r="AW2" s="370"/>
      <c r="AX2" s="370"/>
      <c r="AY2" s="334" t="str">
        <f>Proj_no</f>
        <v>proj no</v>
      </c>
      <c r="AZ2" s="334"/>
      <c r="BA2" s="334"/>
      <c r="BB2" s="334"/>
      <c r="BC2" s="334"/>
      <c r="BD2" s="334"/>
      <c r="BE2" s="334"/>
      <c r="BF2" s="334"/>
      <c r="BG2" s="334"/>
      <c r="BH2" s="335"/>
      <c r="BI2" s="199"/>
    </row>
    <row r="3" spans="2:74" s="195" customFormat="1" ht="15" customHeight="1">
      <c r="B3" s="336" t="s">
        <v>5</v>
      </c>
      <c r="C3" s="228"/>
      <c r="D3" s="228"/>
      <c r="E3" s="228"/>
      <c r="F3" s="228"/>
      <c r="G3" s="228"/>
      <c r="H3" s="175"/>
      <c r="I3" s="198"/>
      <c r="J3" s="198"/>
      <c r="K3" s="368" t="str">
        <f>proj_title</f>
        <v>proj title</v>
      </c>
      <c r="L3" s="368"/>
      <c r="M3" s="368"/>
      <c r="N3" s="368"/>
      <c r="O3" s="368"/>
      <c r="P3" s="368"/>
      <c r="Q3" s="368"/>
      <c r="R3" s="368"/>
      <c r="S3" s="368"/>
      <c r="T3" s="368"/>
      <c r="U3" s="368"/>
      <c r="V3" s="368"/>
      <c r="W3" s="368"/>
      <c r="X3" s="368"/>
      <c r="Y3" s="368"/>
      <c r="Z3" s="368"/>
      <c r="AA3" s="368"/>
      <c r="AB3" s="368"/>
      <c r="AC3" s="368"/>
      <c r="AD3" s="368"/>
      <c r="AE3" s="368"/>
      <c r="AF3" s="368"/>
      <c r="AG3" s="368"/>
      <c r="AH3" s="368"/>
      <c r="AI3" s="368"/>
      <c r="AJ3" s="368"/>
      <c r="AK3" s="368"/>
      <c r="AL3" s="368"/>
      <c r="AM3" s="368"/>
      <c r="AN3" s="368"/>
      <c r="AO3" s="368"/>
      <c r="AP3" s="368"/>
      <c r="AQ3" s="368"/>
      <c r="AR3" s="368"/>
      <c r="AS3" s="368"/>
      <c r="AT3" s="368"/>
      <c r="AU3" s="338" t="s">
        <v>7</v>
      </c>
      <c r="AV3" s="338"/>
      <c r="AW3" s="338"/>
      <c r="AX3" s="338"/>
      <c r="AY3" s="339" t="str">
        <f>Calc_no</f>
        <v>650100-PR-CAL-0004</v>
      </c>
      <c r="AZ3" s="339"/>
      <c r="BA3" s="339"/>
      <c r="BB3" s="339"/>
      <c r="BC3" s="339"/>
      <c r="BD3" s="339"/>
      <c r="BE3" s="339"/>
      <c r="BF3" s="339"/>
      <c r="BG3" s="339"/>
      <c r="BH3" s="340"/>
      <c r="BI3" s="199"/>
    </row>
    <row r="4" spans="2:74" s="195" customFormat="1" ht="15" customHeight="1">
      <c r="B4" s="343" t="s">
        <v>9</v>
      </c>
      <c r="C4" s="228"/>
      <c r="D4" s="228"/>
      <c r="E4" s="228"/>
      <c r="F4" s="228"/>
      <c r="G4" s="228"/>
      <c r="H4" s="175"/>
      <c r="I4" s="200"/>
      <c r="J4" s="200"/>
      <c r="K4" s="375" t="str">
        <f>calc_title</f>
        <v>Vibration Assessment-Flow Induced Turbulence Template</v>
      </c>
      <c r="L4" s="375"/>
      <c r="M4" s="375"/>
      <c r="N4" s="375"/>
      <c r="O4" s="375"/>
      <c r="P4" s="375"/>
      <c r="Q4" s="375"/>
      <c r="R4" s="375"/>
      <c r="S4" s="375"/>
      <c r="T4" s="375"/>
      <c r="U4" s="375"/>
      <c r="V4" s="375"/>
      <c r="W4" s="375"/>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38" t="s">
        <v>11</v>
      </c>
      <c r="AV4" s="338"/>
      <c r="AW4" s="338"/>
      <c r="AX4" s="338"/>
      <c r="AY4" s="339" t="str">
        <f>Phase_CTR</f>
        <v>phase</v>
      </c>
      <c r="AZ4" s="339"/>
      <c r="BA4" s="339"/>
      <c r="BB4" s="339"/>
      <c r="BC4" s="339"/>
      <c r="BD4" s="339"/>
      <c r="BE4" s="339"/>
      <c r="BF4" s="339"/>
      <c r="BG4" s="339"/>
      <c r="BH4" s="340"/>
      <c r="BI4" s="199"/>
    </row>
    <row r="5" spans="2:74" s="195" customFormat="1" ht="22.5" customHeight="1">
      <c r="B5" s="343" t="s">
        <v>13</v>
      </c>
      <c r="C5" s="338"/>
      <c r="D5" s="338"/>
      <c r="E5" s="338"/>
      <c r="F5" s="338"/>
      <c r="G5" s="338"/>
      <c r="H5" s="338"/>
      <c r="I5" s="200"/>
      <c r="J5" s="200"/>
      <c r="K5" s="375" t="str">
        <f ca="1">elec_file</f>
        <v>https://pdomobility-my.sharepoint.com/personal/lakshmanan_lk_krishnamurthy_pdo_co_om/Documents/Lakshman/atmct2/KS-PR-CAL-0086 Vibration Assessment - Flow Induced Turbulence Calculation.xlsm</v>
      </c>
      <c r="L5" s="376"/>
      <c r="M5" s="376"/>
      <c r="N5" s="376"/>
      <c r="O5" s="376"/>
      <c r="P5" s="376"/>
      <c r="Q5" s="376"/>
      <c r="R5" s="376"/>
      <c r="S5" s="376"/>
      <c r="T5" s="376"/>
      <c r="U5" s="376"/>
      <c r="V5" s="376"/>
      <c r="W5" s="376"/>
      <c r="X5" s="376"/>
      <c r="Y5" s="376"/>
      <c r="Z5" s="376"/>
      <c r="AA5" s="376"/>
      <c r="AB5" s="376"/>
      <c r="AC5" s="376"/>
      <c r="AD5" s="376"/>
      <c r="AE5" s="376"/>
      <c r="AF5" s="376"/>
      <c r="AG5" s="376"/>
      <c r="AH5" s="376"/>
      <c r="AI5" s="376"/>
      <c r="AJ5" s="376"/>
      <c r="AK5" s="376"/>
      <c r="AL5" s="376"/>
      <c r="AM5" s="376"/>
      <c r="AN5" s="376"/>
      <c r="AO5" s="376"/>
      <c r="AP5" s="376"/>
      <c r="AQ5" s="376"/>
      <c r="AR5" s="376"/>
      <c r="AS5" s="376"/>
      <c r="AT5" s="376"/>
      <c r="AU5" s="376"/>
      <c r="AV5" s="376"/>
      <c r="AW5" s="376"/>
      <c r="AX5" s="376"/>
      <c r="AY5" s="376"/>
      <c r="AZ5" s="376"/>
      <c r="BA5" s="376"/>
      <c r="BB5" s="376"/>
      <c r="BC5" s="376"/>
      <c r="BD5" s="376"/>
      <c r="BE5" s="376"/>
      <c r="BF5" s="376"/>
      <c r="BG5" s="376"/>
      <c r="BH5" s="377"/>
    </row>
    <row r="6" spans="2:74" s="195" customFormat="1" ht="15" customHeight="1">
      <c r="B6" s="346"/>
      <c r="C6" s="378"/>
      <c r="D6" s="378"/>
      <c r="E6" s="378"/>
      <c r="F6" s="378"/>
      <c r="G6" s="378"/>
      <c r="H6" s="378"/>
      <c r="I6" s="378"/>
      <c r="J6" s="378"/>
      <c r="K6" s="379"/>
      <c r="L6" s="380"/>
      <c r="M6" s="380"/>
      <c r="N6" s="380"/>
      <c r="O6" s="380"/>
      <c r="P6" s="380"/>
      <c r="Q6" s="380"/>
      <c r="R6" s="380"/>
      <c r="S6" s="380"/>
      <c r="T6" s="380"/>
      <c r="U6" s="380"/>
      <c r="V6" s="380"/>
      <c r="W6" s="380"/>
      <c r="X6" s="380"/>
      <c r="Y6" s="380"/>
      <c r="Z6" s="380"/>
      <c r="AA6" s="380"/>
      <c r="AB6" s="380"/>
      <c r="AC6" s="380"/>
      <c r="AD6" s="380"/>
      <c r="AE6" s="380"/>
      <c r="AF6" s="380"/>
      <c r="AG6" s="380"/>
      <c r="AH6" s="380"/>
      <c r="AI6" s="380"/>
      <c r="AJ6" s="380"/>
      <c r="AK6" s="380"/>
      <c r="AL6" s="380"/>
      <c r="AM6" s="380"/>
      <c r="AN6" s="380"/>
      <c r="AO6" s="380"/>
      <c r="AP6" s="380"/>
      <c r="AQ6" s="380"/>
      <c r="AR6" s="380"/>
      <c r="AS6" s="380"/>
      <c r="AT6" s="380"/>
      <c r="AU6" s="380"/>
      <c r="AV6" s="380"/>
      <c r="AW6" s="380"/>
      <c r="AX6" s="381" t="s">
        <v>14</v>
      </c>
      <c r="AY6" s="381"/>
      <c r="AZ6" s="381"/>
      <c r="BA6" s="382"/>
      <c r="BB6" s="382"/>
      <c r="BC6" s="382"/>
      <c r="BD6" s="381" t="s">
        <v>15</v>
      </c>
      <c r="BE6" s="381"/>
      <c r="BF6" s="339" t="str">
        <f>num_pages</f>
        <v>#pages</v>
      </c>
      <c r="BG6" s="339"/>
      <c r="BH6" s="342"/>
    </row>
    <row r="7" spans="2:74" s="152" customFormat="1" ht="15" customHeight="1">
      <c r="B7" s="216" t="s">
        <v>53</v>
      </c>
      <c r="C7" s="217"/>
      <c r="D7" s="217"/>
      <c r="E7" s="217"/>
      <c r="F7" s="218"/>
      <c r="G7" s="216" t="s">
        <v>54</v>
      </c>
      <c r="H7" s="217"/>
      <c r="I7" s="217"/>
      <c r="J7" s="217"/>
      <c r="K7" s="218"/>
      <c r="L7" s="383" t="s">
        <v>56</v>
      </c>
      <c r="M7" s="383"/>
      <c r="N7" s="383"/>
      <c r="O7" s="383"/>
      <c r="P7" s="383"/>
      <c r="Q7" s="384" t="s">
        <v>57</v>
      </c>
      <c r="R7" s="385"/>
      <c r="S7" s="385"/>
      <c r="T7" s="385"/>
      <c r="U7" s="385"/>
      <c r="V7" s="386" t="s">
        <v>53</v>
      </c>
      <c r="W7" s="217"/>
      <c r="X7" s="217"/>
      <c r="Y7" s="217"/>
      <c r="Z7" s="218"/>
      <c r="AA7" s="383" t="s">
        <v>54</v>
      </c>
      <c r="AB7" s="383"/>
      <c r="AC7" s="383"/>
      <c r="AD7" s="383"/>
      <c r="AE7" s="383" t="s">
        <v>56</v>
      </c>
      <c r="AF7" s="383"/>
      <c r="AG7" s="383"/>
      <c r="AH7" s="383"/>
      <c r="AI7" s="383"/>
      <c r="AJ7" s="384" t="s">
        <v>57</v>
      </c>
      <c r="AK7" s="385"/>
      <c r="AL7" s="385"/>
      <c r="AM7" s="385"/>
      <c r="AN7" s="385"/>
      <c r="AO7" s="386" t="s">
        <v>53</v>
      </c>
      <c r="AP7" s="217"/>
      <c r="AQ7" s="217"/>
      <c r="AR7" s="217"/>
      <c r="AS7" s="218"/>
      <c r="AT7" s="216" t="s">
        <v>54</v>
      </c>
      <c r="AU7" s="217"/>
      <c r="AV7" s="217"/>
      <c r="AW7" s="217"/>
      <c r="AX7" s="218"/>
      <c r="AY7" s="216" t="s">
        <v>56</v>
      </c>
      <c r="AZ7" s="217"/>
      <c r="BA7" s="217"/>
      <c r="BB7" s="217"/>
      <c r="BC7" s="218"/>
      <c r="BD7" s="216" t="s">
        <v>57</v>
      </c>
      <c r="BE7" s="217"/>
      <c r="BF7" s="217"/>
      <c r="BG7" s="217"/>
      <c r="BH7" s="218"/>
    </row>
    <row r="8" spans="2:74" s="157" customFormat="1" ht="15" customHeight="1">
      <c r="B8" s="358" t="str">
        <f>_rev1</f>
        <v>rev1</v>
      </c>
      <c r="C8" s="359"/>
      <c r="D8" s="359"/>
      <c r="E8" s="359"/>
      <c r="F8" s="360"/>
      <c r="G8" s="356" t="str">
        <f>date1</f>
        <v>date1</v>
      </c>
      <c r="H8" s="357"/>
      <c r="I8" s="357"/>
      <c r="J8" s="357"/>
      <c r="K8" s="391"/>
      <c r="L8" s="387" t="str">
        <f>orig1</f>
        <v>by1</v>
      </c>
      <c r="M8" s="387"/>
      <c r="N8" s="387"/>
      <c r="O8" s="387"/>
      <c r="P8" s="387"/>
      <c r="Q8" s="388" t="str">
        <f>_chk1</f>
        <v>chkd1</v>
      </c>
      <c r="R8" s="389"/>
      <c r="S8" s="389"/>
      <c r="T8" s="389"/>
      <c r="U8" s="389"/>
      <c r="V8" s="390" t="str">
        <f>_rev2</f>
        <v>rev2</v>
      </c>
      <c r="W8" s="354"/>
      <c r="X8" s="354"/>
      <c r="Y8" s="354"/>
      <c r="Z8" s="355"/>
      <c r="AA8" s="392" t="str">
        <f>date2</f>
        <v>date2</v>
      </c>
      <c r="AB8" s="392"/>
      <c r="AC8" s="392"/>
      <c r="AD8" s="392"/>
      <c r="AE8" s="387" t="str">
        <f>orig2</f>
        <v>by2</v>
      </c>
      <c r="AF8" s="387"/>
      <c r="AG8" s="387"/>
      <c r="AH8" s="387"/>
      <c r="AI8" s="387"/>
      <c r="AJ8" s="388" t="str">
        <f>_chk2</f>
        <v>chkd2</v>
      </c>
      <c r="AK8" s="389"/>
      <c r="AL8" s="389"/>
      <c r="AM8" s="389"/>
      <c r="AN8" s="389"/>
      <c r="AO8" s="390" t="str">
        <f>_rev3</f>
        <v>rev3</v>
      </c>
      <c r="AP8" s="354"/>
      <c r="AQ8" s="354"/>
      <c r="AR8" s="354"/>
      <c r="AS8" s="355"/>
      <c r="AT8" s="356" t="str">
        <f>date3</f>
        <v>date3</v>
      </c>
      <c r="AU8" s="357"/>
      <c r="AV8" s="357"/>
      <c r="AW8" s="357"/>
      <c r="AX8" s="391"/>
      <c r="AY8" s="353" t="str">
        <f>orig3</f>
        <v>by3</v>
      </c>
      <c r="AZ8" s="354"/>
      <c r="BA8" s="354"/>
      <c r="BB8" s="354"/>
      <c r="BC8" s="355"/>
      <c r="BD8" s="358" t="str">
        <f>_chk3</f>
        <v>chkd3</v>
      </c>
      <c r="BE8" s="359"/>
      <c r="BF8" s="359"/>
      <c r="BG8" s="359"/>
      <c r="BH8" s="360"/>
    </row>
    <row r="9" spans="2:74" s="152" customFormat="1" ht="14.65" customHeight="1">
      <c r="B9" s="179"/>
      <c r="C9" s="201"/>
      <c r="D9" s="201"/>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201"/>
      <c r="AK9" s="201"/>
      <c r="AL9" s="201"/>
      <c r="AM9" s="201"/>
      <c r="AN9" s="201"/>
      <c r="AO9" s="201"/>
      <c r="AP9" s="201"/>
      <c r="AQ9" s="201"/>
      <c r="AR9" s="201"/>
      <c r="AS9" s="201"/>
      <c r="AT9" s="201"/>
      <c r="AU9" s="201"/>
      <c r="AV9" s="201"/>
      <c r="AW9" s="201"/>
      <c r="AX9" s="201"/>
      <c r="AY9" s="201"/>
      <c r="AZ9" s="201"/>
      <c r="BA9" s="201"/>
      <c r="BB9" s="201"/>
      <c r="BC9" s="201"/>
      <c r="BD9" s="201"/>
      <c r="BE9" s="201"/>
      <c r="BF9" s="201"/>
      <c r="BG9" s="201"/>
      <c r="BH9" s="181"/>
      <c r="BI9" s="193"/>
      <c r="BJ9" s="193"/>
      <c r="BK9" s="193"/>
      <c r="BL9" s="193"/>
      <c r="BM9" s="193"/>
      <c r="BN9" s="193"/>
      <c r="BO9" s="193"/>
      <c r="BP9" s="193"/>
      <c r="BQ9" s="193"/>
      <c r="BR9" s="193"/>
      <c r="BS9" s="193"/>
      <c r="BT9" s="193"/>
      <c r="BU9" s="193"/>
      <c r="BV9" s="193"/>
    </row>
    <row r="10" spans="2:74" s="152" customFormat="1" ht="22.5" customHeight="1">
      <c r="B10" s="182"/>
      <c r="C10" s="365" t="str">
        <f>ToC!F15</f>
        <v>2.0</v>
      </c>
      <c r="D10" s="365"/>
      <c r="E10" s="197"/>
      <c r="F10" s="197" t="str">
        <f>ToC!H15</f>
        <v>Sketch</v>
      </c>
      <c r="G10" s="183"/>
      <c r="H10" s="202"/>
      <c r="I10" s="202"/>
      <c r="J10" s="202"/>
      <c r="K10" s="202"/>
      <c r="L10" s="202"/>
      <c r="M10" s="135"/>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3"/>
      <c r="BI10" s="193"/>
      <c r="BJ10" s="193"/>
      <c r="BK10" s="193"/>
      <c r="BL10" s="193"/>
      <c r="BM10" s="193"/>
      <c r="BN10" s="193"/>
      <c r="BO10" s="193"/>
      <c r="BP10" s="193"/>
      <c r="BQ10" s="193"/>
      <c r="BR10" s="193"/>
      <c r="BS10" s="193"/>
      <c r="BT10" s="193"/>
      <c r="BU10" s="193"/>
      <c r="BV10" s="193"/>
    </row>
    <row r="11" spans="2:74" s="152" customFormat="1" ht="14.65" customHeight="1">
      <c r="B11" s="182"/>
      <c r="C11" s="183"/>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3"/>
      <c r="BI11" s="193"/>
      <c r="BJ11" s="193"/>
      <c r="BK11" s="193"/>
      <c r="BL11" s="193"/>
      <c r="BM11" s="193"/>
      <c r="BN11" s="193"/>
      <c r="BO11" s="193"/>
      <c r="BP11" s="193"/>
      <c r="BQ11" s="193"/>
      <c r="BR11" s="193"/>
      <c r="BS11" s="193"/>
      <c r="BT11" s="193"/>
      <c r="BU11" s="193"/>
      <c r="BV11" s="193"/>
    </row>
    <row r="12" spans="2:74" s="152" customFormat="1" ht="14.65" customHeight="1">
      <c r="B12" s="182"/>
      <c r="C12" s="373"/>
      <c r="D12" s="373"/>
      <c r="E12" s="373"/>
      <c r="F12" s="373"/>
      <c r="G12" s="373"/>
      <c r="H12" s="373"/>
      <c r="I12" s="373"/>
      <c r="J12" s="373"/>
      <c r="K12" s="373"/>
      <c r="L12" s="373"/>
      <c r="M12" s="373"/>
      <c r="N12" s="373"/>
      <c r="O12" s="373"/>
      <c r="P12" s="373"/>
      <c r="Q12" s="373"/>
      <c r="R12" s="373"/>
      <c r="S12" s="373"/>
      <c r="T12" s="373"/>
      <c r="U12" s="373"/>
      <c r="V12" s="373"/>
      <c r="W12" s="373"/>
      <c r="X12" s="373"/>
      <c r="Y12" s="373"/>
      <c r="Z12" s="373"/>
      <c r="AA12" s="373"/>
      <c r="AB12" s="373"/>
      <c r="AC12" s="373"/>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c r="AZ12" s="373"/>
      <c r="BA12" s="373"/>
      <c r="BB12" s="373"/>
      <c r="BC12" s="373"/>
      <c r="BD12" s="373"/>
      <c r="BE12" s="373"/>
      <c r="BF12" s="373"/>
      <c r="BG12" s="373"/>
      <c r="BH12" s="184"/>
      <c r="BI12" s="193"/>
      <c r="BJ12" s="193"/>
      <c r="BK12" s="193"/>
      <c r="BL12" s="193"/>
      <c r="BM12" s="193"/>
      <c r="BN12" s="193"/>
      <c r="BO12" s="193"/>
      <c r="BP12" s="193"/>
      <c r="BQ12" s="193"/>
      <c r="BR12" s="193"/>
      <c r="BS12" s="193"/>
      <c r="BT12" s="193"/>
      <c r="BU12" s="193"/>
      <c r="BV12" s="193"/>
    </row>
    <row r="13" spans="2:74" s="152" customFormat="1" ht="14.65" customHeight="1">
      <c r="B13" s="182"/>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c r="AZ13" s="373"/>
      <c r="BA13" s="373"/>
      <c r="BB13" s="373"/>
      <c r="BC13" s="373"/>
      <c r="BD13" s="373"/>
      <c r="BE13" s="373"/>
      <c r="BF13" s="373"/>
      <c r="BG13" s="373"/>
      <c r="BH13" s="184"/>
      <c r="BI13" s="193"/>
      <c r="BJ13" s="193"/>
      <c r="BK13" s="193"/>
      <c r="BL13" s="193"/>
      <c r="BM13" s="193"/>
      <c r="BN13" s="193"/>
      <c r="BO13" s="193"/>
      <c r="BP13" s="193"/>
      <c r="BQ13" s="193"/>
      <c r="BR13" s="193"/>
      <c r="BS13" s="193"/>
      <c r="BT13" s="193"/>
      <c r="BU13" s="193"/>
      <c r="BV13" s="193"/>
    </row>
    <row r="14" spans="2:74" s="152" customFormat="1" ht="14.65" customHeight="1">
      <c r="B14" s="182"/>
      <c r="C14" s="373"/>
      <c r="D14" s="373"/>
      <c r="E14" s="373"/>
      <c r="F14" s="373"/>
      <c r="G14" s="373"/>
      <c r="H14" s="373"/>
      <c r="I14" s="373"/>
      <c r="J14" s="373"/>
      <c r="K14" s="373"/>
      <c r="L14" s="373"/>
      <c r="M14" s="373"/>
      <c r="N14" s="373"/>
      <c r="O14" s="373"/>
      <c r="P14" s="373"/>
      <c r="Q14" s="373"/>
      <c r="R14" s="373"/>
      <c r="S14" s="373"/>
      <c r="T14" s="373"/>
      <c r="U14" s="373"/>
      <c r="V14" s="373"/>
      <c r="W14" s="373"/>
      <c r="X14" s="373"/>
      <c r="Y14" s="373"/>
      <c r="Z14" s="373"/>
      <c r="AA14" s="373"/>
      <c r="AB14" s="373"/>
      <c r="AC14" s="373"/>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c r="AZ14" s="373"/>
      <c r="BA14" s="373"/>
      <c r="BB14" s="373"/>
      <c r="BC14" s="373"/>
      <c r="BD14" s="373"/>
      <c r="BE14" s="373"/>
      <c r="BF14" s="373"/>
      <c r="BG14" s="373"/>
      <c r="BH14" s="184"/>
      <c r="BI14" s="193"/>
      <c r="BJ14" s="193"/>
      <c r="BK14" s="193"/>
      <c r="BL14" s="193"/>
      <c r="BM14" s="193"/>
      <c r="BN14" s="193"/>
      <c r="BO14" s="193"/>
      <c r="BP14" s="193"/>
      <c r="BQ14" s="193"/>
      <c r="BR14" s="193"/>
      <c r="BS14" s="193"/>
      <c r="BT14" s="193"/>
      <c r="BU14" s="193"/>
      <c r="BV14" s="193"/>
    </row>
    <row r="15" spans="2:74" s="152" customFormat="1" ht="14.65" customHeight="1">
      <c r="B15" s="182"/>
      <c r="C15" s="373"/>
      <c r="D15" s="373"/>
      <c r="E15" s="373"/>
      <c r="F15" s="373"/>
      <c r="G15" s="373"/>
      <c r="H15" s="373"/>
      <c r="I15" s="373"/>
      <c r="J15" s="373"/>
      <c r="K15" s="373"/>
      <c r="L15" s="373"/>
      <c r="M15" s="373"/>
      <c r="N15" s="373"/>
      <c r="O15" s="373"/>
      <c r="P15" s="373"/>
      <c r="Q15" s="373"/>
      <c r="R15" s="373"/>
      <c r="S15" s="373"/>
      <c r="T15" s="373"/>
      <c r="U15" s="373"/>
      <c r="V15" s="373"/>
      <c r="W15" s="373"/>
      <c r="X15" s="373"/>
      <c r="Y15" s="373"/>
      <c r="Z15" s="373"/>
      <c r="AA15" s="373"/>
      <c r="AB15" s="373"/>
      <c r="AC15" s="373"/>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c r="AZ15" s="373"/>
      <c r="BA15" s="373"/>
      <c r="BB15" s="373"/>
      <c r="BC15" s="373"/>
      <c r="BD15" s="373"/>
      <c r="BE15" s="373"/>
      <c r="BF15" s="373"/>
      <c r="BG15" s="373"/>
      <c r="BH15" s="184"/>
      <c r="BI15" s="193"/>
      <c r="BJ15" s="193"/>
      <c r="BK15" s="193"/>
      <c r="BL15" s="193"/>
      <c r="BM15" s="193"/>
      <c r="BN15" s="193"/>
      <c r="BO15" s="193"/>
      <c r="BP15" s="193"/>
      <c r="BQ15" s="193"/>
      <c r="BR15" s="193"/>
      <c r="BS15" s="193"/>
      <c r="BT15" s="193"/>
      <c r="BU15" s="193"/>
      <c r="BV15" s="193"/>
    </row>
    <row r="16" spans="2:74" s="152" customFormat="1" ht="14.65" customHeight="1">
      <c r="B16" s="182"/>
      <c r="C16" s="373"/>
      <c r="D16" s="373"/>
      <c r="E16" s="373"/>
      <c r="F16" s="373"/>
      <c r="G16" s="373"/>
      <c r="H16" s="373"/>
      <c r="I16" s="373"/>
      <c r="J16" s="373"/>
      <c r="K16" s="373"/>
      <c r="L16" s="373"/>
      <c r="M16" s="373"/>
      <c r="N16" s="373"/>
      <c r="O16" s="373"/>
      <c r="P16" s="373"/>
      <c r="Q16" s="373"/>
      <c r="R16" s="373"/>
      <c r="S16" s="373"/>
      <c r="T16" s="373"/>
      <c r="U16" s="373"/>
      <c r="V16" s="373"/>
      <c r="W16" s="373"/>
      <c r="X16" s="373"/>
      <c r="Y16" s="373"/>
      <c r="Z16" s="373"/>
      <c r="AA16" s="373"/>
      <c r="AB16" s="373"/>
      <c r="AC16" s="373"/>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c r="AZ16" s="373"/>
      <c r="BA16" s="373"/>
      <c r="BB16" s="373"/>
      <c r="BC16" s="373"/>
      <c r="BD16" s="373"/>
      <c r="BE16" s="373"/>
      <c r="BF16" s="373"/>
      <c r="BG16" s="373"/>
      <c r="BH16" s="184"/>
      <c r="BI16" s="193"/>
      <c r="BJ16" s="193"/>
      <c r="BK16" s="193"/>
      <c r="BL16" s="193"/>
      <c r="BM16" s="193"/>
      <c r="BN16" s="193"/>
      <c r="BO16" s="193"/>
      <c r="BP16" s="193"/>
      <c r="BQ16" s="193"/>
      <c r="BR16" s="193"/>
      <c r="BS16" s="193"/>
      <c r="BT16" s="193"/>
      <c r="BU16" s="193"/>
      <c r="BV16" s="193"/>
    </row>
    <row r="17" spans="2:74" s="152" customFormat="1" ht="14.65" customHeight="1">
      <c r="B17" s="182"/>
      <c r="C17" s="373"/>
      <c r="D17" s="373"/>
      <c r="E17" s="373"/>
      <c r="F17" s="373"/>
      <c r="G17" s="373"/>
      <c r="H17" s="373"/>
      <c r="I17" s="373"/>
      <c r="J17" s="373"/>
      <c r="K17" s="373"/>
      <c r="L17" s="373"/>
      <c r="M17" s="373"/>
      <c r="N17" s="373"/>
      <c r="O17" s="373"/>
      <c r="P17" s="373"/>
      <c r="Q17" s="373"/>
      <c r="R17" s="373"/>
      <c r="S17" s="373"/>
      <c r="T17" s="373"/>
      <c r="U17" s="373"/>
      <c r="V17" s="373"/>
      <c r="W17" s="373"/>
      <c r="X17" s="373"/>
      <c r="Y17" s="373"/>
      <c r="Z17" s="373"/>
      <c r="AA17" s="373"/>
      <c r="AB17" s="373"/>
      <c r="AC17" s="373"/>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c r="AZ17" s="373"/>
      <c r="BA17" s="373"/>
      <c r="BB17" s="373"/>
      <c r="BC17" s="373"/>
      <c r="BD17" s="373"/>
      <c r="BE17" s="373"/>
      <c r="BF17" s="373"/>
      <c r="BG17" s="373"/>
      <c r="BH17" s="184"/>
      <c r="BI17" s="193"/>
      <c r="BJ17" s="193"/>
      <c r="BK17" s="193"/>
      <c r="BL17" s="193"/>
      <c r="BM17" s="193"/>
      <c r="BN17" s="193"/>
      <c r="BO17" s="193"/>
      <c r="BP17" s="193"/>
      <c r="BQ17" s="193"/>
      <c r="BR17" s="193"/>
      <c r="BS17" s="193"/>
      <c r="BT17" s="193"/>
      <c r="BU17" s="193"/>
      <c r="BV17" s="193"/>
    </row>
    <row r="18" spans="2:74" s="152" customFormat="1" ht="14.65" customHeight="1">
      <c r="B18" s="182"/>
      <c r="C18" s="373"/>
      <c r="D18" s="373"/>
      <c r="E18" s="373"/>
      <c r="F18" s="373"/>
      <c r="G18" s="373"/>
      <c r="H18" s="373"/>
      <c r="I18" s="373"/>
      <c r="J18" s="373"/>
      <c r="K18" s="373"/>
      <c r="L18" s="373"/>
      <c r="M18" s="373"/>
      <c r="N18" s="373"/>
      <c r="O18" s="373"/>
      <c r="P18" s="373"/>
      <c r="Q18" s="373"/>
      <c r="R18" s="373"/>
      <c r="S18" s="373"/>
      <c r="T18" s="373"/>
      <c r="U18" s="373"/>
      <c r="V18" s="373"/>
      <c r="W18" s="373"/>
      <c r="X18" s="373"/>
      <c r="Y18" s="373"/>
      <c r="Z18" s="373"/>
      <c r="AA18" s="373"/>
      <c r="AB18" s="373"/>
      <c r="AC18" s="373"/>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c r="AZ18" s="373"/>
      <c r="BA18" s="373"/>
      <c r="BB18" s="373"/>
      <c r="BC18" s="373"/>
      <c r="BD18" s="373"/>
      <c r="BE18" s="373"/>
      <c r="BF18" s="373"/>
      <c r="BG18" s="373"/>
      <c r="BH18" s="184"/>
      <c r="BI18" s="193"/>
      <c r="BJ18" s="193"/>
      <c r="BK18" s="193"/>
      <c r="BL18" s="193"/>
      <c r="BM18" s="193"/>
      <c r="BN18" s="193"/>
      <c r="BO18" s="193"/>
      <c r="BP18" s="193"/>
      <c r="BQ18" s="193"/>
      <c r="BR18" s="193"/>
      <c r="BS18" s="193"/>
      <c r="BT18" s="193"/>
      <c r="BU18" s="193"/>
      <c r="BV18" s="193"/>
    </row>
    <row r="19" spans="2:74" s="152" customFormat="1" ht="14.65" customHeight="1">
      <c r="B19" s="182"/>
      <c r="C19" s="373"/>
      <c r="D19" s="373"/>
      <c r="E19" s="373"/>
      <c r="F19" s="373"/>
      <c r="G19" s="373"/>
      <c r="H19" s="373"/>
      <c r="I19" s="373"/>
      <c r="J19" s="373"/>
      <c r="K19" s="373"/>
      <c r="L19" s="373"/>
      <c r="M19" s="373"/>
      <c r="N19" s="373"/>
      <c r="O19" s="373"/>
      <c r="P19" s="373"/>
      <c r="Q19" s="373"/>
      <c r="R19" s="373"/>
      <c r="S19" s="373"/>
      <c r="T19" s="373"/>
      <c r="U19" s="373"/>
      <c r="V19" s="373"/>
      <c r="W19" s="373"/>
      <c r="X19" s="373"/>
      <c r="Y19" s="373"/>
      <c r="Z19" s="373"/>
      <c r="AA19" s="373"/>
      <c r="AB19" s="373"/>
      <c r="AC19" s="373"/>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c r="AZ19" s="373"/>
      <c r="BA19" s="373"/>
      <c r="BB19" s="373"/>
      <c r="BC19" s="373"/>
      <c r="BD19" s="373"/>
      <c r="BE19" s="373"/>
      <c r="BF19" s="373"/>
      <c r="BG19" s="373"/>
      <c r="BH19" s="184"/>
      <c r="BI19" s="193"/>
      <c r="BJ19" s="193"/>
      <c r="BK19" s="193"/>
      <c r="BL19" s="193"/>
      <c r="BM19" s="193"/>
      <c r="BN19" s="193"/>
      <c r="BO19" s="193"/>
      <c r="BP19" s="193"/>
      <c r="BQ19" s="193"/>
      <c r="BR19" s="193"/>
      <c r="BS19" s="193"/>
      <c r="BT19" s="193"/>
      <c r="BU19" s="193"/>
      <c r="BV19" s="193"/>
    </row>
    <row r="20" spans="2:74" s="152" customFormat="1" ht="14.65" customHeight="1">
      <c r="B20" s="182"/>
      <c r="C20" s="373"/>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c r="AZ20" s="373"/>
      <c r="BA20" s="373"/>
      <c r="BB20" s="373"/>
      <c r="BC20" s="373"/>
      <c r="BD20" s="373"/>
      <c r="BE20" s="373"/>
      <c r="BF20" s="373"/>
      <c r="BG20" s="373"/>
      <c r="BH20" s="184"/>
      <c r="BI20" s="193"/>
      <c r="BJ20" s="193"/>
      <c r="BK20" s="193"/>
      <c r="BL20" s="193"/>
      <c r="BM20" s="193"/>
      <c r="BN20" s="193"/>
      <c r="BO20" s="193"/>
      <c r="BP20" s="193"/>
      <c r="BQ20" s="193"/>
      <c r="BR20" s="193"/>
      <c r="BS20" s="193"/>
      <c r="BT20" s="193"/>
      <c r="BU20" s="193"/>
      <c r="BV20" s="193"/>
    </row>
    <row r="21" spans="2:74" s="152" customFormat="1" ht="14.65" customHeight="1">
      <c r="B21" s="182"/>
      <c r="C21" s="373"/>
      <c r="D21" s="373"/>
      <c r="E21" s="373"/>
      <c r="F21" s="373"/>
      <c r="G21" s="373"/>
      <c r="H21" s="373"/>
      <c r="I21" s="373"/>
      <c r="J21" s="373"/>
      <c r="K21" s="373"/>
      <c r="L21" s="373"/>
      <c r="M21" s="373"/>
      <c r="N21" s="373"/>
      <c r="O21" s="373"/>
      <c r="P21" s="373"/>
      <c r="Q21" s="373"/>
      <c r="R21" s="373"/>
      <c r="S21" s="373"/>
      <c r="T21" s="373"/>
      <c r="U21" s="373"/>
      <c r="V21" s="373"/>
      <c r="W21" s="373"/>
      <c r="X21" s="373"/>
      <c r="Y21" s="373"/>
      <c r="Z21" s="373"/>
      <c r="AA21" s="373"/>
      <c r="AB21" s="373"/>
      <c r="AC21" s="373"/>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c r="AZ21" s="373"/>
      <c r="BA21" s="373"/>
      <c r="BB21" s="373"/>
      <c r="BC21" s="373"/>
      <c r="BD21" s="373"/>
      <c r="BE21" s="373"/>
      <c r="BF21" s="373"/>
      <c r="BG21" s="373"/>
      <c r="BH21" s="184"/>
      <c r="BI21" s="193"/>
      <c r="BJ21" s="193"/>
      <c r="BK21" s="193"/>
      <c r="BL21" s="193"/>
      <c r="BM21" s="193"/>
      <c r="BN21" s="193"/>
      <c r="BO21" s="193"/>
      <c r="BP21" s="193"/>
      <c r="BQ21" s="193"/>
      <c r="BR21" s="193"/>
      <c r="BS21" s="193"/>
      <c r="BT21" s="193"/>
      <c r="BU21" s="193"/>
      <c r="BV21" s="193"/>
    </row>
    <row r="22" spans="2:74" s="152" customFormat="1" ht="14.65" customHeight="1">
      <c r="B22" s="182"/>
      <c r="C22" s="373"/>
      <c r="D22" s="373"/>
      <c r="E22" s="373"/>
      <c r="F22" s="373"/>
      <c r="G22" s="373"/>
      <c r="H22" s="373"/>
      <c r="I22" s="373"/>
      <c r="J22" s="373"/>
      <c r="K22" s="373"/>
      <c r="L22" s="373"/>
      <c r="M22" s="373"/>
      <c r="N22" s="373"/>
      <c r="O22" s="373"/>
      <c r="P22" s="373"/>
      <c r="Q22" s="373"/>
      <c r="R22" s="373"/>
      <c r="S22" s="373"/>
      <c r="T22" s="373"/>
      <c r="U22" s="373"/>
      <c r="V22" s="373"/>
      <c r="W22" s="373"/>
      <c r="X22" s="373"/>
      <c r="Y22" s="373"/>
      <c r="Z22" s="373"/>
      <c r="AA22" s="373"/>
      <c r="AB22" s="373"/>
      <c r="AC22" s="373"/>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c r="AZ22" s="373"/>
      <c r="BA22" s="373"/>
      <c r="BB22" s="373"/>
      <c r="BC22" s="373"/>
      <c r="BD22" s="373"/>
      <c r="BE22" s="373"/>
      <c r="BF22" s="373"/>
      <c r="BG22" s="373"/>
      <c r="BH22" s="184"/>
      <c r="BI22" s="193"/>
      <c r="BJ22" s="193"/>
      <c r="BK22" s="193"/>
      <c r="BL22" s="193"/>
      <c r="BM22" s="193"/>
      <c r="BN22" s="193"/>
      <c r="BO22" s="193"/>
      <c r="BP22" s="193"/>
      <c r="BQ22" s="193"/>
      <c r="BR22" s="193"/>
      <c r="BS22" s="193"/>
      <c r="BT22" s="193"/>
      <c r="BU22" s="193"/>
      <c r="BV22" s="193"/>
    </row>
    <row r="23" spans="2:74" s="152" customFormat="1" ht="14.65" customHeight="1">
      <c r="B23" s="182"/>
      <c r="C23" s="373"/>
      <c r="D23" s="373"/>
      <c r="E23" s="373"/>
      <c r="F23" s="373"/>
      <c r="G23" s="373"/>
      <c r="H23" s="373"/>
      <c r="I23" s="373"/>
      <c r="J23" s="373"/>
      <c r="K23" s="373"/>
      <c r="L23" s="373"/>
      <c r="M23" s="373"/>
      <c r="N23" s="373"/>
      <c r="O23" s="373"/>
      <c r="P23" s="373"/>
      <c r="Q23" s="373"/>
      <c r="R23" s="373"/>
      <c r="S23" s="373"/>
      <c r="T23" s="373"/>
      <c r="U23" s="373"/>
      <c r="V23" s="373"/>
      <c r="W23" s="373"/>
      <c r="X23" s="373"/>
      <c r="Y23" s="373"/>
      <c r="Z23" s="373"/>
      <c r="AA23" s="373"/>
      <c r="AB23" s="373"/>
      <c r="AC23" s="373"/>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c r="AZ23" s="373"/>
      <c r="BA23" s="373"/>
      <c r="BB23" s="373"/>
      <c r="BC23" s="373"/>
      <c r="BD23" s="373"/>
      <c r="BE23" s="373"/>
      <c r="BF23" s="373"/>
      <c r="BG23" s="373"/>
      <c r="BH23" s="184"/>
      <c r="BI23" s="193"/>
      <c r="BJ23" s="193"/>
      <c r="BK23" s="193"/>
      <c r="BL23" s="193"/>
      <c r="BM23" s="193"/>
      <c r="BN23" s="193"/>
      <c r="BO23" s="193"/>
      <c r="BP23" s="193"/>
      <c r="BQ23" s="193"/>
      <c r="BR23" s="193"/>
      <c r="BS23" s="193"/>
      <c r="BT23" s="193"/>
      <c r="BU23" s="193"/>
      <c r="BV23" s="193"/>
    </row>
    <row r="24" spans="2:74" s="152" customFormat="1" ht="14.65" customHeight="1">
      <c r="B24" s="182"/>
      <c r="C24" s="373"/>
      <c r="D24" s="373"/>
      <c r="E24" s="373"/>
      <c r="F24" s="373"/>
      <c r="G24" s="373"/>
      <c r="H24" s="373"/>
      <c r="I24" s="373"/>
      <c r="J24" s="373"/>
      <c r="K24" s="373"/>
      <c r="L24" s="373"/>
      <c r="M24" s="373"/>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c r="AZ24" s="373"/>
      <c r="BA24" s="373"/>
      <c r="BB24" s="373"/>
      <c r="BC24" s="373"/>
      <c r="BD24" s="373"/>
      <c r="BE24" s="373"/>
      <c r="BF24" s="373"/>
      <c r="BG24" s="373"/>
      <c r="BH24" s="184"/>
      <c r="BI24" s="193"/>
      <c r="BJ24" s="193"/>
      <c r="BK24" s="193"/>
      <c r="BL24" s="193"/>
      <c r="BM24" s="193"/>
      <c r="BN24" s="193"/>
      <c r="BO24" s="193"/>
      <c r="BP24" s="193"/>
      <c r="BQ24" s="193"/>
      <c r="BR24" s="193"/>
      <c r="BS24" s="193"/>
      <c r="BT24" s="193"/>
      <c r="BU24" s="193"/>
      <c r="BV24" s="193"/>
    </row>
    <row r="25" spans="2:74" s="152" customFormat="1" ht="14.65" customHeight="1">
      <c r="B25" s="182"/>
      <c r="C25" s="373"/>
      <c r="D25" s="373"/>
      <c r="E25" s="373"/>
      <c r="F25" s="373"/>
      <c r="G25" s="373"/>
      <c r="H25" s="373"/>
      <c r="I25" s="373"/>
      <c r="J25" s="373"/>
      <c r="K25" s="373"/>
      <c r="L25" s="373"/>
      <c r="M25" s="373"/>
      <c r="N25" s="373"/>
      <c r="O25" s="373"/>
      <c r="P25" s="373"/>
      <c r="Q25" s="373"/>
      <c r="R25" s="373"/>
      <c r="S25" s="373"/>
      <c r="T25" s="373"/>
      <c r="U25" s="373"/>
      <c r="V25" s="373"/>
      <c r="W25" s="373"/>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c r="AZ25" s="373"/>
      <c r="BA25" s="373"/>
      <c r="BB25" s="373"/>
      <c r="BC25" s="373"/>
      <c r="BD25" s="373"/>
      <c r="BE25" s="373"/>
      <c r="BF25" s="373"/>
      <c r="BG25" s="373"/>
      <c r="BH25" s="184"/>
      <c r="BI25" s="193"/>
      <c r="BJ25" s="193"/>
      <c r="BK25" s="193"/>
      <c r="BL25" s="193"/>
      <c r="BM25" s="193"/>
      <c r="BN25" s="193"/>
      <c r="BO25" s="193"/>
      <c r="BP25" s="193"/>
      <c r="BQ25" s="193"/>
      <c r="BR25" s="193"/>
      <c r="BS25" s="193"/>
      <c r="BT25" s="193"/>
      <c r="BU25" s="193"/>
      <c r="BV25" s="193"/>
    </row>
    <row r="26" spans="2:74" s="152" customFormat="1" ht="14.65" customHeight="1">
      <c r="B26" s="182"/>
      <c r="C26" s="373"/>
      <c r="D26" s="373"/>
      <c r="E26" s="373"/>
      <c r="F26" s="373"/>
      <c r="G26" s="373"/>
      <c r="H26" s="373"/>
      <c r="I26" s="373"/>
      <c r="J26" s="373"/>
      <c r="K26" s="373"/>
      <c r="L26" s="373"/>
      <c r="M26" s="373"/>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c r="AZ26" s="373"/>
      <c r="BA26" s="373"/>
      <c r="BB26" s="373"/>
      <c r="BC26" s="373"/>
      <c r="BD26" s="373"/>
      <c r="BE26" s="373"/>
      <c r="BF26" s="373"/>
      <c r="BG26" s="373"/>
      <c r="BH26" s="184"/>
      <c r="BI26" s="193"/>
      <c r="BJ26" s="193"/>
      <c r="BK26" s="193"/>
      <c r="BL26" s="193"/>
      <c r="BM26" s="193"/>
      <c r="BN26" s="193"/>
      <c r="BO26" s="193"/>
      <c r="BP26" s="193"/>
      <c r="BQ26" s="193"/>
      <c r="BR26" s="193"/>
      <c r="BS26" s="193"/>
      <c r="BT26" s="193"/>
      <c r="BU26" s="193"/>
      <c r="BV26" s="193"/>
    </row>
    <row r="27" spans="2:74" s="152" customFormat="1" ht="14.65" customHeight="1">
      <c r="B27" s="182"/>
      <c r="C27" s="373"/>
      <c r="D27" s="373"/>
      <c r="E27" s="373"/>
      <c r="F27" s="373"/>
      <c r="G27" s="373"/>
      <c r="H27" s="373"/>
      <c r="I27" s="373"/>
      <c r="J27" s="373"/>
      <c r="K27" s="373"/>
      <c r="L27" s="373"/>
      <c r="M27" s="373"/>
      <c r="N27" s="373"/>
      <c r="O27" s="373"/>
      <c r="P27" s="373"/>
      <c r="Q27" s="373"/>
      <c r="R27" s="373"/>
      <c r="S27" s="373"/>
      <c r="T27" s="373"/>
      <c r="U27" s="373"/>
      <c r="V27" s="373"/>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c r="AZ27" s="373"/>
      <c r="BA27" s="373"/>
      <c r="BB27" s="373"/>
      <c r="BC27" s="373"/>
      <c r="BD27" s="373"/>
      <c r="BE27" s="373"/>
      <c r="BF27" s="373"/>
      <c r="BG27" s="373"/>
      <c r="BH27" s="184"/>
      <c r="BI27" s="193"/>
      <c r="BJ27" s="193"/>
      <c r="BK27" s="193"/>
      <c r="BL27" s="193"/>
      <c r="BM27" s="193"/>
      <c r="BN27" s="193"/>
      <c r="BO27" s="193"/>
      <c r="BP27" s="193"/>
      <c r="BQ27" s="193"/>
      <c r="BR27" s="193"/>
      <c r="BS27" s="193"/>
      <c r="BT27" s="193"/>
      <c r="BU27" s="193"/>
      <c r="BV27" s="193"/>
    </row>
    <row r="28" spans="2:74" s="152" customFormat="1" ht="14.65" customHeight="1">
      <c r="B28" s="182"/>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c r="AZ28" s="373"/>
      <c r="BA28" s="373"/>
      <c r="BB28" s="373"/>
      <c r="BC28" s="373"/>
      <c r="BD28" s="373"/>
      <c r="BE28" s="373"/>
      <c r="BF28" s="373"/>
      <c r="BG28" s="373"/>
      <c r="BH28" s="184"/>
      <c r="BI28" s="193"/>
      <c r="BJ28" s="193"/>
      <c r="BK28" s="193"/>
      <c r="BL28" s="193"/>
      <c r="BM28" s="193"/>
      <c r="BN28" s="193"/>
      <c r="BO28" s="193"/>
      <c r="BP28" s="193"/>
      <c r="BQ28" s="193"/>
      <c r="BR28" s="193"/>
      <c r="BS28" s="193"/>
      <c r="BT28" s="193"/>
      <c r="BU28" s="193"/>
      <c r="BV28" s="193"/>
    </row>
    <row r="29" spans="2:74" s="152" customFormat="1" ht="14.65" customHeight="1">
      <c r="B29" s="182"/>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c r="AZ29" s="373"/>
      <c r="BA29" s="373"/>
      <c r="BB29" s="373"/>
      <c r="BC29" s="373"/>
      <c r="BD29" s="373"/>
      <c r="BE29" s="373"/>
      <c r="BF29" s="373"/>
      <c r="BG29" s="373"/>
      <c r="BH29" s="184"/>
      <c r="BI29" s="193"/>
      <c r="BJ29" s="193"/>
      <c r="BK29" s="193"/>
      <c r="BL29" s="193"/>
      <c r="BM29" s="193"/>
      <c r="BN29" s="193"/>
      <c r="BO29" s="193"/>
      <c r="BP29" s="193"/>
      <c r="BQ29" s="193"/>
      <c r="BR29" s="193"/>
      <c r="BS29" s="193"/>
      <c r="BT29" s="193"/>
      <c r="BU29" s="193"/>
      <c r="BV29" s="193"/>
    </row>
    <row r="30" spans="2:74" s="152" customFormat="1" ht="14.65" customHeight="1">
      <c r="B30" s="182"/>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c r="AZ30" s="373"/>
      <c r="BA30" s="373"/>
      <c r="BB30" s="373"/>
      <c r="BC30" s="373"/>
      <c r="BD30" s="373"/>
      <c r="BE30" s="373"/>
      <c r="BF30" s="373"/>
      <c r="BG30" s="373"/>
      <c r="BH30" s="184"/>
      <c r="BI30" s="193"/>
      <c r="BJ30" s="193"/>
      <c r="BK30" s="193"/>
      <c r="BL30" s="193"/>
      <c r="BM30" s="193"/>
      <c r="BN30" s="193"/>
      <c r="BO30" s="193"/>
      <c r="BP30" s="193"/>
      <c r="BQ30" s="193"/>
      <c r="BR30" s="193"/>
      <c r="BS30" s="193"/>
      <c r="BT30" s="193"/>
      <c r="BU30" s="193"/>
      <c r="BV30" s="193"/>
    </row>
    <row r="31" spans="2:74" s="152" customFormat="1" ht="14.65" customHeight="1">
      <c r="B31" s="182"/>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c r="AZ31" s="373"/>
      <c r="BA31" s="373"/>
      <c r="BB31" s="373"/>
      <c r="BC31" s="373"/>
      <c r="BD31" s="373"/>
      <c r="BE31" s="373"/>
      <c r="BF31" s="373"/>
      <c r="BG31" s="373"/>
      <c r="BH31" s="184"/>
      <c r="BI31" s="193"/>
      <c r="BJ31" s="193"/>
      <c r="BK31" s="193"/>
      <c r="BL31" s="193"/>
      <c r="BM31" s="193"/>
      <c r="BN31" s="193"/>
      <c r="BO31" s="193"/>
      <c r="BP31" s="193"/>
      <c r="BQ31" s="193"/>
      <c r="BR31" s="193"/>
      <c r="BS31" s="193"/>
      <c r="BT31" s="193"/>
      <c r="BU31" s="193"/>
      <c r="BV31" s="193"/>
    </row>
    <row r="32" spans="2:74" s="152" customFormat="1" ht="14.65" customHeight="1">
      <c r="B32" s="182"/>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c r="AZ32" s="373"/>
      <c r="BA32" s="373"/>
      <c r="BB32" s="373"/>
      <c r="BC32" s="373"/>
      <c r="BD32" s="373"/>
      <c r="BE32" s="373"/>
      <c r="BF32" s="373"/>
      <c r="BG32" s="373"/>
      <c r="BH32" s="184"/>
      <c r="BI32" s="193"/>
      <c r="BJ32" s="193"/>
      <c r="BK32" s="193"/>
      <c r="BL32" s="193"/>
      <c r="BM32" s="193"/>
      <c r="BN32" s="193"/>
      <c r="BO32" s="193"/>
      <c r="BP32" s="193"/>
      <c r="BQ32" s="193"/>
      <c r="BR32" s="193"/>
      <c r="BS32" s="193"/>
      <c r="BT32" s="193"/>
      <c r="BU32" s="193"/>
      <c r="BV32" s="193"/>
    </row>
    <row r="33" spans="2:74" s="152" customFormat="1" ht="14.65" customHeight="1">
      <c r="B33" s="182"/>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c r="AZ33" s="373"/>
      <c r="BA33" s="373"/>
      <c r="BB33" s="373"/>
      <c r="BC33" s="373"/>
      <c r="BD33" s="373"/>
      <c r="BE33" s="373"/>
      <c r="BF33" s="373"/>
      <c r="BG33" s="373"/>
      <c r="BH33" s="184"/>
      <c r="BI33" s="193"/>
      <c r="BJ33" s="193"/>
      <c r="BK33" s="193"/>
      <c r="BL33" s="193"/>
      <c r="BM33" s="193"/>
      <c r="BN33" s="193"/>
      <c r="BO33" s="193"/>
      <c r="BP33" s="193"/>
      <c r="BQ33" s="193"/>
      <c r="BR33" s="193"/>
      <c r="BS33" s="193"/>
      <c r="BT33" s="193"/>
      <c r="BU33" s="193"/>
      <c r="BV33" s="193"/>
    </row>
    <row r="34" spans="2:74" s="152" customFormat="1" ht="14.65" customHeight="1">
      <c r="B34" s="182"/>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c r="AZ34" s="373"/>
      <c r="BA34" s="373"/>
      <c r="BB34" s="373"/>
      <c r="BC34" s="373"/>
      <c r="BD34" s="373"/>
      <c r="BE34" s="373"/>
      <c r="BF34" s="373"/>
      <c r="BG34" s="373"/>
      <c r="BH34" s="184"/>
      <c r="BI34" s="193"/>
      <c r="BJ34" s="193"/>
      <c r="BK34" s="193"/>
      <c r="BL34" s="193"/>
      <c r="BM34" s="193"/>
      <c r="BN34" s="193"/>
      <c r="BO34" s="193"/>
      <c r="BP34" s="193"/>
      <c r="BQ34" s="193"/>
      <c r="BR34" s="193"/>
      <c r="BS34" s="193"/>
      <c r="BT34" s="193"/>
      <c r="BU34" s="193"/>
      <c r="BV34" s="193"/>
    </row>
    <row r="35" spans="2:74" s="152" customFormat="1" ht="14.65" customHeight="1">
      <c r="B35" s="182"/>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c r="AZ35" s="373"/>
      <c r="BA35" s="373"/>
      <c r="BB35" s="373"/>
      <c r="BC35" s="373"/>
      <c r="BD35" s="373"/>
      <c r="BE35" s="373"/>
      <c r="BF35" s="373"/>
      <c r="BG35" s="373"/>
      <c r="BH35" s="184"/>
      <c r="BI35" s="193"/>
      <c r="BJ35" s="193"/>
      <c r="BK35" s="193"/>
      <c r="BL35" s="193"/>
      <c r="BM35" s="193"/>
      <c r="BN35" s="193"/>
      <c r="BO35" s="193"/>
      <c r="BP35" s="193"/>
      <c r="BQ35" s="193"/>
      <c r="BR35" s="193"/>
      <c r="BS35" s="193"/>
      <c r="BT35" s="193"/>
      <c r="BU35" s="193"/>
      <c r="BV35" s="193"/>
    </row>
    <row r="36" spans="2:74" s="152" customFormat="1" ht="14.65" customHeight="1">
      <c r="B36" s="182"/>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c r="AZ36" s="373"/>
      <c r="BA36" s="373"/>
      <c r="BB36" s="373"/>
      <c r="BC36" s="373"/>
      <c r="BD36" s="373"/>
      <c r="BE36" s="373"/>
      <c r="BF36" s="373"/>
      <c r="BG36" s="373"/>
      <c r="BH36" s="184"/>
      <c r="BI36" s="193"/>
      <c r="BJ36" s="193"/>
      <c r="BK36" s="193"/>
      <c r="BL36" s="193"/>
      <c r="BM36" s="193"/>
      <c r="BN36" s="193"/>
      <c r="BO36" s="193"/>
      <c r="BP36" s="193"/>
      <c r="BQ36" s="193"/>
      <c r="BR36" s="193"/>
      <c r="BS36" s="193"/>
      <c r="BT36" s="193"/>
      <c r="BU36" s="193"/>
      <c r="BV36" s="193"/>
    </row>
    <row r="37" spans="2:74" s="152" customFormat="1" ht="14.65" customHeight="1">
      <c r="B37" s="182"/>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c r="AZ37" s="373"/>
      <c r="BA37" s="373"/>
      <c r="BB37" s="373"/>
      <c r="BC37" s="373"/>
      <c r="BD37" s="373"/>
      <c r="BE37" s="373"/>
      <c r="BF37" s="373"/>
      <c r="BG37" s="373"/>
      <c r="BH37" s="184"/>
      <c r="BI37" s="193"/>
      <c r="BJ37" s="193"/>
      <c r="BK37" s="193"/>
      <c r="BL37" s="193"/>
      <c r="BM37" s="193"/>
      <c r="BN37" s="193"/>
      <c r="BO37" s="193"/>
      <c r="BP37" s="193"/>
      <c r="BQ37" s="193"/>
      <c r="BR37" s="193"/>
      <c r="BS37" s="193"/>
      <c r="BT37" s="193"/>
      <c r="BU37" s="193"/>
      <c r="BV37" s="193"/>
    </row>
    <row r="38" spans="2:74" s="152" customFormat="1" ht="14.65" customHeight="1">
      <c r="B38" s="182"/>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c r="AZ38" s="373"/>
      <c r="BA38" s="373"/>
      <c r="BB38" s="373"/>
      <c r="BC38" s="373"/>
      <c r="BD38" s="373"/>
      <c r="BE38" s="373"/>
      <c r="BF38" s="373"/>
      <c r="BG38" s="373"/>
      <c r="BH38" s="184"/>
      <c r="BI38" s="193"/>
      <c r="BJ38" s="193"/>
      <c r="BK38" s="193"/>
      <c r="BL38" s="193"/>
      <c r="BM38" s="193"/>
      <c r="BN38" s="193"/>
      <c r="BO38" s="193"/>
      <c r="BP38" s="193"/>
      <c r="BQ38" s="193"/>
      <c r="BR38" s="193"/>
      <c r="BS38" s="193"/>
      <c r="BT38" s="193"/>
      <c r="BU38" s="193"/>
      <c r="BV38" s="193"/>
    </row>
    <row r="39" spans="2:74" s="152" customFormat="1" ht="14.65" customHeight="1">
      <c r="B39" s="182"/>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c r="AZ39" s="373"/>
      <c r="BA39" s="373"/>
      <c r="BB39" s="373"/>
      <c r="BC39" s="373"/>
      <c r="BD39" s="373"/>
      <c r="BE39" s="373"/>
      <c r="BF39" s="373"/>
      <c r="BG39" s="373"/>
      <c r="BH39" s="184"/>
      <c r="BI39" s="193"/>
      <c r="BJ39" s="193"/>
      <c r="BK39" s="193"/>
      <c r="BL39" s="193"/>
      <c r="BM39" s="193"/>
      <c r="BN39" s="193"/>
      <c r="BO39" s="193"/>
      <c r="BP39" s="193"/>
      <c r="BQ39" s="193"/>
      <c r="BR39" s="193"/>
      <c r="BS39" s="193"/>
      <c r="BT39" s="193"/>
      <c r="BU39" s="193"/>
      <c r="BV39" s="193"/>
    </row>
    <row r="40" spans="2:74" s="152" customFormat="1" ht="14.65" customHeight="1">
      <c r="B40" s="190"/>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2"/>
      <c r="BI40" s="193"/>
      <c r="BJ40" s="193"/>
      <c r="BK40" s="193"/>
      <c r="BL40" s="193"/>
      <c r="BM40" s="193"/>
      <c r="BN40" s="193"/>
      <c r="BO40" s="193"/>
      <c r="BP40" s="193"/>
      <c r="BQ40" s="193"/>
      <c r="BR40" s="193"/>
      <c r="BS40" s="193"/>
      <c r="BT40" s="193"/>
      <c r="BU40" s="193"/>
      <c r="BV40" s="193"/>
    </row>
    <row r="41" spans="2:74" s="193" customFormat="1" ht="24.75" customHeight="1">
      <c r="B41"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41" s="363"/>
      <c r="D41" s="363"/>
      <c r="E41" s="363"/>
      <c r="F41" s="363"/>
      <c r="G41" s="363"/>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H41" s="363"/>
    </row>
    <row r="42" spans="2:74" s="193" customFormat="1" ht="14.65" customHeight="1">
      <c r="B42" s="168"/>
      <c r="C42" s="168"/>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c r="AQ42" s="168"/>
      <c r="AR42" s="168"/>
      <c r="AS42" s="168"/>
      <c r="AT42" s="168"/>
      <c r="AU42" s="168"/>
      <c r="AV42" s="168"/>
      <c r="AW42" s="168"/>
      <c r="AX42" s="168"/>
      <c r="AY42" s="168"/>
      <c r="AZ42" s="168"/>
      <c r="BA42" s="168"/>
      <c r="BB42" s="168"/>
      <c r="BC42" s="168"/>
      <c r="BD42" s="168"/>
      <c r="BE42" s="168"/>
      <c r="BF42" s="168"/>
      <c r="BG42" s="168"/>
      <c r="BH42" s="168"/>
    </row>
    <row r="43" spans="2:74" s="111" customFormat="1" ht="14.65" customHeight="1">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row>
    <row r="44" spans="2:74">
      <c r="B44" s="111"/>
      <c r="C44" s="111"/>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row>
    <row r="45" spans="2:74">
      <c r="B45" s="111"/>
      <c r="C45" s="111"/>
      <c r="D45" s="111"/>
      <c r="E45" s="111"/>
      <c r="F45" s="111"/>
      <c r="G45" s="111"/>
      <c r="H45" s="111"/>
      <c r="I45" s="111"/>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row>
    <row r="46" spans="2:74">
      <c r="B46" s="111"/>
      <c r="C46" s="111"/>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row>
    <row r="47" spans="2:74">
      <c r="B47" s="111"/>
      <c r="C47" s="111"/>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row>
    <row r="48" spans="2:74">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row>
    <row r="49" spans="2:74">
      <c r="B49" s="111"/>
      <c r="C49" s="111"/>
      <c r="D49" s="111"/>
      <c r="E49" s="111"/>
      <c r="F49" s="111"/>
      <c r="G49" s="111"/>
      <c r="H49" s="111"/>
      <c r="I49" s="111"/>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row>
    <row r="50" spans="2:74">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row>
    <row r="51" spans="2:74">
      <c r="B51" s="111"/>
      <c r="C51" s="111"/>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row>
    <row r="52" spans="2:74">
      <c r="B52" s="111"/>
      <c r="C52" s="111"/>
      <c r="D52" s="111"/>
      <c r="E52" s="111"/>
      <c r="F52" s="111"/>
      <c r="G52" s="111"/>
      <c r="H52" s="111"/>
      <c r="I52" s="111"/>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row>
    <row r="53" spans="2:74">
      <c r="B53" s="111"/>
      <c r="C53" s="111"/>
      <c r="D53" s="111"/>
      <c r="E53" s="111"/>
      <c r="F53" s="111"/>
      <c r="G53" s="111"/>
      <c r="H53" s="111"/>
      <c r="I53" s="111"/>
      <c r="J53" s="111"/>
      <c r="K53" s="111"/>
      <c r="L53" s="111"/>
      <c r="M53" s="111"/>
      <c r="N53" s="111"/>
      <c r="O53" s="111"/>
      <c r="P53" s="111"/>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row>
    <row r="54" spans="2:74">
      <c r="B54" s="111"/>
      <c r="C54" s="111"/>
      <c r="D54" s="111"/>
      <c r="E54" s="111"/>
      <c r="F54" s="111"/>
      <c r="G54" s="111"/>
      <c r="H54" s="111"/>
      <c r="I54" s="111"/>
      <c r="J54" s="111"/>
      <c r="K54" s="111"/>
      <c r="L54" s="111"/>
      <c r="M54" s="111"/>
      <c r="N54" s="111"/>
      <c r="O54" s="111"/>
      <c r="P54" s="111"/>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row>
    <row r="55" spans="2:74">
      <c r="B55" s="111"/>
      <c r="C55" s="111"/>
      <c r="D55" s="111"/>
      <c r="E55" s="111"/>
      <c r="F55" s="111"/>
      <c r="G55" s="111"/>
      <c r="H55" s="111"/>
      <c r="I55" s="111"/>
      <c r="J55" s="111"/>
      <c r="K55" s="111"/>
      <c r="L55" s="111"/>
      <c r="M55" s="111"/>
      <c r="N55" s="111"/>
      <c r="O55" s="111"/>
      <c r="P55" s="111"/>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row>
    <row r="56" spans="2:74">
      <c r="B56" s="111"/>
      <c r="C56" s="111"/>
      <c r="D56" s="111"/>
      <c r="E56" s="111"/>
      <c r="F56" s="111"/>
      <c r="G56" s="111"/>
      <c r="H56" s="111"/>
      <c r="I56" s="111"/>
      <c r="J56" s="111"/>
      <c r="K56" s="111"/>
      <c r="L56" s="111"/>
      <c r="M56" s="111"/>
      <c r="N56" s="111"/>
      <c r="O56" s="111"/>
      <c r="P56" s="111"/>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row>
    <row r="57" spans="2:74">
      <c r="B57" s="111"/>
      <c r="C57" s="111"/>
      <c r="D57" s="111"/>
      <c r="E57" s="111"/>
      <c r="F57" s="111"/>
      <c r="G57" s="111"/>
      <c r="H57" s="111"/>
      <c r="I57" s="111"/>
      <c r="J57" s="111"/>
      <c r="K57" s="111"/>
      <c r="L57" s="111"/>
      <c r="M57" s="111"/>
      <c r="N57" s="111"/>
      <c r="O57" s="111"/>
      <c r="P57" s="111"/>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row>
    <row r="58" spans="2:74">
      <c r="B58" s="111"/>
      <c r="C58" s="111"/>
      <c r="D58" s="111"/>
      <c r="E58" s="111"/>
      <c r="F58" s="111"/>
      <c r="G58" s="111"/>
      <c r="H58" s="111"/>
      <c r="I58" s="111"/>
      <c r="J58" s="111"/>
      <c r="K58" s="111"/>
      <c r="L58" s="111"/>
      <c r="M58" s="111"/>
      <c r="N58" s="111"/>
      <c r="O58" s="111"/>
      <c r="P58" s="111"/>
      <c r="Q58" s="111"/>
      <c r="R58" s="111"/>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row>
    <row r="59" spans="2:74">
      <c r="B59" s="111"/>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row>
    <row r="60" spans="2:74">
      <c r="B60" s="111"/>
      <c r="C60" s="111"/>
      <c r="D60" s="111"/>
      <c r="E60" s="111"/>
      <c r="F60" s="111"/>
      <c r="G60" s="111"/>
      <c r="H60" s="111"/>
      <c r="I60" s="111"/>
      <c r="J60" s="111"/>
      <c r="K60" s="111"/>
      <c r="L60" s="111"/>
      <c r="M60" s="111"/>
      <c r="N60" s="111"/>
      <c r="O60" s="111"/>
      <c r="P60" s="111"/>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row>
    <row r="61" spans="2:74">
      <c r="B61" s="111"/>
      <c r="C61" s="111"/>
      <c r="D61" s="111"/>
      <c r="E61" s="111"/>
      <c r="F61" s="111"/>
      <c r="G61" s="111"/>
      <c r="H61" s="111"/>
      <c r="I61" s="111"/>
      <c r="J61" s="111"/>
      <c r="K61" s="111"/>
      <c r="L61" s="111"/>
      <c r="M61" s="111"/>
      <c r="N61" s="111"/>
      <c r="O61" s="111"/>
      <c r="P61" s="111"/>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row>
    <row r="62" spans="2:74">
      <c r="B62" s="111"/>
      <c r="C62" s="111"/>
      <c r="D62" s="111"/>
      <c r="E62" s="111"/>
      <c r="F62" s="111"/>
      <c r="G62" s="111"/>
      <c r="H62" s="111"/>
      <c r="I62" s="111"/>
      <c r="J62" s="111"/>
      <c r="K62" s="111"/>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row>
    <row r="63" spans="2:74">
      <c r="B63" s="111"/>
      <c r="C63" s="111"/>
      <c r="D63" s="111"/>
      <c r="E63" s="111"/>
      <c r="F63" s="111"/>
      <c r="G63" s="111"/>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row>
    <row r="64" spans="2:74">
      <c r="B64" s="111"/>
      <c r="C64" s="111"/>
      <c r="D64" s="111"/>
      <c r="E64" s="111"/>
      <c r="F64" s="111"/>
      <c r="G64" s="111"/>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row>
    <row r="65" spans="2:74">
      <c r="B65" s="111"/>
      <c r="C65" s="111"/>
      <c r="D65" s="111"/>
      <c r="E65" s="111"/>
      <c r="F65" s="111"/>
      <c r="G65" s="111"/>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row>
    <row r="66" spans="2:74">
      <c r="B66" s="111"/>
      <c r="C66" s="111"/>
      <c r="D66" s="111"/>
      <c r="E66" s="111"/>
      <c r="F66" s="111"/>
      <c r="G66" s="111"/>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row>
    <row r="67" spans="2:74">
      <c r="B67" s="111"/>
      <c r="C67" s="111"/>
      <c r="D67" s="111"/>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row>
    <row r="68" spans="2:74">
      <c r="B68" s="111"/>
      <c r="C68" s="111"/>
      <c r="D68" s="111"/>
      <c r="E68" s="111"/>
      <c r="F68" s="111"/>
      <c r="G68" s="111"/>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row>
    <row r="69" spans="2:74">
      <c r="B69" s="11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row>
    <row r="70" spans="2:74">
      <c r="B70" s="11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row>
    <row r="71" spans="2:74">
      <c r="B71" s="11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row>
    <row r="72" spans="2:74">
      <c r="B72" s="11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row>
    <row r="73" spans="2:74">
      <c r="B73" s="11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row>
    <row r="74" spans="2:74">
      <c r="B74" s="11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row>
    <row r="75" spans="2:74">
      <c r="B75" s="11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row>
    <row r="76" spans="2:74">
      <c r="B76" s="11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row>
    <row r="77" spans="2:74">
      <c r="B77" s="11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row>
    <row r="78" spans="2:74">
      <c r="B78" s="11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row>
    <row r="79" spans="2:74">
      <c r="B79" s="11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row>
    <row r="80" spans="2:74">
      <c r="B80" s="11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row>
    <row r="81" spans="2:74">
      <c r="B81" s="11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row>
    <row r="82" spans="2:74">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row>
    <row r="83" spans="2:74">
      <c r="B83" s="11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row>
    <row r="84" spans="2:74">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row>
    <row r="85" spans="2:74">
      <c r="B85" s="11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row>
    <row r="86" spans="2:74">
      <c r="B86" s="11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row>
  </sheetData>
  <mergeCells count="48">
    <mergeCell ref="C10:D10"/>
    <mergeCell ref="B41:BH41"/>
    <mergeCell ref="C12:BG39"/>
    <mergeCell ref="AE8:AI8"/>
    <mergeCell ref="AJ8:AN8"/>
    <mergeCell ref="AO8:AS8"/>
    <mergeCell ref="AT8:AX8"/>
    <mergeCell ref="AY8:BC8"/>
    <mergeCell ref="BD8:BH8"/>
    <mergeCell ref="B8:F8"/>
    <mergeCell ref="G8:K8"/>
    <mergeCell ref="L8:P8"/>
    <mergeCell ref="Q8:U8"/>
    <mergeCell ref="V8:Z8"/>
    <mergeCell ref="AA8:AD8"/>
    <mergeCell ref="BD7:BH7"/>
    <mergeCell ref="B7:F7"/>
    <mergeCell ref="G7:K7"/>
    <mergeCell ref="L7:P7"/>
    <mergeCell ref="Q7:U7"/>
    <mergeCell ref="V7:Z7"/>
    <mergeCell ref="AA7:AD7"/>
    <mergeCell ref="AE7:AI7"/>
    <mergeCell ref="AJ7:AN7"/>
    <mergeCell ref="AO7:AS7"/>
    <mergeCell ref="AT7:AX7"/>
    <mergeCell ref="AY7:BC7"/>
    <mergeCell ref="BF6:BH6"/>
    <mergeCell ref="B4:G4"/>
    <mergeCell ref="K4:AT4"/>
    <mergeCell ref="AU4:AX4"/>
    <mergeCell ref="AY4:BH4"/>
    <mergeCell ref="B5:H5"/>
    <mergeCell ref="K5:BH5"/>
    <mergeCell ref="B6:J6"/>
    <mergeCell ref="K6:AW6"/>
    <mergeCell ref="AX6:AZ6"/>
    <mergeCell ref="BA6:BC6"/>
    <mergeCell ref="BD6:BE6"/>
    <mergeCell ref="B3:G3"/>
    <mergeCell ref="K3:AT3"/>
    <mergeCell ref="AU3:AX3"/>
    <mergeCell ref="AY3:BH3"/>
    <mergeCell ref="B1:BH1"/>
    <mergeCell ref="B2:G2"/>
    <mergeCell ref="K2:AT2"/>
    <mergeCell ref="AU2:AX2"/>
    <mergeCell ref="AY2:BH2"/>
  </mergeCells>
  <pageMargins left="0.7" right="0.7" top="0.75" bottom="0.75" header="0.3" footer="0.3"/>
  <pageSetup scale="74"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3" tint="0.39997558519241921"/>
  </sheetPr>
  <dimension ref="B1:AX72"/>
  <sheetViews>
    <sheetView view="pageLayout" topLeftCell="A25" zoomScaleNormal="100" workbookViewId="0">
      <selection activeCell="G32" sqref="G32"/>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43" width="9.140625" style="110"/>
    <col min="44" max="16384" width="9.140625" style="33"/>
  </cols>
  <sheetData>
    <row r="1" spans="2:44"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93"/>
      <c r="AP1" s="193"/>
      <c r="AQ1" s="193"/>
    </row>
    <row r="2" spans="2:44" s="174" customFormat="1" ht="15" customHeight="1">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c r="AP2" s="173"/>
      <c r="AQ2" s="173"/>
    </row>
    <row r="3" spans="2:44" s="174" customFormat="1" ht="15" customHeight="1">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c r="AP3" s="173"/>
      <c r="AQ3" s="173"/>
    </row>
    <row r="4" spans="2:44" s="174" customFormat="1" ht="27"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c r="AP4" s="173"/>
      <c r="AQ4" s="173"/>
    </row>
    <row r="5" spans="2:44" s="174" customFormat="1" ht="22.5" customHeight="1">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c r="AP5" s="173"/>
      <c r="AQ5" s="173"/>
    </row>
    <row r="6" spans="2:44" s="195"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71"/>
      <c r="AH6" s="371"/>
      <c r="AI6" s="371"/>
      <c r="AJ6" s="348" t="s">
        <v>15</v>
      </c>
      <c r="AK6" s="348"/>
      <c r="AL6" s="341" t="str">
        <f>num_pages</f>
        <v>#pages</v>
      </c>
      <c r="AM6" s="341"/>
      <c r="AN6" s="342"/>
      <c r="AO6" s="194"/>
      <c r="AP6" s="194"/>
      <c r="AQ6" s="194"/>
    </row>
    <row r="7" spans="2:44" s="152" customFormat="1" ht="15" customHeight="1">
      <c r="B7" s="216" t="s">
        <v>53</v>
      </c>
      <c r="C7" s="218"/>
      <c r="D7" s="216" t="s">
        <v>54</v>
      </c>
      <c r="E7" s="217"/>
      <c r="F7" s="217"/>
      <c r="G7" s="216" t="s">
        <v>56</v>
      </c>
      <c r="H7" s="217"/>
      <c r="I7" s="217"/>
      <c r="J7" s="218"/>
      <c r="K7" s="216" t="s">
        <v>57</v>
      </c>
      <c r="L7" s="217"/>
      <c r="M7" s="217"/>
      <c r="N7" s="372"/>
      <c r="O7" s="217" t="s">
        <v>53</v>
      </c>
      <c r="P7" s="218"/>
      <c r="Q7" s="216" t="s">
        <v>54</v>
      </c>
      <c r="R7" s="217"/>
      <c r="S7" s="217"/>
      <c r="T7" s="216" t="s">
        <v>56</v>
      </c>
      <c r="U7" s="217"/>
      <c r="V7" s="217"/>
      <c r="W7" s="218"/>
      <c r="X7" s="216" t="s">
        <v>57</v>
      </c>
      <c r="Y7" s="217"/>
      <c r="Z7" s="217"/>
      <c r="AA7" s="372"/>
      <c r="AB7" s="217" t="s">
        <v>53</v>
      </c>
      <c r="AC7" s="218"/>
      <c r="AD7" s="216" t="s">
        <v>54</v>
      </c>
      <c r="AE7" s="217"/>
      <c r="AF7" s="217"/>
      <c r="AG7" s="216" t="s">
        <v>56</v>
      </c>
      <c r="AH7" s="217"/>
      <c r="AI7" s="217"/>
      <c r="AJ7" s="218"/>
      <c r="AK7" s="216" t="s">
        <v>57</v>
      </c>
      <c r="AL7" s="217"/>
      <c r="AM7" s="217"/>
      <c r="AN7" s="218"/>
      <c r="AO7" s="193"/>
      <c r="AP7" s="193"/>
      <c r="AQ7" s="193"/>
    </row>
    <row r="8" spans="2:44" s="196"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4"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c r="AP9" s="173"/>
      <c r="AQ9" s="173"/>
      <c r="AR9" s="168"/>
    </row>
    <row r="10" spans="2:44" s="169" customFormat="1" ht="14.85" customHeight="1">
      <c r="B10" s="182"/>
      <c r="C10" s="365" t="str">
        <f>ToC!F16</f>
        <v>3.0</v>
      </c>
      <c r="D10" s="365"/>
      <c r="E10" s="197"/>
      <c r="F10" s="197" t="str">
        <f>ToC!H16</f>
        <v>Mechanism</v>
      </c>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c r="AP10" s="173"/>
      <c r="AQ10" s="173"/>
      <c r="AR10" s="168"/>
    </row>
    <row r="11" spans="2:44" s="169" customFormat="1" ht="14.85" customHeight="1">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c r="AP11" s="173"/>
      <c r="AQ11" s="168"/>
      <c r="AR11" s="168"/>
    </row>
    <row r="12" spans="2:44" s="169" customFormat="1" ht="14.85" customHeight="1">
      <c r="B12" s="182"/>
      <c r="C12" s="238" t="s">
        <v>112</v>
      </c>
      <c r="D12" s="393"/>
      <c r="E12" s="393"/>
      <c r="F12" s="393"/>
      <c r="G12" s="393"/>
      <c r="H12" s="393"/>
      <c r="I12" s="393"/>
      <c r="J12" s="393"/>
      <c r="K12" s="393"/>
      <c r="L12" s="393"/>
      <c r="M12" s="393"/>
      <c r="N12" s="393"/>
      <c r="O12" s="393"/>
      <c r="P12" s="393"/>
      <c r="Q12" s="393"/>
      <c r="R12" s="393"/>
      <c r="S12" s="393"/>
      <c r="T12" s="393"/>
      <c r="U12" s="393"/>
      <c r="V12" s="393"/>
      <c r="W12" s="393"/>
      <c r="X12" s="393"/>
      <c r="Y12" s="393"/>
      <c r="Z12" s="393"/>
      <c r="AA12" s="393"/>
      <c r="AB12" s="393"/>
      <c r="AC12" s="393"/>
      <c r="AD12" s="393"/>
      <c r="AE12" s="393"/>
      <c r="AF12" s="393"/>
      <c r="AG12" s="393"/>
      <c r="AH12" s="393"/>
      <c r="AI12" s="393"/>
      <c r="AJ12" s="393"/>
      <c r="AK12" s="393"/>
      <c r="AL12" s="393"/>
      <c r="AM12" s="393"/>
      <c r="AN12" s="184"/>
      <c r="AO12" s="168"/>
      <c r="AP12" s="168"/>
      <c r="AQ12" s="168"/>
      <c r="AR12" s="168"/>
    </row>
    <row r="13" spans="2:44" s="169" customFormat="1" ht="14.85" customHeight="1">
      <c r="B13" s="182"/>
      <c r="C13" s="393"/>
      <c r="D13" s="393"/>
      <c r="E13" s="393"/>
      <c r="F13" s="393"/>
      <c r="G13" s="393"/>
      <c r="H13" s="393"/>
      <c r="I13" s="393"/>
      <c r="J13" s="393"/>
      <c r="K13" s="393"/>
      <c r="L13" s="393"/>
      <c r="M13" s="393"/>
      <c r="N13" s="393"/>
      <c r="O13" s="393"/>
      <c r="P13" s="393"/>
      <c r="Q13" s="393"/>
      <c r="R13" s="393"/>
      <c r="S13" s="393"/>
      <c r="T13" s="393"/>
      <c r="U13" s="393"/>
      <c r="V13" s="393"/>
      <c r="W13" s="393"/>
      <c r="X13" s="393"/>
      <c r="Y13" s="393"/>
      <c r="Z13" s="393"/>
      <c r="AA13" s="393"/>
      <c r="AB13" s="393"/>
      <c r="AC13" s="393"/>
      <c r="AD13" s="393"/>
      <c r="AE13" s="393"/>
      <c r="AF13" s="393"/>
      <c r="AG13" s="393"/>
      <c r="AH13" s="393"/>
      <c r="AI13" s="393"/>
      <c r="AJ13" s="393"/>
      <c r="AK13" s="393"/>
      <c r="AL13" s="393"/>
      <c r="AM13" s="393"/>
      <c r="AN13" s="184"/>
      <c r="AO13" s="168"/>
      <c r="AP13" s="168"/>
      <c r="AQ13" s="168"/>
      <c r="AR13" s="168"/>
    </row>
    <row r="14" spans="2:44" s="169" customFormat="1" ht="14.85" customHeight="1">
      <c r="B14" s="182"/>
      <c r="C14" s="393"/>
      <c r="D14" s="393"/>
      <c r="E14" s="393"/>
      <c r="F14" s="393"/>
      <c r="G14" s="393"/>
      <c r="H14" s="393"/>
      <c r="I14" s="393"/>
      <c r="J14" s="393"/>
      <c r="K14" s="393"/>
      <c r="L14" s="393"/>
      <c r="M14" s="393"/>
      <c r="N14" s="393"/>
      <c r="O14" s="393"/>
      <c r="P14" s="393"/>
      <c r="Q14" s="393"/>
      <c r="R14" s="393"/>
      <c r="S14" s="393"/>
      <c r="T14" s="393"/>
      <c r="U14" s="393"/>
      <c r="V14" s="393"/>
      <c r="W14" s="393"/>
      <c r="X14" s="393"/>
      <c r="Y14" s="393"/>
      <c r="Z14" s="393"/>
      <c r="AA14" s="393"/>
      <c r="AB14" s="393"/>
      <c r="AC14" s="393"/>
      <c r="AD14" s="393"/>
      <c r="AE14" s="393"/>
      <c r="AF14" s="393"/>
      <c r="AG14" s="393"/>
      <c r="AH14" s="393"/>
      <c r="AI14" s="393"/>
      <c r="AJ14" s="393"/>
      <c r="AK14" s="393"/>
      <c r="AL14" s="393"/>
      <c r="AM14" s="393"/>
      <c r="AN14" s="184"/>
      <c r="AO14" s="168"/>
      <c r="AP14" s="168"/>
      <c r="AQ14" s="168"/>
      <c r="AR14" s="168"/>
    </row>
    <row r="15" spans="2:44" s="169" customFormat="1" ht="14.85" customHeight="1">
      <c r="B15" s="182"/>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4"/>
      <c r="AO15" s="168"/>
      <c r="AP15" s="168"/>
      <c r="AQ15" s="168"/>
      <c r="AR15" s="168"/>
    </row>
    <row r="16" spans="2:44" s="169" customFormat="1" ht="14.85" customHeight="1">
      <c r="B16" s="182"/>
      <c r="C16" s="238" t="s">
        <v>113</v>
      </c>
      <c r="D16" s="393"/>
      <c r="E16" s="393"/>
      <c r="F16" s="393"/>
      <c r="G16" s="393"/>
      <c r="H16" s="393"/>
      <c r="I16" s="393"/>
      <c r="J16" s="393"/>
      <c r="K16" s="393"/>
      <c r="L16" s="393"/>
      <c r="M16" s="393"/>
      <c r="N16" s="393"/>
      <c r="O16" s="393"/>
      <c r="P16" s="393"/>
      <c r="Q16" s="393"/>
      <c r="R16" s="393"/>
      <c r="S16" s="393"/>
      <c r="T16" s="393"/>
      <c r="U16" s="393"/>
      <c r="V16" s="393"/>
      <c r="W16" s="393"/>
      <c r="X16" s="393"/>
      <c r="Y16" s="393"/>
      <c r="Z16" s="393"/>
      <c r="AA16" s="393"/>
      <c r="AB16" s="393"/>
      <c r="AC16" s="393"/>
      <c r="AD16" s="393"/>
      <c r="AE16" s="393"/>
      <c r="AF16" s="393"/>
      <c r="AG16" s="393"/>
      <c r="AH16" s="393"/>
      <c r="AI16" s="393"/>
      <c r="AJ16" s="393"/>
      <c r="AK16" s="393"/>
      <c r="AL16" s="393"/>
      <c r="AM16" s="393"/>
      <c r="AN16" s="184"/>
      <c r="AO16" s="168"/>
      <c r="AP16" s="168"/>
      <c r="AQ16" s="168"/>
      <c r="AR16" s="168"/>
    </row>
    <row r="17" spans="2:44" s="169" customFormat="1" ht="14.85" customHeight="1">
      <c r="B17" s="182"/>
      <c r="C17" s="393"/>
      <c r="D17" s="393"/>
      <c r="E17" s="393"/>
      <c r="F17" s="393"/>
      <c r="G17" s="393"/>
      <c r="H17" s="393"/>
      <c r="I17" s="393"/>
      <c r="J17" s="393"/>
      <c r="K17" s="393"/>
      <c r="L17" s="393"/>
      <c r="M17" s="393"/>
      <c r="N17" s="393"/>
      <c r="O17" s="393"/>
      <c r="P17" s="393"/>
      <c r="Q17" s="393"/>
      <c r="R17" s="393"/>
      <c r="S17" s="393"/>
      <c r="T17" s="393"/>
      <c r="U17" s="393"/>
      <c r="V17" s="393"/>
      <c r="W17" s="393"/>
      <c r="X17" s="393"/>
      <c r="Y17" s="393"/>
      <c r="Z17" s="393"/>
      <c r="AA17" s="393"/>
      <c r="AB17" s="393"/>
      <c r="AC17" s="393"/>
      <c r="AD17" s="393"/>
      <c r="AE17" s="393"/>
      <c r="AF17" s="393"/>
      <c r="AG17" s="393"/>
      <c r="AH17" s="393"/>
      <c r="AI17" s="393"/>
      <c r="AJ17" s="393"/>
      <c r="AK17" s="393"/>
      <c r="AL17" s="393"/>
      <c r="AM17" s="393"/>
      <c r="AN17" s="184"/>
      <c r="AO17" s="168"/>
      <c r="AP17" s="168"/>
      <c r="AQ17" s="168"/>
      <c r="AR17" s="168"/>
    </row>
    <row r="18" spans="2:44" s="169" customFormat="1" ht="14.85" customHeight="1">
      <c r="B18" s="182"/>
      <c r="C18" s="393"/>
      <c r="D18" s="393"/>
      <c r="E18" s="393"/>
      <c r="F18" s="393"/>
      <c r="G18" s="393"/>
      <c r="H18" s="393"/>
      <c r="I18" s="393"/>
      <c r="J18" s="393"/>
      <c r="K18" s="393"/>
      <c r="L18" s="393"/>
      <c r="M18" s="393"/>
      <c r="N18" s="393"/>
      <c r="O18" s="393"/>
      <c r="P18" s="393"/>
      <c r="Q18" s="393"/>
      <c r="R18" s="393"/>
      <c r="S18" s="393"/>
      <c r="T18" s="393"/>
      <c r="U18" s="393"/>
      <c r="V18" s="393"/>
      <c r="W18" s="393"/>
      <c r="X18" s="393"/>
      <c r="Y18" s="393"/>
      <c r="Z18" s="393"/>
      <c r="AA18" s="393"/>
      <c r="AB18" s="393"/>
      <c r="AC18" s="393"/>
      <c r="AD18" s="393"/>
      <c r="AE18" s="393"/>
      <c r="AF18" s="393"/>
      <c r="AG18" s="393"/>
      <c r="AH18" s="393"/>
      <c r="AI18" s="393"/>
      <c r="AJ18" s="393"/>
      <c r="AK18" s="393"/>
      <c r="AL18" s="393"/>
      <c r="AM18" s="393"/>
      <c r="AN18" s="184"/>
      <c r="AO18" s="168"/>
      <c r="AP18" s="168"/>
      <c r="AQ18" s="168"/>
      <c r="AR18" s="168"/>
    </row>
    <row r="19" spans="2:44" s="169" customFormat="1" ht="14.85" customHeight="1">
      <c r="B19" s="182"/>
      <c r="C19" s="393"/>
      <c r="D19" s="393"/>
      <c r="E19" s="393"/>
      <c r="F19" s="393"/>
      <c r="G19" s="393"/>
      <c r="H19" s="393"/>
      <c r="I19" s="393"/>
      <c r="J19" s="393"/>
      <c r="K19" s="393"/>
      <c r="L19" s="393"/>
      <c r="M19" s="393"/>
      <c r="N19" s="393"/>
      <c r="O19" s="393"/>
      <c r="P19" s="393"/>
      <c r="Q19" s="393"/>
      <c r="R19" s="393"/>
      <c r="S19" s="393"/>
      <c r="T19" s="393"/>
      <c r="U19" s="393"/>
      <c r="V19" s="393"/>
      <c r="W19" s="393"/>
      <c r="X19" s="393"/>
      <c r="Y19" s="393"/>
      <c r="Z19" s="393"/>
      <c r="AA19" s="393"/>
      <c r="AB19" s="393"/>
      <c r="AC19" s="393"/>
      <c r="AD19" s="393"/>
      <c r="AE19" s="393"/>
      <c r="AF19" s="393"/>
      <c r="AG19" s="393"/>
      <c r="AH19" s="393"/>
      <c r="AI19" s="393"/>
      <c r="AJ19" s="393"/>
      <c r="AK19" s="393"/>
      <c r="AL19" s="393"/>
      <c r="AM19" s="393"/>
      <c r="AN19" s="184"/>
      <c r="AO19" s="168"/>
      <c r="AP19" s="168"/>
      <c r="AQ19" s="168"/>
      <c r="AR19" s="168"/>
    </row>
    <row r="20" spans="2:44" s="169" customFormat="1" ht="14.85" customHeight="1">
      <c r="B20" s="182"/>
      <c r="C20" s="393"/>
      <c r="D20" s="393"/>
      <c r="E20" s="393"/>
      <c r="F20" s="393"/>
      <c r="G20" s="393"/>
      <c r="H20" s="393"/>
      <c r="I20" s="393"/>
      <c r="J20" s="393"/>
      <c r="K20" s="393"/>
      <c r="L20" s="393"/>
      <c r="M20" s="393"/>
      <c r="N20" s="393"/>
      <c r="O20" s="393"/>
      <c r="P20" s="393"/>
      <c r="Q20" s="393"/>
      <c r="R20" s="393"/>
      <c r="S20" s="393"/>
      <c r="T20" s="393"/>
      <c r="U20" s="393"/>
      <c r="V20" s="393"/>
      <c r="W20" s="393"/>
      <c r="X20" s="393"/>
      <c r="Y20" s="393"/>
      <c r="Z20" s="393"/>
      <c r="AA20" s="393"/>
      <c r="AB20" s="393"/>
      <c r="AC20" s="393"/>
      <c r="AD20" s="393"/>
      <c r="AE20" s="393"/>
      <c r="AF20" s="393"/>
      <c r="AG20" s="393"/>
      <c r="AH20" s="393"/>
      <c r="AI20" s="393"/>
      <c r="AJ20" s="393"/>
      <c r="AK20" s="393"/>
      <c r="AL20" s="393"/>
      <c r="AM20" s="393"/>
      <c r="AN20" s="184"/>
      <c r="AO20" s="168"/>
      <c r="AP20" s="168"/>
      <c r="AQ20" s="168"/>
      <c r="AR20" s="168"/>
    </row>
    <row r="21" spans="2:44" s="169" customFormat="1" ht="14.85" customHeight="1">
      <c r="B21" s="182"/>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4"/>
      <c r="AO21" s="168"/>
      <c r="AP21" s="168"/>
      <c r="AQ21" s="168"/>
      <c r="AR21" s="168"/>
    </row>
    <row r="22" spans="2:44" s="169" customFormat="1" ht="14.85" customHeight="1">
      <c r="B22" s="182"/>
      <c r="C22" s="238" t="s">
        <v>114</v>
      </c>
      <c r="D22" s="393"/>
      <c r="E22" s="393"/>
      <c r="F22" s="393"/>
      <c r="G22" s="393"/>
      <c r="H22" s="393"/>
      <c r="I22" s="393"/>
      <c r="J22" s="393"/>
      <c r="K22" s="393"/>
      <c r="L22" s="393"/>
      <c r="M22" s="393"/>
      <c r="N22" s="393"/>
      <c r="O22" s="393"/>
      <c r="P22" s="393"/>
      <c r="Q22" s="393"/>
      <c r="R22" s="393"/>
      <c r="S22" s="393"/>
      <c r="T22" s="393"/>
      <c r="U22" s="393"/>
      <c r="V22" s="393"/>
      <c r="W22" s="393"/>
      <c r="X22" s="393"/>
      <c r="Y22" s="393"/>
      <c r="Z22" s="393"/>
      <c r="AA22" s="393"/>
      <c r="AB22" s="393"/>
      <c r="AC22" s="393"/>
      <c r="AD22" s="393"/>
      <c r="AE22" s="393"/>
      <c r="AF22" s="393"/>
      <c r="AG22" s="393"/>
      <c r="AH22" s="393"/>
      <c r="AI22" s="393"/>
      <c r="AJ22" s="393"/>
      <c r="AK22" s="393"/>
      <c r="AL22" s="393"/>
      <c r="AM22" s="393"/>
      <c r="AN22" s="184"/>
      <c r="AO22" s="168"/>
      <c r="AP22" s="168"/>
      <c r="AQ22" s="168"/>
      <c r="AR22" s="168"/>
    </row>
    <row r="23" spans="2:44" s="169" customFormat="1" ht="14.85" customHeight="1">
      <c r="B23" s="182"/>
      <c r="C23" s="393"/>
      <c r="D23" s="393"/>
      <c r="E23" s="393"/>
      <c r="F23" s="393"/>
      <c r="G23" s="393"/>
      <c r="H23" s="393"/>
      <c r="I23" s="393"/>
      <c r="J23" s="393"/>
      <c r="K23" s="393"/>
      <c r="L23" s="393"/>
      <c r="M23" s="393"/>
      <c r="N23" s="393"/>
      <c r="O23" s="393"/>
      <c r="P23" s="393"/>
      <c r="Q23" s="393"/>
      <c r="R23" s="393"/>
      <c r="S23" s="393"/>
      <c r="T23" s="393"/>
      <c r="U23" s="393"/>
      <c r="V23" s="393"/>
      <c r="W23" s="393"/>
      <c r="X23" s="393"/>
      <c r="Y23" s="393"/>
      <c r="Z23" s="393"/>
      <c r="AA23" s="393"/>
      <c r="AB23" s="393"/>
      <c r="AC23" s="393"/>
      <c r="AD23" s="393"/>
      <c r="AE23" s="393"/>
      <c r="AF23" s="393"/>
      <c r="AG23" s="393"/>
      <c r="AH23" s="393"/>
      <c r="AI23" s="393"/>
      <c r="AJ23" s="393"/>
      <c r="AK23" s="393"/>
      <c r="AL23" s="393"/>
      <c r="AM23" s="393"/>
      <c r="AN23" s="184"/>
      <c r="AO23" s="168"/>
      <c r="AP23" s="168"/>
      <c r="AQ23" s="168"/>
      <c r="AR23" s="168"/>
    </row>
    <row r="24" spans="2:44" s="169" customFormat="1" ht="14.85" customHeight="1">
      <c r="B24" s="182"/>
      <c r="C24" s="393"/>
      <c r="D24" s="393"/>
      <c r="E24" s="393"/>
      <c r="F24" s="393"/>
      <c r="G24" s="393"/>
      <c r="H24" s="393"/>
      <c r="I24" s="393"/>
      <c r="J24" s="393"/>
      <c r="K24" s="393"/>
      <c r="L24" s="393"/>
      <c r="M24" s="393"/>
      <c r="N24" s="393"/>
      <c r="O24" s="393"/>
      <c r="P24" s="393"/>
      <c r="Q24" s="393"/>
      <c r="R24" s="393"/>
      <c r="S24" s="393"/>
      <c r="T24" s="393"/>
      <c r="U24" s="393"/>
      <c r="V24" s="393"/>
      <c r="W24" s="393"/>
      <c r="X24" s="393"/>
      <c r="Y24" s="393"/>
      <c r="Z24" s="393"/>
      <c r="AA24" s="393"/>
      <c r="AB24" s="393"/>
      <c r="AC24" s="393"/>
      <c r="AD24" s="393"/>
      <c r="AE24" s="393"/>
      <c r="AF24" s="393"/>
      <c r="AG24" s="393"/>
      <c r="AH24" s="393"/>
      <c r="AI24" s="393"/>
      <c r="AJ24" s="393"/>
      <c r="AK24" s="393"/>
      <c r="AL24" s="393"/>
      <c r="AM24" s="393"/>
      <c r="AN24" s="184"/>
      <c r="AO24" s="168"/>
      <c r="AP24" s="168"/>
      <c r="AQ24" s="168"/>
      <c r="AR24" s="168"/>
    </row>
    <row r="25" spans="2:44" s="169" customFormat="1" ht="14.85" customHeight="1">
      <c r="B25" s="182"/>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4"/>
      <c r="AO25" s="168"/>
      <c r="AP25" s="168"/>
      <c r="AQ25" s="168"/>
      <c r="AR25" s="168"/>
    </row>
    <row r="26" spans="2:44" s="169" customFormat="1" ht="14.85" customHeight="1">
      <c r="B26" s="182"/>
      <c r="C26" s="204"/>
      <c r="D26" s="204"/>
      <c r="E26" s="204"/>
      <c r="F26" s="204"/>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c r="AG26" s="204"/>
      <c r="AH26" s="204"/>
      <c r="AI26" s="204"/>
      <c r="AJ26" s="204"/>
      <c r="AK26" s="204"/>
      <c r="AL26" s="204"/>
      <c r="AM26" s="204"/>
      <c r="AN26" s="184"/>
      <c r="AO26" s="168"/>
      <c r="AP26" s="168"/>
      <c r="AQ26" s="168"/>
      <c r="AR26" s="168"/>
    </row>
    <row r="27" spans="2:44" s="169" customFormat="1" ht="14.85" customHeight="1">
      <c r="B27" s="182"/>
      <c r="C27" s="204"/>
      <c r="D27" s="204"/>
      <c r="E27" s="204"/>
      <c r="F27" s="204"/>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184"/>
      <c r="AO27" s="168"/>
      <c r="AP27" s="168"/>
      <c r="AQ27" s="168"/>
      <c r="AR27" s="168"/>
    </row>
    <row r="28" spans="2:44" s="169" customFormat="1" ht="14.85" customHeight="1">
      <c r="B28" s="182"/>
      <c r="C28" s="204"/>
      <c r="D28" s="204"/>
      <c r="E28" s="204"/>
      <c r="F28" s="204"/>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c r="AG28" s="204"/>
      <c r="AH28" s="204"/>
      <c r="AI28" s="204"/>
      <c r="AJ28" s="204"/>
      <c r="AK28" s="204"/>
      <c r="AL28" s="204"/>
      <c r="AM28" s="204"/>
      <c r="AN28" s="184"/>
      <c r="AO28" s="168"/>
      <c r="AP28" s="168"/>
      <c r="AQ28" s="168"/>
      <c r="AR28" s="168"/>
    </row>
    <row r="29" spans="2:44" s="169" customFormat="1" ht="14.85" customHeight="1">
      <c r="B29" s="182"/>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4"/>
      <c r="AO29" s="168"/>
      <c r="AP29" s="168"/>
      <c r="AQ29" s="168"/>
      <c r="AR29" s="168"/>
    </row>
    <row r="30" spans="2:44" s="169" customFormat="1" ht="14.85" customHeight="1">
      <c r="B30" s="182"/>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4"/>
      <c r="AO30" s="168"/>
      <c r="AP30" s="168"/>
      <c r="AQ30" s="168"/>
      <c r="AR30" s="168"/>
    </row>
    <row r="31" spans="2:44" s="169" customFormat="1" ht="14.85" customHeight="1">
      <c r="B31" s="182"/>
      <c r="C31" s="183"/>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4"/>
      <c r="AO31" s="168"/>
      <c r="AP31" s="168"/>
      <c r="AQ31" s="168"/>
      <c r="AR31" s="168"/>
    </row>
    <row r="32" spans="2:44" s="169" customFormat="1" ht="14.85" customHeight="1">
      <c r="B32" s="182"/>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4"/>
      <c r="AO32" s="168"/>
      <c r="AP32" s="168"/>
      <c r="AQ32" s="168"/>
      <c r="AR32" s="168"/>
    </row>
    <row r="33" spans="2:44" s="169" customFormat="1" ht="14.85" customHeight="1">
      <c r="B33" s="182"/>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4"/>
      <c r="AO33" s="168"/>
      <c r="AP33" s="168"/>
      <c r="AQ33" s="168"/>
      <c r="AR33" s="168"/>
    </row>
    <row r="34" spans="2:44" s="169" customFormat="1" ht="14.85" customHeight="1">
      <c r="B34" s="182"/>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4"/>
      <c r="AO34" s="168"/>
      <c r="AP34" s="168"/>
      <c r="AQ34" s="168"/>
      <c r="AR34" s="168"/>
    </row>
    <row r="35" spans="2:44" s="169" customFormat="1" ht="14.85" customHeight="1">
      <c r="B35" s="182"/>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4"/>
      <c r="AO35" s="168"/>
      <c r="AP35" s="168"/>
      <c r="AQ35" s="168"/>
      <c r="AR35" s="168"/>
    </row>
    <row r="36" spans="2:44" s="169" customFormat="1" ht="14.85" customHeight="1">
      <c r="B36" s="182"/>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4"/>
      <c r="AO36" s="168"/>
      <c r="AP36" s="168"/>
      <c r="AQ36" s="168"/>
      <c r="AR36" s="168"/>
    </row>
    <row r="37" spans="2:44" s="169" customFormat="1" ht="14.85" customHeight="1">
      <c r="B37" s="182"/>
      <c r="C37" s="183"/>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4"/>
      <c r="AO37" s="168"/>
      <c r="AP37" s="168"/>
      <c r="AQ37" s="168"/>
      <c r="AR37" s="168"/>
    </row>
    <row r="38" spans="2:44" s="169" customFormat="1" ht="14.85" customHeight="1">
      <c r="B38" s="182"/>
      <c r="C38" s="183"/>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4"/>
      <c r="AO38" s="168"/>
      <c r="AP38" s="168"/>
      <c r="AQ38" s="168"/>
      <c r="AR38" s="168"/>
    </row>
    <row r="39" spans="2:44" s="169" customFormat="1" ht="14.85" customHeight="1">
      <c r="B39" s="182"/>
      <c r="C39" s="183"/>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4"/>
      <c r="AO39" s="168"/>
      <c r="AP39" s="168"/>
      <c r="AQ39" s="168"/>
      <c r="AR39" s="168"/>
    </row>
    <row r="40" spans="2:44" s="169" customFormat="1" ht="14.85" customHeight="1">
      <c r="B40" s="182"/>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4"/>
      <c r="AO40" s="168"/>
      <c r="AP40" s="168"/>
      <c r="AQ40" s="168"/>
      <c r="AR40" s="168"/>
    </row>
    <row r="41" spans="2:44" s="169" customFormat="1" ht="14.85" customHeight="1">
      <c r="B41" s="182"/>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4"/>
      <c r="AO41" s="168"/>
      <c r="AP41" s="168"/>
      <c r="AQ41" s="168"/>
      <c r="AR41" s="168"/>
    </row>
    <row r="42" spans="2:44" s="169" customFormat="1" ht="14.85" customHeight="1">
      <c r="B42" s="182"/>
      <c r="C42" s="183"/>
      <c r="D42" s="183"/>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4"/>
      <c r="AO42" s="168"/>
      <c r="AP42" s="168"/>
      <c r="AQ42" s="168"/>
      <c r="AR42" s="168"/>
    </row>
    <row r="43" spans="2:44" s="169" customFormat="1" ht="14.85" customHeight="1">
      <c r="B43" s="182"/>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4"/>
      <c r="AO43" s="168"/>
      <c r="AP43" s="168"/>
      <c r="AQ43" s="168"/>
      <c r="AR43" s="168"/>
    </row>
    <row r="44" spans="2:44" s="169" customFormat="1" ht="14.85" customHeight="1">
      <c r="B44" s="182"/>
      <c r="C44" s="183"/>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4"/>
      <c r="AO44" s="168"/>
      <c r="AP44" s="168"/>
      <c r="AQ44" s="168"/>
      <c r="AR44" s="168"/>
    </row>
    <row r="45" spans="2:44" s="169" customFormat="1" ht="14.85" customHeight="1">
      <c r="B45" s="182"/>
      <c r="C45" s="183"/>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4"/>
      <c r="AO45" s="168"/>
      <c r="AP45" s="168"/>
      <c r="AQ45" s="168"/>
      <c r="AR45" s="168"/>
    </row>
    <row r="46" spans="2:44" s="169" customFormat="1" ht="14.85" customHeight="1">
      <c r="B46" s="182"/>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4"/>
      <c r="AO46" s="168"/>
      <c r="AP46" s="168"/>
      <c r="AQ46" s="168"/>
      <c r="AR46" s="168"/>
    </row>
    <row r="47" spans="2:44" s="169" customFormat="1" ht="14.85" customHeight="1">
      <c r="B47" s="182"/>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4"/>
      <c r="AO47" s="168"/>
      <c r="AP47" s="168"/>
      <c r="AQ47" s="168"/>
      <c r="AR47" s="168"/>
    </row>
    <row r="48" spans="2:44" s="169" customFormat="1" ht="14.85" customHeight="1">
      <c r="B48" s="182"/>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4"/>
      <c r="AO48" s="168"/>
      <c r="AP48" s="168"/>
      <c r="AQ48" s="168"/>
      <c r="AR48" s="168"/>
    </row>
    <row r="49" spans="2:50" s="168" customFormat="1" ht="14.85" customHeight="1">
      <c r="B49" s="190"/>
      <c r="C49" s="191"/>
      <c r="D49" s="191"/>
      <c r="E49" s="191"/>
      <c r="F49" s="191"/>
      <c r="G49" s="191"/>
      <c r="H49" s="191"/>
      <c r="I49" s="191"/>
      <c r="J49" s="191"/>
      <c r="K49" s="191"/>
      <c r="L49" s="191"/>
      <c r="M49" s="191"/>
      <c r="N49" s="191"/>
      <c r="O49" s="191"/>
      <c r="P49" s="191"/>
      <c r="Q49" s="191"/>
      <c r="R49" s="191"/>
      <c r="S49" s="191"/>
      <c r="T49" s="191"/>
      <c r="U49" s="191"/>
      <c r="V49" s="191"/>
      <c r="W49" s="191"/>
      <c r="X49" s="191"/>
      <c r="Y49" s="191"/>
      <c r="Z49" s="191"/>
      <c r="AA49" s="191"/>
      <c r="AB49" s="191"/>
      <c r="AC49" s="191"/>
      <c r="AD49" s="191"/>
      <c r="AE49" s="191"/>
      <c r="AF49" s="191"/>
      <c r="AG49" s="191"/>
      <c r="AH49" s="191"/>
      <c r="AI49" s="191"/>
      <c r="AJ49" s="191"/>
      <c r="AK49" s="191"/>
      <c r="AL49" s="191"/>
      <c r="AM49" s="191"/>
      <c r="AN49" s="192"/>
      <c r="AS49" s="169"/>
      <c r="AT49" s="169"/>
      <c r="AU49" s="169"/>
      <c r="AV49" s="169"/>
      <c r="AW49" s="169"/>
      <c r="AX49" s="169"/>
    </row>
    <row r="50" spans="2:50" s="168" customFormat="1" ht="36" customHeight="1">
      <c r="B50"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R50" s="169"/>
      <c r="AS50" s="169"/>
      <c r="AT50" s="169"/>
      <c r="AU50" s="169"/>
      <c r="AV50" s="169"/>
      <c r="AW50" s="169"/>
    </row>
    <row r="51" spans="2:50" s="168" customFormat="1" ht="15">
      <c r="AR51" s="169"/>
      <c r="AS51" s="169"/>
      <c r="AT51" s="169"/>
      <c r="AU51" s="169"/>
      <c r="AV51" s="169"/>
      <c r="AW51" s="169"/>
    </row>
    <row r="52" spans="2:50" s="168" customFormat="1" ht="15">
      <c r="AR52" s="169"/>
      <c r="AS52" s="169"/>
      <c r="AT52" s="169"/>
      <c r="AU52" s="169"/>
      <c r="AV52" s="169"/>
      <c r="AW52" s="169"/>
    </row>
    <row r="53" spans="2:50" s="110" customFormat="1">
      <c r="AR53" s="33"/>
      <c r="AS53" s="33"/>
      <c r="AT53" s="33"/>
      <c r="AU53" s="33"/>
      <c r="AV53" s="33"/>
      <c r="AW53" s="33"/>
    </row>
    <row r="54" spans="2:50" s="110" customFormat="1">
      <c r="AR54" s="33"/>
      <c r="AS54" s="33"/>
      <c r="AT54" s="33"/>
      <c r="AU54" s="33"/>
      <c r="AV54" s="33"/>
      <c r="AW54" s="33"/>
    </row>
    <row r="55" spans="2:50" s="110" customFormat="1">
      <c r="AR55" s="33"/>
      <c r="AS55" s="33"/>
      <c r="AT55" s="33"/>
      <c r="AU55" s="33"/>
      <c r="AV55" s="33"/>
      <c r="AW55" s="33"/>
    </row>
    <row r="56" spans="2:50" s="110" customFormat="1">
      <c r="AR56" s="33"/>
      <c r="AS56" s="33"/>
      <c r="AT56" s="33"/>
      <c r="AU56" s="33"/>
      <c r="AV56" s="33"/>
      <c r="AW56" s="33"/>
    </row>
    <row r="57" spans="2:50" s="110" customFormat="1">
      <c r="AR57" s="33"/>
      <c r="AS57" s="33"/>
      <c r="AT57" s="33"/>
      <c r="AU57" s="33"/>
      <c r="AV57" s="33"/>
      <c r="AW57" s="33"/>
    </row>
    <row r="58" spans="2:50" s="110" customFormat="1">
      <c r="AR58" s="33"/>
      <c r="AS58" s="33"/>
      <c r="AT58" s="33"/>
      <c r="AU58" s="33"/>
      <c r="AV58" s="33"/>
      <c r="AW58" s="33"/>
    </row>
    <row r="59" spans="2:50" s="110" customFormat="1">
      <c r="AR59" s="33"/>
      <c r="AS59" s="33"/>
      <c r="AT59" s="33"/>
      <c r="AU59" s="33"/>
      <c r="AV59" s="33"/>
      <c r="AW59" s="33"/>
    </row>
    <row r="60" spans="2:50" s="110" customFormat="1">
      <c r="AR60" s="33"/>
      <c r="AS60" s="33"/>
      <c r="AT60" s="33"/>
      <c r="AU60" s="33"/>
      <c r="AV60" s="33"/>
      <c r="AW60" s="33"/>
    </row>
    <row r="61" spans="2:50" s="110" customFormat="1">
      <c r="AR61" s="33"/>
      <c r="AS61" s="33"/>
      <c r="AT61" s="33"/>
      <c r="AU61" s="33"/>
      <c r="AV61" s="33"/>
      <c r="AW61" s="33"/>
    </row>
    <row r="62" spans="2:50" s="110" customFormat="1">
      <c r="AR62" s="33"/>
      <c r="AS62" s="33"/>
      <c r="AT62" s="33"/>
      <c r="AU62" s="33"/>
      <c r="AV62" s="33"/>
      <c r="AW62" s="33"/>
    </row>
    <row r="63" spans="2:50" s="110" customFormat="1">
      <c r="AR63" s="33"/>
      <c r="AS63" s="33"/>
      <c r="AT63" s="33"/>
      <c r="AU63" s="33"/>
      <c r="AV63" s="33"/>
      <c r="AW63" s="33"/>
    </row>
    <row r="64" spans="2:50" s="110" customFormat="1">
      <c r="AR64" s="33"/>
      <c r="AS64" s="33"/>
      <c r="AT64" s="33"/>
      <c r="AU64" s="33"/>
      <c r="AV64" s="33"/>
      <c r="AW64" s="33"/>
    </row>
    <row r="65" spans="44:49" s="110" customFormat="1">
      <c r="AR65" s="33"/>
      <c r="AS65" s="33"/>
      <c r="AT65" s="33"/>
      <c r="AU65" s="33"/>
      <c r="AV65" s="33"/>
      <c r="AW65" s="33"/>
    </row>
    <row r="66" spans="44:49" s="110" customFormat="1">
      <c r="AR66" s="33"/>
      <c r="AS66" s="33"/>
      <c r="AT66" s="33"/>
      <c r="AU66" s="33"/>
      <c r="AV66" s="33"/>
      <c r="AW66" s="33"/>
    </row>
    <row r="67" spans="44:49" s="110" customFormat="1">
      <c r="AR67" s="33"/>
      <c r="AS67" s="33"/>
      <c r="AT67" s="33"/>
      <c r="AU67" s="33"/>
      <c r="AV67" s="33"/>
      <c r="AW67" s="33"/>
    </row>
    <row r="68" spans="44:49" s="110" customFormat="1">
      <c r="AR68" s="33"/>
      <c r="AS68" s="33"/>
      <c r="AT68" s="33"/>
      <c r="AU68" s="33"/>
      <c r="AV68" s="33"/>
      <c r="AW68" s="33"/>
    </row>
    <row r="69" spans="44:49" s="110" customFormat="1">
      <c r="AR69" s="33"/>
      <c r="AS69" s="33"/>
      <c r="AT69" s="33"/>
      <c r="AU69" s="33"/>
      <c r="AV69" s="33"/>
      <c r="AW69" s="33"/>
    </row>
    <row r="70" spans="44:49" s="110" customFormat="1">
      <c r="AR70" s="33"/>
      <c r="AS70" s="33"/>
      <c r="AT70" s="33"/>
      <c r="AU70" s="33"/>
      <c r="AV70" s="33"/>
      <c r="AW70" s="33"/>
    </row>
    <row r="71" spans="44:49" s="110" customFormat="1">
      <c r="AR71" s="33"/>
      <c r="AS71" s="33"/>
      <c r="AT71" s="33"/>
      <c r="AU71" s="33"/>
      <c r="AV71" s="33"/>
      <c r="AW71" s="33"/>
    </row>
    <row r="72" spans="44:49" s="110" customFormat="1">
      <c r="AR72" s="33"/>
      <c r="AS72" s="33"/>
      <c r="AT72" s="33"/>
      <c r="AU72" s="33"/>
      <c r="AV72" s="33"/>
      <c r="AW72" s="33"/>
    </row>
  </sheetData>
  <mergeCells count="50">
    <mergeCell ref="C22:AM24"/>
    <mergeCell ref="B50:AN50"/>
    <mergeCell ref="T8:W8"/>
    <mergeCell ref="X8:AA8"/>
    <mergeCell ref="AB8:AC8"/>
    <mergeCell ref="AD8:AF8"/>
    <mergeCell ref="AG8:AJ8"/>
    <mergeCell ref="AK8:AN8"/>
    <mergeCell ref="B8:C8"/>
    <mergeCell ref="D8:F8"/>
    <mergeCell ref="G8:J8"/>
    <mergeCell ref="K8:N8"/>
    <mergeCell ref="O8:P8"/>
    <mergeCell ref="Q8:S8"/>
    <mergeCell ref="C10:D10"/>
    <mergeCell ref="C12:AM14"/>
    <mergeCell ref="C16:AM20"/>
    <mergeCell ref="AK7:AN7"/>
    <mergeCell ref="B7:C7"/>
    <mergeCell ref="D7:F7"/>
    <mergeCell ref="G7:J7"/>
    <mergeCell ref="K7:N7"/>
    <mergeCell ref="O7:P7"/>
    <mergeCell ref="Q7:S7"/>
    <mergeCell ref="T7:W7"/>
    <mergeCell ref="X7:AA7"/>
    <mergeCell ref="AB7:AC7"/>
    <mergeCell ref="AD7:AF7"/>
    <mergeCell ref="AG7:AJ7"/>
    <mergeCell ref="AL6:AN6"/>
    <mergeCell ref="B4:G4"/>
    <mergeCell ref="I4:Z4"/>
    <mergeCell ref="AA4:AD4"/>
    <mergeCell ref="AE4:AN4"/>
    <mergeCell ref="B5:H5"/>
    <mergeCell ref="I5:AN5"/>
    <mergeCell ref="B6:I6"/>
    <mergeCell ref="J6:AC6"/>
    <mergeCell ref="AD6:AF6"/>
    <mergeCell ref="AG6:AI6"/>
    <mergeCell ref="AJ6:AK6"/>
    <mergeCell ref="B3:G3"/>
    <mergeCell ref="I3:Z3"/>
    <mergeCell ref="AA3:AD3"/>
    <mergeCell ref="AE3:AN3"/>
    <mergeCell ref="B1:AN1"/>
    <mergeCell ref="B2:G2"/>
    <mergeCell ref="I2:Z2"/>
    <mergeCell ref="AA2:AD2"/>
    <mergeCell ref="AE2:AN2"/>
  </mergeCells>
  <pageMargins left="0.7" right="0.7" top="0.75" bottom="0.75" header="0.3" footer="0.3"/>
  <pageSetup paperSize="9" scale="8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3" tint="0.39997558519241921"/>
  </sheetPr>
  <dimension ref="B1:AO78"/>
  <sheetViews>
    <sheetView view="pageLayout" topLeftCell="A39" zoomScaleNormal="100" zoomScaleSheetLayoutView="115" workbookViewId="0">
      <selection activeCell="B56" sqref="B56:AN56"/>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16384" width="9.140625" style="33"/>
  </cols>
  <sheetData>
    <row r="1" spans="2:41"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93"/>
    </row>
    <row r="2" spans="2:41" s="174" customFormat="1" ht="15" customHeight="1">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row>
    <row r="3" spans="2:41" s="174" customFormat="1" ht="15" customHeight="1">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row>
    <row r="4" spans="2:41" s="174" customFormat="1" ht="28.5"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row>
    <row r="5" spans="2:41" s="174" customFormat="1" ht="22.5" customHeight="1">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row>
    <row r="6" spans="2:41" s="195"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71"/>
      <c r="AH6" s="371"/>
      <c r="AI6" s="371"/>
      <c r="AJ6" s="348" t="s">
        <v>15</v>
      </c>
      <c r="AK6" s="348"/>
      <c r="AL6" s="341" t="str">
        <f>num_pages</f>
        <v>#pages</v>
      </c>
      <c r="AM6" s="341"/>
      <c r="AN6" s="342"/>
      <c r="AO6" s="194"/>
    </row>
    <row r="7" spans="2:41" s="152" customFormat="1" ht="15" customHeight="1">
      <c r="B7" s="216" t="s">
        <v>53</v>
      </c>
      <c r="C7" s="218"/>
      <c r="D7" s="216" t="s">
        <v>54</v>
      </c>
      <c r="E7" s="217"/>
      <c r="F7" s="217"/>
      <c r="G7" s="216" t="s">
        <v>56</v>
      </c>
      <c r="H7" s="217"/>
      <c r="I7" s="217"/>
      <c r="J7" s="218"/>
      <c r="K7" s="216" t="s">
        <v>57</v>
      </c>
      <c r="L7" s="217"/>
      <c r="M7" s="217"/>
      <c r="N7" s="372"/>
      <c r="O7" s="217" t="s">
        <v>53</v>
      </c>
      <c r="P7" s="218"/>
      <c r="Q7" s="216" t="s">
        <v>54</v>
      </c>
      <c r="R7" s="217"/>
      <c r="S7" s="217"/>
      <c r="T7" s="216" t="s">
        <v>56</v>
      </c>
      <c r="U7" s="217"/>
      <c r="V7" s="217"/>
      <c r="W7" s="218"/>
      <c r="X7" s="216" t="s">
        <v>57</v>
      </c>
      <c r="Y7" s="217"/>
      <c r="Z7" s="217"/>
      <c r="AA7" s="372"/>
      <c r="AB7" s="217" t="s">
        <v>53</v>
      </c>
      <c r="AC7" s="218"/>
      <c r="AD7" s="216" t="s">
        <v>54</v>
      </c>
      <c r="AE7" s="217"/>
      <c r="AF7" s="217"/>
      <c r="AG7" s="216" t="s">
        <v>56</v>
      </c>
      <c r="AH7" s="217"/>
      <c r="AI7" s="217"/>
      <c r="AJ7" s="218"/>
      <c r="AK7" s="216" t="s">
        <v>57</v>
      </c>
      <c r="AL7" s="217"/>
      <c r="AM7" s="217"/>
      <c r="AN7" s="218"/>
      <c r="AO7" s="193"/>
    </row>
    <row r="8" spans="2:41" s="196"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1"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row>
    <row r="10" spans="2:41" s="169" customFormat="1" ht="18" customHeight="1">
      <c r="B10" s="182"/>
      <c r="C10" s="365" t="str">
        <f>ToC!F17</f>
        <v>4.0</v>
      </c>
      <c r="D10" s="365"/>
      <c r="E10" s="197"/>
      <c r="F10" s="197" t="str">
        <f>ToC!H17</f>
        <v>Methodology</v>
      </c>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row>
    <row r="11" spans="2:41" s="169" customFormat="1" ht="14.85" customHeight="1">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row>
    <row r="12" spans="2:41" s="169" customFormat="1" ht="14.85" customHeight="1">
      <c r="B12" s="182"/>
      <c r="C12" s="183"/>
      <c r="D12" s="183"/>
      <c r="E12" s="394" t="s">
        <v>115</v>
      </c>
      <c r="F12" s="394"/>
      <c r="G12" s="394"/>
      <c r="H12" s="394"/>
      <c r="I12" s="394"/>
      <c r="J12" s="394"/>
      <c r="K12" s="394"/>
      <c r="L12" s="394"/>
      <c r="M12" s="394"/>
      <c r="N12" s="394"/>
      <c r="O12" s="394"/>
      <c r="P12" s="394"/>
      <c r="Q12" s="394"/>
      <c r="R12" s="394"/>
      <c r="S12" s="394"/>
      <c r="T12" s="394"/>
      <c r="U12" s="394"/>
      <c r="V12" s="394"/>
      <c r="W12" s="394"/>
      <c r="X12" s="394"/>
      <c r="Y12" s="394"/>
      <c r="Z12" s="394"/>
      <c r="AA12" s="394"/>
      <c r="AB12" s="394"/>
      <c r="AC12" s="394"/>
      <c r="AD12" s="394"/>
      <c r="AE12" s="394"/>
      <c r="AF12" s="394"/>
      <c r="AG12" s="394"/>
      <c r="AH12" s="394"/>
      <c r="AI12" s="394"/>
      <c r="AJ12" s="394"/>
      <c r="AK12" s="394"/>
      <c r="AL12" s="394"/>
      <c r="AM12" s="183"/>
      <c r="AN12" s="184"/>
      <c r="AO12" s="173"/>
    </row>
    <row r="13" spans="2:41" s="169" customFormat="1" ht="14.85" customHeight="1" thickBot="1">
      <c r="B13" s="182"/>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4"/>
      <c r="AO13" s="173"/>
    </row>
    <row r="14" spans="2:41" s="169" customFormat="1" ht="14.85" customHeight="1">
      <c r="B14" s="182"/>
      <c r="C14" s="183"/>
      <c r="D14" s="183"/>
      <c r="E14" s="410" t="s">
        <v>116</v>
      </c>
      <c r="F14" s="411"/>
      <c r="G14" s="411"/>
      <c r="H14" s="411"/>
      <c r="I14" s="411"/>
      <c r="J14" s="411"/>
      <c r="K14" s="411"/>
      <c r="L14" s="411"/>
      <c r="M14" s="411"/>
      <c r="N14" s="411"/>
      <c r="O14" s="412"/>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4"/>
      <c r="AO14" s="173"/>
    </row>
    <row r="15" spans="2:41" s="169" customFormat="1" ht="14.85" customHeight="1" thickBot="1">
      <c r="B15" s="182"/>
      <c r="C15" s="183"/>
      <c r="D15" s="183"/>
      <c r="E15" s="413"/>
      <c r="F15" s="414"/>
      <c r="G15" s="414"/>
      <c r="H15" s="414"/>
      <c r="I15" s="414"/>
      <c r="J15" s="414"/>
      <c r="K15" s="414"/>
      <c r="L15" s="414"/>
      <c r="M15" s="414"/>
      <c r="N15" s="414"/>
      <c r="O15" s="415"/>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4"/>
      <c r="AO15" s="173"/>
    </row>
    <row r="16" spans="2:41" s="169" customFormat="1" ht="14.85" customHeight="1">
      <c r="B16" s="182"/>
      <c r="C16" s="18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4"/>
      <c r="AO16" s="173"/>
    </row>
    <row r="17" spans="2:41" s="169" customFormat="1" ht="14.85" customHeight="1" thickBot="1">
      <c r="B17" s="182"/>
      <c r="C17" s="183"/>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4"/>
      <c r="AO17" s="173"/>
    </row>
    <row r="18" spans="2:41" s="169" customFormat="1" ht="14.85" customHeight="1">
      <c r="B18" s="182"/>
      <c r="C18" s="183"/>
      <c r="D18" s="183"/>
      <c r="E18" s="410" t="s">
        <v>117</v>
      </c>
      <c r="F18" s="411"/>
      <c r="G18" s="411"/>
      <c r="H18" s="411"/>
      <c r="I18" s="411"/>
      <c r="J18" s="411"/>
      <c r="K18" s="411"/>
      <c r="L18" s="411"/>
      <c r="M18" s="411"/>
      <c r="N18" s="411"/>
      <c r="O18" s="412"/>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4"/>
      <c r="AO18" s="173"/>
    </row>
    <row r="19" spans="2:41" s="169" customFormat="1" ht="14.85" customHeight="1" thickBot="1">
      <c r="B19" s="182"/>
      <c r="C19" s="183"/>
      <c r="D19" s="183"/>
      <c r="E19" s="413"/>
      <c r="F19" s="414"/>
      <c r="G19" s="414"/>
      <c r="H19" s="414"/>
      <c r="I19" s="414"/>
      <c r="J19" s="414"/>
      <c r="K19" s="414"/>
      <c r="L19" s="414"/>
      <c r="M19" s="414"/>
      <c r="N19" s="414"/>
      <c r="O19" s="415"/>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4"/>
      <c r="AO19" s="173"/>
    </row>
    <row r="20" spans="2:41" s="169" customFormat="1" ht="14.85" customHeight="1">
      <c r="B20" s="182"/>
      <c r="C20" s="183"/>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4"/>
      <c r="AO20" s="173"/>
    </row>
    <row r="21" spans="2:41" s="169" customFormat="1" ht="14.85" customHeight="1" thickBot="1">
      <c r="B21" s="182"/>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4"/>
      <c r="AO21" s="173"/>
    </row>
    <row r="22" spans="2:41" s="169" customFormat="1" ht="14.85" customHeight="1">
      <c r="B22" s="182"/>
      <c r="C22" s="183"/>
      <c r="D22" s="183"/>
      <c r="E22" s="410" t="s">
        <v>118</v>
      </c>
      <c r="F22" s="411"/>
      <c r="G22" s="411"/>
      <c r="H22" s="411"/>
      <c r="I22" s="411"/>
      <c r="J22" s="411"/>
      <c r="K22" s="411"/>
      <c r="L22" s="411"/>
      <c r="M22" s="411"/>
      <c r="N22" s="411"/>
      <c r="O22" s="412"/>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4"/>
      <c r="AO22" s="173"/>
    </row>
    <row r="23" spans="2:41" s="169" customFormat="1" ht="14.85" customHeight="1" thickBot="1">
      <c r="B23" s="182"/>
      <c r="C23" s="183"/>
      <c r="D23" s="183"/>
      <c r="E23" s="413"/>
      <c r="F23" s="414"/>
      <c r="G23" s="414"/>
      <c r="H23" s="414"/>
      <c r="I23" s="414"/>
      <c r="J23" s="414"/>
      <c r="K23" s="414"/>
      <c r="L23" s="414"/>
      <c r="M23" s="414"/>
      <c r="N23" s="414"/>
      <c r="O23" s="415"/>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4"/>
      <c r="AO23" s="173"/>
    </row>
    <row r="24" spans="2:41" s="169" customFormat="1" ht="14.85" customHeight="1">
      <c r="B24" s="182"/>
      <c r="C24" s="183"/>
      <c r="D24" s="183"/>
      <c r="E24" s="183"/>
      <c r="F24" s="18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4"/>
      <c r="AO24" s="173"/>
    </row>
    <row r="25" spans="2:41" s="169" customFormat="1" ht="14.85" customHeight="1" thickBot="1">
      <c r="B25" s="182"/>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4"/>
      <c r="AO25" s="173"/>
    </row>
    <row r="26" spans="2:41" s="169" customFormat="1" ht="14.85" customHeight="1">
      <c r="B26" s="182"/>
      <c r="C26" s="183"/>
      <c r="D26" s="183"/>
      <c r="E26" s="410" t="s">
        <v>119</v>
      </c>
      <c r="F26" s="411"/>
      <c r="G26" s="411"/>
      <c r="H26" s="411"/>
      <c r="I26" s="411"/>
      <c r="J26" s="411"/>
      <c r="K26" s="411"/>
      <c r="L26" s="411"/>
      <c r="M26" s="411"/>
      <c r="N26" s="411"/>
      <c r="O26" s="412"/>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4"/>
      <c r="AO26" s="173"/>
    </row>
    <row r="27" spans="2:41" s="169" customFormat="1" ht="14.85" customHeight="1" thickBot="1">
      <c r="B27" s="182"/>
      <c r="C27" s="183"/>
      <c r="D27" s="183"/>
      <c r="E27" s="413"/>
      <c r="F27" s="414"/>
      <c r="G27" s="414"/>
      <c r="H27" s="414"/>
      <c r="I27" s="414"/>
      <c r="J27" s="414"/>
      <c r="K27" s="414"/>
      <c r="L27" s="414"/>
      <c r="M27" s="414"/>
      <c r="N27" s="414"/>
      <c r="O27" s="415"/>
      <c r="P27" s="183"/>
      <c r="Q27" s="183"/>
      <c r="R27" s="183"/>
      <c r="S27" s="401" t="s">
        <v>120</v>
      </c>
      <c r="T27" s="401"/>
      <c r="U27" s="401"/>
      <c r="V27" s="401"/>
      <c r="W27" s="401"/>
      <c r="X27" s="401"/>
      <c r="Y27" s="401"/>
      <c r="Z27" s="401"/>
      <c r="AA27" s="401"/>
      <c r="AB27" s="401"/>
      <c r="AC27" s="401"/>
      <c r="AD27" s="401"/>
      <c r="AE27" s="401"/>
      <c r="AF27" s="401"/>
      <c r="AG27" s="401"/>
      <c r="AH27" s="183"/>
      <c r="AI27" s="183"/>
      <c r="AJ27" s="183"/>
      <c r="AK27" s="183"/>
      <c r="AL27" s="183"/>
      <c r="AM27" s="183"/>
      <c r="AN27" s="184"/>
      <c r="AO27" s="173"/>
    </row>
    <row r="28" spans="2:41" s="169" customFormat="1" ht="14.85" customHeight="1">
      <c r="B28" s="182"/>
      <c r="C28" s="183"/>
      <c r="D28" s="183"/>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4"/>
      <c r="AO28" s="173"/>
    </row>
    <row r="29" spans="2:41" s="169" customFormat="1" ht="14.25" customHeight="1" thickBot="1">
      <c r="B29" s="182"/>
      <c r="C29" s="183"/>
      <c r="D29" s="183"/>
      <c r="E29" s="204"/>
      <c r="F29" s="204"/>
      <c r="G29" s="204"/>
      <c r="H29" s="204"/>
      <c r="I29" s="204"/>
      <c r="J29" s="204"/>
      <c r="K29" s="204"/>
      <c r="L29" s="204"/>
      <c r="M29" s="204"/>
      <c r="N29" s="204"/>
      <c r="O29" s="204"/>
      <c r="P29" s="204"/>
      <c r="Q29" s="204"/>
      <c r="R29" s="204"/>
      <c r="S29" s="204"/>
      <c r="T29" s="204"/>
      <c r="U29" s="204"/>
      <c r="V29" s="204"/>
      <c r="W29" s="204"/>
      <c r="X29" s="204"/>
      <c r="Y29" s="204"/>
      <c r="Z29" s="204"/>
      <c r="AA29" s="204"/>
      <c r="AB29" s="395" t="s">
        <v>121</v>
      </c>
      <c r="AC29" s="402"/>
      <c r="AD29" s="402"/>
      <c r="AE29" s="402"/>
      <c r="AF29" s="402"/>
      <c r="AG29" s="402"/>
      <c r="AH29" s="402"/>
      <c r="AI29" s="402"/>
      <c r="AJ29" s="402"/>
      <c r="AK29" s="403"/>
      <c r="AL29" s="204"/>
      <c r="AM29" s="204"/>
      <c r="AN29" s="184"/>
      <c r="AO29" s="168"/>
    </row>
    <row r="30" spans="2:41" s="169" customFormat="1" ht="14.85" customHeight="1">
      <c r="B30" s="182"/>
      <c r="C30" s="183"/>
      <c r="D30" s="183"/>
      <c r="E30" s="416" t="s">
        <v>122</v>
      </c>
      <c r="F30" s="417"/>
      <c r="G30" s="417"/>
      <c r="H30" s="417"/>
      <c r="I30" s="417"/>
      <c r="J30" s="417"/>
      <c r="K30" s="417"/>
      <c r="L30" s="417"/>
      <c r="M30" s="417"/>
      <c r="N30" s="417"/>
      <c r="O30" s="418"/>
      <c r="P30" s="183"/>
      <c r="Q30" s="183"/>
      <c r="R30" s="183"/>
      <c r="S30" s="183"/>
      <c r="T30" s="183"/>
      <c r="U30" s="183"/>
      <c r="V30" s="183"/>
      <c r="W30" s="183"/>
      <c r="X30" s="183"/>
      <c r="Y30" s="183"/>
      <c r="Z30" s="183"/>
      <c r="AA30" s="183"/>
      <c r="AB30" s="404"/>
      <c r="AC30" s="405"/>
      <c r="AD30" s="405"/>
      <c r="AE30" s="405"/>
      <c r="AF30" s="405"/>
      <c r="AG30" s="405"/>
      <c r="AH30" s="405"/>
      <c r="AI30" s="405"/>
      <c r="AJ30" s="405"/>
      <c r="AK30" s="406"/>
      <c r="AL30" s="183"/>
      <c r="AM30" s="183"/>
      <c r="AN30" s="184"/>
      <c r="AO30" s="168"/>
    </row>
    <row r="31" spans="2:41" s="169" customFormat="1" ht="14.85" customHeight="1" thickBot="1">
      <c r="B31" s="182"/>
      <c r="C31" s="183"/>
      <c r="D31" s="183"/>
      <c r="E31" s="419"/>
      <c r="F31" s="420"/>
      <c r="G31" s="420"/>
      <c r="H31" s="420"/>
      <c r="I31" s="420"/>
      <c r="J31" s="420"/>
      <c r="K31" s="420"/>
      <c r="L31" s="420"/>
      <c r="M31" s="420"/>
      <c r="N31" s="420"/>
      <c r="O31" s="421"/>
      <c r="P31" s="183"/>
      <c r="Q31" s="393" t="s">
        <v>123</v>
      </c>
      <c r="R31" s="393"/>
      <c r="S31" s="393"/>
      <c r="T31" s="393"/>
      <c r="U31" s="393"/>
      <c r="V31" s="393"/>
      <c r="W31" s="393"/>
      <c r="X31" s="393"/>
      <c r="Y31" s="393"/>
      <c r="Z31" s="393"/>
      <c r="AA31" s="183"/>
      <c r="AB31" s="404"/>
      <c r="AC31" s="405"/>
      <c r="AD31" s="405"/>
      <c r="AE31" s="405"/>
      <c r="AF31" s="405"/>
      <c r="AG31" s="405"/>
      <c r="AH31" s="405"/>
      <c r="AI31" s="405"/>
      <c r="AJ31" s="405"/>
      <c r="AK31" s="406"/>
      <c r="AL31" s="183"/>
      <c r="AM31" s="183"/>
      <c r="AN31" s="184"/>
      <c r="AO31" s="168"/>
    </row>
    <row r="32" spans="2:41" s="169" customFormat="1" ht="14.85" customHeight="1">
      <c r="B32" s="182"/>
      <c r="C32" s="183"/>
      <c r="D32" s="183"/>
      <c r="E32" s="183"/>
      <c r="F32" s="183"/>
      <c r="G32" s="183"/>
      <c r="H32" s="183"/>
      <c r="I32" s="183"/>
      <c r="J32" s="183"/>
      <c r="K32" s="183"/>
      <c r="L32" s="183"/>
      <c r="M32" s="183"/>
      <c r="N32" s="183"/>
      <c r="O32" s="183"/>
      <c r="P32" s="183"/>
      <c r="Q32" s="393"/>
      <c r="R32" s="393"/>
      <c r="S32" s="393"/>
      <c r="T32" s="393"/>
      <c r="U32" s="393"/>
      <c r="V32" s="393"/>
      <c r="W32" s="393"/>
      <c r="X32" s="393"/>
      <c r="Y32" s="393"/>
      <c r="Z32" s="393"/>
      <c r="AA32" s="183"/>
      <c r="AB32" s="407"/>
      <c r="AC32" s="408"/>
      <c r="AD32" s="408"/>
      <c r="AE32" s="408"/>
      <c r="AF32" s="408"/>
      <c r="AG32" s="408"/>
      <c r="AH32" s="408"/>
      <c r="AI32" s="408"/>
      <c r="AJ32" s="408"/>
      <c r="AK32" s="409"/>
      <c r="AL32" s="183"/>
      <c r="AM32" s="183"/>
      <c r="AN32" s="184"/>
      <c r="AO32" s="168"/>
    </row>
    <row r="33" spans="2:41" s="169" customFormat="1" ht="14.85" customHeight="1">
      <c r="B33" s="182"/>
      <c r="C33" s="183"/>
      <c r="D33" s="183"/>
      <c r="E33" s="183"/>
      <c r="F33" s="183"/>
      <c r="G33" s="183"/>
      <c r="H33" s="183"/>
      <c r="I33" s="183"/>
      <c r="J33" s="183"/>
      <c r="K33" s="183"/>
      <c r="L33" s="183"/>
      <c r="M33" s="183"/>
      <c r="N33" s="183"/>
      <c r="O33" s="183"/>
      <c r="P33" s="183"/>
      <c r="Q33" s="393"/>
      <c r="R33" s="393"/>
      <c r="S33" s="393"/>
      <c r="T33" s="393"/>
      <c r="U33" s="393"/>
      <c r="V33" s="393"/>
      <c r="W33" s="393"/>
      <c r="X33" s="393"/>
      <c r="Y33" s="393"/>
      <c r="Z33" s="393"/>
      <c r="AA33" s="183"/>
      <c r="AB33" s="183"/>
      <c r="AC33" s="183"/>
      <c r="AD33" s="183"/>
      <c r="AE33" s="183"/>
      <c r="AF33" s="183"/>
      <c r="AG33" s="183"/>
      <c r="AH33" s="183"/>
      <c r="AI33" s="183"/>
      <c r="AJ33" s="183"/>
      <c r="AK33" s="183"/>
      <c r="AL33" s="183"/>
      <c r="AM33" s="183"/>
      <c r="AN33" s="184"/>
      <c r="AO33" s="168"/>
    </row>
    <row r="34" spans="2:41" s="169" customFormat="1" ht="14.85" customHeight="1">
      <c r="B34" s="182"/>
      <c r="C34" s="183"/>
      <c r="D34" s="183"/>
      <c r="E34" s="183"/>
      <c r="F34" s="183"/>
      <c r="G34" s="183"/>
      <c r="H34" s="183"/>
      <c r="I34" s="183"/>
      <c r="J34" s="183"/>
      <c r="K34" s="183"/>
      <c r="L34" s="183"/>
      <c r="M34" s="183"/>
      <c r="N34" s="183"/>
      <c r="O34" s="183"/>
      <c r="P34" s="183"/>
      <c r="Q34" s="393"/>
      <c r="R34" s="393"/>
      <c r="S34" s="393"/>
      <c r="T34" s="393"/>
      <c r="U34" s="393"/>
      <c r="V34" s="393"/>
      <c r="W34" s="393"/>
      <c r="X34" s="393"/>
      <c r="Y34" s="393"/>
      <c r="Z34" s="393"/>
      <c r="AA34" s="183"/>
      <c r="AB34" s="183"/>
      <c r="AC34" s="183"/>
      <c r="AD34" s="183"/>
      <c r="AE34" s="183"/>
      <c r="AF34" s="183"/>
      <c r="AG34" s="183"/>
      <c r="AH34" s="183"/>
      <c r="AI34" s="183"/>
      <c r="AJ34" s="183"/>
      <c r="AK34" s="183"/>
      <c r="AL34" s="183"/>
      <c r="AM34" s="183"/>
      <c r="AN34" s="184"/>
      <c r="AO34" s="168"/>
    </row>
    <row r="35" spans="2:41" s="169" customFormat="1" ht="14.85" customHeight="1">
      <c r="B35" s="182"/>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4"/>
      <c r="AO35" s="168"/>
    </row>
    <row r="36" spans="2:41" s="169" customFormat="1" ht="14.85" customHeight="1">
      <c r="B36" s="182"/>
      <c r="C36" s="183"/>
      <c r="D36" s="183"/>
      <c r="E36" s="183"/>
      <c r="F36" s="183"/>
      <c r="G36" s="183"/>
      <c r="H36" s="183"/>
      <c r="I36" s="183"/>
      <c r="J36" s="183"/>
      <c r="K36" s="183"/>
      <c r="L36" s="183"/>
      <c r="M36" s="183"/>
      <c r="N36" s="183"/>
      <c r="O36" s="183"/>
      <c r="P36" s="183"/>
      <c r="Q36" s="395" t="s">
        <v>124</v>
      </c>
      <c r="R36" s="396"/>
      <c r="S36" s="396"/>
      <c r="T36" s="396"/>
      <c r="U36" s="396"/>
      <c r="V36" s="396"/>
      <c r="W36" s="396"/>
      <c r="X36" s="396"/>
      <c r="Y36" s="396"/>
      <c r="Z36" s="397"/>
      <c r="AA36" s="183"/>
      <c r="AB36" s="183"/>
      <c r="AC36" s="183"/>
      <c r="AD36" s="183"/>
      <c r="AE36" s="183"/>
      <c r="AF36" s="183"/>
      <c r="AG36" s="183"/>
      <c r="AH36" s="183"/>
      <c r="AI36" s="183"/>
      <c r="AJ36" s="183"/>
      <c r="AK36" s="183"/>
      <c r="AL36" s="183"/>
      <c r="AM36" s="183"/>
      <c r="AN36" s="184"/>
      <c r="AO36" s="168"/>
    </row>
    <row r="37" spans="2:41" s="169" customFormat="1" ht="14.85" customHeight="1">
      <c r="B37" s="182"/>
      <c r="C37" s="183"/>
      <c r="D37" s="183"/>
      <c r="E37" s="205"/>
      <c r="F37" s="206"/>
      <c r="G37" s="206"/>
      <c r="H37" s="206"/>
      <c r="I37" s="206"/>
      <c r="J37" s="206"/>
      <c r="K37" s="206"/>
      <c r="L37" s="206"/>
      <c r="M37" s="206"/>
      <c r="N37" s="206"/>
      <c r="O37" s="206"/>
      <c r="P37" s="206"/>
      <c r="Q37" s="398"/>
      <c r="R37" s="399"/>
      <c r="S37" s="399"/>
      <c r="T37" s="399"/>
      <c r="U37" s="399"/>
      <c r="V37" s="399"/>
      <c r="W37" s="399"/>
      <c r="X37" s="399"/>
      <c r="Y37" s="399"/>
      <c r="Z37" s="400"/>
      <c r="AA37" s="206"/>
      <c r="AB37" s="206"/>
      <c r="AC37" s="206"/>
      <c r="AD37" s="183"/>
      <c r="AE37" s="183"/>
      <c r="AF37" s="183"/>
      <c r="AG37" s="183"/>
      <c r="AH37" s="183"/>
      <c r="AI37" s="183"/>
      <c r="AJ37" s="183"/>
      <c r="AK37" s="183"/>
      <c r="AL37" s="183"/>
      <c r="AM37" s="183"/>
      <c r="AN37" s="184"/>
      <c r="AO37" s="168"/>
    </row>
    <row r="38" spans="2:41" s="169" customFormat="1" ht="14.85" customHeight="1">
      <c r="B38" s="182"/>
      <c r="C38" s="183"/>
      <c r="D38" s="183"/>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183"/>
      <c r="AE38" s="183"/>
      <c r="AF38" s="183"/>
      <c r="AG38" s="183"/>
      <c r="AH38" s="183"/>
      <c r="AI38" s="183"/>
      <c r="AJ38" s="183"/>
      <c r="AK38" s="183"/>
      <c r="AL38" s="183"/>
      <c r="AM38" s="183"/>
      <c r="AN38" s="184"/>
      <c r="AO38" s="168"/>
    </row>
    <row r="39" spans="2:41" s="169" customFormat="1" ht="14.85" customHeight="1">
      <c r="B39" s="182"/>
      <c r="C39" s="183"/>
      <c r="D39" s="183"/>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183"/>
      <c r="AE39" s="183"/>
      <c r="AF39" s="183"/>
      <c r="AG39" s="183"/>
      <c r="AH39" s="183"/>
      <c r="AI39" s="183"/>
      <c r="AJ39" s="183"/>
      <c r="AK39" s="183"/>
      <c r="AL39" s="183"/>
      <c r="AM39" s="183"/>
      <c r="AN39" s="184"/>
      <c r="AO39" s="168"/>
    </row>
    <row r="40" spans="2:41" s="169" customFormat="1" ht="14.85" customHeight="1">
      <c r="B40" s="182"/>
      <c r="C40" s="183"/>
      <c r="D40" s="183"/>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183"/>
      <c r="AE40" s="183"/>
      <c r="AF40" s="183"/>
      <c r="AG40" s="183"/>
      <c r="AH40" s="183"/>
      <c r="AI40" s="183"/>
      <c r="AJ40" s="183"/>
      <c r="AK40" s="183"/>
      <c r="AL40" s="183"/>
      <c r="AM40" s="183"/>
      <c r="AN40" s="184"/>
      <c r="AO40" s="168"/>
    </row>
    <row r="41" spans="2:41" s="169" customFormat="1" ht="14.85" customHeight="1">
      <c r="B41" s="182"/>
      <c r="C41" s="183"/>
      <c r="D41" s="183"/>
      <c r="E41" s="205" t="s">
        <v>125</v>
      </c>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183"/>
      <c r="AE41" s="183"/>
      <c r="AF41" s="183"/>
      <c r="AG41" s="183"/>
      <c r="AH41" s="183"/>
      <c r="AI41" s="183"/>
      <c r="AJ41" s="183"/>
      <c r="AK41" s="183"/>
      <c r="AL41" s="183"/>
      <c r="AM41" s="183"/>
      <c r="AN41" s="184"/>
      <c r="AO41" s="168"/>
    </row>
    <row r="42" spans="2:41" s="169" customFormat="1" ht="14.85" customHeight="1">
      <c r="B42" s="182"/>
      <c r="C42" s="183"/>
      <c r="D42" s="183"/>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183"/>
      <c r="AE42" s="183"/>
      <c r="AF42" s="183"/>
      <c r="AG42" s="183"/>
      <c r="AH42" s="183"/>
      <c r="AI42" s="183"/>
      <c r="AJ42" s="183"/>
      <c r="AK42" s="183"/>
      <c r="AL42" s="183"/>
      <c r="AM42" s="183"/>
      <c r="AN42" s="184"/>
      <c r="AO42" s="168"/>
    </row>
    <row r="43" spans="2:41" s="169" customFormat="1" ht="14.85" customHeight="1">
      <c r="B43" s="182"/>
      <c r="C43" s="183"/>
      <c r="D43" s="183"/>
      <c r="E43" s="206" t="s">
        <v>126</v>
      </c>
      <c r="F43" s="206"/>
      <c r="G43" s="206"/>
      <c r="H43" s="206"/>
      <c r="I43" s="206" t="s">
        <v>127</v>
      </c>
      <c r="J43" s="206"/>
      <c r="K43" s="206"/>
      <c r="L43" s="206"/>
      <c r="M43" s="206"/>
      <c r="N43" s="206"/>
      <c r="O43" s="206"/>
      <c r="P43" s="206"/>
      <c r="Q43" s="206"/>
      <c r="R43" s="206"/>
      <c r="S43" s="206"/>
      <c r="T43" s="206"/>
      <c r="U43" s="206"/>
      <c r="V43" s="206"/>
      <c r="W43" s="206"/>
      <c r="X43" s="206"/>
      <c r="Y43" s="206"/>
      <c r="Z43" s="206"/>
      <c r="AA43" s="206"/>
      <c r="AB43" s="206"/>
      <c r="AC43" s="206" t="s">
        <v>128</v>
      </c>
      <c r="AD43" s="183"/>
      <c r="AE43" s="183"/>
      <c r="AF43" s="183"/>
      <c r="AG43" s="183"/>
      <c r="AH43" s="183"/>
      <c r="AI43" s="183"/>
      <c r="AJ43" s="183"/>
      <c r="AK43" s="183"/>
      <c r="AL43" s="183"/>
      <c r="AM43" s="183"/>
      <c r="AN43" s="184"/>
      <c r="AO43" s="168"/>
    </row>
    <row r="44" spans="2:41" s="169" customFormat="1" ht="14.85" customHeight="1">
      <c r="B44" s="182"/>
      <c r="C44" s="183"/>
      <c r="D44" s="183"/>
      <c r="E44" s="206" t="s">
        <v>129</v>
      </c>
      <c r="F44" s="206"/>
      <c r="G44" s="206"/>
      <c r="H44" s="206"/>
      <c r="I44" s="206" t="s">
        <v>130</v>
      </c>
      <c r="J44" s="206"/>
      <c r="K44" s="206"/>
      <c r="L44" s="206"/>
      <c r="M44" s="206"/>
      <c r="N44" s="206"/>
      <c r="O44" s="206"/>
      <c r="P44" s="206"/>
      <c r="Q44" s="206"/>
      <c r="R44" s="206"/>
      <c r="S44" s="206"/>
      <c r="T44" s="206"/>
      <c r="U44" s="206"/>
      <c r="V44" s="206"/>
      <c r="W44" s="206"/>
      <c r="X44" s="206"/>
      <c r="Y44" s="206"/>
      <c r="Z44" s="206"/>
      <c r="AA44" s="206"/>
      <c r="AB44" s="206"/>
      <c r="AC44" s="206" t="s">
        <v>131</v>
      </c>
      <c r="AD44" s="183"/>
      <c r="AE44" s="183"/>
      <c r="AF44" s="183"/>
      <c r="AG44" s="183"/>
      <c r="AH44" s="183"/>
      <c r="AI44" s="183"/>
      <c r="AJ44" s="183"/>
      <c r="AK44" s="183"/>
      <c r="AL44" s="183"/>
      <c r="AM44" s="183"/>
      <c r="AN44" s="184"/>
      <c r="AO44" s="168"/>
    </row>
    <row r="45" spans="2:41" s="169" customFormat="1" ht="14.85" customHeight="1">
      <c r="B45" s="182"/>
      <c r="C45" s="183"/>
      <c r="D45" s="183"/>
      <c r="E45" s="206" t="s">
        <v>132</v>
      </c>
      <c r="F45" s="206"/>
      <c r="G45" s="206"/>
      <c r="H45" s="206"/>
      <c r="I45" s="206" t="s">
        <v>133</v>
      </c>
      <c r="J45" s="206"/>
      <c r="K45" s="206"/>
      <c r="L45" s="206"/>
      <c r="M45" s="206"/>
      <c r="N45" s="206"/>
      <c r="O45" s="206"/>
      <c r="P45" s="206"/>
      <c r="Q45" s="206"/>
      <c r="R45" s="206"/>
      <c r="S45" s="206"/>
      <c r="T45" s="206"/>
      <c r="U45" s="206"/>
      <c r="V45" s="206"/>
      <c r="W45" s="206"/>
      <c r="X45" s="206"/>
      <c r="Y45" s="206"/>
      <c r="Z45" s="206"/>
      <c r="AA45" s="206"/>
      <c r="AB45" s="206"/>
      <c r="AC45" s="206" t="s">
        <v>131</v>
      </c>
      <c r="AD45" s="183"/>
      <c r="AE45" s="183"/>
      <c r="AF45" s="183"/>
      <c r="AG45" s="183"/>
      <c r="AH45" s="183"/>
      <c r="AI45" s="183"/>
      <c r="AJ45" s="183"/>
      <c r="AK45" s="183"/>
      <c r="AL45" s="183"/>
      <c r="AM45" s="183"/>
      <c r="AN45" s="184"/>
      <c r="AO45" s="168"/>
    </row>
    <row r="46" spans="2:41" s="169" customFormat="1" ht="14.85" customHeight="1">
      <c r="B46" s="182"/>
      <c r="C46" s="183"/>
      <c r="D46" s="183"/>
      <c r="E46" s="206" t="s">
        <v>134</v>
      </c>
      <c r="F46" s="206"/>
      <c r="G46" s="206"/>
      <c r="H46" s="206"/>
      <c r="I46" s="206" t="s">
        <v>135</v>
      </c>
      <c r="J46" s="206"/>
      <c r="K46" s="206"/>
      <c r="L46" s="206"/>
      <c r="M46" s="206"/>
      <c r="N46" s="206"/>
      <c r="O46" s="206"/>
      <c r="P46" s="206"/>
      <c r="Q46" s="206"/>
      <c r="R46" s="206"/>
      <c r="S46" s="206"/>
      <c r="T46" s="206"/>
      <c r="U46" s="206"/>
      <c r="V46" s="206"/>
      <c r="W46" s="206"/>
      <c r="X46" s="206"/>
      <c r="Y46" s="206"/>
      <c r="Z46" s="206"/>
      <c r="AA46" s="206"/>
      <c r="AB46" s="206"/>
      <c r="AC46" s="206" t="s">
        <v>136</v>
      </c>
      <c r="AD46" s="183"/>
      <c r="AE46" s="183"/>
      <c r="AF46" s="183"/>
      <c r="AG46" s="183"/>
      <c r="AH46" s="183"/>
      <c r="AI46" s="183"/>
      <c r="AJ46" s="183"/>
      <c r="AK46" s="183"/>
      <c r="AL46" s="183"/>
      <c r="AM46" s="183"/>
      <c r="AN46" s="184"/>
      <c r="AO46" s="168"/>
    </row>
    <row r="47" spans="2:41" s="169" customFormat="1" ht="14.85" customHeight="1">
      <c r="B47" s="182"/>
      <c r="C47" s="183"/>
      <c r="D47" s="183"/>
      <c r="E47" s="206" t="s">
        <v>137</v>
      </c>
      <c r="F47" s="206"/>
      <c r="G47" s="206"/>
      <c r="H47" s="206"/>
      <c r="I47" s="206" t="s">
        <v>138</v>
      </c>
      <c r="J47" s="206"/>
      <c r="K47" s="206"/>
      <c r="L47" s="206"/>
      <c r="M47" s="206"/>
      <c r="N47" s="206"/>
      <c r="O47" s="206"/>
      <c r="P47" s="206"/>
      <c r="Q47" s="206"/>
      <c r="R47" s="206"/>
      <c r="S47" s="206"/>
      <c r="T47" s="206"/>
      <c r="U47" s="206"/>
      <c r="V47" s="206"/>
      <c r="W47" s="206"/>
      <c r="X47" s="206"/>
      <c r="Y47" s="206"/>
      <c r="Z47" s="206"/>
      <c r="AA47" s="206"/>
      <c r="AB47" s="206"/>
      <c r="AC47" s="206" t="s">
        <v>139</v>
      </c>
      <c r="AD47" s="183"/>
      <c r="AE47" s="183"/>
      <c r="AF47" s="183"/>
      <c r="AG47" s="183"/>
      <c r="AH47" s="183"/>
      <c r="AI47" s="183"/>
      <c r="AJ47" s="183"/>
      <c r="AK47" s="183"/>
      <c r="AL47" s="183"/>
      <c r="AM47" s="183"/>
      <c r="AN47" s="184"/>
      <c r="AO47" s="168"/>
    </row>
    <row r="48" spans="2:41" s="169" customFormat="1" ht="14.85" customHeight="1">
      <c r="B48" s="182"/>
      <c r="C48" s="183"/>
      <c r="D48" s="183"/>
      <c r="E48" s="206" t="s">
        <v>140</v>
      </c>
      <c r="F48" s="206"/>
      <c r="G48" s="206"/>
      <c r="H48" s="206"/>
      <c r="I48" s="206" t="s">
        <v>141</v>
      </c>
      <c r="J48" s="206"/>
      <c r="K48" s="206"/>
      <c r="L48" s="206"/>
      <c r="M48" s="206"/>
      <c r="N48" s="206"/>
      <c r="O48" s="206"/>
      <c r="P48" s="206"/>
      <c r="Q48" s="206"/>
      <c r="R48" s="206"/>
      <c r="S48" s="206"/>
      <c r="T48" s="206"/>
      <c r="U48" s="206"/>
      <c r="V48" s="206"/>
      <c r="W48" s="206"/>
      <c r="X48" s="206"/>
      <c r="Y48" s="206"/>
      <c r="Z48" s="206"/>
      <c r="AA48" s="206"/>
      <c r="AB48" s="206"/>
      <c r="AC48" s="206" t="s">
        <v>142</v>
      </c>
      <c r="AD48" s="183"/>
      <c r="AE48" s="183"/>
      <c r="AF48" s="183"/>
      <c r="AG48" s="183"/>
      <c r="AH48" s="183"/>
      <c r="AI48" s="183"/>
      <c r="AJ48" s="183"/>
      <c r="AK48" s="183"/>
      <c r="AL48" s="183"/>
      <c r="AM48" s="183"/>
      <c r="AN48" s="184"/>
      <c r="AO48" s="168"/>
    </row>
    <row r="49" spans="2:41" s="169" customFormat="1" ht="14.85" customHeight="1">
      <c r="B49" s="182"/>
      <c r="C49" s="183"/>
      <c r="D49" s="183"/>
      <c r="E49" s="206" t="s">
        <v>143</v>
      </c>
      <c r="F49" s="206"/>
      <c r="G49" s="206"/>
      <c r="H49" s="206"/>
      <c r="I49" s="206" t="s">
        <v>144</v>
      </c>
      <c r="J49" s="206"/>
      <c r="K49" s="206"/>
      <c r="L49" s="206"/>
      <c r="M49" s="206"/>
      <c r="N49" s="206"/>
      <c r="O49" s="206"/>
      <c r="P49" s="206"/>
      <c r="Q49" s="206"/>
      <c r="R49" s="206"/>
      <c r="S49" s="206"/>
      <c r="T49" s="206"/>
      <c r="U49" s="206"/>
      <c r="V49" s="206"/>
      <c r="W49" s="206"/>
      <c r="X49" s="206"/>
      <c r="Y49" s="206"/>
      <c r="Z49" s="206"/>
      <c r="AA49" s="206"/>
      <c r="AB49" s="206"/>
      <c r="AC49" s="206" t="s">
        <v>145</v>
      </c>
      <c r="AD49" s="183"/>
      <c r="AE49" s="183"/>
      <c r="AF49" s="183"/>
      <c r="AG49" s="183"/>
      <c r="AH49" s="183"/>
      <c r="AI49" s="183"/>
      <c r="AJ49" s="183"/>
      <c r="AK49" s="183"/>
      <c r="AL49" s="183"/>
      <c r="AM49" s="183"/>
      <c r="AN49" s="184"/>
      <c r="AO49" s="168"/>
    </row>
    <row r="50" spans="2:41" s="169" customFormat="1" ht="14.85" customHeight="1">
      <c r="B50" s="182"/>
      <c r="C50" s="183"/>
      <c r="D50" s="183"/>
      <c r="E50" s="206" t="s">
        <v>146</v>
      </c>
      <c r="F50" s="206"/>
      <c r="G50" s="206"/>
      <c r="H50" s="206"/>
      <c r="I50" s="206" t="s">
        <v>147</v>
      </c>
      <c r="J50" s="206"/>
      <c r="K50" s="206"/>
      <c r="L50" s="206"/>
      <c r="M50" s="206"/>
      <c r="N50" s="206"/>
      <c r="O50" s="206"/>
      <c r="P50" s="206"/>
      <c r="Q50" s="206"/>
      <c r="R50" s="206"/>
      <c r="S50" s="206"/>
      <c r="T50" s="206"/>
      <c r="U50" s="206"/>
      <c r="V50" s="206"/>
      <c r="W50" s="206"/>
      <c r="X50" s="206"/>
      <c r="Y50" s="206"/>
      <c r="Z50" s="206"/>
      <c r="AA50" s="206"/>
      <c r="AB50" s="206"/>
      <c r="AC50" s="206"/>
      <c r="AD50" s="183"/>
      <c r="AE50" s="183"/>
      <c r="AF50" s="183"/>
      <c r="AG50" s="183"/>
      <c r="AH50" s="183"/>
      <c r="AI50" s="183"/>
      <c r="AJ50" s="183"/>
      <c r="AK50" s="183"/>
      <c r="AL50" s="183"/>
      <c r="AM50" s="183"/>
      <c r="AN50" s="184"/>
      <c r="AO50" s="168"/>
    </row>
    <row r="51" spans="2:41" s="169" customFormat="1" ht="14.85" customHeight="1">
      <c r="B51" s="182"/>
      <c r="C51" s="183"/>
      <c r="D51" s="183"/>
      <c r="E51" s="206" t="s">
        <v>148</v>
      </c>
      <c r="F51" s="206"/>
      <c r="G51" s="206"/>
      <c r="H51" s="206"/>
      <c r="I51" s="206" t="s">
        <v>149</v>
      </c>
      <c r="J51" s="206"/>
      <c r="K51" s="206"/>
      <c r="L51" s="206"/>
      <c r="M51" s="206"/>
      <c r="N51" s="206"/>
      <c r="O51" s="206"/>
      <c r="P51" s="206"/>
      <c r="Q51" s="206"/>
      <c r="R51" s="206"/>
      <c r="S51" s="206"/>
      <c r="T51" s="206"/>
      <c r="U51" s="206"/>
      <c r="V51" s="206"/>
      <c r="W51" s="206"/>
      <c r="X51" s="206"/>
      <c r="Y51" s="206"/>
      <c r="Z51" s="206"/>
      <c r="AA51" s="206"/>
      <c r="AB51" s="206"/>
      <c r="AC51" s="206"/>
      <c r="AD51" s="183"/>
      <c r="AE51" s="183"/>
      <c r="AF51" s="183"/>
      <c r="AG51" s="183"/>
      <c r="AH51" s="183"/>
      <c r="AI51" s="183"/>
      <c r="AJ51" s="183"/>
      <c r="AK51" s="183"/>
      <c r="AL51" s="183"/>
      <c r="AM51" s="183"/>
      <c r="AN51" s="184"/>
      <c r="AO51" s="168"/>
    </row>
    <row r="52" spans="2:41" s="169" customFormat="1" ht="14.85" customHeight="1">
      <c r="B52" s="182"/>
      <c r="C52" s="183"/>
      <c r="D52" s="183"/>
      <c r="E52" s="206" t="s">
        <v>150</v>
      </c>
      <c r="F52" s="206"/>
      <c r="G52" s="206"/>
      <c r="H52" s="206"/>
      <c r="I52" s="206" t="s">
        <v>151</v>
      </c>
      <c r="J52" s="206"/>
      <c r="K52" s="206"/>
      <c r="L52" s="206"/>
      <c r="M52" s="206"/>
      <c r="N52" s="206"/>
      <c r="O52" s="206"/>
      <c r="P52" s="206"/>
      <c r="Q52" s="206"/>
      <c r="R52" s="206"/>
      <c r="S52" s="206"/>
      <c r="T52" s="206"/>
      <c r="U52" s="206"/>
      <c r="V52" s="206"/>
      <c r="W52" s="206"/>
      <c r="X52" s="206"/>
      <c r="Y52" s="206"/>
      <c r="Z52" s="206"/>
      <c r="AA52" s="206"/>
      <c r="AB52" s="206"/>
      <c r="AC52" s="206"/>
      <c r="AD52" s="183"/>
      <c r="AE52" s="183"/>
      <c r="AF52" s="183"/>
      <c r="AG52" s="183"/>
      <c r="AH52" s="183"/>
      <c r="AI52" s="183"/>
      <c r="AJ52" s="183"/>
      <c r="AK52" s="183"/>
      <c r="AL52" s="183"/>
      <c r="AM52" s="183"/>
      <c r="AN52" s="184"/>
      <c r="AO52" s="168"/>
    </row>
    <row r="53" spans="2:41" s="169" customFormat="1" ht="14.85" customHeight="1">
      <c r="B53" s="182"/>
      <c r="C53" s="183"/>
      <c r="D53" s="183"/>
      <c r="E53" s="206"/>
      <c r="F53" s="206"/>
      <c r="G53" s="206"/>
      <c r="H53" s="206"/>
      <c r="I53" s="206"/>
      <c r="J53" s="206"/>
      <c r="K53" s="206"/>
      <c r="L53" s="206"/>
      <c r="M53" s="206"/>
      <c r="N53" s="206"/>
      <c r="O53" s="206"/>
      <c r="P53" s="206"/>
      <c r="Q53" s="206"/>
      <c r="R53" s="206"/>
      <c r="S53" s="206"/>
      <c r="T53" s="206"/>
      <c r="U53" s="206"/>
      <c r="V53" s="206"/>
      <c r="W53" s="206"/>
      <c r="X53" s="206"/>
      <c r="Y53" s="206"/>
      <c r="Z53" s="206"/>
      <c r="AA53" s="206"/>
      <c r="AB53" s="206"/>
      <c r="AC53" s="206"/>
      <c r="AD53" s="183"/>
      <c r="AE53" s="183"/>
      <c r="AF53" s="183"/>
      <c r="AG53" s="183"/>
      <c r="AH53" s="183"/>
      <c r="AI53" s="183"/>
      <c r="AJ53" s="183"/>
      <c r="AK53" s="183"/>
      <c r="AL53" s="183"/>
      <c r="AM53" s="183"/>
      <c r="AN53" s="184"/>
      <c r="AO53" s="168"/>
    </row>
    <row r="54" spans="2:41" s="169" customFormat="1" ht="14.85" customHeight="1">
      <c r="B54" s="182"/>
      <c r="C54" s="183"/>
      <c r="D54" s="183"/>
      <c r="E54" s="183"/>
      <c r="F54" s="183"/>
      <c r="G54" s="183"/>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c r="AG54" s="183"/>
      <c r="AH54" s="183"/>
      <c r="AI54" s="183"/>
      <c r="AJ54" s="183"/>
      <c r="AK54" s="183"/>
      <c r="AL54" s="183"/>
      <c r="AM54" s="183"/>
      <c r="AN54" s="184"/>
      <c r="AO54" s="168"/>
    </row>
    <row r="55" spans="2:41" s="168" customFormat="1" ht="14.85" customHeight="1">
      <c r="B55" s="190"/>
      <c r="C55" s="191"/>
      <c r="D55" s="191"/>
      <c r="E55" s="191"/>
      <c r="F55" s="191"/>
      <c r="G55" s="191"/>
      <c r="H55" s="191"/>
      <c r="I55" s="191"/>
      <c r="J55" s="191"/>
      <c r="K55" s="191"/>
      <c r="L55" s="191"/>
      <c r="M55" s="191"/>
      <c r="N55" s="191"/>
      <c r="O55" s="191"/>
      <c r="P55" s="191"/>
      <c r="Q55" s="191"/>
      <c r="R55" s="191"/>
      <c r="S55" s="191"/>
      <c r="T55" s="191"/>
      <c r="U55" s="191"/>
      <c r="V55" s="191"/>
      <c r="W55" s="191"/>
      <c r="X55" s="191"/>
      <c r="Y55" s="191"/>
      <c r="Z55" s="191"/>
      <c r="AA55" s="191"/>
      <c r="AB55" s="191"/>
      <c r="AC55" s="191"/>
      <c r="AD55" s="191"/>
      <c r="AE55" s="191"/>
      <c r="AF55" s="191"/>
      <c r="AG55" s="191"/>
      <c r="AH55" s="191"/>
      <c r="AI55" s="191"/>
      <c r="AJ55" s="191"/>
      <c r="AK55" s="191"/>
      <c r="AL55" s="191"/>
      <c r="AM55" s="191"/>
      <c r="AN55" s="192"/>
    </row>
    <row r="56" spans="2:41" s="168" customFormat="1" ht="36" customHeight="1">
      <c r="B56"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56" s="363"/>
      <c r="D56" s="363"/>
      <c r="E56" s="363"/>
      <c r="F56" s="363"/>
      <c r="G56" s="363"/>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row>
    <row r="57" spans="2:41" s="168" customFormat="1" ht="12.75" customHeight="1"/>
    <row r="58" spans="2:41" s="110" customFormat="1"/>
    <row r="59" spans="2:41" s="110" customFormat="1"/>
    <row r="60" spans="2:41" s="110" customFormat="1"/>
    <row r="61" spans="2:41" s="110" customFormat="1"/>
    <row r="62" spans="2:41" s="110" customFormat="1"/>
    <row r="63" spans="2:41" s="110" customFormat="1"/>
    <row r="64" spans="2:41" s="110" customFormat="1"/>
    <row r="65" s="110" customFormat="1"/>
    <row r="66" s="110" customFormat="1"/>
    <row r="67" s="110" customFormat="1"/>
    <row r="68" s="110" customFormat="1"/>
    <row r="69" s="110" customFormat="1"/>
    <row r="70" s="110" customFormat="1"/>
    <row r="71" s="110" customFormat="1"/>
    <row r="72" s="110" customFormat="1"/>
    <row r="73" s="110" customFormat="1"/>
    <row r="74" s="110" customFormat="1"/>
    <row r="75" s="110" customFormat="1"/>
    <row r="76" s="110" customFormat="1"/>
    <row r="77" s="110" customFormat="1" ht="12.75" customHeight="1"/>
    <row r="78" s="110" customFormat="1"/>
  </sheetData>
  <mergeCells count="57">
    <mergeCell ref="S27:AG27"/>
    <mergeCell ref="AB29:AK32"/>
    <mergeCell ref="Q31:Z34"/>
    <mergeCell ref="E14:O15"/>
    <mergeCell ref="E18:O19"/>
    <mergeCell ref="E22:O23"/>
    <mergeCell ref="E26:O27"/>
    <mergeCell ref="E30:O31"/>
    <mergeCell ref="C10:D10"/>
    <mergeCell ref="B56:AN56"/>
    <mergeCell ref="T8:W8"/>
    <mergeCell ref="X8:AA8"/>
    <mergeCell ref="AB8:AC8"/>
    <mergeCell ref="AD8:AF8"/>
    <mergeCell ref="AG8:AJ8"/>
    <mergeCell ref="AK8:AN8"/>
    <mergeCell ref="B8:C8"/>
    <mergeCell ref="D8:F8"/>
    <mergeCell ref="G8:J8"/>
    <mergeCell ref="K8:N8"/>
    <mergeCell ref="O8:P8"/>
    <mergeCell ref="Q8:S8"/>
    <mergeCell ref="E12:AL12"/>
    <mergeCell ref="Q36:Z37"/>
    <mergeCell ref="AK7:AN7"/>
    <mergeCell ref="B7:C7"/>
    <mergeCell ref="D7:F7"/>
    <mergeCell ref="G7:J7"/>
    <mergeCell ref="K7:N7"/>
    <mergeCell ref="O7:P7"/>
    <mergeCell ref="Q7:S7"/>
    <mergeCell ref="T7:W7"/>
    <mergeCell ref="X7:AA7"/>
    <mergeCell ref="AB7:AC7"/>
    <mergeCell ref="AD7:AF7"/>
    <mergeCell ref="AG7:AJ7"/>
    <mergeCell ref="AL6:AN6"/>
    <mergeCell ref="B4:G4"/>
    <mergeCell ref="I4:Z4"/>
    <mergeCell ref="AA4:AD4"/>
    <mergeCell ref="AE4:AN4"/>
    <mergeCell ref="B5:H5"/>
    <mergeCell ref="I5:AN5"/>
    <mergeCell ref="B6:I6"/>
    <mergeCell ref="J6:AC6"/>
    <mergeCell ref="AD6:AF6"/>
    <mergeCell ref="AG6:AI6"/>
    <mergeCell ref="AJ6:AK6"/>
    <mergeCell ref="B3:G3"/>
    <mergeCell ref="I3:Z3"/>
    <mergeCell ref="AA3:AD3"/>
    <mergeCell ref="AE3:AN3"/>
    <mergeCell ref="B1:AN1"/>
    <mergeCell ref="B2:G2"/>
    <mergeCell ref="I2:Z2"/>
    <mergeCell ref="AA2:AD2"/>
    <mergeCell ref="AE2:AN2"/>
  </mergeCells>
  <pageMargins left="0.7" right="0.7" top="0.75" bottom="0.75" header="0.3" footer="0.3"/>
  <pageSetup scale="76" orientation="portrait" r:id="rId1"/>
  <rowBreaks count="1" manualBreakCount="1">
    <brk id="56" max="3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theme="3" tint="0.39997558519241921"/>
  </sheetPr>
  <dimension ref="B1:AO82"/>
  <sheetViews>
    <sheetView view="pageLayout" topLeftCell="A49" zoomScaleNormal="130" workbookViewId="0">
      <selection activeCell="B60" sqref="B60:AN60"/>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16384" width="9.140625" style="33"/>
  </cols>
  <sheetData>
    <row r="1" spans="2:41"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93"/>
    </row>
    <row r="2" spans="2:41" s="174" customFormat="1" ht="15" customHeight="1">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row>
    <row r="3" spans="2:41" s="174" customFormat="1" ht="15" customHeight="1">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row>
    <row r="4" spans="2:41" s="174" customFormat="1" ht="28.5"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row>
    <row r="5" spans="2:41" s="174" customFormat="1" ht="22.5" customHeight="1">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row>
    <row r="6" spans="2:41" s="195"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71"/>
      <c r="AH6" s="371"/>
      <c r="AI6" s="371"/>
      <c r="AJ6" s="348" t="s">
        <v>15</v>
      </c>
      <c r="AK6" s="348"/>
      <c r="AL6" s="341" t="str">
        <f>num_pages</f>
        <v>#pages</v>
      </c>
      <c r="AM6" s="341"/>
      <c r="AN6" s="342"/>
      <c r="AO6" s="194"/>
    </row>
    <row r="7" spans="2:41" s="152" customFormat="1" ht="15" customHeight="1">
      <c r="B7" s="216" t="s">
        <v>53</v>
      </c>
      <c r="C7" s="218"/>
      <c r="D7" s="216" t="s">
        <v>54</v>
      </c>
      <c r="E7" s="217"/>
      <c r="F7" s="217"/>
      <c r="G7" s="216" t="s">
        <v>56</v>
      </c>
      <c r="H7" s="217"/>
      <c r="I7" s="217"/>
      <c r="J7" s="218"/>
      <c r="K7" s="216" t="s">
        <v>57</v>
      </c>
      <c r="L7" s="217"/>
      <c r="M7" s="217"/>
      <c r="N7" s="372"/>
      <c r="O7" s="217" t="s">
        <v>53</v>
      </c>
      <c r="P7" s="218"/>
      <c r="Q7" s="216" t="s">
        <v>54</v>
      </c>
      <c r="R7" s="217"/>
      <c r="S7" s="217"/>
      <c r="T7" s="216" t="s">
        <v>56</v>
      </c>
      <c r="U7" s="217"/>
      <c r="V7" s="217"/>
      <c r="W7" s="218"/>
      <c r="X7" s="216" t="s">
        <v>57</v>
      </c>
      <c r="Y7" s="217"/>
      <c r="Z7" s="217"/>
      <c r="AA7" s="372"/>
      <c r="AB7" s="217" t="s">
        <v>53</v>
      </c>
      <c r="AC7" s="218"/>
      <c r="AD7" s="216" t="s">
        <v>54</v>
      </c>
      <c r="AE7" s="217"/>
      <c r="AF7" s="217"/>
      <c r="AG7" s="216" t="s">
        <v>56</v>
      </c>
      <c r="AH7" s="217"/>
      <c r="AI7" s="217"/>
      <c r="AJ7" s="218"/>
      <c r="AK7" s="216" t="s">
        <v>57</v>
      </c>
      <c r="AL7" s="217"/>
      <c r="AM7" s="217"/>
      <c r="AN7" s="218"/>
      <c r="AO7" s="193"/>
    </row>
    <row r="8" spans="2:41" s="196"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1"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row>
    <row r="10" spans="2:41" s="169" customFormat="1" ht="18.75" customHeight="1">
      <c r="B10" s="182"/>
      <c r="C10" s="365" t="str">
        <f>ToC!F17</f>
        <v>4.0</v>
      </c>
      <c r="D10" s="365"/>
      <c r="E10" s="197"/>
      <c r="F10" s="197" t="str">
        <f>ToC!H17</f>
        <v>Methodology</v>
      </c>
      <c r="G10" s="183"/>
      <c r="H10" s="183"/>
      <c r="I10" s="183"/>
      <c r="J10" s="183"/>
      <c r="K10" s="183"/>
      <c r="L10" s="183"/>
      <c r="M10" s="183"/>
      <c r="N10" s="197" t="s">
        <v>152</v>
      </c>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row>
    <row r="11" spans="2:41" s="169" customFormat="1" ht="14.85" customHeight="1">
      <c r="B11" s="182"/>
      <c r="C11" s="183" t="s">
        <v>153</v>
      </c>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row>
    <row r="12" spans="2:41" s="169" customFormat="1" ht="14.85" customHeight="1">
      <c r="B12" s="182"/>
      <c r="C12" s="183" t="s">
        <v>154</v>
      </c>
      <c r="D12" s="183"/>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183"/>
      <c r="AN12" s="184"/>
      <c r="AO12" s="173"/>
    </row>
    <row r="13" spans="2:41" s="169" customFormat="1" ht="14.85" customHeight="1">
      <c r="B13" s="182"/>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4"/>
      <c r="AO13" s="173"/>
    </row>
    <row r="14" spans="2:41" s="169" customFormat="1" ht="14.85" customHeight="1">
      <c r="B14" s="182"/>
      <c r="C14" s="183" t="s">
        <v>155</v>
      </c>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4"/>
      <c r="AO14" s="173"/>
    </row>
    <row r="15" spans="2:41" s="169" customFormat="1" ht="14.85" customHeight="1">
      <c r="B15" s="182"/>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4"/>
      <c r="AO15" s="173"/>
    </row>
    <row r="16" spans="2:41" s="169" customFormat="1" ht="14.85" customHeight="1">
      <c r="B16" s="182"/>
      <c r="C16" s="18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4"/>
      <c r="AO16" s="173"/>
    </row>
    <row r="17" spans="2:41" s="169" customFormat="1" ht="14.85" customHeight="1">
      <c r="B17" s="182"/>
      <c r="C17" s="183"/>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4"/>
      <c r="AO17" s="173"/>
    </row>
    <row r="18" spans="2:41" s="169" customFormat="1" ht="14.85" customHeight="1">
      <c r="B18" s="182"/>
      <c r="C18" s="152" t="s">
        <v>156</v>
      </c>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4"/>
      <c r="AO18" s="173"/>
    </row>
    <row r="19" spans="2:41" s="169" customFormat="1" ht="14.85" customHeight="1">
      <c r="B19" s="182"/>
      <c r="C19" s="183"/>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4"/>
      <c r="AO19" s="173"/>
    </row>
    <row r="20" spans="2:41" s="169" customFormat="1" ht="14.85" customHeight="1">
      <c r="B20" s="182"/>
      <c r="C20" s="195" t="s">
        <v>157</v>
      </c>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4"/>
      <c r="AO20" s="173"/>
    </row>
    <row r="21" spans="2:41" s="169" customFormat="1" ht="14.85" customHeight="1">
      <c r="B21" s="182"/>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4"/>
      <c r="AO21" s="173"/>
    </row>
    <row r="22" spans="2:41" s="169" customFormat="1" ht="14.85" customHeight="1">
      <c r="B22" s="182"/>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4"/>
      <c r="AO22" s="173"/>
    </row>
    <row r="23" spans="2:41" s="169" customFormat="1" ht="14.85" customHeight="1">
      <c r="B23" s="182"/>
      <c r="C23" s="183"/>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4"/>
      <c r="AO23" s="173"/>
    </row>
    <row r="24" spans="2:41" s="169" customFormat="1" ht="14.85" customHeight="1">
      <c r="B24" s="182"/>
      <c r="C24" s="183"/>
      <c r="D24" s="183"/>
      <c r="E24" s="183"/>
      <c r="F24" s="18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4"/>
      <c r="AO24" s="173"/>
    </row>
    <row r="25" spans="2:41" s="169" customFormat="1" ht="14.85" customHeight="1">
      <c r="B25" s="182"/>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4"/>
      <c r="AO25" s="173"/>
    </row>
    <row r="26" spans="2:41" s="169" customFormat="1" ht="14.85" customHeight="1">
      <c r="B26" s="182"/>
      <c r="C26" s="183"/>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4"/>
      <c r="AO26" s="173"/>
    </row>
    <row r="27" spans="2:41" s="169" customFormat="1" ht="14.85" customHeight="1">
      <c r="B27" s="182"/>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4"/>
      <c r="AO27" s="173"/>
    </row>
    <row r="28" spans="2:41" s="169" customFormat="1" ht="14.85" customHeight="1">
      <c r="B28" s="182"/>
      <c r="C28" s="183"/>
      <c r="D28" s="183"/>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4"/>
      <c r="AO28" s="173"/>
    </row>
    <row r="29" spans="2:41" s="169" customFormat="1" ht="14.25" customHeight="1">
      <c r="B29" s="182"/>
      <c r="C29" s="183"/>
      <c r="D29" s="183"/>
      <c r="E29" s="204"/>
      <c r="F29" s="204"/>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c r="AG29" s="204"/>
      <c r="AH29" s="204"/>
      <c r="AI29" s="204"/>
      <c r="AJ29" s="204"/>
      <c r="AK29" s="204"/>
      <c r="AL29" s="204"/>
      <c r="AM29" s="204"/>
      <c r="AN29" s="184"/>
      <c r="AO29" s="168"/>
    </row>
    <row r="30" spans="2:41" s="169" customFormat="1" ht="14.85" customHeight="1">
      <c r="B30" s="182"/>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4"/>
      <c r="AO30" s="168"/>
    </row>
    <row r="31" spans="2:41" s="169" customFormat="1" ht="14.85" customHeight="1">
      <c r="B31" s="182"/>
      <c r="C31" s="183"/>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4"/>
      <c r="AO31" s="168"/>
    </row>
    <row r="32" spans="2:41" s="169" customFormat="1" ht="14.85" customHeight="1">
      <c r="B32" s="182"/>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4"/>
      <c r="AO32" s="168"/>
    </row>
    <row r="33" spans="2:41" s="169" customFormat="1" ht="14.85" customHeight="1">
      <c r="B33" s="182"/>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4"/>
      <c r="AO33" s="168"/>
    </row>
    <row r="34" spans="2:41" s="169" customFormat="1" ht="14.85" customHeight="1">
      <c r="B34" s="182"/>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4"/>
      <c r="AO34" s="168"/>
    </row>
    <row r="35" spans="2:41" s="169" customFormat="1" ht="14.85" customHeight="1">
      <c r="B35" s="182"/>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4"/>
      <c r="AO35" s="168"/>
    </row>
    <row r="36" spans="2:41" s="169" customFormat="1" ht="14.85" customHeight="1">
      <c r="B36" s="182"/>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4"/>
      <c r="AO36" s="168"/>
    </row>
    <row r="37" spans="2:41" s="169" customFormat="1" ht="14.85" customHeight="1">
      <c r="B37" s="182"/>
      <c r="C37" s="195" t="s">
        <v>158</v>
      </c>
      <c r="D37" s="183"/>
      <c r="E37" s="205"/>
      <c r="F37" s="206"/>
      <c r="G37" s="206"/>
      <c r="H37" s="206"/>
      <c r="I37" s="206"/>
      <c r="J37" s="206"/>
      <c r="K37" s="206"/>
      <c r="L37" s="206"/>
      <c r="M37" s="206"/>
      <c r="N37" s="206"/>
      <c r="O37" s="206"/>
      <c r="P37" s="206"/>
      <c r="Q37" s="206"/>
      <c r="R37" s="206"/>
      <c r="S37" s="206"/>
      <c r="T37" s="206"/>
      <c r="U37" s="206"/>
      <c r="V37" s="206"/>
      <c r="W37" s="206"/>
      <c r="X37" s="206"/>
      <c r="Y37" s="206"/>
      <c r="Z37" s="206"/>
      <c r="AA37" s="206"/>
      <c r="AB37" s="206"/>
      <c r="AC37" s="206"/>
      <c r="AD37" s="183"/>
      <c r="AE37" s="183"/>
      <c r="AF37" s="183"/>
      <c r="AG37" s="183"/>
      <c r="AH37" s="183"/>
      <c r="AI37" s="183"/>
      <c r="AJ37" s="183"/>
      <c r="AK37" s="183"/>
      <c r="AL37" s="183"/>
      <c r="AM37" s="183"/>
      <c r="AN37" s="184"/>
      <c r="AO37" s="168"/>
    </row>
    <row r="38" spans="2:41" s="169" customFormat="1" ht="14.85" customHeight="1">
      <c r="B38" s="182"/>
      <c r="C38" s="183"/>
      <c r="D38" s="183"/>
      <c r="E38" s="206"/>
      <c r="F38" s="206"/>
      <c r="G38" s="206"/>
      <c r="H38" s="206"/>
      <c r="I38" s="206"/>
      <c r="J38" s="206"/>
      <c r="K38" s="206"/>
      <c r="L38" s="206"/>
      <c r="M38" s="206"/>
      <c r="N38" s="206"/>
      <c r="O38" s="206"/>
      <c r="P38" s="206"/>
      <c r="Q38" s="206"/>
      <c r="R38" s="206"/>
      <c r="S38" s="206"/>
      <c r="T38" s="206"/>
      <c r="U38" s="206"/>
      <c r="V38" s="206"/>
      <c r="W38" s="206"/>
      <c r="X38" s="206"/>
      <c r="Y38" s="206"/>
      <c r="Z38" s="206"/>
      <c r="AA38" s="206"/>
      <c r="AB38" s="206"/>
      <c r="AC38" s="206"/>
      <c r="AD38" s="183"/>
      <c r="AE38" s="183"/>
      <c r="AF38" s="183"/>
      <c r="AG38" s="183"/>
      <c r="AH38" s="183"/>
      <c r="AI38" s="183"/>
      <c r="AJ38" s="183"/>
      <c r="AK38" s="183"/>
      <c r="AL38" s="183"/>
      <c r="AM38" s="183"/>
      <c r="AN38" s="184"/>
      <c r="AO38" s="168"/>
    </row>
    <row r="39" spans="2:41" s="169" customFormat="1" ht="14.85" customHeight="1">
      <c r="B39" s="182"/>
      <c r="C39" s="183"/>
      <c r="D39" s="183"/>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6"/>
      <c r="AD39" s="183"/>
      <c r="AE39" s="183"/>
      <c r="AF39" s="183"/>
      <c r="AG39" s="183"/>
      <c r="AH39" s="183"/>
      <c r="AI39" s="183"/>
      <c r="AJ39" s="183"/>
      <c r="AK39" s="183"/>
      <c r="AL39" s="183"/>
      <c r="AM39" s="183"/>
      <c r="AN39" s="184"/>
      <c r="AO39" s="168"/>
    </row>
    <row r="40" spans="2:41" s="169" customFormat="1" ht="14.85" customHeight="1">
      <c r="B40" s="182"/>
      <c r="C40" s="183"/>
      <c r="D40" s="183"/>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6"/>
      <c r="AD40" s="183"/>
      <c r="AE40" s="183"/>
      <c r="AF40" s="183"/>
      <c r="AG40" s="183"/>
      <c r="AH40" s="183"/>
      <c r="AI40" s="183"/>
      <c r="AJ40" s="183"/>
      <c r="AK40" s="183"/>
      <c r="AL40" s="183"/>
      <c r="AM40" s="183"/>
      <c r="AN40" s="184"/>
      <c r="AO40" s="168"/>
    </row>
    <row r="41" spans="2:41" s="169" customFormat="1" ht="14.85" customHeight="1">
      <c r="B41" s="182"/>
      <c r="C41" s="183"/>
      <c r="D41" s="183"/>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6"/>
      <c r="AD41" s="183"/>
      <c r="AE41" s="183"/>
      <c r="AF41" s="183"/>
      <c r="AG41" s="183"/>
      <c r="AH41" s="183"/>
      <c r="AI41" s="183"/>
      <c r="AJ41" s="183"/>
      <c r="AK41" s="183"/>
      <c r="AL41" s="183"/>
      <c r="AM41" s="183"/>
      <c r="AN41" s="184"/>
      <c r="AO41" s="168"/>
    </row>
    <row r="42" spans="2:41" s="169" customFormat="1" ht="14.85" customHeight="1">
      <c r="B42" s="182"/>
      <c r="C42" s="183"/>
      <c r="D42" s="183"/>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183"/>
      <c r="AE42" s="183"/>
      <c r="AF42" s="183"/>
      <c r="AG42" s="183"/>
      <c r="AH42" s="183"/>
      <c r="AI42" s="183"/>
      <c r="AJ42" s="183"/>
      <c r="AK42" s="183"/>
      <c r="AL42" s="183"/>
      <c r="AM42" s="183"/>
      <c r="AN42" s="184"/>
      <c r="AO42" s="168"/>
    </row>
    <row r="43" spans="2:41" s="169" customFormat="1" ht="14.85" customHeight="1">
      <c r="B43" s="182"/>
      <c r="C43" s="183"/>
      <c r="D43" s="183"/>
      <c r="E43" s="206"/>
      <c r="F43" s="206"/>
      <c r="G43" s="206"/>
      <c r="H43" s="206"/>
      <c r="I43" s="206"/>
      <c r="J43" s="206"/>
      <c r="K43" s="206"/>
      <c r="L43" s="206"/>
      <c r="M43" s="206"/>
      <c r="N43" s="206"/>
      <c r="O43" s="206"/>
      <c r="P43" s="206"/>
      <c r="Q43" s="206"/>
      <c r="R43" s="206"/>
      <c r="S43" s="206"/>
      <c r="T43" s="206"/>
      <c r="U43" s="206"/>
      <c r="V43" s="206"/>
      <c r="W43" s="206"/>
      <c r="X43" s="206"/>
      <c r="Y43" s="206"/>
      <c r="Z43" s="206"/>
      <c r="AA43" s="206"/>
      <c r="AB43" s="206"/>
      <c r="AC43" s="206"/>
      <c r="AD43" s="183"/>
      <c r="AE43" s="183"/>
      <c r="AF43" s="183"/>
      <c r="AG43" s="183"/>
      <c r="AH43" s="183"/>
      <c r="AI43" s="183"/>
      <c r="AJ43" s="183"/>
      <c r="AK43" s="183"/>
      <c r="AL43" s="183"/>
      <c r="AM43" s="183"/>
      <c r="AN43" s="184"/>
      <c r="AO43" s="168"/>
    </row>
    <row r="44" spans="2:41" s="169" customFormat="1" ht="14.85" customHeight="1">
      <c r="B44" s="182"/>
      <c r="C44" s="183"/>
      <c r="D44" s="183"/>
      <c r="E44" s="206"/>
      <c r="F44" s="206"/>
      <c r="G44" s="206"/>
      <c r="H44" s="206"/>
      <c r="I44" s="206"/>
      <c r="J44" s="206"/>
      <c r="K44" s="206"/>
      <c r="L44" s="206"/>
      <c r="M44" s="206"/>
      <c r="N44" s="206"/>
      <c r="O44" s="206"/>
      <c r="P44" s="206"/>
      <c r="Q44" s="206"/>
      <c r="R44" s="206"/>
      <c r="S44" s="206"/>
      <c r="T44" s="206"/>
      <c r="U44" s="206"/>
      <c r="V44" s="206"/>
      <c r="W44" s="206"/>
      <c r="X44" s="206"/>
      <c r="Y44" s="206"/>
      <c r="Z44" s="206"/>
      <c r="AA44" s="206"/>
      <c r="AB44" s="206"/>
      <c r="AC44" s="206"/>
      <c r="AD44" s="183"/>
      <c r="AE44" s="183"/>
      <c r="AF44" s="183"/>
      <c r="AG44" s="183"/>
      <c r="AH44" s="183"/>
      <c r="AI44" s="183"/>
      <c r="AJ44" s="183"/>
      <c r="AK44" s="183"/>
      <c r="AL44" s="183"/>
      <c r="AM44" s="183"/>
      <c r="AN44" s="184"/>
      <c r="AO44" s="168"/>
    </row>
    <row r="45" spans="2:41" s="169" customFormat="1" ht="14.85" customHeight="1">
      <c r="B45" s="182"/>
      <c r="C45" s="183"/>
      <c r="D45" s="183"/>
      <c r="E45" s="206"/>
      <c r="F45" s="206"/>
      <c r="G45" s="206"/>
      <c r="H45" s="206"/>
      <c r="I45" s="206"/>
      <c r="J45" s="206"/>
      <c r="K45" s="206"/>
      <c r="L45" s="206"/>
      <c r="M45" s="206"/>
      <c r="N45" s="206"/>
      <c r="O45" s="206"/>
      <c r="P45" s="206"/>
      <c r="Q45" s="206"/>
      <c r="R45" s="206"/>
      <c r="S45" s="206"/>
      <c r="T45" s="206"/>
      <c r="U45" s="206"/>
      <c r="V45" s="206"/>
      <c r="W45" s="206"/>
      <c r="X45" s="206"/>
      <c r="Y45" s="206"/>
      <c r="Z45" s="206"/>
      <c r="AA45" s="206"/>
      <c r="AB45" s="206"/>
      <c r="AC45" s="206"/>
      <c r="AD45" s="183"/>
      <c r="AE45" s="183"/>
      <c r="AF45" s="183"/>
      <c r="AG45" s="183"/>
      <c r="AH45" s="183"/>
      <c r="AI45" s="183"/>
      <c r="AJ45" s="183"/>
      <c r="AK45" s="183"/>
      <c r="AL45" s="183"/>
      <c r="AM45" s="183"/>
      <c r="AN45" s="184"/>
      <c r="AO45" s="168"/>
    </row>
    <row r="46" spans="2:41" s="169" customFormat="1" ht="14.85" customHeight="1">
      <c r="B46" s="182"/>
      <c r="C46" s="183"/>
      <c r="D46" s="183"/>
      <c r="E46" s="206"/>
      <c r="F46" s="206"/>
      <c r="G46" s="206"/>
      <c r="H46" s="206"/>
      <c r="I46" s="206"/>
      <c r="J46" s="206"/>
      <c r="K46" s="206"/>
      <c r="L46" s="206"/>
      <c r="M46" s="206"/>
      <c r="N46" s="206"/>
      <c r="O46" s="206"/>
      <c r="P46" s="206"/>
      <c r="Q46" s="206"/>
      <c r="R46" s="206"/>
      <c r="S46" s="206"/>
      <c r="T46" s="206"/>
      <c r="U46" s="206"/>
      <c r="V46" s="206"/>
      <c r="W46" s="206"/>
      <c r="X46" s="206"/>
      <c r="Y46" s="206"/>
      <c r="Z46" s="206"/>
      <c r="AA46" s="206"/>
      <c r="AB46" s="206"/>
      <c r="AC46" s="206"/>
      <c r="AD46" s="183"/>
      <c r="AE46" s="183"/>
      <c r="AF46" s="183"/>
      <c r="AG46" s="183"/>
      <c r="AH46" s="183"/>
      <c r="AI46" s="183"/>
      <c r="AJ46" s="183"/>
      <c r="AK46" s="183"/>
      <c r="AL46" s="183"/>
      <c r="AM46" s="183"/>
      <c r="AN46" s="184"/>
      <c r="AO46" s="168"/>
    </row>
    <row r="47" spans="2:41" s="169" customFormat="1" ht="14.85" customHeight="1">
      <c r="B47" s="182"/>
      <c r="C47" s="183"/>
      <c r="D47" s="183"/>
      <c r="E47" s="206"/>
      <c r="F47" s="206"/>
      <c r="G47" s="206"/>
      <c r="H47" s="206"/>
      <c r="I47" s="206"/>
      <c r="J47" s="206"/>
      <c r="K47" s="206"/>
      <c r="L47" s="206"/>
      <c r="M47" s="206"/>
      <c r="N47" s="206"/>
      <c r="O47" s="206"/>
      <c r="P47" s="206"/>
      <c r="Q47" s="206"/>
      <c r="R47" s="206"/>
      <c r="S47" s="206"/>
      <c r="T47" s="206"/>
      <c r="U47" s="206"/>
      <c r="V47" s="206"/>
      <c r="W47" s="206"/>
      <c r="X47" s="206"/>
      <c r="Y47" s="206"/>
      <c r="Z47" s="206"/>
      <c r="AA47" s="206"/>
      <c r="AB47" s="206"/>
      <c r="AC47" s="206"/>
      <c r="AD47" s="183"/>
      <c r="AE47" s="183"/>
      <c r="AF47" s="183"/>
      <c r="AG47" s="183"/>
      <c r="AH47" s="183"/>
      <c r="AI47" s="183"/>
      <c r="AJ47" s="183"/>
      <c r="AK47" s="183"/>
      <c r="AL47" s="183"/>
      <c r="AM47" s="183"/>
      <c r="AN47" s="184"/>
      <c r="AO47" s="168"/>
    </row>
    <row r="48" spans="2:41" s="169" customFormat="1" ht="14.85" customHeight="1">
      <c r="B48" s="182"/>
      <c r="C48" s="183"/>
      <c r="D48" s="183"/>
      <c r="E48" s="206"/>
      <c r="F48" s="206"/>
      <c r="G48" s="206"/>
      <c r="H48" s="206"/>
      <c r="I48" s="206"/>
      <c r="J48" s="206"/>
      <c r="K48" s="206"/>
      <c r="L48" s="206"/>
      <c r="M48" s="206"/>
      <c r="N48" s="206"/>
      <c r="O48" s="206"/>
      <c r="P48" s="206"/>
      <c r="Q48" s="206"/>
      <c r="R48" s="206"/>
      <c r="S48" s="206"/>
      <c r="T48" s="206"/>
      <c r="U48" s="206"/>
      <c r="V48" s="206"/>
      <c r="W48" s="206"/>
      <c r="X48" s="206"/>
      <c r="Y48" s="206"/>
      <c r="Z48" s="206"/>
      <c r="AA48" s="206"/>
      <c r="AB48" s="206"/>
      <c r="AC48" s="206"/>
      <c r="AD48" s="183"/>
      <c r="AE48" s="183"/>
      <c r="AF48" s="183"/>
      <c r="AG48" s="183"/>
      <c r="AH48" s="183"/>
      <c r="AI48" s="183"/>
      <c r="AJ48" s="183"/>
      <c r="AK48" s="183"/>
      <c r="AL48" s="183"/>
      <c r="AM48" s="183"/>
      <c r="AN48" s="184"/>
      <c r="AO48" s="168"/>
    </row>
    <row r="49" spans="2:41" s="169" customFormat="1" ht="14.85" customHeight="1">
      <c r="B49" s="182"/>
      <c r="C49" s="183"/>
      <c r="D49" s="183"/>
      <c r="E49" s="206"/>
      <c r="F49" s="206"/>
      <c r="G49" s="206"/>
      <c r="H49" s="206"/>
      <c r="I49" s="206"/>
      <c r="J49" s="206"/>
      <c r="K49" s="206"/>
      <c r="L49" s="206"/>
      <c r="M49" s="206"/>
      <c r="N49" s="206"/>
      <c r="O49" s="206"/>
      <c r="P49" s="206"/>
      <c r="Q49" s="206"/>
      <c r="R49" s="206"/>
      <c r="S49" s="206"/>
      <c r="T49" s="206"/>
      <c r="U49" s="206"/>
      <c r="V49" s="206"/>
      <c r="W49" s="206"/>
      <c r="X49" s="206"/>
      <c r="Y49" s="206"/>
      <c r="Z49" s="206"/>
      <c r="AA49" s="206"/>
      <c r="AB49" s="206"/>
      <c r="AC49" s="206"/>
      <c r="AD49" s="183"/>
      <c r="AE49" s="183"/>
      <c r="AF49" s="183"/>
      <c r="AG49" s="183"/>
      <c r="AH49" s="183"/>
      <c r="AI49" s="183"/>
      <c r="AJ49" s="183"/>
      <c r="AK49" s="183"/>
      <c r="AL49" s="183"/>
      <c r="AM49" s="183"/>
      <c r="AN49" s="184"/>
      <c r="AO49" s="168"/>
    </row>
    <row r="50" spans="2:41" s="169" customFormat="1" ht="14.85" customHeight="1">
      <c r="B50" s="182"/>
      <c r="C50" s="183"/>
      <c r="D50" s="183"/>
      <c r="E50" s="206"/>
      <c r="F50" s="206"/>
      <c r="G50" s="206"/>
      <c r="H50" s="206"/>
      <c r="I50" s="206"/>
      <c r="J50" s="206"/>
      <c r="K50" s="206"/>
      <c r="L50" s="206"/>
      <c r="M50" s="206"/>
      <c r="N50" s="206"/>
      <c r="O50" s="206"/>
      <c r="P50" s="206"/>
      <c r="Q50" s="206"/>
      <c r="R50" s="206"/>
      <c r="S50" s="206"/>
      <c r="T50" s="206"/>
      <c r="U50" s="206"/>
      <c r="V50" s="206"/>
      <c r="W50" s="206"/>
      <c r="X50" s="206"/>
      <c r="Y50" s="206"/>
      <c r="Z50" s="206"/>
      <c r="AA50" s="206"/>
      <c r="AB50" s="206"/>
      <c r="AC50" s="206"/>
      <c r="AD50" s="183"/>
      <c r="AE50" s="183"/>
      <c r="AF50" s="183"/>
      <c r="AG50" s="183"/>
      <c r="AH50" s="183"/>
      <c r="AI50" s="183"/>
      <c r="AJ50" s="183"/>
      <c r="AK50" s="183"/>
      <c r="AL50" s="183"/>
      <c r="AM50" s="183"/>
      <c r="AN50" s="184"/>
      <c r="AO50" s="168"/>
    </row>
    <row r="51" spans="2:41" s="169" customFormat="1" ht="14.85" customHeight="1">
      <c r="B51" s="182"/>
      <c r="C51" s="183"/>
      <c r="D51" s="183"/>
      <c r="E51" s="206"/>
      <c r="F51" s="206"/>
      <c r="G51" s="206"/>
      <c r="H51" s="206"/>
      <c r="I51" s="206"/>
      <c r="J51" s="206"/>
      <c r="K51" s="206"/>
      <c r="L51" s="206"/>
      <c r="M51" s="206"/>
      <c r="N51" s="206"/>
      <c r="O51" s="206"/>
      <c r="P51" s="206"/>
      <c r="Q51" s="206"/>
      <c r="R51" s="206"/>
      <c r="S51" s="206"/>
      <c r="T51" s="206"/>
      <c r="U51" s="206"/>
      <c r="V51" s="206"/>
      <c r="W51" s="206"/>
      <c r="X51" s="206"/>
      <c r="Y51" s="206"/>
      <c r="Z51" s="206"/>
      <c r="AA51" s="206"/>
      <c r="AB51" s="206"/>
      <c r="AC51" s="206"/>
      <c r="AD51" s="183"/>
      <c r="AE51" s="183"/>
      <c r="AF51" s="183"/>
      <c r="AG51" s="183"/>
      <c r="AH51" s="183"/>
      <c r="AI51" s="183"/>
      <c r="AJ51" s="183"/>
      <c r="AK51" s="183"/>
      <c r="AL51" s="183"/>
      <c r="AM51" s="183"/>
      <c r="AN51" s="184"/>
      <c r="AO51" s="168"/>
    </row>
    <row r="52" spans="2:41" s="169" customFormat="1" ht="14.85" customHeight="1">
      <c r="B52" s="182"/>
      <c r="C52" s="183"/>
      <c r="D52" s="183"/>
      <c r="E52" s="206"/>
      <c r="F52" s="206"/>
      <c r="G52" s="206"/>
      <c r="H52" s="206"/>
      <c r="I52" s="206"/>
      <c r="J52" s="206"/>
      <c r="K52" s="206"/>
      <c r="L52" s="206"/>
      <c r="M52" s="206"/>
      <c r="N52" s="206"/>
      <c r="O52" s="206"/>
      <c r="P52" s="206"/>
      <c r="Q52" s="206"/>
      <c r="R52" s="206"/>
      <c r="S52" s="206"/>
      <c r="T52" s="206"/>
      <c r="U52" s="206"/>
      <c r="V52" s="206"/>
      <c r="W52" s="206"/>
      <c r="X52" s="206"/>
      <c r="Y52" s="206"/>
      <c r="Z52" s="206"/>
      <c r="AA52" s="206"/>
      <c r="AB52" s="206"/>
      <c r="AC52" s="206"/>
      <c r="AD52" s="183"/>
      <c r="AE52" s="183"/>
      <c r="AF52" s="183"/>
      <c r="AG52" s="183"/>
      <c r="AH52" s="183"/>
      <c r="AI52" s="183"/>
      <c r="AJ52" s="183"/>
      <c r="AK52" s="183"/>
      <c r="AL52" s="183"/>
      <c r="AM52" s="183"/>
      <c r="AN52" s="184"/>
      <c r="AO52" s="168"/>
    </row>
    <row r="53" spans="2:41" s="169" customFormat="1" ht="14.85" customHeight="1">
      <c r="B53" s="182"/>
      <c r="C53" s="183"/>
      <c r="D53" s="183"/>
      <c r="E53" s="206"/>
      <c r="F53" s="206"/>
      <c r="G53" s="206"/>
      <c r="H53" s="206"/>
      <c r="I53" s="206"/>
      <c r="J53" s="206"/>
      <c r="K53" s="206"/>
      <c r="L53" s="206"/>
      <c r="M53" s="206"/>
      <c r="N53" s="206"/>
      <c r="O53" s="206"/>
      <c r="P53" s="206"/>
      <c r="Q53" s="206"/>
      <c r="R53" s="206"/>
      <c r="S53" s="206"/>
      <c r="T53" s="206"/>
      <c r="U53" s="206"/>
      <c r="V53" s="206"/>
      <c r="W53" s="206"/>
      <c r="X53" s="206"/>
      <c r="Y53" s="206"/>
      <c r="Z53" s="206"/>
      <c r="AA53" s="206"/>
      <c r="AB53" s="206"/>
      <c r="AC53" s="206"/>
      <c r="AD53" s="183"/>
      <c r="AE53" s="183"/>
      <c r="AF53" s="183"/>
      <c r="AG53" s="183"/>
      <c r="AH53" s="183"/>
      <c r="AI53" s="183"/>
      <c r="AJ53" s="183"/>
      <c r="AK53" s="183"/>
      <c r="AL53" s="183"/>
      <c r="AM53" s="183"/>
      <c r="AN53" s="184"/>
      <c r="AO53" s="168"/>
    </row>
    <row r="54" spans="2:41" s="169" customFormat="1" ht="14.85" customHeight="1">
      <c r="B54" s="182"/>
      <c r="C54" s="183"/>
      <c r="D54" s="183"/>
      <c r="E54" s="206"/>
      <c r="F54" s="206"/>
      <c r="G54" s="206"/>
      <c r="H54" s="206"/>
      <c r="I54" s="206"/>
      <c r="J54" s="206"/>
      <c r="K54" s="206"/>
      <c r="L54" s="206"/>
      <c r="M54" s="206"/>
      <c r="N54" s="206"/>
      <c r="O54" s="206"/>
      <c r="P54" s="206"/>
      <c r="Q54" s="206"/>
      <c r="R54" s="206"/>
      <c r="S54" s="206"/>
      <c r="T54" s="206"/>
      <c r="U54" s="206"/>
      <c r="V54" s="206"/>
      <c r="W54" s="206"/>
      <c r="X54" s="206"/>
      <c r="Y54" s="206"/>
      <c r="Z54" s="206"/>
      <c r="AA54" s="206"/>
      <c r="AB54" s="206"/>
      <c r="AC54" s="206"/>
      <c r="AD54" s="183"/>
      <c r="AE54" s="183"/>
      <c r="AF54" s="183"/>
      <c r="AG54" s="183"/>
      <c r="AH54" s="183"/>
      <c r="AI54" s="183"/>
      <c r="AJ54" s="183"/>
      <c r="AK54" s="183"/>
      <c r="AL54" s="183"/>
      <c r="AM54" s="183"/>
      <c r="AN54" s="184"/>
      <c r="AO54" s="168"/>
    </row>
    <row r="55" spans="2:41" s="169" customFormat="1" ht="14.85" customHeight="1">
      <c r="B55" s="182"/>
      <c r="C55" s="195" t="s">
        <v>159</v>
      </c>
      <c r="D55" s="183"/>
      <c r="E55" s="206"/>
      <c r="F55" s="206"/>
      <c r="G55" s="206"/>
      <c r="H55" s="206"/>
      <c r="I55" s="206"/>
      <c r="J55" s="206"/>
      <c r="K55" s="206"/>
      <c r="L55" s="206"/>
      <c r="M55" s="206"/>
      <c r="N55" s="206"/>
      <c r="O55" s="206"/>
      <c r="P55" s="206"/>
      <c r="Q55" s="206"/>
      <c r="R55" s="206"/>
      <c r="S55" s="206"/>
      <c r="T55" s="206"/>
      <c r="U55" s="206"/>
      <c r="V55" s="206"/>
      <c r="W55" s="206"/>
      <c r="X55" s="206"/>
      <c r="Y55" s="206"/>
      <c r="Z55" s="206"/>
      <c r="AA55" s="206"/>
      <c r="AB55" s="206"/>
      <c r="AC55" s="206"/>
      <c r="AD55" s="183"/>
      <c r="AE55" s="183"/>
      <c r="AF55" s="183"/>
      <c r="AG55" s="183"/>
      <c r="AH55" s="183"/>
      <c r="AI55" s="183"/>
      <c r="AJ55" s="183"/>
      <c r="AK55" s="183"/>
      <c r="AL55" s="183"/>
      <c r="AM55" s="183"/>
      <c r="AN55" s="184"/>
      <c r="AO55" s="168"/>
    </row>
    <row r="56" spans="2:41" s="169" customFormat="1" ht="14.85" customHeight="1">
      <c r="B56" s="182"/>
      <c r="C56" s="183"/>
      <c r="D56" s="183"/>
      <c r="E56" s="206"/>
      <c r="F56" s="206"/>
      <c r="G56" s="206"/>
      <c r="H56" s="206"/>
      <c r="I56" s="206"/>
      <c r="J56" s="206"/>
      <c r="K56" s="206"/>
      <c r="L56" s="206"/>
      <c r="M56" s="206"/>
      <c r="N56" s="206"/>
      <c r="O56" s="206"/>
      <c r="P56" s="206"/>
      <c r="Q56" s="206"/>
      <c r="R56" s="206"/>
      <c r="S56" s="206"/>
      <c r="T56" s="206"/>
      <c r="U56" s="206"/>
      <c r="V56" s="206"/>
      <c r="W56" s="206"/>
      <c r="X56" s="206"/>
      <c r="Y56" s="206"/>
      <c r="Z56" s="206"/>
      <c r="AA56" s="206"/>
      <c r="AB56" s="206"/>
      <c r="AC56" s="206"/>
      <c r="AD56" s="183"/>
      <c r="AE56" s="183"/>
      <c r="AF56" s="183"/>
      <c r="AG56" s="183"/>
      <c r="AH56" s="183"/>
      <c r="AI56" s="183"/>
      <c r="AJ56" s="183"/>
      <c r="AK56" s="183"/>
      <c r="AL56" s="183"/>
      <c r="AM56" s="183"/>
      <c r="AN56" s="184"/>
      <c r="AO56" s="168"/>
    </row>
    <row r="57" spans="2:41" s="169" customFormat="1" ht="14.85" customHeight="1">
      <c r="B57" s="182"/>
      <c r="C57" s="183"/>
      <c r="D57" s="183"/>
      <c r="E57" s="206"/>
      <c r="F57" s="206"/>
      <c r="G57" s="206"/>
      <c r="H57" s="206"/>
      <c r="I57" s="206"/>
      <c r="J57" s="206"/>
      <c r="K57" s="206"/>
      <c r="L57" s="206"/>
      <c r="M57" s="206"/>
      <c r="N57" s="206"/>
      <c r="O57" s="206"/>
      <c r="P57" s="206"/>
      <c r="Q57" s="206"/>
      <c r="R57" s="206"/>
      <c r="S57" s="206"/>
      <c r="T57" s="206"/>
      <c r="U57" s="206"/>
      <c r="V57" s="206"/>
      <c r="W57" s="206"/>
      <c r="X57" s="206"/>
      <c r="Y57" s="206"/>
      <c r="Z57" s="206"/>
      <c r="AA57" s="206"/>
      <c r="AB57" s="206"/>
      <c r="AC57" s="206"/>
      <c r="AD57" s="183"/>
      <c r="AE57" s="183"/>
      <c r="AF57" s="183"/>
      <c r="AG57" s="183"/>
      <c r="AH57" s="183"/>
      <c r="AI57" s="183"/>
      <c r="AJ57" s="183"/>
      <c r="AK57" s="183"/>
      <c r="AL57" s="183"/>
      <c r="AM57" s="183"/>
      <c r="AN57" s="184"/>
      <c r="AO57" s="168"/>
    </row>
    <row r="58" spans="2:41" s="169" customFormat="1" ht="14.85" customHeight="1">
      <c r="B58" s="182"/>
      <c r="C58" s="183"/>
      <c r="D58" s="183"/>
      <c r="E58" s="183"/>
      <c r="F58" s="183"/>
      <c r="G58" s="183"/>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183"/>
      <c r="AK58" s="183"/>
      <c r="AL58" s="183"/>
      <c r="AM58" s="183"/>
      <c r="AN58" s="184"/>
      <c r="AO58" s="168"/>
    </row>
    <row r="59" spans="2:41" s="168" customFormat="1" ht="14.85" customHeight="1">
      <c r="B59" s="190"/>
      <c r="C59" s="191"/>
      <c r="D59" s="191"/>
      <c r="E59" s="191"/>
      <c r="F59" s="191"/>
      <c r="G59" s="191"/>
      <c r="H59" s="191"/>
      <c r="I59" s="191"/>
      <c r="J59" s="191"/>
      <c r="K59" s="191"/>
      <c r="L59" s="191"/>
      <c r="M59" s="191"/>
      <c r="N59" s="191"/>
      <c r="O59" s="191"/>
      <c r="P59" s="191"/>
      <c r="Q59" s="191"/>
      <c r="R59" s="191"/>
      <c r="S59" s="191"/>
      <c r="T59" s="191"/>
      <c r="U59" s="191"/>
      <c r="V59" s="191"/>
      <c r="W59" s="191"/>
      <c r="X59" s="191"/>
      <c r="Y59" s="191"/>
      <c r="Z59" s="191"/>
      <c r="AA59" s="191"/>
      <c r="AB59" s="191"/>
      <c r="AC59" s="191"/>
      <c r="AD59" s="191"/>
      <c r="AE59" s="191"/>
      <c r="AF59" s="191"/>
      <c r="AG59" s="191"/>
      <c r="AH59" s="191"/>
      <c r="AI59" s="191"/>
      <c r="AJ59" s="191"/>
      <c r="AK59" s="191"/>
      <c r="AL59" s="191"/>
      <c r="AM59" s="191"/>
      <c r="AN59" s="192"/>
    </row>
    <row r="60" spans="2:41" s="168" customFormat="1" ht="36" customHeight="1">
      <c r="B60"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60" s="363"/>
      <c r="D60" s="363"/>
      <c r="E60" s="363"/>
      <c r="F60" s="363"/>
      <c r="G60" s="363"/>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row>
    <row r="61" spans="2:41" s="110" customFormat="1" ht="12.75" customHeight="1"/>
    <row r="62" spans="2:41" s="110" customFormat="1"/>
    <row r="63" spans="2:41" s="110" customFormat="1"/>
    <row r="64" spans="2:41" s="110" customFormat="1"/>
    <row r="65" s="110" customFormat="1"/>
    <row r="66" s="110" customFormat="1"/>
    <row r="67" s="110" customFormat="1"/>
    <row r="68" s="110" customFormat="1"/>
    <row r="69" s="110" customFormat="1"/>
    <row r="70" s="110" customFormat="1"/>
    <row r="71" s="110" customFormat="1"/>
    <row r="72" s="110" customFormat="1"/>
    <row r="73" s="110" customFormat="1"/>
    <row r="74" s="110" customFormat="1"/>
    <row r="75" s="110" customFormat="1"/>
    <row r="76" s="110" customFormat="1"/>
    <row r="77" s="110" customFormat="1"/>
    <row r="78" s="110" customFormat="1"/>
    <row r="79" s="110" customFormat="1"/>
    <row r="80" s="110" customFormat="1"/>
    <row r="81" s="110" customFormat="1" ht="12.75" customHeight="1"/>
    <row r="82" s="110" customFormat="1"/>
  </sheetData>
  <mergeCells count="47">
    <mergeCell ref="C10:D10"/>
    <mergeCell ref="B60:AN60"/>
    <mergeCell ref="T8:W8"/>
    <mergeCell ref="X8:AA8"/>
    <mergeCell ref="AB8:AC8"/>
    <mergeCell ref="AD8:AF8"/>
    <mergeCell ref="AG8:AJ8"/>
    <mergeCell ref="AK8:AN8"/>
    <mergeCell ref="B8:C8"/>
    <mergeCell ref="D8:F8"/>
    <mergeCell ref="G8:J8"/>
    <mergeCell ref="K8:N8"/>
    <mergeCell ref="O8:P8"/>
    <mergeCell ref="Q8:S8"/>
    <mergeCell ref="AK7:AN7"/>
    <mergeCell ref="B7:C7"/>
    <mergeCell ref="D7:F7"/>
    <mergeCell ref="G7:J7"/>
    <mergeCell ref="K7:N7"/>
    <mergeCell ref="O7:P7"/>
    <mergeCell ref="Q7:S7"/>
    <mergeCell ref="T7:W7"/>
    <mergeCell ref="X7:AA7"/>
    <mergeCell ref="AB7:AC7"/>
    <mergeCell ref="AD7:AF7"/>
    <mergeCell ref="AG7:AJ7"/>
    <mergeCell ref="AL6:AN6"/>
    <mergeCell ref="B4:G4"/>
    <mergeCell ref="I4:Z4"/>
    <mergeCell ref="AA4:AD4"/>
    <mergeCell ref="AE4:AN4"/>
    <mergeCell ref="B5:H5"/>
    <mergeCell ref="I5:AN5"/>
    <mergeCell ref="B6:I6"/>
    <mergeCell ref="J6:AC6"/>
    <mergeCell ref="AD6:AF6"/>
    <mergeCell ref="AG6:AI6"/>
    <mergeCell ref="AJ6:AK6"/>
    <mergeCell ref="B3:G3"/>
    <mergeCell ref="I3:Z3"/>
    <mergeCell ref="AA3:AD3"/>
    <mergeCell ref="AE3:AN3"/>
    <mergeCell ref="B1:AN1"/>
    <mergeCell ref="B2:G2"/>
    <mergeCell ref="I2:Z2"/>
    <mergeCell ref="AA2:AD2"/>
    <mergeCell ref="AE2:AN2"/>
  </mergeCells>
  <pageMargins left="0.7" right="0.7" top="0.75" bottom="0.75" header="0.3" footer="0.3"/>
  <pageSetup scale="74" orientation="portrait" r:id="rId1"/>
  <rowBreaks count="1" manualBreakCount="1">
    <brk id="61" max="16383" man="1"/>
  </rowBreaks>
  <colBreaks count="1" manualBreakCount="1">
    <brk id="40"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theme="3" tint="0.39997558519241921"/>
  </sheetPr>
  <dimension ref="B1:BV86"/>
  <sheetViews>
    <sheetView view="pageLayout" topLeftCell="A31" zoomScaleNormal="100" zoomScaleSheetLayoutView="100" workbookViewId="0">
      <selection activeCell="B41" sqref="B41:BH41"/>
    </sheetView>
  </sheetViews>
  <sheetFormatPr defaultColWidth="9.140625" defaultRowHeight="12.75"/>
  <cols>
    <col min="1" max="1" width="0.7109375" customWidth="1"/>
    <col min="2" max="60" width="2.5703125" customWidth="1"/>
    <col min="61" max="61" width="22.140625" customWidth="1"/>
  </cols>
  <sheetData>
    <row r="1" spans="2:74"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c r="BE1" s="217"/>
      <c r="BF1" s="217"/>
      <c r="BG1" s="217"/>
      <c r="BH1" s="218"/>
    </row>
    <row r="2" spans="2:74" s="195" customFormat="1" ht="15" customHeight="1">
      <c r="B2" s="331" t="s">
        <v>1</v>
      </c>
      <c r="C2" s="374"/>
      <c r="D2" s="374"/>
      <c r="E2" s="374"/>
      <c r="F2" s="374"/>
      <c r="G2" s="374"/>
      <c r="H2" s="175"/>
      <c r="I2" s="198"/>
      <c r="J2" s="198"/>
      <c r="K2" s="369" t="str">
        <f>customer</f>
        <v>customer name</v>
      </c>
      <c r="L2" s="369"/>
      <c r="M2" s="369"/>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c r="AQ2" s="369"/>
      <c r="AR2" s="369"/>
      <c r="AS2" s="369"/>
      <c r="AT2" s="369"/>
      <c r="AU2" s="370" t="s">
        <v>3</v>
      </c>
      <c r="AV2" s="370"/>
      <c r="AW2" s="370"/>
      <c r="AX2" s="370"/>
      <c r="AY2" s="334" t="str">
        <f>Proj_no</f>
        <v>proj no</v>
      </c>
      <c r="AZ2" s="334"/>
      <c r="BA2" s="334"/>
      <c r="BB2" s="334"/>
      <c r="BC2" s="334"/>
      <c r="BD2" s="334"/>
      <c r="BE2" s="334"/>
      <c r="BF2" s="334"/>
      <c r="BG2" s="334"/>
      <c r="BH2" s="335"/>
      <c r="BI2" s="199"/>
    </row>
    <row r="3" spans="2:74" s="195" customFormat="1" ht="15" customHeight="1">
      <c r="B3" s="336" t="s">
        <v>5</v>
      </c>
      <c r="C3" s="228"/>
      <c r="D3" s="228"/>
      <c r="E3" s="228"/>
      <c r="F3" s="228"/>
      <c r="G3" s="228"/>
      <c r="H3" s="175"/>
      <c r="I3" s="198"/>
      <c r="J3" s="198"/>
      <c r="K3" s="368" t="str">
        <f>proj_title</f>
        <v>proj title</v>
      </c>
      <c r="L3" s="368"/>
      <c r="M3" s="368"/>
      <c r="N3" s="368"/>
      <c r="O3" s="368"/>
      <c r="P3" s="368"/>
      <c r="Q3" s="368"/>
      <c r="R3" s="368"/>
      <c r="S3" s="368"/>
      <c r="T3" s="368"/>
      <c r="U3" s="368"/>
      <c r="V3" s="368"/>
      <c r="W3" s="368"/>
      <c r="X3" s="368"/>
      <c r="Y3" s="368"/>
      <c r="Z3" s="368"/>
      <c r="AA3" s="368"/>
      <c r="AB3" s="368"/>
      <c r="AC3" s="368"/>
      <c r="AD3" s="368"/>
      <c r="AE3" s="368"/>
      <c r="AF3" s="368"/>
      <c r="AG3" s="368"/>
      <c r="AH3" s="368"/>
      <c r="AI3" s="368"/>
      <c r="AJ3" s="368"/>
      <c r="AK3" s="368"/>
      <c r="AL3" s="368"/>
      <c r="AM3" s="368"/>
      <c r="AN3" s="368"/>
      <c r="AO3" s="368"/>
      <c r="AP3" s="368"/>
      <c r="AQ3" s="368"/>
      <c r="AR3" s="368"/>
      <c r="AS3" s="368"/>
      <c r="AT3" s="368"/>
      <c r="AU3" s="338" t="s">
        <v>7</v>
      </c>
      <c r="AV3" s="338"/>
      <c r="AW3" s="338"/>
      <c r="AX3" s="338"/>
      <c r="AY3" s="339" t="str">
        <f>Calc_no</f>
        <v>650100-PR-CAL-0004</v>
      </c>
      <c r="AZ3" s="339"/>
      <c r="BA3" s="339"/>
      <c r="BB3" s="339"/>
      <c r="BC3" s="339"/>
      <c r="BD3" s="339"/>
      <c r="BE3" s="339"/>
      <c r="BF3" s="339"/>
      <c r="BG3" s="339"/>
      <c r="BH3" s="340"/>
      <c r="BI3" s="199"/>
    </row>
    <row r="4" spans="2:74" s="195" customFormat="1" ht="15" customHeight="1">
      <c r="B4" s="343" t="s">
        <v>9</v>
      </c>
      <c r="C4" s="228"/>
      <c r="D4" s="228"/>
      <c r="E4" s="228"/>
      <c r="F4" s="228"/>
      <c r="G4" s="228"/>
      <c r="H4" s="175"/>
      <c r="I4" s="200"/>
      <c r="J4" s="200"/>
      <c r="K4" s="375" t="str">
        <f>calc_title</f>
        <v>Vibration Assessment-Flow Induced Turbulence Template</v>
      </c>
      <c r="L4" s="375"/>
      <c r="M4" s="375"/>
      <c r="N4" s="375"/>
      <c r="O4" s="375"/>
      <c r="P4" s="375"/>
      <c r="Q4" s="375"/>
      <c r="R4" s="375"/>
      <c r="S4" s="375"/>
      <c r="T4" s="375"/>
      <c r="U4" s="375"/>
      <c r="V4" s="375"/>
      <c r="W4" s="375"/>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38" t="s">
        <v>11</v>
      </c>
      <c r="AV4" s="338"/>
      <c r="AW4" s="338"/>
      <c r="AX4" s="338"/>
      <c r="AY4" s="339" t="str">
        <f>Phase_CTR</f>
        <v>phase</v>
      </c>
      <c r="AZ4" s="339"/>
      <c r="BA4" s="339"/>
      <c r="BB4" s="339"/>
      <c r="BC4" s="339"/>
      <c r="BD4" s="339"/>
      <c r="BE4" s="339"/>
      <c r="BF4" s="339"/>
      <c r="BG4" s="339"/>
      <c r="BH4" s="340"/>
      <c r="BI4" s="199"/>
    </row>
    <row r="5" spans="2:74" s="195" customFormat="1" ht="22.5" customHeight="1">
      <c r="B5" s="343" t="s">
        <v>13</v>
      </c>
      <c r="C5" s="338"/>
      <c r="D5" s="338"/>
      <c r="E5" s="338"/>
      <c r="F5" s="338"/>
      <c r="G5" s="338"/>
      <c r="H5" s="338"/>
      <c r="I5" s="200"/>
      <c r="J5" s="200"/>
      <c r="K5" s="375" t="str">
        <f ca="1">elec_file</f>
        <v>https://pdomobility-my.sharepoint.com/personal/lakshmanan_lk_krishnamurthy_pdo_co_om/Documents/Lakshman/atmct2/KS-PR-CAL-0086 Vibration Assessment - Flow Induced Turbulence Calculation.xlsm</v>
      </c>
      <c r="L5" s="376"/>
      <c r="M5" s="376"/>
      <c r="N5" s="376"/>
      <c r="O5" s="376"/>
      <c r="P5" s="376"/>
      <c r="Q5" s="376"/>
      <c r="R5" s="376"/>
      <c r="S5" s="376"/>
      <c r="T5" s="376"/>
      <c r="U5" s="376"/>
      <c r="V5" s="376"/>
      <c r="W5" s="376"/>
      <c r="X5" s="376"/>
      <c r="Y5" s="376"/>
      <c r="Z5" s="376"/>
      <c r="AA5" s="376"/>
      <c r="AB5" s="376"/>
      <c r="AC5" s="376"/>
      <c r="AD5" s="376"/>
      <c r="AE5" s="376"/>
      <c r="AF5" s="376"/>
      <c r="AG5" s="376"/>
      <c r="AH5" s="376"/>
      <c r="AI5" s="376"/>
      <c r="AJ5" s="376"/>
      <c r="AK5" s="376"/>
      <c r="AL5" s="376"/>
      <c r="AM5" s="376"/>
      <c r="AN5" s="376"/>
      <c r="AO5" s="376"/>
      <c r="AP5" s="376"/>
      <c r="AQ5" s="376"/>
      <c r="AR5" s="376"/>
      <c r="AS5" s="376"/>
      <c r="AT5" s="376"/>
      <c r="AU5" s="376"/>
      <c r="AV5" s="376"/>
      <c r="AW5" s="376"/>
      <c r="AX5" s="376"/>
      <c r="AY5" s="376"/>
      <c r="AZ5" s="376"/>
      <c r="BA5" s="376"/>
      <c r="BB5" s="376"/>
      <c r="BC5" s="376"/>
      <c r="BD5" s="376"/>
      <c r="BE5" s="376"/>
      <c r="BF5" s="376"/>
      <c r="BG5" s="376"/>
      <c r="BH5" s="377"/>
    </row>
    <row r="6" spans="2:74" s="195" customFormat="1" ht="15" customHeight="1">
      <c r="B6" s="346"/>
      <c r="C6" s="378"/>
      <c r="D6" s="378"/>
      <c r="E6" s="378"/>
      <c r="F6" s="378"/>
      <c r="G6" s="378"/>
      <c r="H6" s="378"/>
      <c r="I6" s="378"/>
      <c r="J6" s="378"/>
      <c r="K6" s="379"/>
      <c r="L6" s="380"/>
      <c r="M6" s="380"/>
      <c r="N6" s="380"/>
      <c r="O6" s="380"/>
      <c r="P6" s="380"/>
      <c r="Q6" s="380"/>
      <c r="R6" s="380"/>
      <c r="S6" s="380"/>
      <c r="T6" s="380"/>
      <c r="U6" s="380"/>
      <c r="V6" s="380"/>
      <c r="W6" s="380"/>
      <c r="X6" s="380"/>
      <c r="Y6" s="380"/>
      <c r="Z6" s="380"/>
      <c r="AA6" s="380"/>
      <c r="AB6" s="380"/>
      <c r="AC6" s="380"/>
      <c r="AD6" s="380"/>
      <c r="AE6" s="380"/>
      <c r="AF6" s="380"/>
      <c r="AG6" s="380"/>
      <c r="AH6" s="380"/>
      <c r="AI6" s="380"/>
      <c r="AJ6" s="380"/>
      <c r="AK6" s="380"/>
      <c r="AL6" s="380"/>
      <c r="AM6" s="380"/>
      <c r="AN6" s="380"/>
      <c r="AO6" s="380"/>
      <c r="AP6" s="380"/>
      <c r="AQ6" s="380"/>
      <c r="AR6" s="380"/>
      <c r="AS6" s="380"/>
      <c r="AT6" s="380"/>
      <c r="AU6" s="380"/>
      <c r="AV6" s="380"/>
      <c r="AW6" s="380"/>
      <c r="AX6" s="381" t="s">
        <v>14</v>
      </c>
      <c r="AY6" s="381"/>
      <c r="AZ6" s="381"/>
      <c r="BA6" s="382"/>
      <c r="BB6" s="382"/>
      <c r="BC6" s="382"/>
      <c r="BD6" s="381" t="s">
        <v>15</v>
      </c>
      <c r="BE6" s="381"/>
      <c r="BF6" s="339" t="str">
        <f>num_pages</f>
        <v>#pages</v>
      </c>
      <c r="BG6" s="339"/>
      <c r="BH6" s="342"/>
    </row>
    <row r="7" spans="2:74" s="152" customFormat="1" ht="15" customHeight="1">
      <c r="B7" s="216" t="s">
        <v>53</v>
      </c>
      <c r="C7" s="217"/>
      <c r="D7" s="217"/>
      <c r="E7" s="217"/>
      <c r="F7" s="218"/>
      <c r="G7" s="216" t="s">
        <v>54</v>
      </c>
      <c r="H7" s="217"/>
      <c r="I7" s="217"/>
      <c r="J7" s="217"/>
      <c r="K7" s="218"/>
      <c r="L7" s="383" t="s">
        <v>56</v>
      </c>
      <c r="M7" s="383"/>
      <c r="N7" s="383"/>
      <c r="O7" s="383"/>
      <c r="P7" s="383"/>
      <c r="Q7" s="384" t="s">
        <v>57</v>
      </c>
      <c r="R7" s="385"/>
      <c r="S7" s="385"/>
      <c r="T7" s="385"/>
      <c r="U7" s="385"/>
      <c r="V7" s="386" t="s">
        <v>53</v>
      </c>
      <c r="W7" s="217"/>
      <c r="X7" s="217"/>
      <c r="Y7" s="217"/>
      <c r="Z7" s="218"/>
      <c r="AA7" s="383" t="s">
        <v>54</v>
      </c>
      <c r="AB7" s="383"/>
      <c r="AC7" s="383"/>
      <c r="AD7" s="383"/>
      <c r="AE7" s="383" t="s">
        <v>56</v>
      </c>
      <c r="AF7" s="383"/>
      <c r="AG7" s="383"/>
      <c r="AH7" s="383"/>
      <c r="AI7" s="383"/>
      <c r="AJ7" s="384" t="s">
        <v>57</v>
      </c>
      <c r="AK7" s="385"/>
      <c r="AL7" s="385"/>
      <c r="AM7" s="385"/>
      <c r="AN7" s="385"/>
      <c r="AO7" s="386" t="s">
        <v>53</v>
      </c>
      <c r="AP7" s="217"/>
      <c r="AQ7" s="217"/>
      <c r="AR7" s="217"/>
      <c r="AS7" s="218"/>
      <c r="AT7" s="216" t="s">
        <v>54</v>
      </c>
      <c r="AU7" s="217"/>
      <c r="AV7" s="217"/>
      <c r="AW7" s="217"/>
      <c r="AX7" s="218"/>
      <c r="AY7" s="216" t="s">
        <v>56</v>
      </c>
      <c r="AZ7" s="217"/>
      <c r="BA7" s="217"/>
      <c r="BB7" s="217"/>
      <c r="BC7" s="218"/>
      <c r="BD7" s="216" t="s">
        <v>57</v>
      </c>
      <c r="BE7" s="217"/>
      <c r="BF7" s="217"/>
      <c r="BG7" s="217"/>
      <c r="BH7" s="218"/>
    </row>
    <row r="8" spans="2:74" s="157" customFormat="1" ht="15" customHeight="1">
      <c r="B8" s="358" t="str">
        <f>_rev1</f>
        <v>rev1</v>
      </c>
      <c r="C8" s="359"/>
      <c r="D8" s="359"/>
      <c r="E8" s="359"/>
      <c r="F8" s="360"/>
      <c r="G8" s="356" t="str">
        <f>date1</f>
        <v>date1</v>
      </c>
      <c r="H8" s="357"/>
      <c r="I8" s="357"/>
      <c r="J8" s="357"/>
      <c r="K8" s="391"/>
      <c r="L8" s="387" t="str">
        <f>orig1</f>
        <v>by1</v>
      </c>
      <c r="M8" s="387"/>
      <c r="N8" s="387"/>
      <c r="O8" s="387"/>
      <c r="P8" s="387"/>
      <c r="Q8" s="388" t="str">
        <f>_chk1</f>
        <v>chkd1</v>
      </c>
      <c r="R8" s="389"/>
      <c r="S8" s="389"/>
      <c r="T8" s="389"/>
      <c r="U8" s="389"/>
      <c r="V8" s="390" t="str">
        <f>_rev2</f>
        <v>rev2</v>
      </c>
      <c r="W8" s="354"/>
      <c r="X8" s="354"/>
      <c r="Y8" s="354"/>
      <c r="Z8" s="355"/>
      <c r="AA8" s="392" t="str">
        <f>date2</f>
        <v>date2</v>
      </c>
      <c r="AB8" s="392"/>
      <c r="AC8" s="392"/>
      <c r="AD8" s="392"/>
      <c r="AE8" s="387" t="str">
        <f>orig2</f>
        <v>by2</v>
      </c>
      <c r="AF8" s="387"/>
      <c r="AG8" s="387"/>
      <c r="AH8" s="387"/>
      <c r="AI8" s="387"/>
      <c r="AJ8" s="388" t="str">
        <f>_chk2</f>
        <v>chkd2</v>
      </c>
      <c r="AK8" s="389"/>
      <c r="AL8" s="389"/>
      <c r="AM8" s="389"/>
      <c r="AN8" s="389"/>
      <c r="AO8" s="390" t="str">
        <f>_rev3</f>
        <v>rev3</v>
      </c>
      <c r="AP8" s="354"/>
      <c r="AQ8" s="354"/>
      <c r="AR8" s="354"/>
      <c r="AS8" s="355"/>
      <c r="AT8" s="356" t="str">
        <f>date3</f>
        <v>date3</v>
      </c>
      <c r="AU8" s="357"/>
      <c r="AV8" s="357"/>
      <c r="AW8" s="357"/>
      <c r="AX8" s="391"/>
      <c r="AY8" s="353" t="str">
        <f>orig3</f>
        <v>by3</v>
      </c>
      <c r="AZ8" s="354"/>
      <c r="BA8" s="354"/>
      <c r="BB8" s="354"/>
      <c r="BC8" s="355"/>
      <c r="BD8" s="358" t="str">
        <f>_chk3</f>
        <v>chkd3</v>
      </c>
      <c r="BE8" s="359"/>
      <c r="BF8" s="359"/>
      <c r="BG8" s="359"/>
      <c r="BH8" s="360"/>
    </row>
    <row r="9" spans="2:74" s="152" customFormat="1" ht="14.65" customHeight="1">
      <c r="B9" s="179"/>
      <c r="C9" s="201"/>
      <c r="D9" s="201"/>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201"/>
      <c r="AK9" s="201"/>
      <c r="AL9" s="201"/>
      <c r="AM9" s="201"/>
      <c r="AN9" s="201"/>
      <c r="AO9" s="201"/>
      <c r="AP9" s="201"/>
      <c r="AQ9" s="201"/>
      <c r="AR9" s="201"/>
      <c r="AS9" s="201"/>
      <c r="AT9" s="201"/>
      <c r="AU9" s="201"/>
      <c r="AV9" s="201"/>
      <c r="AW9" s="201"/>
      <c r="AX9" s="201"/>
      <c r="AY9" s="201"/>
      <c r="AZ9" s="201"/>
      <c r="BA9" s="201"/>
      <c r="BB9" s="201"/>
      <c r="BC9" s="201"/>
      <c r="BD9" s="201"/>
      <c r="BE9" s="201"/>
      <c r="BF9" s="201"/>
      <c r="BG9" s="201"/>
      <c r="BH9" s="181"/>
      <c r="BI9" s="193"/>
      <c r="BJ9" s="193"/>
      <c r="BK9" s="193"/>
      <c r="BL9" s="193"/>
      <c r="BM9" s="193"/>
      <c r="BN9" s="193"/>
      <c r="BO9" s="193"/>
      <c r="BP9" s="193"/>
      <c r="BQ9" s="193"/>
      <c r="BR9" s="193"/>
      <c r="BS9" s="193"/>
      <c r="BT9" s="193"/>
      <c r="BU9" s="193"/>
      <c r="BV9" s="193"/>
    </row>
    <row r="10" spans="2:74" s="152" customFormat="1" ht="22.5" customHeight="1">
      <c r="B10" s="182"/>
      <c r="C10" s="365" t="str">
        <f>ToC!F17</f>
        <v>4.0</v>
      </c>
      <c r="D10" s="365"/>
      <c r="E10" s="197"/>
      <c r="F10" s="197" t="str">
        <f>ToC!H17</f>
        <v>Methodology</v>
      </c>
      <c r="G10" s="183"/>
      <c r="H10" s="202"/>
      <c r="I10" s="202"/>
      <c r="J10" s="202"/>
      <c r="K10" s="202"/>
      <c r="L10" s="202"/>
      <c r="M10" s="135" t="s">
        <v>152</v>
      </c>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3"/>
      <c r="BI10" s="193"/>
      <c r="BJ10" s="193"/>
      <c r="BK10" s="193"/>
      <c r="BL10" s="193"/>
      <c r="BM10" s="193"/>
      <c r="BN10" s="193"/>
      <c r="BO10" s="193"/>
      <c r="BP10" s="193"/>
      <c r="BQ10" s="193"/>
      <c r="BR10" s="193"/>
      <c r="BS10" s="193"/>
      <c r="BT10" s="193"/>
      <c r="BU10" s="193"/>
      <c r="BV10" s="193"/>
    </row>
    <row r="11" spans="2:74" s="152" customFormat="1" ht="14.65" customHeight="1">
      <c r="B11" s="182"/>
      <c r="C11" s="183"/>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3"/>
      <c r="BI11" s="193"/>
      <c r="BJ11" s="193"/>
      <c r="BK11" s="193"/>
      <c r="BL11" s="193"/>
      <c r="BM11" s="193"/>
      <c r="BN11" s="193"/>
      <c r="BO11" s="193"/>
      <c r="BP11" s="193"/>
      <c r="BQ11" s="193"/>
      <c r="BR11" s="193"/>
      <c r="BS11" s="193"/>
      <c r="BT11" s="193"/>
      <c r="BU11" s="193"/>
      <c r="BV11" s="193"/>
    </row>
    <row r="12" spans="2:74" s="152" customFormat="1" ht="14.65" customHeight="1">
      <c r="B12" s="182"/>
      <c r="C12" s="183"/>
      <c r="D12" s="202"/>
      <c r="E12" s="202"/>
      <c r="F12" s="202"/>
      <c r="G12" s="202"/>
      <c r="H12" s="202"/>
      <c r="I12" s="202"/>
      <c r="J12" s="202"/>
      <c r="K12" s="202"/>
      <c r="L12" s="202"/>
      <c r="M12" s="202"/>
      <c r="N12" s="202"/>
      <c r="O12" s="202"/>
      <c r="P12" s="202"/>
      <c r="Q12" s="202"/>
      <c r="R12" s="202"/>
      <c r="S12" s="202"/>
      <c r="T12" s="202"/>
      <c r="U12" s="202"/>
      <c r="V12" s="202"/>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4"/>
      <c r="BI12" s="193"/>
      <c r="BJ12" s="193"/>
      <c r="BK12" s="193"/>
      <c r="BL12" s="193"/>
      <c r="BM12" s="193"/>
      <c r="BN12" s="193"/>
      <c r="BO12" s="193"/>
      <c r="BP12" s="193"/>
      <c r="BQ12" s="193"/>
      <c r="BR12" s="193"/>
      <c r="BS12" s="193"/>
      <c r="BT12" s="193"/>
      <c r="BU12" s="193"/>
      <c r="BV12" s="193"/>
    </row>
    <row r="13" spans="2:74" s="152" customFormat="1" ht="14.65" customHeight="1">
      <c r="B13" s="182"/>
      <c r="C13" s="183"/>
      <c r="D13" s="202"/>
      <c r="E13" s="202"/>
      <c r="F13" s="202"/>
      <c r="G13" s="202"/>
      <c r="H13" s="202"/>
      <c r="I13" s="202"/>
      <c r="J13" s="202"/>
      <c r="K13" s="202"/>
      <c r="L13" s="202"/>
      <c r="M13" s="202"/>
      <c r="N13" s="202"/>
      <c r="O13" s="202"/>
      <c r="P13" s="202"/>
      <c r="Q13" s="202"/>
      <c r="R13" s="202"/>
      <c r="S13" s="202"/>
      <c r="T13" s="202"/>
      <c r="U13" s="202"/>
      <c r="V13" s="202"/>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4"/>
      <c r="BI13" s="193"/>
      <c r="BJ13" s="193"/>
      <c r="BK13" s="193"/>
      <c r="BL13" s="193"/>
      <c r="BM13" s="193"/>
      <c r="BN13" s="193"/>
      <c r="BO13" s="193"/>
      <c r="BP13" s="193"/>
      <c r="BQ13" s="193"/>
      <c r="BR13" s="193"/>
      <c r="BS13" s="193"/>
      <c r="BT13" s="193"/>
      <c r="BU13" s="193"/>
      <c r="BV13" s="193"/>
    </row>
    <row r="14" spans="2:74" s="152" customFormat="1" ht="14.65" customHeight="1">
      <c r="B14" s="182"/>
      <c r="C14" s="18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4"/>
      <c r="BI14" s="193"/>
      <c r="BJ14" s="193"/>
      <c r="BK14" s="193"/>
      <c r="BL14" s="193"/>
      <c r="BM14" s="193"/>
      <c r="BN14" s="193"/>
      <c r="BO14" s="193"/>
      <c r="BP14" s="193"/>
      <c r="BQ14" s="193"/>
      <c r="BR14" s="193"/>
      <c r="BS14" s="193"/>
      <c r="BT14" s="193"/>
      <c r="BU14" s="193"/>
      <c r="BV14" s="193"/>
    </row>
    <row r="15" spans="2:74" s="152" customFormat="1" ht="14.65" customHeight="1">
      <c r="B15" s="182"/>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4"/>
      <c r="BI15" s="193"/>
      <c r="BJ15" s="193"/>
      <c r="BK15" s="193"/>
      <c r="BL15" s="193"/>
      <c r="BM15" s="193"/>
      <c r="BN15" s="193"/>
      <c r="BO15" s="193"/>
      <c r="BP15" s="193"/>
      <c r="BQ15" s="193"/>
      <c r="BR15" s="193"/>
      <c r="BS15" s="193"/>
      <c r="BT15" s="193"/>
      <c r="BU15" s="193"/>
      <c r="BV15" s="193"/>
    </row>
    <row r="16" spans="2:74" s="152" customFormat="1" ht="14.65" customHeight="1">
      <c r="B16" s="182"/>
      <c r="C16" s="18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4"/>
      <c r="BI16" s="193"/>
      <c r="BJ16" s="193"/>
      <c r="BK16" s="193"/>
      <c r="BL16" s="193"/>
      <c r="BM16" s="193"/>
      <c r="BN16" s="193"/>
      <c r="BO16" s="193"/>
      <c r="BP16" s="193"/>
      <c r="BQ16" s="193"/>
      <c r="BR16" s="193"/>
      <c r="BS16" s="193"/>
      <c r="BT16" s="193"/>
      <c r="BU16" s="193"/>
      <c r="BV16" s="193"/>
    </row>
    <row r="17" spans="2:74" s="152" customFormat="1" ht="14.65" customHeight="1">
      <c r="B17" s="182"/>
      <c r="C17" s="183"/>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c r="BA17" s="183"/>
      <c r="BB17" s="183"/>
      <c r="BC17" s="183"/>
      <c r="BD17" s="183"/>
      <c r="BE17" s="183"/>
      <c r="BF17" s="183"/>
      <c r="BG17" s="183"/>
      <c r="BH17" s="184"/>
      <c r="BI17" s="193"/>
      <c r="BJ17" s="193"/>
      <c r="BK17" s="193"/>
      <c r="BL17" s="193"/>
      <c r="BM17" s="193"/>
      <c r="BN17" s="193"/>
      <c r="BO17" s="193"/>
      <c r="BP17" s="193"/>
      <c r="BQ17" s="193"/>
      <c r="BR17" s="193"/>
      <c r="BS17" s="193"/>
      <c r="BT17" s="193"/>
      <c r="BU17" s="193"/>
      <c r="BV17" s="193"/>
    </row>
    <row r="18" spans="2:74" s="152" customFormat="1" ht="14.65" customHeight="1">
      <c r="B18" s="182"/>
      <c r="C18" s="183"/>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c r="BA18" s="183"/>
      <c r="BB18" s="183"/>
      <c r="BC18" s="183"/>
      <c r="BD18" s="183"/>
      <c r="BE18" s="183"/>
      <c r="BF18" s="183"/>
      <c r="BG18" s="183"/>
      <c r="BH18" s="184"/>
      <c r="BI18" s="193"/>
      <c r="BJ18" s="193"/>
      <c r="BK18" s="193"/>
      <c r="BL18" s="193"/>
      <c r="BM18" s="193"/>
      <c r="BN18" s="193"/>
      <c r="BO18" s="193"/>
      <c r="BP18" s="193"/>
      <c r="BQ18" s="193"/>
      <c r="BR18" s="193"/>
      <c r="BS18" s="193"/>
      <c r="BT18" s="193"/>
      <c r="BU18" s="193"/>
      <c r="BV18" s="193"/>
    </row>
    <row r="19" spans="2:74" s="152" customFormat="1" ht="14.65" customHeight="1">
      <c r="B19" s="182"/>
      <c r="C19" s="183"/>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c r="BA19" s="183"/>
      <c r="BB19" s="183"/>
      <c r="BC19" s="183"/>
      <c r="BD19" s="183"/>
      <c r="BE19" s="183"/>
      <c r="BF19" s="183"/>
      <c r="BG19" s="183"/>
      <c r="BH19" s="184"/>
      <c r="BI19" s="193"/>
      <c r="BJ19" s="193"/>
      <c r="BK19" s="193"/>
      <c r="BL19" s="193"/>
      <c r="BM19" s="193"/>
      <c r="BN19" s="193"/>
      <c r="BO19" s="193"/>
      <c r="BP19" s="193"/>
      <c r="BQ19" s="193"/>
      <c r="BR19" s="193"/>
      <c r="BS19" s="193"/>
      <c r="BT19" s="193"/>
      <c r="BU19" s="193"/>
      <c r="BV19" s="193"/>
    </row>
    <row r="20" spans="2:74" s="152" customFormat="1" ht="14.65" customHeight="1">
      <c r="B20" s="182"/>
      <c r="C20" s="183"/>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c r="BA20" s="183"/>
      <c r="BB20" s="183"/>
      <c r="BC20" s="183"/>
      <c r="BD20" s="183"/>
      <c r="BE20" s="183"/>
      <c r="BF20" s="183"/>
      <c r="BG20" s="183"/>
      <c r="BH20" s="184"/>
      <c r="BI20" s="193"/>
      <c r="BJ20" s="193"/>
      <c r="BK20" s="193"/>
      <c r="BL20" s="193"/>
      <c r="BM20" s="193"/>
      <c r="BN20" s="193"/>
      <c r="BO20" s="193"/>
      <c r="BP20" s="193"/>
      <c r="BQ20" s="193"/>
      <c r="BR20" s="193"/>
      <c r="BS20" s="193"/>
      <c r="BT20" s="193"/>
      <c r="BU20" s="193"/>
      <c r="BV20" s="193"/>
    </row>
    <row r="21" spans="2:74" s="152" customFormat="1" ht="14.65" customHeight="1">
      <c r="B21" s="182"/>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4"/>
      <c r="BI21" s="193"/>
      <c r="BJ21" s="193"/>
      <c r="BK21" s="193"/>
      <c r="BL21" s="193"/>
      <c r="BM21" s="193"/>
      <c r="BN21" s="193"/>
      <c r="BO21" s="193"/>
      <c r="BP21" s="193"/>
      <c r="BQ21" s="193"/>
      <c r="BR21" s="193"/>
      <c r="BS21" s="193"/>
      <c r="BT21" s="193"/>
      <c r="BU21" s="193"/>
      <c r="BV21" s="193"/>
    </row>
    <row r="22" spans="2:74" s="152" customFormat="1" ht="14.65" customHeight="1">
      <c r="B22" s="182"/>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4"/>
      <c r="BI22" s="193"/>
      <c r="BJ22" s="193"/>
      <c r="BK22" s="193"/>
      <c r="BL22" s="193"/>
      <c r="BM22" s="193"/>
      <c r="BN22" s="193"/>
      <c r="BO22" s="193"/>
      <c r="BP22" s="193"/>
      <c r="BQ22" s="193"/>
      <c r="BR22" s="193"/>
      <c r="BS22" s="193"/>
      <c r="BT22" s="193"/>
      <c r="BU22" s="193"/>
      <c r="BV22" s="193"/>
    </row>
    <row r="23" spans="2:74" s="152" customFormat="1" ht="14.65" customHeight="1">
      <c r="B23" s="182"/>
      <c r="C23" s="183"/>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c r="BA23" s="183"/>
      <c r="BB23" s="183"/>
      <c r="BC23" s="183"/>
      <c r="BD23" s="183"/>
      <c r="BE23" s="183"/>
      <c r="BF23" s="183"/>
      <c r="BG23" s="183"/>
      <c r="BH23" s="184"/>
      <c r="BI23" s="193"/>
      <c r="BJ23" s="193"/>
      <c r="BK23" s="193"/>
      <c r="BL23" s="193"/>
      <c r="BM23" s="193"/>
      <c r="BN23" s="193"/>
      <c r="BO23" s="193"/>
      <c r="BP23" s="193"/>
      <c r="BQ23" s="193"/>
      <c r="BR23" s="193"/>
      <c r="BS23" s="193"/>
      <c r="BT23" s="193"/>
      <c r="BU23" s="193"/>
      <c r="BV23" s="193"/>
    </row>
    <row r="24" spans="2:74" s="152" customFormat="1" ht="14.65" customHeight="1">
      <c r="B24" s="182"/>
      <c r="C24" s="183"/>
      <c r="D24" s="183"/>
      <c r="E24" s="183"/>
      <c r="F24" s="18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c r="BA24" s="183"/>
      <c r="BB24" s="183"/>
      <c r="BC24" s="183"/>
      <c r="BD24" s="183"/>
      <c r="BE24" s="183"/>
      <c r="BF24" s="183"/>
      <c r="BG24" s="183"/>
      <c r="BH24" s="184"/>
      <c r="BI24" s="193"/>
      <c r="BJ24" s="193"/>
      <c r="BK24" s="193"/>
      <c r="BL24" s="193"/>
      <c r="BM24" s="193"/>
      <c r="BN24" s="193"/>
      <c r="BO24" s="193"/>
      <c r="BP24" s="193"/>
      <c r="BQ24" s="193"/>
      <c r="BR24" s="193"/>
      <c r="BS24" s="193"/>
      <c r="BT24" s="193"/>
      <c r="BU24" s="193"/>
      <c r="BV24" s="193"/>
    </row>
    <row r="25" spans="2:74" s="152" customFormat="1" ht="14.65" customHeight="1">
      <c r="B25" s="182"/>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c r="BA25" s="183"/>
      <c r="BB25" s="183"/>
      <c r="BC25" s="183"/>
      <c r="BD25" s="183"/>
      <c r="BE25" s="183"/>
      <c r="BF25" s="183"/>
      <c r="BG25" s="183"/>
      <c r="BH25" s="184"/>
      <c r="BI25" s="193"/>
      <c r="BJ25" s="193"/>
      <c r="BK25" s="193"/>
      <c r="BL25" s="193"/>
      <c r="BM25" s="193"/>
      <c r="BN25" s="193"/>
      <c r="BO25" s="193"/>
      <c r="BP25" s="193"/>
      <c r="BQ25" s="193"/>
      <c r="BR25" s="193"/>
      <c r="BS25" s="193"/>
      <c r="BT25" s="193"/>
      <c r="BU25" s="193"/>
      <c r="BV25" s="193"/>
    </row>
    <row r="26" spans="2:74" s="152" customFormat="1" ht="14.65" customHeight="1">
      <c r="B26" s="182"/>
      <c r="C26" s="183"/>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4"/>
      <c r="BI26" s="193"/>
      <c r="BJ26" s="193"/>
      <c r="BK26" s="193"/>
      <c r="BL26" s="193"/>
      <c r="BM26" s="193"/>
      <c r="BN26" s="193"/>
      <c r="BO26" s="193"/>
      <c r="BP26" s="193"/>
      <c r="BQ26" s="193"/>
      <c r="BR26" s="193"/>
      <c r="BS26" s="193"/>
      <c r="BT26" s="193"/>
      <c r="BU26" s="193"/>
      <c r="BV26" s="193"/>
    </row>
    <row r="27" spans="2:74" s="152" customFormat="1" ht="14.65" customHeight="1">
      <c r="B27" s="182"/>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3"/>
      <c r="AO27" s="183"/>
      <c r="AP27" s="183"/>
      <c r="AQ27" s="183"/>
      <c r="AR27" s="183"/>
      <c r="AS27" s="183"/>
      <c r="AT27" s="183"/>
      <c r="AU27" s="183"/>
      <c r="AV27" s="183"/>
      <c r="AW27" s="183"/>
      <c r="AX27" s="183"/>
      <c r="AY27" s="183"/>
      <c r="AZ27" s="183"/>
      <c r="BA27" s="183"/>
      <c r="BB27" s="183"/>
      <c r="BC27" s="183"/>
      <c r="BD27" s="183"/>
      <c r="BE27" s="183"/>
      <c r="BF27" s="183"/>
      <c r="BG27" s="183"/>
      <c r="BH27" s="184"/>
      <c r="BI27" s="193"/>
      <c r="BJ27" s="193"/>
      <c r="BK27" s="193"/>
      <c r="BL27" s="193"/>
      <c r="BM27" s="193"/>
      <c r="BN27" s="193"/>
      <c r="BO27" s="193"/>
      <c r="BP27" s="193"/>
      <c r="BQ27" s="193"/>
      <c r="BR27" s="193"/>
      <c r="BS27" s="193"/>
      <c r="BT27" s="193"/>
      <c r="BU27" s="193"/>
      <c r="BV27" s="193"/>
    </row>
    <row r="28" spans="2:74" s="152" customFormat="1" ht="14.65" customHeight="1">
      <c r="B28" s="182"/>
      <c r="C28" s="183"/>
      <c r="D28" s="183"/>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3"/>
      <c r="AO28" s="183"/>
      <c r="AP28" s="183"/>
      <c r="AQ28" s="183"/>
      <c r="AR28" s="183"/>
      <c r="AS28" s="183"/>
      <c r="AT28" s="183"/>
      <c r="AU28" s="183"/>
      <c r="AV28" s="183"/>
      <c r="AW28" s="183"/>
      <c r="AX28" s="183"/>
      <c r="AY28" s="183"/>
      <c r="AZ28" s="183"/>
      <c r="BA28" s="183"/>
      <c r="BB28" s="183"/>
      <c r="BC28" s="183"/>
      <c r="BD28" s="183"/>
      <c r="BE28" s="183"/>
      <c r="BF28" s="183"/>
      <c r="BG28" s="183"/>
      <c r="BH28" s="184"/>
      <c r="BI28" s="193"/>
      <c r="BJ28" s="193"/>
      <c r="BK28" s="193"/>
      <c r="BL28" s="193"/>
      <c r="BM28" s="193"/>
      <c r="BN28" s="193"/>
      <c r="BO28" s="193"/>
      <c r="BP28" s="193"/>
      <c r="BQ28" s="193"/>
      <c r="BR28" s="193"/>
      <c r="BS28" s="193"/>
      <c r="BT28" s="193"/>
      <c r="BU28" s="193"/>
      <c r="BV28" s="193"/>
    </row>
    <row r="29" spans="2:74" s="152" customFormat="1" ht="14.65" customHeight="1">
      <c r="B29" s="182"/>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3"/>
      <c r="AO29" s="183"/>
      <c r="AP29" s="183"/>
      <c r="AQ29" s="183"/>
      <c r="AR29" s="183"/>
      <c r="AS29" s="183"/>
      <c r="AT29" s="183"/>
      <c r="AU29" s="183"/>
      <c r="AV29" s="183"/>
      <c r="AW29" s="183"/>
      <c r="AX29" s="183"/>
      <c r="AY29" s="183"/>
      <c r="AZ29" s="183"/>
      <c r="BA29" s="183"/>
      <c r="BB29" s="183"/>
      <c r="BC29" s="183"/>
      <c r="BD29" s="183"/>
      <c r="BE29" s="183"/>
      <c r="BF29" s="183"/>
      <c r="BG29" s="183"/>
      <c r="BH29" s="184"/>
      <c r="BI29" s="193"/>
      <c r="BJ29" s="193"/>
      <c r="BK29" s="193"/>
      <c r="BL29" s="193"/>
      <c r="BM29" s="193"/>
      <c r="BN29" s="193"/>
      <c r="BO29" s="193"/>
      <c r="BP29" s="193"/>
      <c r="BQ29" s="193"/>
      <c r="BR29" s="193"/>
      <c r="BS29" s="193"/>
      <c r="BT29" s="193"/>
      <c r="BU29" s="193"/>
      <c r="BV29" s="193"/>
    </row>
    <row r="30" spans="2:74" s="152" customFormat="1" ht="14.65" customHeight="1">
      <c r="B30" s="182"/>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c r="AV30" s="183"/>
      <c r="AW30" s="183"/>
      <c r="AX30" s="183"/>
      <c r="AY30" s="183"/>
      <c r="AZ30" s="183"/>
      <c r="BA30" s="183"/>
      <c r="BB30" s="183"/>
      <c r="BC30" s="183"/>
      <c r="BD30" s="183"/>
      <c r="BE30" s="183"/>
      <c r="BF30" s="183"/>
      <c r="BG30" s="183"/>
      <c r="BH30" s="184"/>
      <c r="BI30" s="193"/>
      <c r="BJ30" s="193"/>
      <c r="BK30" s="193"/>
      <c r="BL30" s="193"/>
      <c r="BM30" s="193"/>
      <c r="BN30" s="193"/>
      <c r="BO30" s="193"/>
      <c r="BP30" s="193"/>
      <c r="BQ30" s="193"/>
      <c r="BR30" s="193"/>
      <c r="BS30" s="193"/>
      <c r="BT30" s="193"/>
      <c r="BU30" s="193"/>
      <c r="BV30" s="193"/>
    </row>
    <row r="31" spans="2:74" s="152" customFormat="1" ht="14.65" customHeight="1">
      <c r="B31" s="182"/>
      <c r="C31" s="183"/>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183"/>
      <c r="BA31" s="183"/>
      <c r="BB31" s="183"/>
      <c r="BC31" s="183"/>
      <c r="BD31" s="183"/>
      <c r="BE31" s="183"/>
      <c r="BF31" s="183"/>
      <c r="BG31" s="183"/>
      <c r="BH31" s="184"/>
      <c r="BI31" s="193"/>
      <c r="BJ31" s="193"/>
      <c r="BK31" s="193"/>
      <c r="BL31" s="193"/>
      <c r="BM31" s="193"/>
      <c r="BN31" s="193"/>
      <c r="BO31" s="193"/>
      <c r="BP31" s="193"/>
      <c r="BQ31" s="193"/>
      <c r="BR31" s="193"/>
      <c r="BS31" s="193"/>
      <c r="BT31" s="193"/>
      <c r="BU31" s="193"/>
      <c r="BV31" s="193"/>
    </row>
    <row r="32" spans="2:74" s="152" customFormat="1" ht="14.65" customHeight="1">
      <c r="B32" s="182"/>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4"/>
      <c r="BI32" s="193"/>
      <c r="BJ32" s="193"/>
      <c r="BK32" s="193"/>
      <c r="BL32" s="193"/>
      <c r="BM32" s="193"/>
      <c r="BN32" s="193"/>
      <c r="BO32" s="193"/>
      <c r="BP32" s="193"/>
      <c r="BQ32" s="193"/>
      <c r="BR32" s="193"/>
      <c r="BS32" s="193"/>
      <c r="BT32" s="193"/>
      <c r="BU32" s="193"/>
      <c r="BV32" s="193"/>
    </row>
    <row r="33" spans="2:74" s="152" customFormat="1" ht="14.65" customHeight="1">
      <c r="B33" s="182"/>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183"/>
      <c r="BA33" s="183"/>
      <c r="BB33" s="183"/>
      <c r="BC33" s="183"/>
      <c r="BD33" s="183"/>
      <c r="BE33" s="183"/>
      <c r="BF33" s="183"/>
      <c r="BG33" s="183"/>
      <c r="BH33" s="184"/>
      <c r="BI33" s="193"/>
      <c r="BJ33" s="193"/>
      <c r="BK33" s="193"/>
      <c r="BL33" s="193"/>
      <c r="BM33" s="193"/>
      <c r="BN33" s="193"/>
      <c r="BO33" s="193"/>
      <c r="BP33" s="193"/>
      <c r="BQ33" s="193"/>
      <c r="BR33" s="193"/>
      <c r="BS33" s="193"/>
      <c r="BT33" s="193"/>
      <c r="BU33" s="193"/>
      <c r="BV33" s="193"/>
    </row>
    <row r="34" spans="2:74" s="152" customFormat="1" ht="14.65" customHeight="1">
      <c r="B34" s="182"/>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c r="AS34" s="183"/>
      <c r="AT34" s="183"/>
      <c r="AU34" s="183"/>
      <c r="AV34" s="183"/>
      <c r="AW34" s="183"/>
      <c r="AX34" s="183"/>
      <c r="AY34" s="183"/>
      <c r="AZ34" s="183"/>
      <c r="BA34" s="183"/>
      <c r="BB34" s="183"/>
      <c r="BC34" s="183"/>
      <c r="BD34" s="183"/>
      <c r="BE34" s="183"/>
      <c r="BF34" s="183"/>
      <c r="BG34" s="183"/>
      <c r="BH34" s="184"/>
      <c r="BI34" s="193"/>
      <c r="BJ34" s="193"/>
      <c r="BK34" s="193"/>
      <c r="BL34" s="193"/>
      <c r="BM34" s="193"/>
      <c r="BN34" s="193"/>
      <c r="BO34" s="193"/>
      <c r="BP34" s="193"/>
      <c r="BQ34" s="193"/>
      <c r="BR34" s="193"/>
      <c r="BS34" s="193"/>
      <c r="BT34" s="193"/>
      <c r="BU34" s="193"/>
      <c r="BV34" s="193"/>
    </row>
    <row r="35" spans="2:74" s="152" customFormat="1" ht="14.65" customHeight="1">
      <c r="B35" s="182"/>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c r="AV35" s="183"/>
      <c r="AW35" s="183"/>
      <c r="AX35" s="183"/>
      <c r="AY35" s="183"/>
      <c r="AZ35" s="183"/>
      <c r="BA35" s="183"/>
      <c r="BB35" s="183"/>
      <c r="BC35" s="183"/>
      <c r="BD35" s="183"/>
      <c r="BE35" s="183"/>
      <c r="BF35" s="183"/>
      <c r="BG35" s="183"/>
      <c r="BH35" s="184"/>
      <c r="BI35" s="193"/>
      <c r="BJ35" s="193"/>
      <c r="BK35" s="193"/>
      <c r="BL35" s="193"/>
      <c r="BM35" s="193"/>
      <c r="BN35" s="193"/>
      <c r="BO35" s="193"/>
      <c r="BP35" s="193"/>
      <c r="BQ35" s="193"/>
      <c r="BR35" s="193"/>
      <c r="BS35" s="193"/>
      <c r="BT35" s="193"/>
      <c r="BU35" s="193"/>
      <c r="BV35" s="193"/>
    </row>
    <row r="36" spans="2:74" s="152" customFormat="1" ht="14.65" customHeight="1">
      <c r="B36" s="182"/>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3"/>
      <c r="AY36" s="183"/>
      <c r="AZ36" s="183"/>
      <c r="BA36" s="183"/>
      <c r="BB36" s="183"/>
      <c r="BC36" s="183"/>
      <c r="BD36" s="183"/>
      <c r="BE36" s="183"/>
      <c r="BF36" s="183"/>
      <c r="BG36" s="183"/>
      <c r="BH36" s="184"/>
      <c r="BI36" s="193"/>
      <c r="BJ36" s="193"/>
      <c r="BK36" s="193"/>
      <c r="BL36" s="193"/>
      <c r="BM36" s="193"/>
      <c r="BN36" s="193"/>
      <c r="BO36" s="193"/>
      <c r="BP36" s="193"/>
      <c r="BQ36" s="193"/>
      <c r="BR36" s="193"/>
      <c r="BS36" s="193"/>
      <c r="BT36" s="193"/>
      <c r="BU36" s="193"/>
      <c r="BV36" s="193"/>
    </row>
    <row r="37" spans="2:74" s="152" customFormat="1" ht="14.65" customHeight="1">
      <c r="B37" s="182"/>
      <c r="C37" s="183"/>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3"/>
      <c r="AO37" s="183"/>
      <c r="AP37" s="183"/>
      <c r="AQ37" s="183"/>
      <c r="AR37" s="183"/>
      <c r="AS37" s="183"/>
      <c r="AT37" s="183"/>
      <c r="AU37" s="183"/>
      <c r="AV37" s="183"/>
      <c r="AW37" s="183"/>
      <c r="AX37" s="183"/>
      <c r="AY37" s="183"/>
      <c r="AZ37" s="183"/>
      <c r="BA37" s="183"/>
      <c r="BB37" s="183"/>
      <c r="BC37" s="183"/>
      <c r="BD37" s="183"/>
      <c r="BE37" s="183"/>
      <c r="BF37" s="183"/>
      <c r="BG37" s="183"/>
      <c r="BH37" s="184"/>
      <c r="BI37" s="193"/>
      <c r="BJ37" s="193"/>
      <c r="BK37" s="193"/>
      <c r="BL37" s="193"/>
      <c r="BM37" s="193"/>
      <c r="BN37" s="193"/>
      <c r="BO37" s="193"/>
      <c r="BP37" s="193"/>
      <c r="BQ37" s="193"/>
      <c r="BR37" s="193"/>
      <c r="BS37" s="193"/>
      <c r="BT37" s="193"/>
      <c r="BU37" s="193"/>
      <c r="BV37" s="193"/>
    </row>
    <row r="38" spans="2:74" s="152" customFormat="1" ht="14.65" customHeight="1">
      <c r="B38" s="182"/>
      <c r="C38" s="183"/>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3"/>
      <c r="AO38" s="183"/>
      <c r="AP38" s="183"/>
      <c r="AQ38" s="183"/>
      <c r="AR38" s="183"/>
      <c r="AS38" s="183"/>
      <c r="AT38" s="183"/>
      <c r="AU38" s="183"/>
      <c r="AV38" s="183"/>
      <c r="AW38" s="183"/>
      <c r="AX38" s="183"/>
      <c r="AY38" s="183"/>
      <c r="AZ38" s="183"/>
      <c r="BA38" s="183"/>
      <c r="BB38" s="183"/>
      <c r="BC38" s="183"/>
      <c r="BD38" s="183"/>
      <c r="BE38" s="183"/>
      <c r="BF38" s="183"/>
      <c r="BG38" s="183"/>
      <c r="BH38" s="184"/>
      <c r="BI38" s="193"/>
      <c r="BJ38" s="193"/>
      <c r="BK38" s="193"/>
      <c r="BL38" s="193"/>
      <c r="BM38" s="193"/>
      <c r="BN38" s="193"/>
      <c r="BO38" s="193"/>
      <c r="BP38" s="193"/>
      <c r="BQ38" s="193"/>
      <c r="BR38" s="193"/>
      <c r="BS38" s="193"/>
      <c r="BT38" s="193"/>
      <c r="BU38" s="193"/>
      <c r="BV38" s="193"/>
    </row>
    <row r="39" spans="2:74" s="152" customFormat="1" ht="14.65" customHeight="1">
      <c r="B39" s="182"/>
      <c r="C39" s="183"/>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3"/>
      <c r="AO39" s="183"/>
      <c r="AP39" s="183"/>
      <c r="AQ39" s="183"/>
      <c r="AR39" s="183"/>
      <c r="AS39" s="183"/>
      <c r="AT39" s="183"/>
      <c r="AU39" s="183"/>
      <c r="AV39" s="183"/>
      <c r="AW39" s="183"/>
      <c r="AX39" s="183"/>
      <c r="AY39" s="183"/>
      <c r="AZ39" s="183"/>
      <c r="BA39" s="183"/>
      <c r="BB39" s="183"/>
      <c r="BC39" s="183"/>
      <c r="BD39" s="183"/>
      <c r="BE39" s="183"/>
      <c r="BF39" s="183"/>
      <c r="BG39" s="183"/>
      <c r="BH39" s="184"/>
      <c r="BI39" s="193"/>
      <c r="BJ39" s="193"/>
      <c r="BK39" s="193"/>
      <c r="BL39" s="193"/>
      <c r="BM39" s="193"/>
      <c r="BN39" s="193"/>
      <c r="BO39" s="193"/>
      <c r="BP39" s="193"/>
      <c r="BQ39" s="193"/>
      <c r="BR39" s="193"/>
      <c r="BS39" s="193"/>
      <c r="BT39" s="193"/>
      <c r="BU39" s="193"/>
      <c r="BV39" s="193"/>
    </row>
    <row r="40" spans="2:74" s="152" customFormat="1" ht="14.65" customHeight="1">
      <c r="B40" s="190"/>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2"/>
      <c r="BI40" s="193"/>
      <c r="BJ40" s="193"/>
      <c r="BK40" s="193"/>
      <c r="BL40" s="193"/>
      <c r="BM40" s="193"/>
      <c r="BN40" s="193"/>
      <c r="BO40" s="193"/>
      <c r="BP40" s="193"/>
      <c r="BQ40" s="193"/>
      <c r="BR40" s="193"/>
      <c r="BS40" s="193"/>
      <c r="BT40" s="193"/>
      <c r="BU40" s="193"/>
      <c r="BV40" s="193"/>
    </row>
    <row r="41" spans="2:74" s="193" customFormat="1" ht="30" customHeight="1">
      <c r="B41"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41" s="363"/>
      <c r="D41" s="363"/>
      <c r="E41" s="363"/>
      <c r="F41" s="363"/>
      <c r="G41" s="363"/>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H41" s="363"/>
    </row>
    <row r="42" spans="2:74" s="193" customFormat="1" ht="14.65" customHeight="1">
      <c r="B42" s="168"/>
      <c r="C42" s="168"/>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c r="AQ42" s="168"/>
      <c r="AR42" s="168"/>
      <c r="AS42" s="168"/>
      <c r="AT42" s="168"/>
      <c r="AU42" s="168"/>
      <c r="AV42" s="168"/>
      <c r="AW42" s="168"/>
      <c r="AX42" s="168"/>
      <c r="AY42" s="168"/>
      <c r="AZ42" s="168"/>
      <c r="BA42" s="168"/>
      <c r="BB42" s="168"/>
      <c r="BC42" s="168"/>
      <c r="BD42" s="168"/>
      <c r="BE42" s="168"/>
      <c r="BF42" s="168"/>
      <c r="BG42" s="168"/>
      <c r="BH42" s="168"/>
    </row>
    <row r="43" spans="2:74" s="111" customFormat="1" ht="14.65" customHeight="1">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row>
    <row r="44" spans="2:74">
      <c r="B44" s="111"/>
      <c r="C44" s="111"/>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row>
    <row r="45" spans="2:74">
      <c r="B45" s="111"/>
      <c r="C45" s="111"/>
      <c r="D45" s="111"/>
      <c r="E45" s="111"/>
      <c r="F45" s="111"/>
      <c r="G45" s="111"/>
      <c r="H45" s="111"/>
      <c r="I45" s="111"/>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row>
    <row r="46" spans="2:74">
      <c r="B46" s="111"/>
      <c r="C46" s="111"/>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row>
    <row r="47" spans="2:74">
      <c r="B47" s="111"/>
      <c r="C47" s="111"/>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row>
    <row r="48" spans="2:74">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row>
    <row r="49" spans="2:74">
      <c r="B49" s="111"/>
      <c r="C49" s="111"/>
      <c r="D49" s="111"/>
      <c r="E49" s="111"/>
      <c r="F49" s="111"/>
      <c r="G49" s="111"/>
      <c r="H49" s="111"/>
      <c r="I49" s="111"/>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row>
    <row r="50" spans="2:74">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row>
    <row r="51" spans="2:74">
      <c r="B51" s="111"/>
      <c r="C51" s="111"/>
      <c r="D51" s="111"/>
      <c r="E51" s="111"/>
      <c r="F51" s="111"/>
      <c r="G51" s="111"/>
      <c r="H51" s="111"/>
      <c r="I51" s="111"/>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row>
    <row r="52" spans="2:74">
      <c r="B52" s="111"/>
      <c r="C52" s="111"/>
      <c r="D52" s="111"/>
      <c r="E52" s="111"/>
      <c r="F52" s="111"/>
      <c r="G52" s="111"/>
      <c r="H52" s="111"/>
      <c r="I52" s="111"/>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row>
    <row r="53" spans="2:74">
      <c r="B53" s="111"/>
      <c r="C53" s="111"/>
      <c r="D53" s="111"/>
      <c r="E53" s="111"/>
      <c r="F53" s="111"/>
      <c r="G53" s="111"/>
      <c r="H53" s="111"/>
      <c r="I53" s="111"/>
      <c r="J53" s="111"/>
      <c r="K53" s="111"/>
      <c r="L53" s="111"/>
      <c r="M53" s="111"/>
      <c r="N53" s="111"/>
      <c r="O53" s="111"/>
      <c r="P53" s="111"/>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row>
    <row r="54" spans="2:74">
      <c r="B54" s="111"/>
      <c r="C54" s="111"/>
      <c r="D54" s="111"/>
      <c r="E54" s="111"/>
      <c r="F54" s="111"/>
      <c r="G54" s="111"/>
      <c r="H54" s="111"/>
      <c r="I54" s="111"/>
      <c r="J54" s="111"/>
      <c r="K54" s="111"/>
      <c r="L54" s="111"/>
      <c r="M54" s="111"/>
      <c r="N54" s="111"/>
      <c r="O54" s="111"/>
      <c r="P54" s="111"/>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row>
    <row r="55" spans="2:74">
      <c r="B55" s="111"/>
      <c r="C55" s="111"/>
      <c r="D55" s="111"/>
      <c r="E55" s="111"/>
      <c r="F55" s="111"/>
      <c r="G55" s="111"/>
      <c r="H55" s="111"/>
      <c r="I55" s="111"/>
      <c r="J55" s="111"/>
      <c r="K55" s="111"/>
      <c r="L55" s="111"/>
      <c r="M55" s="111"/>
      <c r="N55" s="111"/>
      <c r="O55" s="111"/>
      <c r="P55" s="111"/>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row>
    <row r="56" spans="2:74">
      <c r="B56" s="111"/>
      <c r="C56" s="111"/>
      <c r="D56" s="111"/>
      <c r="E56" s="111"/>
      <c r="F56" s="111"/>
      <c r="G56" s="111"/>
      <c r="H56" s="111"/>
      <c r="I56" s="111"/>
      <c r="J56" s="111"/>
      <c r="K56" s="111"/>
      <c r="L56" s="111"/>
      <c r="M56" s="111"/>
      <c r="N56" s="111"/>
      <c r="O56" s="111"/>
      <c r="P56" s="111"/>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row>
    <row r="57" spans="2:74">
      <c r="B57" s="111"/>
      <c r="C57" s="111"/>
      <c r="D57" s="111"/>
      <c r="E57" s="111"/>
      <c r="F57" s="111"/>
      <c r="G57" s="111"/>
      <c r="H57" s="111"/>
      <c r="I57" s="111"/>
      <c r="J57" s="111"/>
      <c r="K57" s="111"/>
      <c r="L57" s="111"/>
      <c r="M57" s="111"/>
      <c r="N57" s="111"/>
      <c r="O57" s="111"/>
      <c r="P57" s="111"/>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row>
    <row r="58" spans="2:74">
      <c r="B58" s="111"/>
      <c r="C58" s="111"/>
      <c r="D58" s="111"/>
      <c r="E58" s="111"/>
      <c r="F58" s="111"/>
      <c r="G58" s="111"/>
      <c r="H58" s="111"/>
      <c r="I58" s="111"/>
      <c r="J58" s="111"/>
      <c r="K58" s="111"/>
      <c r="L58" s="111"/>
      <c r="M58" s="111"/>
      <c r="N58" s="111"/>
      <c r="O58" s="111"/>
      <c r="P58" s="111"/>
      <c r="Q58" s="111"/>
      <c r="R58" s="111"/>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row>
    <row r="59" spans="2:74">
      <c r="B59" s="111"/>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row>
    <row r="60" spans="2:74">
      <c r="B60" s="111"/>
      <c r="C60" s="111"/>
      <c r="D60" s="111"/>
      <c r="E60" s="111"/>
      <c r="F60" s="111"/>
      <c r="G60" s="111"/>
      <c r="H60" s="111"/>
      <c r="I60" s="111"/>
      <c r="J60" s="111"/>
      <c r="K60" s="111"/>
      <c r="L60" s="111"/>
      <c r="M60" s="111"/>
      <c r="N60" s="111"/>
      <c r="O60" s="111"/>
      <c r="P60" s="111"/>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row>
    <row r="61" spans="2:74">
      <c r="B61" s="111"/>
      <c r="C61" s="111"/>
      <c r="D61" s="111"/>
      <c r="E61" s="111"/>
      <c r="F61" s="111"/>
      <c r="G61" s="111"/>
      <c r="H61" s="111"/>
      <c r="I61" s="111"/>
      <c r="J61" s="111"/>
      <c r="K61" s="111"/>
      <c r="L61" s="111"/>
      <c r="M61" s="111"/>
      <c r="N61" s="111"/>
      <c r="O61" s="111"/>
      <c r="P61" s="111"/>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row>
    <row r="62" spans="2:74">
      <c r="B62" s="111"/>
      <c r="C62" s="111"/>
      <c r="D62" s="111"/>
      <c r="E62" s="111"/>
      <c r="F62" s="111"/>
      <c r="G62" s="111"/>
      <c r="H62" s="111"/>
      <c r="I62" s="111"/>
      <c r="J62" s="111"/>
      <c r="K62" s="111"/>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row>
    <row r="63" spans="2:74">
      <c r="B63" s="111"/>
      <c r="C63" s="111"/>
      <c r="D63" s="111"/>
      <c r="E63" s="111"/>
      <c r="F63" s="111"/>
      <c r="G63" s="111"/>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row>
    <row r="64" spans="2:74">
      <c r="B64" s="111"/>
      <c r="C64" s="111"/>
      <c r="D64" s="111"/>
      <c r="E64" s="111"/>
      <c r="F64" s="111"/>
      <c r="G64" s="111"/>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row>
    <row r="65" spans="2:74">
      <c r="B65" s="111"/>
      <c r="C65" s="111"/>
      <c r="D65" s="111"/>
      <c r="E65" s="111"/>
      <c r="F65" s="111"/>
      <c r="G65" s="111"/>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row>
    <row r="66" spans="2:74">
      <c r="B66" s="111"/>
      <c r="C66" s="111"/>
      <c r="D66" s="111"/>
      <c r="E66" s="111"/>
      <c r="F66" s="111"/>
      <c r="G66" s="111"/>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row>
    <row r="67" spans="2:74">
      <c r="B67" s="111"/>
      <c r="C67" s="111"/>
      <c r="D67" s="111"/>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row>
    <row r="68" spans="2:74">
      <c r="B68" s="111"/>
      <c r="C68" s="111"/>
      <c r="D68" s="111"/>
      <c r="E68" s="111"/>
      <c r="F68" s="111"/>
      <c r="G68" s="111"/>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row>
    <row r="69" spans="2:74">
      <c r="B69" s="11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row>
    <row r="70" spans="2:74">
      <c r="B70" s="11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row>
    <row r="71" spans="2:74">
      <c r="B71" s="11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row>
    <row r="72" spans="2:74">
      <c r="B72" s="11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row>
    <row r="73" spans="2:74">
      <c r="B73" s="11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row>
    <row r="74" spans="2:74">
      <c r="B74" s="11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row>
    <row r="75" spans="2:74">
      <c r="B75" s="11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row>
    <row r="76" spans="2:74">
      <c r="B76" s="11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row>
    <row r="77" spans="2:74">
      <c r="B77" s="11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row>
    <row r="78" spans="2:74">
      <c r="B78" s="11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row>
    <row r="79" spans="2:74">
      <c r="B79" s="11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row>
    <row r="80" spans="2:74">
      <c r="B80" s="11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row>
    <row r="81" spans="2:74">
      <c r="B81" s="11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row>
    <row r="82" spans="2:74">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row>
    <row r="83" spans="2:74">
      <c r="B83" s="11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row>
    <row r="84" spans="2:74">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row>
    <row r="85" spans="2:74">
      <c r="B85" s="11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row>
    <row r="86" spans="2:74">
      <c r="B86" s="11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row>
  </sheetData>
  <mergeCells count="47">
    <mergeCell ref="B41:BH41"/>
    <mergeCell ref="C10:D10"/>
    <mergeCell ref="AE8:AI8"/>
    <mergeCell ref="AJ8:AN8"/>
    <mergeCell ref="AO8:AS8"/>
    <mergeCell ref="AT8:AX8"/>
    <mergeCell ref="AY8:BC8"/>
    <mergeCell ref="BD8:BH8"/>
    <mergeCell ref="B8:F8"/>
    <mergeCell ref="G8:K8"/>
    <mergeCell ref="L8:P8"/>
    <mergeCell ref="Q8:U8"/>
    <mergeCell ref="V8:Z8"/>
    <mergeCell ref="AA8:AD8"/>
    <mergeCell ref="BD7:BH7"/>
    <mergeCell ref="B7:F7"/>
    <mergeCell ref="G7:K7"/>
    <mergeCell ref="L7:P7"/>
    <mergeCell ref="Q7:U7"/>
    <mergeCell ref="V7:Z7"/>
    <mergeCell ref="AA7:AD7"/>
    <mergeCell ref="AE7:AI7"/>
    <mergeCell ref="AJ7:AN7"/>
    <mergeCell ref="AO7:AS7"/>
    <mergeCell ref="AT7:AX7"/>
    <mergeCell ref="AY7:BC7"/>
    <mergeCell ref="BF6:BH6"/>
    <mergeCell ref="B4:G4"/>
    <mergeCell ref="K4:AT4"/>
    <mergeCell ref="AU4:AX4"/>
    <mergeCell ref="AY4:BH4"/>
    <mergeCell ref="B5:H5"/>
    <mergeCell ref="K5:BH5"/>
    <mergeCell ref="B6:J6"/>
    <mergeCell ref="K6:AW6"/>
    <mergeCell ref="AX6:AZ6"/>
    <mergeCell ref="BA6:BC6"/>
    <mergeCell ref="BD6:BE6"/>
    <mergeCell ref="B3:G3"/>
    <mergeCell ref="K3:AT3"/>
    <mergeCell ref="AU3:AX3"/>
    <mergeCell ref="AY3:BH3"/>
    <mergeCell ref="B1:BH1"/>
    <mergeCell ref="B2:G2"/>
    <mergeCell ref="K2:AT2"/>
    <mergeCell ref="AU2:AX2"/>
    <mergeCell ref="AY2:BH2"/>
  </mergeCells>
  <pageMargins left="0.7" right="0.7" top="0.75" bottom="0.75" header="0.3" footer="0.3"/>
  <pageSetup scale="76" orientation="landscape" r:id="rId1"/>
  <rowBreaks count="1" manualBreakCount="1">
    <brk id="41" max="59"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3" tint="0.39997558519241921"/>
  </sheetPr>
  <dimension ref="B1:AX70"/>
  <sheetViews>
    <sheetView view="pageLayout" topLeftCell="BJ28" zoomScaleNormal="100" workbookViewId="0">
      <selection activeCell="BU1" sqref="BU1"/>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43" width="9.140625" style="110"/>
    <col min="44" max="16384" width="9.140625" style="33"/>
  </cols>
  <sheetData>
    <row r="1" spans="2:44"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93"/>
      <c r="AP1" s="193"/>
      <c r="AQ1" s="193"/>
    </row>
    <row r="2" spans="2:44" s="174" customFormat="1" ht="15" customHeight="1">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c r="AP2" s="173"/>
      <c r="AQ2" s="173"/>
    </row>
    <row r="3" spans="2:44" s="174" customFormat="1" ht="15" customHeight="1">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c r="AP3" s="173"/>
      <c r="AQ3" s="173"/>
    </row>
    <row r="4" spans="2:44" s="174" customFormat="1" ht="28.5"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c r="AP4" s="173"/>
      <c r="AQ4" s="173"/>
    </row>
    <row r="5" spans="2:44" s="174" customFormat="1" ht="22.5" customHeight="1">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c r="AP5" s="173"/>
      <c r="AQ5" s="173"/>
    </row>
    <row r="6" spans="2:44" s="195"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71"/>
      <c r="AH6" s="371"/>
      <c r="AI6" s="371"/>
      <c r="AJ6" s="348" t="s">
        <v>15</v>
      </c>
      <c r="AK6" s="348"/>
      <c r="AL6" s="341" t="str">
        <f>num_pages</f>
        <v>#pages</v>
      </c>
      <c r="AM6" s="341"/>
      <c r="AN6" s="342"/>
      <c r="AO6" s="194"/>
      <c r="AP6" s="194"/>
      <c r="AQ6" s="194"/>
    </row>
    <row r="7" spans="2:44" s="152" customFormat="1" ht="15" customHeight="1">
      <c r="B7" s="216" t="s">
        <v>53</v>
      </c>
      <c r="C7" s="218"/>
      <c r="D7" s="216" t="s">
        <v>54</v>
      </c>
      <c r="E7" s="217"/>
      <c r="F7" s="217"/>
      <c r="G7" s="216" t="s">
        <v>56</v>
      </c>
      <c r="H7" s="217"/>
      <c r="I7" s="217"/>
      <c r="J7" s="218"/>
      <c r="K7" s="216" t="s">
        <v>57</v>
      </c>
      <c r="L7" s="217"/>
      <c r="M7" s="217"/>
      <c r="N7" s="372"/>
      <c r="O7" s="217" t="s">
        <v>53</v>
      </c>
      <c r="P7" s="218"/>
      <c r="Q7" s="216" t="s">
        <v>54</v>
      </c>
      <c r="R7" s="217"/>
      <c r="S7" s="217"/>
      <c r="T7" s="216" t="s">
        <v>56</v>
      </c>
      <c r="U7" s="217"/>
      <c r="V7" s="217"/>
      <c r="W7" s="218"/>
      <c r="X7" s="216" t="s">
        <v>57</v>
      </c>
      <c r="Y7" s="217"/>
      <c r="Z7" s="217"/>
      <c r="AA7" s="372"/>
      <c r="AB7" s="217" t="s">
        <v>53</v>
      </c>
      <c r="AC7" s="218"/>
      <c r="AD7" s="216" t="s">
        <v>54</v>
      </c>
      <c r="AE7" s="217"/>
      <c r="AF7" s="217"/>
      <c r="AG7" s="216" t="s">
        <v>56</v>
      </c>
      <c r="AH7" s="217"/>
      <c r="AI7" s="217"/>
      <c r="AJ7" s="218"/>
      <c r="AK7" s="216" t="s">
        <v>57</v>
      </c>
      <c r="AL7" s="217"/>
      <c r="AM7" s="217"/>
      <c r="AN7" s="218"/>
      <c r="AO7" s="193"/>
      <c r="AP7" s="193"/>
      <c r="AQ7" s="193"/>
    </row>
    <row r="8" spans="2:44" s="196"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4"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c r="AP9" s="173"/>
      <c r="AQ9" s="173"/>
      <c r="AR9" s="168"/>
    </row>
    <row r="10" spans="2:44" s="169" customFormat="1" ht="14.85" customHeight="1">
      <c r="B10" s="182"/>
      <c r="C10" s="197" t="str">
        <f>ToC!F18</f>
        <v>5.0</v>
      </c>
      <c r="D10" s="183"/>
      <c r="E10" s="197" t="str">
        <f>ToC!H18</f>
        <v>Case Description</v>
      </c>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c r="AP10" s="173"/>
      <c r="AQ10" s="173"/>
      <c r="AR10" s="168"/>
    </row>
    <row r="11" spans="2:44" s="169" customFormat="1" ht="14.85" customHeight="1">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c r="AP11" s="173"/>
      <c r="AQ11" s="168"/>
      <c r="AR11" s="168"/>
    </row>
    <row r="12" spans="2:44" s="169" customFormat="1" ht="14.85" customHeight="1">
      <c r="B12" s="182"/>
      <c r="C12" s="422" t="s">
        <v>160</v>
      </c>
      <c r="D12" s="423"/>
      <c r="E12" s="423"/>
      <c r="F12" s="423"/>
      <c r="G12" s="423"/>
      <c r="H12" s="423"/>
      <c r="I12" s="423"/>
      <c r="J12" s="423"/>
      <c r="K12" s="423"/>
      <c r="L12" s="423"/>
      <c r="M12" s="423"/>
      <c r="N12" s="423"/>
      <c r="O12" s="423"/>
      <c r="P12" s="423"/>
      <c r="Q12" s="423"/>
      <c r="R12" s="423"/>
      <c r="S12" s="423"/>
      <c r="T12" s="423"/>
      <c r="U12" s="423"/>
      <c r="V12" s="423"/>
      <c r="W12" s="423"/>
      <c r="X12" s="423"/>
      <c r="Y12" s="423"/>
      <c r="Z12" s="423"/>
      <c r="AA12" s="423"/>
      <c r="AB12" s="423"/>
      <c r="AC12" s="423"/>
      <c r="AD12" s="423"/>
      <c r="AE12" s="423"/>
      <c r="AF12" s="423"/>
      <c r="AG12" s="423"/>
      <c r="AH12" s="423"/>
      <c r="AI12" s="423"/>
      <c r="AJ12" s="423"/>
      <c r="AK12" s="423"/>
      <c r="AL12" s="423"/>
      <c r="AM12" s="423"/>
      <c r="AN12" s="184"/>
      <c r="AO12" s="168"/>
      <c r="AP12" s="168" t="s">
        <v>161</v>
      </c>
      <c r="AQ12" s="168"/>
      <c r="AR12" s="168"/>
    </row>
    <row r="13" spans="2:44" s="169" customFormat="1" ht="14.85" customHeight="1">
      <c r="B13" s="182"/>
      <c r="C13" s="423"/>
      <c r="D13" s="423"/>
      <c r="E13" s="423"/>
      <c r="F13" s="423"/>
      <c r="G13" s="423"/>
      <c r="H13" s="423"/>
      <c r="I13" s="423"/>
      <c r="J13" s="423"/>
      <c r="K13" s="423"/>
      <c r="L13" s="423"/>
      <c r="M13" s="423"/>
      <c r="N13" s="423"/>
      <c r="O13" s="423"/>
      <c r="P13" s="423"/>
      <c r="Q13" s="423"/>
      <c r="R13" s="423"/>
      <c r="S13" s="423"/>
      <c r="T13" s="423"/>
      <c r="U13" s="423"/>
      <c r="V13" s="423"/>
      <c r="W13" s="423"/>
      <c r="X13" s="423"/>
      <c r="Y13" s="423"/>
      <c r="Z13" s="423"/>
      <c r="AA13" s="423"/>
      <c r="AB13" s="423"/>
      <c r="AC13" s="423"/>
      <c r="AD13" s="423"/>
      <c r="AE13" s="423"/>
      <c r="AF13" s="423"/>
      <c r="AG13" s="423"/>
      <c r="AH13" s="423"/>
      <c r="AI13" s="423"/>
      <c r="AJ13" s="423"/>
      <c r="AK13" s="423"/>
      <c r="AL13" s="423"/>
      <c r="AM13" s="423"/>
      <c r="AN13" s="184"/>
      <c r="AO13" s="168"/>
      <c r="AP13" s="168" t="s">
        <v>162</v>
      </c>
      <c r="AQ13" s="168"/>
      <c r="AR13" s="168"/>
    </row>
    <row r="14" spans="2:44" s="169" customFormat="1" ht="14.85" customHeight="1">
      <c r="B14" s="182"/>
      <c r="C14" s="423"/>
      <c r="D14" s="423"/>
      <c r="E14" s="423"/>
      <c r="F14" s="423"/>
      <c r="G14" s="423"/>
      <c r="H14" s="423"/>
      <c r="I14" s="423"/>
      <c r="J14" s="423"/>
      <c r="K14" s="423"/>
      <c r="L14" s="423"/>
      <c r="M14" s="423"/>
      <c r="N14" s="423"/>
      <c r="O14" s="423"/>
      <c r="P14" s="423"/>
      <c r="Q14" s="423"/>
      <c r="R14" s="423"/>
      <c r="S14" s="423"/>
      <c r="T14" s="423"/>
      <c r="U14" s="423"/>
      <c r="V14" s="423"/>
      <c r="W14" s="423"/>
      <c r="X14" s="423"/>
      <c r="Y14" s="423"/>
      <c r="Z14" s="423"/>
      <c r="AA14" s="423"/>
      <c r="AB14" s="423"/>
      <c r="AC14" s="423"/>
      <c r="AD14" s="423"/>
      <c r="AE14" s="423"/>
      <c r="AF14" s="423"/>
      <c r="AG14" s="423"/>
      <c r="AH14" s="423"/>
      <c r="AI14" s="423"/>
      <c r="AJ14" s="423"/>
      <c r="AK14" s="423"/>
      <c r="AL14" s="423"/>
      <c r="AM14" s="423"/>
      <c r="AN14" s="184"/>
      <c r="AO14" s="168"/>
      <c r="AP14" s="168"/>
      <c r="AQ14" s="168"/>
      <c r="AR14" s="168"/>
    </row>
    <row r="15" spans="2:44" s="169" customFormat="1" ht="14.85" customHeight="1">
      <c r="B15" s="182"/>
      <c r="C15" s="423"/>
      <c r="D15" s="423"/>
      <c r="E15" s="423"/>
      <c r="F15" s="423"/>
      <c r="G15" s="423"/>
      <c r="H15" s="423"/>
      <c r="I15" s="423"/>
      <c r="J15" s="423"/>
      <c r="K15" s="423"/>
      <c r="L15" s="423"/>
      <c r="M15" s="423"/>
      <c r="N15" s="423"/>
      <c r="O15" s="423"/>
      <c r="P15" s="423"/>
      <c r="Q15" s="423"/>
      <c r="R15" s="423"/>
      <c r="S15" s="423"/>
      <c r="T15" s="423"/>
      <c r="U15" s="423"/>
      <c r="V15" s="423"/>
      <c r="W15" s="423"/>
      <c r="X15" s="423"/>
      <c r="Y15" s="423"/>
      <c r="Z15" s="423"/>
      <c r="AA15" s="423"/>
      <c r="AB15" s="423"/>
      <c r="AC15" s="423"/>
      <c r="AD15" s="423"/>
      <c r="AE15" s="423"/>
      <c r="AF15" s="423"/>
      <c r="AG15" s="423"/>
      <c r="AH15" s="423"/>
      <c r="AI15" s="423"/>
      <c r="AJ15" s="423"/>
      <c r="AK15" s="423"/>
      <c r="AL15" s="423"/>
      <c r="AM15" s="423"/>
      <c r="AN15" s="184"/>
      <c r="AO15" s="168"/>
      <c r="AP15" s="168"/>
      <c r="AQ15" s="168"/>
      <c r="AR15" s="168"/>
    </row>
    <row r="16" spans="2:44" s="169" customFormat="1" ht="14.85" customHeight="1">
      <c r="B16" s="182"/>
      <c r="C16" s="423"/>
      <c r="D16" s="423"/>
      <c r="E16" s="423"/>
      <c r="F16" s="423"/>
      <c r="G16" s="423"/>
      <c r="H16" s="423"/>
      <c r="I16" s="423"/>
      <c r="J16" s="423"/>
      <c r="K16" s="423"/>
      <c r="L16" s="423"/>
      <c r="M16" s="423"/>
      <c r="N16" s="423"/>
      <c r="O16" s="423"/>
      <c r="P16" s="423"/>
      <c r="Q16" s="423"/>
      <c r="R16" s="423"/>
      <c r="S16" s="423"/>
      <c r="T16" s="423"/>
      <c r="U16" s="423"/>
      <c r="V16" s="423"/>
      <c r="W16" s="423"/>
      <c r="X16" s="423"/>
      <c r="Y16" s="423"/>
      <c r="Z16" s="423"/>
      <c r="AA16" s="423"/>
      <c r="AB16" s="423"/>
      <c r="AC16" s="423"/>
      <c r="AD16" s="423"/>
      <c r="AE16" s="423"/>
      <c r="AF16" s="423"/>
      <c r="AG16" s="423"/>
      <c r="AH16" s="423"/>
      <c r="AI16" s="423"/>
      <c r="AJ16" s="423"/>
      <c r="AK16" s="423"/>
      <c r="AL16" s="423"/>
      <c r="AM16" s="423"/>
      <c r="AN16" s="184"/>
      <c r="AO16" s="168"/>
      <c r="AP16" s="168"/>
      <c r="AQ16" s="168"/>
      <c r="AR16" s="168"/>
    </row>
    <row r="17" spans="2:44" s="169" customFormat="1" ht="14.85" customHeight="1">
      <c r="B17" s="182"/>
      <c r="C17" s="423"/>
      <c r="D17" s="423"/>
      <c r="E17" s="423"/>
      <c r="F17" s="423"/>
      <c r="G17" s="423"/>
      <c r="H17" s="423"/>
      <c r="I17" s="423"/>
      <c r="J17" s="423"/>
      <c r="K17" s="423"/>
      <c r="L17" s="423"/>
      <c r="M17" s="423"/>
      <c r="N17" s="423"/>
      <c r="O17" s="423"/>
      <c r="P17" s="423"/>
      <c r="Q17" s="423"/>
      <c r="R17" s="423"/>
      <c r="S17" s="423"/>
      <c r="T17" s="423"/>
      <c r="U17" s="423"/>
      <c r="V17" s="423"/>
      <c r="W17" s="423"/>
      <c r="X17" s="423"/>
      <c r="Y17" s="423"/>
      <c r="Z17" s="423"/>
      <c r="AA17" s="423"/>
      <c r="AB17" s="423"/>
      <c r="AC17" s="423"/>
      <c r="AD17" s="423"/>
      <c r="AE17" s="423"/>
      <c r="AF17" s="423"/>
      <c r="AG17" s="423"/>
      <c r="AH17" s="423"/>
      <c r="AI17" s="423"/>
      <c r="AJ17" s="423"/>
      <c r="AK17" s="423"/>
      <c r="AL17" s="423"/>
      <c r="AM17" s="423"/>
      <c r="AN17" s="184"/>
      <c r="AO17" s="168"/>
      <c r="AP17" s="168"/>
      <c r="AQ17" s="168"/>
      <c r="AR17" s="168"/>
    </row>
    <row r="18" spans="2:44" s="169" customFormat="1" ht="14.85" customHeight="1">
      <c r="B18" s="182"/>
      <c r="C18" s="423"/>
      <c r="D18" s="423"/>
      <c r="E18" s="423"/>
      <c r="F18" s="423"/>
      <c r="G18" s="423"/>
      <c r="H18" s="423"/>
      <c r="I18" s="423"/>
      <c r="J18" s="423"/>
      <c r="K18" s="423"/>
      <c r="L18" s="423"/>
      <c r="M18" s="423"/>
      <c r="N18" s="423"/>
      <c r="O18" s="423"/>
      <c r="P18" s="423"/>
      <c r="Q18" s="423"/>
      <c r="R18" s="423"/>
      <c r="S18" s="423"/>
      <c r="T18" s="423"/>
      <c r="U18" s="423"/>
      <c r="V18" s="423"/>
      <c r="W18" s="423"/>
      <c r="X18" s="423"/>
      <c r="Y18" s="423"/>
      <c r="Z18" s="423"/>
      <c r="AA18" s="423"/>
      <c r="AB18" s="423"/>
      <c r="AC18" s="423"/>
      <c r="AD18" s="423"/>
      <c r="AE18" s="423"/>
      <c r="AF18" s="423"/>
      <c r="AG18" s="423"/>
      <c r="AH18" s="423"/>
      <c r="AI18" s="423"/>
      <c r="AJ18" s="423"/>
      <c r="AK18" s="423"/>
      <c r="AL18" s="423"/>
      <c r="AM18" s="423"/>
      <c r="AN18" s="184"/>
      <c r="AO18" s="168"/>
      <c r="AP18" s="168"/>
      <c r="AQ18" s="168"/>
      <c r="AR18" s="168"/>
    </row>
    <row r="19" spans="2:44" s="169" customFormat="1" ht="14.85" customHeight="1">
      <c r="B19" s="182"/>
      <c r="C19" s="423"/>
      <c r="D19" s="423"/>
      <c r="E19" s="423"/>
      <c r="F19" s="423"/>
      <c r="G19" s="423"/>
      <c r="H19" s="423"/>
      <c r="I19" s="423"/>
      <c r="J19" s="423"/>
      <c r="K19" s="423"/>
      <c r="L19" s="423"/>
      <c r="M19" s="423"/>
      <c r="N19" s="423"/>
      <c r="O19" s="423"/>
      <c r="P19" s="423"/>
      <c r="Q19" s="423"/>
      <c r="R19" s="423"/>
      <c r="S19" s="423"/>
      <c r="T19" s="423"/>
      <c r="U19" s="423"/>
      <c r="V19" s="423"/>
      <c r="W19" s="423"/>
      <c r="X19" s="423"/>
      <c r="Y19" s="423"/>
      <c r="Z19" s="423"/>
      <c r="AA19" s="423"/>
      <c r="AB19" s="423"/>
      <c r="AC19" s="423"/>
      <c r="AD19" s="423"/>
      <c r="AE19" s="423"/>
      <c r="AF19" s="423"/>
      <c r="AG19" s="423"/>
      <c r="AH19" s="423"/>
      <c r="AI19" s="423"/>
      <c r="AJ19" s="423"/>
      <c r="AK19" s="423"/>
      <c r="AL19" s="423"/>
      <c r="AM19" s="423"/>
      <c r="AN19" s="184"/>
      <c r="AO19" s="168"/>
      <c r="AP19" s="168"/>
      <c r="AQ19" s="168"/>
      <c r="AR19" s="168"/>
    </row>
    <row r="20" spans="2:44" s="169" customFormat="1" ht="14.85" customHeight="1">
      <c r="B20" s="182"/>
      <c r="C20" s="423"/>
      <c r="D20" s="423"/>
      <c r="E20" s="423"/>
      <c r="F20" s="423"/>
      <c r="G20" s="423"/>
      <c r="H20" s="423"/>
      <c r="I20" s="423"/>
      <c r="J20" s="423"/>
      <c r="K20" s="423"/>
      <c r="L20" s="423"/>
      <c r="M20" s="423"/>
      <c r="N20" s="423"/>
      <c r="O20" s="423"/>
      <c r="P20" s="423"/>
      <c r="Q20" s="423"/>
      <c r="R20" s="423"/>
      <c r="S20" s="423"/>
      <c r="T20" s="423"/>
      <c r="U20" s="423"/>
      <c r="V20" s="423"/>
      <c r="W20" s="423"/>
      <c r="X20" s="423"/>
      <c r="Y20" s="423"/>
      <c r="Z20" s="423"/>
      <c r="AA20" s="423"/>
      <c r="AB20" s="423"/>
      <c r="AC20" s="423"/>
      <c r="AD20" s="423"/>
      <c r="AE20" s="423"/>
      <c r="AF20" s="423"/>
      <c r="AG20" s="423"/>
      <c r="AH20" s="423"/>
      <c r="AI20" s="423"/>
      <c r="AJ20" s="423"/>
      <c r="AK20" s="423"/>
      <c r="AL20" s="423"/>
      <c r="AM20" s="423"/>
      <c r="AN20" s="184"/>
      <c r="AO20" s="168"/>
      <c r="AP20" s="168"/>
      <c r="AQ20" s="168"/>
      <c r="AR20" s="168"/>
    </row>
    <row r="21" spans="2:44" s="169" customFormat="1" ht="14.85" customHeight="1">
      <c r="B21" s="182"/>
      <c r="C21" s="423"/>
      <c r="D21" s="423"/>
      <c r="E21" s="423"/>
      <c r="F21" s="423"/>
      <c r="G21" s="423"/>
      <c r="H21" s="423"/>
      <c r="I21" s="423"/>
      <c r="J21" s="423"/>
      <c r="K21" s="423"/>
      <c r="L21" s="423"/>
      <c r="M21" s="423"/>
      <c r="N21" s="423"/>
      <c r="O21" s="423"/>
      <c r="P21" s="423"/>
      <c r="Q21" s="423"/>
      <c r="R21" s="423"/>
      <c r="S21" s="423"/>
      <c r="T21" s="423"/>
      <c r="U21" s="423"/>
      <c r="V21" s="423"/>
      <c r="W21" s="423"/>
      <c r="X21" s="423"/>
      <c r="Y21" s="423"/>
      <c r="Z21" s="423"/>
      <c r="AA21" s="423"/>
      <c r="AB21" s="423"/>
      <c r="AC21" s="423"/>
      <c r="AD21" s="423"/>
      <c r="AE21" s="423"/>
      <c r="AF21" s="423"/>
      <c r="AG21" s="423"/>
      <c r="AH21" s="423"/>
      <c r="AI21" s="423"/>
      <c r="AJ21" s="423"/>
      <c r="AK21" s="423"/>
      <c r="AL21" s="423"/>
      <c r="AM21" s="423"/>
      <c r="AN21" s="184"/>
      <c r="AO21" s="168"/>
      <c r="AP21" s="168"/>
      <c r="AQ21" s="168"/>
      <c r="AR21" s="168"/>
    </row>
    <row r="22" spans="2:44" s="169" customFormat="1" ht="14.85" customHeight="1">
      <c r="B22" s="182"/>
      <c r="C22" s="423"/>
      <c r="D22" s="423"/>
      <c r="E22" s="423"/>
      <c r="F22" s="423"/>
      <c r="G22" s="423"/>
      <c r="H22" s="423"/>
      <c r="I22" s="423"/>
      <c r="J22" s="423"/>
      <c r="K22" s="423"/>
      <c r="L22" s="423"/>
      <c r="M22" s="423"/>
      <c r="N22" s="423"/>
      <c r="O22" s="423"/>
      <c r="P22" s="423"/>
      <c r="Q22" s="423"/>
      <c r="R22" s="423"/>
      <c r="S22" s="423"/>
      <c r="T22" s="423"/>
      <c r="U22" s="423"/>
      <c r="V22" s="423"/>
      <c r="W22" s="423"/>
      <c r="X22" s="423"/>
      <c r="Y22" s="423"/>
      <c r="Z22" s="423"/>
      <c r="AA22" s="423"/>
      <c r="AB22" s="423"/>
      <c r="AC22" s="423"/>
      <c r="AD22" s="423"/>
      <c r="AE22" s="423"/>
      <c r="AF22" s="423"/>
      <c r="AG22" s="423"/>
      <c r="AH22" s="423"/>
      <c r="AI22" s="423"/>
      <c r="AJ22" s="423"/>
      <c r="AK22" s="423"/>
      <c r="AL22" s="423"/>
      <c r="AM22" s="423"/>
      <c r="AN22" s="184"/>
      <c r="AO22" s="168"/>
      <c r="AP22" s="168"/>
      <c r="AQ22" s="168"/>
      <c r="AR22" s="168"/>
    </row>
    <row r="23" spans="2:44" s="169" customFormat="1" ht="14.85" customHeight="1">
      <c r="B23" s="182"/>
      <c r="C23" s="423"/>
      <c r="D23" s="423"/>
      <c r="E23" s="423"/>
      <c r="F23" s="423"/>
      <c r="G23" s="423"/>
      <c r="H23" s="423"/>
      <c r="I23" s="423"/>
      <c r="J23" s="423"/>
      <c r="K23" s="423"/>
      <c r="L23" s="423"/>
      <c r="M23" s="423"/>
      <c r="N23" s="423"/>
      <c r="O23" s="423"/>
      <c r="P23" s="423"/>
      <c r="Q23" s="423"/>
      <c r="R23" s="423"/>
      <c r="S23" s="423"/>
      <c r="T23" s="423"/>
      <c r="U23" s="423"/>
      <c r="V23" s="423"/>
      <c r="W23" s="423"/>
      <c r="X23" s="423"/>
      <c r="Y23" s="423"/>
      <c r="Z23" s="423"/>
      <c r="AA23" s="423"/>
      <c r="AB23" s="423"/>
      <c r="AC23" s="423"/>
      <c r="AD23" s="423"/>
      <c r="AE23" s="423"/>
      <c r="AF23" s="423"/>
      <c r="AG23" s="423"/>
      <c r="AH23" s="423"/>
      <c r="AI23" s="423"/>
      <c r="AJ23" s="423"/>
      <c r="AK23" s="423"/>
      <c r="AL23" s="423"/>
      <c r="AM23" s="423"/>
      <c r="AN23" s="184"/>
      <c r="AO23" s="168"/>
      <c r="AP23" s="168"/>
      <c r="AQ23" s="168"/>
      <c r="AR23" s="168"/>
    </row>
    <row r="24" spans="2:44" s="169" customFormat="1" ht="14.85" customHeight="1">
      <c r="B24" s="182"/>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184"/>
      <c r="AO24" s="168"/>
      <c r="AP24" s="168"/>
      <c r="AQ24" s="168"/>
      <c r="AR24" s="168"/>
    </row>
    <row r="25" spans="2:44" s="169" customFormat="1" ht="14.85" customHeight="1">
      <c r="B25" s="182"/>
      <c r="C25" s="423"/>
      <c r="D25" s="423"/>
      <c r="E25" s="423"/>
      <c r="F25" s="423"/>
      <c r="G25" s="423"/>
      <c r="H25" s="423"/>
      <c r="I25" s="423"/>
      <c r="J25" s="423"/>
      <c r="K25" s="423"/>
      <c r="L25" s="423"/>
      <c r="M25" s="423"/>
      <c r="N25" s="423"/>
      <c r="O25" s="423"/>
      <c r="P25" s="423"/>
      <c r="Q25" s="423"/>
      <c r="R25" s="423"/>
      <c r="S25" s="423"/>
      <c r="T25" s="423"/>
      <c r="U25" s="423"/>
      <c r="V25" s="423"/>
      <c r="W25" s="423"/>
      <c r="X25" s="423"/>
      <c r="Y25" s="423"/>
      <c r="Z25" s="423"/>
      <c r="AA25" s="423"/>
      <c r="AB25" s="423"/>
      <c r="AC25" s="423"/>
      <c r="AD25" s="423"/>
      <c r="AE25" s="423"/>
      <c r="AF25" s="423"/>
      <c r="AG25" s="423"/>
      <c r="AH25" s="423"/>
      <c r="AI25" s="423"/>
      <c r="AJ25" s="423"/>
      <c r="AK25" s="423"/>
      <c r="AL25" s="423"/>
      <c r="AM25" s="423"/>
      <c r="AN25" s="184"/>
      <c r="AO25" s="168"/>
      <c r="AP25" s="168"/>
      <c r="AQ25" s="168"/>
      <c r="AR25" s="168"/>
    </row>
    <row r="26" spans="2:44" s="169" customFormat="1" ht="14.85" customHeight="1">
      <c r="B26" s="182"/>
      <c r="C26" s="423"/>
      <c r="D26" s="423"/>
      <c r="E26" s="423"/>
      <c r="F26" s="423"/>
      <c r="G26" s="423"/>
      <c r="H26" s="423"/>
      <c r="I26" s="423"/>
      <c r="J26" s="423"/>
      <c r="K26" s="423"/>
      <c r="L26" s="423"/>
      <c r="M26" s="423"/>
      <c r="N26" s="423"/>
      <c r="O26" s="423"/>
      <c r="P26" s="423"/>
      <c r="Q26" s="423"/>
      <c r="R26" s="423"/>
      <c r="S26" s="423"/>
      <c r="T26" s="423"/>
      <c r="U26" s="423"/>
      <c r="V26" s="423"/>
      <c r="W26" s="423"/>
      <c r="X26" s="423"/>
      <c r="Y26" s="423"/>
      <c r="Z26" s="423"/>
      <c r="AA26" s="423"/>
      <c r="AB26" s="423"/>
      <c r="AC26" s="423"/>
      <c r="AD26" s="423"/>
      <c r="AE26" s="423"/>
      <c r="AF26" s="423"/>
      <c r="AG26" s="423"/>
      <c r="AH26" s="423"/>
      <c r="AI26" s="423"/>
      <c r="AJ26" s="423"/>
      <c r="AK26" s="423"/>
      <c r="AL26" s="423"/>
      <c r="AM26" s="423"/>
      <c r="AN26" s="184"/>
      <c r="AO26" s="168"/>
      <c r="AP26" s="168"/>
      <c r="AQ26" s="168"/>
      <c r="AR26" s="168"/>
    </row>
    <row r="27" spans="2:44" s="169" customFormat="1" ht="14.85" customHeight="1">
      <c r="B27" s="182"/>
      <c r="C27" s="423"/>
      <c r="D27" s="423"/>
      <c r="E27" s="423"/>
      <c r="F27" s="423"/>
      <c r="G27" s="423"/>
      <c r="H27" s="423"/>
      <c r="I27" s="423"/>
      <c r="J27" s="423"/>
      <c r="K27" s="423"/>
      <c r="L27" s="423"/>
      <c r="M27" s="423"/>
      <c r="N27" s="423"/>
      <c r="O27" s="423"/>
      <c r="P27" s="423"/>
      <c r="Q27" s="423"/>
      <c r="R27" s="423"/>
      <c r="S27" s="423"/>
      <c r="T27" s="423"/>
      <c r="U27" s="423"/>
      <c r="V27" s="423"/>
      <c r="W27" s="423"/>
      <c r="X27" s="423"/>
      <c r="Y27" s="423"/>
      <c r="Z27" s="423"/>
      <c r="AA27" s="423"/>
      <c r="AB27" s="423"/>
      <c r="AC27" s="423"/>
      <c r="AD27" s="423"/>
      <c r="AE27" s="423"/>
      <c r="AF27" s="423"/>
      <c r="AG27" s="423"/>
      <c r="AH27" s="423"/>
      <c r="AI27" s="423"/>
      <c r="AJ27" s="423"/>
      <c r="AK27" s="423"/>
      <c r="AL27" s="423"/>
      <c r="AM27" s="423"/>
      <c r="AN27" s="184"/>
      <c r="AO27" s="168"/>
      <c r="AP27" s="168"/>
      <c r="AQ27" s="168"/>
      <c r="AR27" s="168"/>
    </row>
    <row r="28" spans="2:44" s="169" customFormat="1" ht="14.85" customHeight="1">
      <c r="B28" s="182"/>
      <c r="C28" s="423"/>
      <c r="D28" s="423"/>
      <c r="E28" s="423"/>
      <c r="F28" s="423"/>
      <c r="G28" s="423"/>
      <c r="H28" s="423"/>
      <c r="I28" s="423"/>
      <c r="J28" s="423"/>
      <c r="K28" s="423"/>
      <c r="L28" s="423"/>
      <c r="M28" s="423"/>
      <c r="N28" s="423"/>
      <c r="O28" s="423"/>
      <c r="P28" s="423"/>
      <c r="Q28" s="423"/>
      <c r="R28" s="423"/>
      <c r="S28" s="423"/>
      <c r="T28" s="423"/>
      <c r="U28" s="423"/>
      <c r="V28" s="423"/>
      <c r="W28" s="423"/>
      <c r="X28" s="423"/>
      <c r="Y28" s="423"/>
      <c r="Z28" s="423"/>
      <c r="AA28" s="423"/>
      <c r="AB28" s="423"/>
      <c r="AC28" s="423"/>
      <c r="AD28" s="423"/>
      <c r="AE28" s="423"/>
      <c r="AF28" s="423"/>
      <c r="AG28" s="423"/>
      <c r="AH28" s="423"/>
      <c r="AI28" s="423"/>
      <c r="AJ28" s="423"/>
      <c r="AK28" s="423"/>
      <c r="AL28" s="423"/>
      <c r="AM28" s="423"/>
      <c r="AN28" s="184"/>
      <c r="AO28" s="168"/>
      <c r="AP28" s="168"/>
      <c r="AQ28" s="168"/>
      <c r="AR28" s="168"/>
    </row>
    <row r="29" spans="2:44" s="169" customFormat="1" ht="14.85" customHeight="1">
      <c r="B29" s="182"/>
      <c r="C29" s="423"/>
      <c r="D29" s="423"/>
      <c r="E29" s="423"/>
      <c r="F29" s="423"/>
      <c r="G29" s="423"/>
      <c r="H29" s="423"/>
      <c r="I29" s="423"/>
      <c r="J29" s="423"/>
      <c r="K29" s="423"/>
      <c r="L29" s="423"/>
      <c r="M29" s="423"/>
      <c r="N29" s="423"/>
      <c r="O29" s="423"/>
      <c r="P29" s="423"/>
      <c r="Q29" s="423"/>
      <c r="R29" s="423"/>
      <c r="S29" s="423"/>
      <c r="T29" s="423"/>
      <c r="U29" s="423"/>
      <c r="V29" s="423"/>
      <c r="W29" s="423"/>
      <c r="X29" s="423"/>
      <c r="Y29" s="423"/>
      <c r="Z29" s="423"/>
      <c r="AA29" s="423"/>
      <c r="AB29" s="423"/>
      <c r="AC29" s="423"/>
      <c r="AD29" s="423"/>
      <c r="AE29" s="423"/>
      <c r="AF29" s="423"/>
      <c r="AG29" s="423"/>
      <c r="AH29" s="423"/>
      <c r="AI29" s="423"/>
      <c r="AJ29" s="423"/>
      <c r="AK29" s="423"/>
      <c r="AL29" s="423"/>
      <c r="AM29" s="423"/>
      <c r="AN29" s="184"/>
      <c r="AO29" s="168"/>
      <c r="AP29" s="168"/>
      <c r="AQ29" s="168"/>
      <c r="AR29" s="168"/>
    </row>
    <row r="30" spans="2:44" s="169" customFormat="1" ht="14.85" customHeight="1">
      <c r="B30" s="182"/>
      <c r="C30" s="423"/>
      <c r="D30" s="423"/>
      <c r="E30" s="423"/>
      <c r="F30" s="423"/>
      <c r="G30" s="423"/>
      <c r="H30" s="423"/>
      <c r="I30" s="423"/>
      <c r="J30" s="423"/>
      <c r="K30" s="423"/>
      <c r="L30" s="423"/>
      <c r="M30" s="423"/>
      <c r="N30" s="423"/>
      <c r="O30" s="423"/>
      <c r="P30" s="423"/>
      <c r="Q30" s="423"/>
      <c r="R30" s="423"/>
      <c r="S30" s="423"/>
      <c r="T30" s="423"/>
      <c r="U30" s="423"/>
      <c r="V30" s="423"/>
      <c r="W30" s="423"/>
      <c r="X30" s="423"/>
      <c r="Y30" s="423"/>
      <c r="Z30" s="423"/>
      <c r="AA30" s="423"/>
      <c r="AB30" s="423"/>
      <c r="AC30" s="423"/>
      <c r="AD30" s="423"/>
      <c r="AE30" s="423"/>
      <c r="AF30" s="423"/>
      <c r="AG30" s="423"/>
      <c r="AH30" s="423"/>
      <c r="AI30" s="423"/>
      <c r="AJ30" s="423"/>
      <c r="AK30" s="423"/>
      <c r="AL30" s="423"/>
      <c r="AM30" s="423"/>
      <c r="AN30" s="184"/>
      <c r="AO30" s="168"/>
      <c r="AP30" s="168"/>
      <c r="AQ30" s="168"/>
      <c r="AR30" s="168"/>
    </row>
    <row r="31" spans="2:44" s="169" customFormat="1" ht="14.85" customHeight="1">
      <c r="B31" s="182"/>
      <c r="C31" s="423"/>
      <c r="D31" s="423"/>
      <c r="E31" s="423"/>
      <c r="F31" s="423"/>
      <c r="G31" s="423"/>
      <c r="H31" s="423"/>
      <c r="I31" s="423"/>
      <c r="J31" s="423"/>
      <c r="K31" s="423"/>
      <c r="L31" s="423"/>
      <c r="M31" s="423"/>
      <c r="N31" s="423"/>
      <c r="O31" s="423"/>
      <c r="P31" s="423"/>
      <c r="Q31" s="423"/>
      <c r="R31" s="423"/>
      <c r="S31" s="423"/>
      <c r="T31" s="423"/>
      <c r="U31" s="423"/>
      <c r="V31" s="423"/>
      <c r="W31" s="423"/>
      <c r="X31" s="423"/>
      <c r="Y31" s="423"/>
      <c r="Z31" s="423"/>
      <c r="AA31" s="423"/>
      <c r="AB31" s="423"/>
      <c r="AC31" s="423"/>
      <c r="AD31" s="423"/>
      <c r="AE31" s="423"/>
      <c r="AF31" s="423"/>
      <c r="AG31" s="423"/>
      <c r="AH31" s="423"/>
      <c r="AI31" s="423"/>
      <c r="AJ31" s="423"/>
      <c r="AK31" s="423"/>
      <c r="AL31" s="423"/>
      <c r="AM31" s="423"/>
      <c r="AN31" s="184"/>
      <c r="AO31" s="168"/>
      <c r="AP31" s="168"/>
      <c r="AQ31" s="168"/>
      <c r="AR31" s="168"/>
    </row>
    <row r="32" spans="2:44" s="169" customFormat="1" ht="14.85" customHeight="1">
      <c r="B32" s="182"/>
      <c r="C32" s="423"/>
      <c r="D32" s="423"/>
      <c r="E32" s="423"/>
      <c r="F32" s="423"/>
      <c r="G32" s="423"/>
      <c r="H32" s="423"/>
      <c r="I32" s="423"/>
      <c r="J32" s="423"/>
      <c r="K32" s="423"/>
      <c r="L32" s="423"/>
      <c r="M32" s="423"/>
      <c r="N32" s="423"/>
      <c r="O32" s="423"/>
      <c r="P32" s="423"/>
      <c r="Q32" s="423"/>
      <c r="R32" s="423"/>
      <c r="S32" s="423"/>
      <c r="T32" s="423"/>
      <c r="U32" s="423"/>
      <c r="V32" s="423"/>
      <c r="W32" s="423"/>
      <c r="X32" s="423"/>
      <c r="Y32" s="423"/>
      <c r="Z32" s="423"/>
      <c r="AA32" s="423"/>
      <c r="AB32" s="423"/>
      <c r="AC32" s="423"/>
      <c r="AD32" s="423"/>
      <c r="AE32" s="423"/>
      <c r="AF32" s="423"/>
      <c r="AG32" s="423"/>
      <c r="AH32" s="423"/>
      <c r="AI32" s="423"/>
      <c r="AJ32" s="423"/>
      <c r="AK32" s="423"/>
      <c r="AL32" s="423"/>
      <c r="AM32" s="423"/>
      <c r="AN32" s="184"/>
      <c r="AO32" s="168"/>
      <c r="AP32" s="168"/>
      <c r="AQ32" s="168"/>
      <c r="AR32" s="168"/>
    </row>
    <row r="33" spans="2:50" s="169" customFormat="1" ht="14.85" customHeight="1">
      <c r="B33" s="182"/>
      <c r="C33" s="423"/>
      <c r="D33" s="423"/>
      <c r="E33" s="423"/>
      <c r="F33" s="423"/>
      <c r="G33" s="423"/>
      <c r="H33" s="423"/>
      <c r="I33" s="423"/>
      <c r="J33" s="423"/>
      <c r="K33" s="423"/>
      <c r="L33" s="423"/>
      <c r="M33" s="423"/>
      <c r="N33" s="423"/>
      <c r="O33" s="423"/>
      <c r="P33" s="423"/>
      <c r="Q33" s="423"/>
      <c r="R33" s="423"/>
      <c r="S33" s="423"/>
      <c r="T33" s="423"/>
      <c r="U33" s="423"/>
      <c r="V33" s="423"/>
      <c r="W33" s="423"/>
      <c r="X33" s="423"/>
      <c r="Y33" s="423"/>
      <c r="Z33" s="423"/>
      <c r="AA33" s="423"/>
      <c r="AB33" s="423"/>
      <c r="AC33" s="423"/>
      <c r="AD33" s="423"/>
      <c r="AE33" s="423"/>
      <c r="AF33" s="423"/>
      <c r="AG33" s="423"/>
      <c r="AH33" s="423"/>
      <c r="AI33" s="423"/>
      <c r="AJ33" s="423"/>
      <c r="AK33" s="423"/>
      <c r="AL33" s="423"/>
      <c r="AM33" s="423"/>
      <c r="AN33" s="184"/>
      <c r="AO33" s="168"/>
      <c r="AP33" s="168"/>
      <c r="AQ33" s="168"/>
      <c r="AR33" s="168"/>
    </row>
    <row r="34" spans="2:50" s="169" customFormat="1" ht="14.85" customHeight="1">
      <c r="B34" s="182"/>
      <c r="C34" s="423"/>
      <c r="D34" s="423"/>
      <c r="E34" s="423"/>
      <c r="F34" s="423"/>
      <c r="G34" s="423"/>
      <c r="H34" s="423"/>
      <c r="I34" s="423"/>
      <c r="J34" s="423"/>
      <c r="K34" s="423"/>
      <c r="L34" s="423"/>
      <c r="M34" s="423"/>
      <c r="N34" s="423"/>
      <c r="O34" s="423"/>
      <c r="P34" s="423"/>
      <c r="Q34" s="423"/>
      <c r="R34" s="423"/>
      <c r="S34" s="423"/>
      <c r="T34" s="423"/>
      <c r="U34" s="423"/>
      <c r="V34" s="423"/>
      <c r="W34" s="423"/>
      <c r="X34" s="423"/>
      <c r="Y34" s="423"/>
      <c r="Z34" s="423"/>
      <c r="AA34" s="423"/>
      <c r="AB34" s="423"/>
      <c r="AC34" s="423"/>
      <c r="AD34" s="423"/>
      <c r="AE34" s="423"/>
      <c r="AF34" s="423"/>
      <c r="AG34" s="423"/>
      <c r="AH34" s="423"/>
      <c r="AI34" s="423"/>
      <c r="AJ34" s="423"/>
      <c r="AK34" s="423"/>
      <c r="AL34" s="423"/>
      <c r="AM34" s="423"/>
      <c r="AN34" s="184"/>
      <c r="AO34" s="168"/>
      <c r="AP34" s="168"/>
      <c r="AQ34" s="168"/>
      <c r="AR34" s="168"/>
    </row>
    <row r="35" spans="2:50" s="169" customFormat="1" ht="14.85" customHeight="1">
      <c r="B35" s="182"/>
      <c r="C35" s="423"/>
      <c r="D35" s="423"/>
      <c r="E35" s="423"/>
      <c r="F35" s="423"/>
      <c r="G35" s="423"/>
      <c r="H35" s="423"/>
      <c r="I35" s="423"/>
      <c r="J35" s="423"/>
      <c r="K35" s="423"/>
      <c r="L35" s="423"/>
      <c r="M35" s="423"/>
      <c r="N35" s="423"/>
      <c r="O35" s="423"/>
      <c r="P35" s="423"/>
      <c r="Q35" s="423"/>
      <c r="R35" s="423"/>
      <c r="S35" s="423"/>
      <c r="T35" s="423"/>
      <c r="U35" s="423"/>
      <c r="V35" s="423"/>
      <c r="W35" s="423"/>
      <c r="X35" s="423"/>
      <c r="Y35" s="423"/>
      <c r="Z35" s="423"/>
      <c r="AA35" s="423"/>
      <c r="AB35" s="423"/>
      <c r="AC35" s="423"/>
      <c r="AD35" s="423"/>
      <c r="AE35" s="423"/>
      <c r="AF35" s="423"/>
      <c r="AG35" s="423"/>
      <c r="AH35" s="423"/>
      <c r="AI35" s="423"/>
      <c r="AJ35" s="423"/>
      <c r="AK35" s="423"/>
      <c r="AL35" s="423"/>
      <c r="AM35" s="423"/>
      <c r="AN35" s="184"/>
      <c r="AO35" s="168"/>
      <c r="AP35" s="168"/>
      <c r="AQ35" s="168"/>
      <c r="AR35" s="168"/>
    </row>
    <row r="36" spans="2:50" s="169" customFormat="1" ht="14.85" customHeight="1">
      <c r="B36" s="182"/>
      <c r="C36" s="423"/>
      <c r="D36" s="423"/>
      <c r="E36" s="423"/>
      <c r="F36" s="423"/>
      <c r="G36" s="423"/>
      <c r="H36" s="423"/>
      <c r="I36" s="423"/>
      <c r="J36" s="423"/>
      <c r="K36" s="423"/>
      <c r="L36" s="423"/>
      <c r="M36" s="423"/>
      <c r="N36" s="423"/>
      <c r="O36" s="423"/>
      <c r="P36" s="423"/>
      <c r="Q36" s="423"/>
      <c r="R36" s="423"/>
      <c r="S36" s="423"/>
      <c r="T36" s="423"/>
      <c r="U36" s="423"/>
      <c r="V36" s="423"/>
      <c r="W36" s="423"/>
      <c r="X36" s="423"/>
      <c r="Y36" s="423"/>
      <c r="Z36" s="423"/>
      <c r="AA36" s="423"/>
      <c r="AB36" s="423"/>
      <c r="AC36" s="423"/>
      <c r="AD36" s="423"/>
      <c r="AE36" s="423"/>
      <c r="AF36" s="423"/>
      <c r="AG36" s="423"/>
      <c r="AH36" s="423"/>
      <c r="AI36" s="423"/>
      <c r="AJ36" s="423"/>
      <c r="AK36" s="423"/>
      <c r="AL36" s="423"/>
      <c r="AM36" s="423"/>
      <c r="AN36" s="184"/>
      <c r="AO36" s="168"/>
      <c r="AP36" s="168"/>
      <c r="AQ36" s="168"/>
      <c r="AR36" s="168"/>
    </row>
    <row r="37" spans="2:50" s="169" customFormat="1" ht="14.85" customHeight="1">
      <c r="B37" s="182"/>
      <c r="C37" s="423"/>
      <c r="D37" s="423"/>
      <c r="E37" s="423"/>
      <c r="F37" s="423"/>
      <c r="G37" s="423"/>
      <c r="H37" s="423"/>
      <c r="I37" s="423"/>
      <c r="J37" s="423"/>
      <c r="K37" s="423"/>
      <c r="L37" s="423"/>
      <c r="M37" s="423"/>
      <c r="N37" s="423"/>
      <c r="O37" s="423"/>
      <c r="P37" s="423"/>
      <c r="Q37" s="423"/>
      <c r="R37" s="423"/>
      <c r="S37" s="423"/>
      <c r="T37" s="423"/>
      <c r="U37" s="423"/>
      <c r="V37" s="423"/>
      <c r="W37" s="423"/>
      <c r="X37" s="423"/>
      <c r="Y37" s="423"/>
      <c r="Z37" s="423"/>
      <c r="AA37" s="423"/>
      <c r="AB37" s="423"/>
      <c r="AC37" s="423"/>
      <c r="AD37" s="423"/>
      <c r="AE37" s="423"/>
      <c r="AF37" s="423"/>
      <c r="AG37" s="423"/>
      <c r="AH37" s="423"/>
      <c r="AI37" s="423"/>
      <c r="AJ37" s="423"/>
      <c r="AK37" s="423"/>
      <c r="AL37" s="423"/>
      <c r="AM37" s="423"/>
      <c r="AN37" s="184"/>
      <c r="AO37" s="168"/>
      <c r="AP37" s="168"/>
      <c r="AQ37" s="168"/>
      <c r="AR37" s="168"/>
    </row>
    <row r="38" spans="2:50" s="169" customFormat="1" ht="14.85" customHeight="1">
      <c r="B38" s="182"/>
      <c r="C38" s="423"/>
      <c r="D38" s="423"/>
      <c r="E38" s="423"/>
      <c r="F38" s="423"/>
      <c r="G38" s="423"/>
      <c r="H38" s="423"/>
      <c r="I38" s="423"/>
      <c r="J38" s="423"/>
      <c r="K38" s="423"/>
      <c r="L38" s="423"/>
      <c r="M38" s="423"/>
      <c r="N38" s="423"/>
      <c r="O38" s="423"/>
      <c r="P38" s="423"/>
      <c r="Q38" s="423"/>
      <c r="R38" s="423"/>
      <c r="S38" s="423"/>
      <c r="T38" s="423"/>
      <c r="U38" s="423"/>
      <c r="V38" s="423"/>
      <c r="W38" s="423"/>
      <c r="X38" s="423"/>
      <c r="Y38" s="423"/>
      <c r="Z38" s="423"/>
      <c r="AA38" s="423"/>
      <c r="AB38" s="423"/>
      <c r="AC38" s="423"/>
      <c r="AD38" s="423"/>
      <c r="AE38" s="423"/>
      <c r="AF38" s="423"/>
      <c r="AG38" s="423"/>
      <c r="AH38" s="423"/>
      <c r="AI38" s="423"/>
      <c r="AJ38" s="423"/>
      <c r="AK38" s="423"/>
      <c r="AL38" s="423"/>
      <c r="AM38" s="423"/>
      <c r="AN38" s="184"/>
      <c r="AO38" s="168"/>
      <c r="AP38" s="168"/>
      <c r="AQ38" s="168"/>
      <c r="AR38" s="168"/>
    </row>
    <row r="39" spans="2:50" s="169" customFormat="1" ht="14.85" customHeight="1">
      <c r="B39" s="182"/>
      <c r="C39" s="423"/>
      <c r="D39" s="423"/>
      <c r="E39" s="423"/>
      <c r="F39" s="423"/>
      <c r="G39" s="423"/>
      <c r="H39" s="423"/>
      <c r="I39" s="423"/>
      <c r="J39" s="423"/>
      <c r="K39" s="423"/>
      <c r="L39" s="423"/>
      <c r="M39" s="423"/>
      <c r="N39" s="423"/>
      <c r="O39" s="423"/>
      <c r="P39" s="423"/>
      <c r="Q39" s="423"/>
      <c r="R39" s="423"/>
      <c r="S39" s="423"/>
      <c r="T39" s="423"/>
      <c r="U39" s="423"/>
      <c r="V39" s="423"/>
      <c r="W39" s="423"/>
      <c r="X39" s="423"/>
      <c r="Y39" s="423"/>
      <c r="Z39" s="423"/>
      <c r="AA39" s="423"/>
      <c r="AB39" s="423"/>
      <c r="AC39" s="423"/>
      <c r="AD39" s="423"/>
      <c r="AE39" s="423"/>
      <c r="AF39" s="423"/>
      <c r="AG39" s="423"/>
      <c r="AH39" s="423"/>
      <c r="AI39" s="423"/>
      <c r="AJ39" s="423"/>
      <c r="AK39" s="423"/>
      <c r="AL39" s="423"/>
      <c r="AM39" s="423"/>
      <c r="AN39" s="184"/>
      <c r="AO39" s="168"/>
      <c r="AP39" s="168"/>
      <c r="AQ39" s="168"/>
      <c r="AR39" s="168"/>
    </row>
    <row r="40" spans="2:50" s="169" customFormat="1" ht="14.85" customHeight="1">
      <c r="B40" s="182"/>
      <c r="C40" s="423"/>
      <c r="D40" s="423"/>
      <c r="E40" s="423"/>
      <c r="F40" s="423"/>
      <c r="G40" s="423"/>
      <c r="H40" s="423"/>
      <c r="I40" s="423"/>
      <c r="J40" s="423"/>
      <c r="K40" s="423"/>
      <c r="L40" s="423"/>
      <c r="M40" s="423"/>
      <c r="N40" s="423"/>
      <c r="O40" s="423"/>
      <c r="P40" s="423"/>
      <c r="Q40" s="423"/>
      <c r="R40" s="423"/>
      <c r="S40" s="423"/>
      <c r="T40" s="423"/>
      <c r="U40" s="423"/>
      <c r="V40" s="423"/>
      <c r="W40" s="423"/>
      <c r="X40" s="423"/>
      <c r="Y40" s="423"/>
      <c r="Z40" s="423"/>
      <c r="AA40" s="423"/>
      <c r="AB40" s="423"/>
      <c r="AC40" s="423"/>
      <c r="AD40" s="423"/>
      <c r="AE40" s="423"/>
      <c r="AF40" s="423"/>
      <c r="AG40" s="423"/>
      <c r="AH40" s="423"/>
      <c r="AI40" s="423"/>
      <c r="AJ40" s="423"/>
      <c r="AK40" s="423"/>
      <c r="AL40" s="423"/>
      <c r="AM40" s="423"/>
      <c r="AN40" s="184"/>
      <c r="AO40" s="168"/>
      <c r="AP40" s="168"/>
      <c r="AQ40" s="168"/>
      <c r="AR40" s="168"/>
    </row>
    <row r="41" spans="2:50" s="169" customFormat="1" ht="14.85" customHeight="1">
      <c r="B41" s="182"/>
      <c r="C41" s="423"/>
      <c r="D41" s="423"/>
      <c r="E41" s="423"/>
      <c r="F41" s="423"/>
      <c r="G41" s="423"/>
      <c r="H41" s="423"/>
      <c r="I41" s="423"/>
      <c r="J41" s="423"/>
      <c r="K41" s="423"/>
      <c r="L41" s="423"/>
      <c r="M41" s="423"/>
      <c r="N41" s="423"/>
      <c r="O41" s="423"/>
      <c r="P41" s="423"/>
      <c r="Q41" s="423"/>
      <c r="R41" s="423"/>
      <c r="S41" s="423"/>
      <c r="T41" s="423"/>
      <c r="U41" s="423"/>
      <c r="V41" s="423"/>
      <c r="W41" s="423"/>
      <c r="X41" s="423"/>
      <c r="Y41" s="423"/>
      <c r="Z41" s="423"/>
      <c r="AA41" s="423"/>
      <c r="AB41" s="423"/>
      <c r="AC41" s="423"/>
      <c r="AD41" s="423"/>
      <c r="AE41" s="423"/>
      <c r="AF41" s="423"/>
      <c r="AG41" s="423"/>
      <c r="AH41" s="423"/>
      <c r="AI41" s="423"/>
      <c r="AJ41" s="423"/>
      <c r="AK41" s="423"/>
      <c r="AL41" s="423"/>
      <c r="AM41" s="423"/>
      <c r="AN41" s="184"/>
      <c r="AO41" s="168"/>
      <c r="AP41" s="168"/>
      <c r="AQ41" s="168"/>
      <c r="AR41" s="168"/>
    </row>
    <row r="42" spans="2:50" s="169" customFormat="1" ht="14.85" customHeight="1">
      <c r="B42" s="182"/>
      <c r="C42" s="423"/>
      <c r="D42" s="423"/>
      <c r="E42" s="423"/>
      <c r="F42" s="423"/>
      <c r="G42" s="423"/>
      <c r="H42" s="423"/>
      <c r="I42" s="423"/>
      <c r="J42" s="423"/>
      <c r="K42" s="423"/>
      <c r="L42" s="423"/>
      <c r="M42" s="423"/>
      <c r="N42" s="423"/>
      <c r="O42" s="423"/>
      <c r="P42" s="423"/>
      <c r="Q42" s="423"/>
      <c r="R42" s="423"/>
      <c r="S42" s="423"/>
      <c r="T42" s="423"/>
      <c r="U42" s="423"/>
      <c r="V42" s="423"/>
      <c r="W42" s="423"/>
      <c r="X42" s="423"/>
      <c r="Y42" s="423"/>
      <c r="Z42" s="423"/>
      <c r="AA42" s="423"/>
      <c r="AB42" s="423"/>
      <c r="AC42" s="423"/>
      <c r="AD42" s="423"/>
      <c r="AE42" s="423"/>
      <c r="AF42" s="423"/>
      <c r="AG42" s="423"/>
      <c r="AH42" s="423"/>
      <c r="AI42" s="423"/>
      <c r="AJ42" s="423"/>
      <c r="AK42" s="423"/>
      <c r="AL42" s="423"/>
      <c r="AM42" s="423"/>
      <c r="AN42" s="184"/>
      <c r="AO42" s="168"/>
      <c r="AP42" s="168"/>
      <c r="AQ42" s="168"/>
      <c r="AR42" s="168"/>
    </row>
    <row r="43" spans="2:50" s="169" customFormat="1" ht="14.85" customHeight="1">
      <c r="B43" s="182"/>
      <c r="C43" s="423"/>
      <c r="D43" s="423"/>
      <c r="E43" s="423"/>
      <c r="F43" s="423"/>
      <c r="G43" s="423"/>
      <c r="H43" s="423"/>
      <c r="I43" s="423"/>
      <c r="J43" s="423"/>
      <c r="K43" s="423"/>
      <c r="L43" s="423"/>
      <c r="M43" s="423"/>
      <c r="N43" s="423"/>
      <c r="O43" s="423"/>
      <c r="P43" s="423"/>
      <c r="Q43" s="423"/>
      <c r="R43" s="423"/>
      <c r="S43" s="423"/>
      <c r="T43" s="423"/>
      <c r="U43" s="423"/>
      <c r="V43" s="423"/>
      <c r="W43" s="423"/>
      <c r="X43" s="423"/>
      <c r="Y43" s="423"/>
      <c r="Z43" s="423"/>
      <c r="AA43" s="423"/>
      <c r="AB43" s="423"/>
      <c r="AC43" s="423"/>
      <c r="AD43" s="423"/>
      <c r="AE43" s="423"/>
      <c r="AF43" s="423"/>
      <c r="AG43" s="423"/>
      <c r="AH43" s="423"/>
      <c r="AI43" s="423"/>
      <c r="AJ43" s="423"/>
      <c r="AK43" s="423"/>
      <c r="AL43" s="423"/>
      <c r="AM43" s="423"/>
      <c r="AN43" s="184"/>
      <c r="AO43" s="168"/>
      <c r="AP43" s="168"/>
      <c r="AQ43" s="168"/>
      <c r="AR43" s="168"/>
    </row>
    <row r="44" spans="2:50" s="169" customFormat="1" ht="14.85" customHeight="1">
      <c r="B44" s="182"/>
      <c r="C44" s="423"/>
      <c r="D44" s="423"/>
      <c r="E44" s="423"/>
      <c r="F44" s="423"/>
      <c r="G44" s="423"/>
      <c r="H44" s="423"/>
      <c r="I44" s="423"/>
      <c r="J44" s="423"/>
      <c r="K44" s="423"/>
      <c r="L44" s="423"/>
      <c r="M44" s="423"/>
      <c r="N44" s="423"/>
      <c r="O44" s="423"/>
      <c r="P44" s="423"/>
      <c r="Q44" s="423"/>
      <c r="R44" s="423"/>
      <c r="S44" s="423"/>
      <c r="T44" s="423"/>
      <c r="U44" s="423"/>
      <c r="V44" s="423"/>
      <c r="W44" s="423"/>
      <c r="X44" s="423"/>
      <c r="Y44" s="423"/>
      <c r="Z44" s="423"/>
      <c r="AA44" s="423"/>
      <c r="AB44" s="423"/>
      <c r="AC44" s="423"/>
      <c r="AD44" s="423"/>
      <c r="AE44" s="423"/>
      <c r="AF44" s="423"/>
      <c r="AG44" s="423"/>
      <c r="AH44" s="423"/>
      <c r="AI44" s="423"/>
      <c r="AJ44" s="423"/>
      <c r="AK44" s="423"/>
      <c r="AL44" s="423"/>
      <c r="AM44" s="423"/>
      <c r="AN44" s="184"/>
      <c r="AO44" s="168"/>
      <c r="AP44" s="168"/>
      <c r="AQ44" s="168"/>
      <c r="AR44" s="168"/>
    </row>
    <row r="45" spans="2:50" s="169" customFormat="1" ht="14.85" customHeight="1">
      <c r="B45" s="182"/>
      <c r="C45" s="423"/>
      <c r="D45" s="423"/>
      <c r="E45" s="423"/>
      <c r="F45" s="423"/>
      <c r="G45" s="423"/>
      <c r="H45" s="423"/>
      <c r="I45" s="423"/>
      <c r="J45" s="423"/>
      <c r="K45" s="423"/>
      <c r="L45" s="423"/>
      <c r="M45" s="423"/>
      <c r="N45" s="423"/>
      <c r="O45" s="423"/>
      <c r="P45" s="423"/>
      <c r="Q45" s="423"/>
      <c r="R45" s="423"/>
      <c r="S45" s="423"/>
      <c r="T45" s="423"/>
      <c r="U45" s="423"/>
      <c r="V45" s="423"/>
      <c r="W45" s="423"/>
      <c r="X45" s="423"/>
      <c r="Y45" s="423"/>
      <c r="Z45" s="423"/>
      <c r="AA45" s="423"/>
      <c r="AB45" s="423"/>
      <c r="AC45" s="423"/>
      <c r="AD45" s="423"/>
      <c r="AE45" s="423"/>
      <c r="AF45" s="423"/>
      <c r="AG45" s="423"/>
      <c r="AH45" s="423"/>
      <c r="AI45" s="423"/>
      <c r="AJ45" s="423"/>
      <c r="AK45" s="423"/>
      <c r="AL45" s="423"/>
      <c r="AM45" s="423"/>
      <c r="AN45" s="184"/>
      <c r="AO45" s="168"/>
      <c r="AP45" s="168"/>
      <c r="AQ45" s="168"/>
      <c r="AR45" s="168"/>
    </row>
    <row r="46" spans="2:50" s="169" customFormat="1" ht="14.85" customHeight="1">
      <c r="B46" s="182"/>
      <c r="C46" s="423"/>
      <c r="D46" s="423"/>
      <c r="E46" s="423"/>
      <c r="F46" s="423"/>
      <c r="G46" s="423"/>
      <c r="H46" s="423"/>
      <c r="I46" s="423"/>
      <c r="J46" s="423"/>
      <c r="K46" s="423"/>
      <c r="L46" s="423"/>
      <c r="M46" s="423"/>
      <c r="N46" s="423"/>
      <c r="O46" s="423"/>
      <c r="P46" s="423"/>
      <c r="Q46" s="423"/>
      <c r="R46" s="423"/>
      <c r="S46" s="423"/>
      <c r="T46" s="423"/>
      <c r="U46" s="423"/>
      <c r="V46" s="423"/>
      <c r="W46" s="423"/>
      <c r="X46" s="423"/>
      <c r="Y46" s="423"/>
      <c r="Z46" s="423"/>
      <c r="AA46" s="423"/>
      <c r="AB46" s="423"/>
      <c r="AC46" s="423"/>
      <c r="AD46" s="423"/>
      <c r="AE46" s="423"/>
      <c r="AF46" s="423"/>
      <c r="AG46" s="423"/>
      <c r="AH46" s="423"/>
      <c r="AI46" s="423"/>
      <c r="AJ46" s="423"/>
      <c r="AK46" s="423"/>
      <c r="AL46" s="423"/>
      <c r="AM46" s="423"/>
      <c r="AN46" s="184"/>
      <c r="AO46" s="168"/>
      <c r="AP46" s="168"/>
      <c r="AQ46" s="168"/>
      <c r="AR46" s="168"/>
    </row>
    <row r="47" spans="2:50" s="168" customFormat="1" ht="14.85" customHeight="1">
      <c r="B47" s="190"/>
      <c r="C47" s="191"/>
      <c r="D47" s="191"/>
      <c r="E47" s="191"/>
      <c r="F47" s="191"/>
      <c r="G47" s="191"/>
      <c r="H47" s="191"/>
      <c r="I47" s="191"/>
      <c r="J47" s="191"/>
      <c r="K47" s="191"/>
      <c r="L47" s="191"/>
      <c r="M47" s="191"/>
      <c r="N47" s="191"/>
      <c r="O47" s="191"/>
      <c r="P47" s="191"/>
      <c r="Q47" s="191"/>
      <c r="R47" s="191"/>
      <c r="S47" s="191"/>
      <c r="T47" s="191"/>
      <c r="U47" s="191"/>
      <c r="V47" s="191"/>
      <c r="W47" s="191"/>
      <c r="X47" s="191"/>
      <c r="Y47" s="191"/>
      <c r="Z47" s="191"/>
      <c r="AA47" s="191"/>
      <c r="AB47" s="191"/>
      <c r="AC47" s="191"/>
      <c r="AD47" s="191"/>
      <c r="AE47" s="191"/>
      <c r="AF47" s="191"/>
      <c r="AG47" s="191"/>
      <c r="AH47" s="191"/>
      <c r="AI47" s="191"/>
      <c r="AJ47" s="191"/>
      <c r="AK47" s="191"/>
      <c r="AL47" s="191"/>
      <c r="AM47" s="191"/>
      <c r="AN47" s="192"/>
      <c r="AS47" s="169"/>
      <c r="AT47" s="169"/>
      <c r="AU47" s="169"/>
      <c r="AV47" s="169"/>
      <c r="AW47" s="169"/>
      <c r="AX47" s="169"/>
    </row>
    <row r="48" spans="2:50" s="168" customFormat="1" ht="36" customHeight="1">
      <c r="B48" s="424"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48" s="424"/>
      <c r="D48" s="424"/>
      <c r="E48" s="424"/>
      <c r="F48" s="424"/>
      <c r="G48" s="424"/>
      <c r="H48" s="424"/>
      <c r="I48" s="424"/>
      <c r="J48" s="424"/>
      <c r="K48" s="424"/>
      <c r="L48" s="424"/>
      <c r="M48" s="424"/>
      <c r="N48" s="424"/>
      <c r="O48" s="424"/>
      <c r="P48" s="424"/>
      <c r="Q48" s="424"/>
      <c r="R48" s="424"/>
      <c r="S48" s="424"/>
      <c r="T48" s="424"/>
      <c r="U48" s="424"/>
      <c r="V48" s="424"/>
      <c r="W48" s="424"/>
      <c r="X48" s="424"/>
      <c r="Y48" s="424"/>
      <c r="Z48" s="424"/>
      <c r="AA48" s="424"/>
      <c r="AB48" s="424"/>
      <c r="AC48" s="424"/>
      <c r="AD48" s="424"/>
      <c r="AE48" s="424"/>
      <c r="AF48" s="424"/>
      <c r="AG48" s="424"/>
      <c r="AH48" s="424"/>
      <c r="AI48" s="424"/>
      <c r="AJ48" s="424"/>
      <c r="AK48" s="424"/>
      <c r="AL48" s="424"/>
      <c r="AM48" s="424"/>
      <c r="AN48" s="424"/>
      <c r="AR48" s="169"/>
      <c r="AS48" s="169"/>
      <c r="AT48" s="169"/>
      <c r="AU48" s="169"/>
      <c r="AV48" s="169"/>
      <c r="AW48" s="169"/>
    </row>
    <row r="49" spans="5:49" s="209" customFormat="1" ht="14.25">
      <c r="AR49" s="210"/>
      <c r="AS49" s="210"/>
      <c r="AT49" s="210"/>
      <c r="AU49" s="210"/>
      <c r="AV49" s="210"/>
      <c r="AW49" s="210"/>
    </row>
    <row r="50" spans="5:49" s="110" customFormat="1">
      <c r="AR50" s="33"/>
      <c r="AS50" s="33"/>
      <c r="AT50" s="33"/>
      <c r="AU50" s="33"/>
      <c r="AV50" s="33"/>
      <c r="AW50" s="33"/>
    </row>
    <row r="51" spans="5:49" s="110" customFormat="1">
      <c r="AR51" s="33"/>
      <c r="AS51" s="33"/>
      <c r="AT51" s="33"/>
      <c r="AU51" s="33"/>
      <c r="AV51" s="33"/>
      <c r="AW51" s="33"/>
    </row>
    <row r="52" spans="5:49" s="110" customFormat="1">
      <c r="AR52" s="33"/>
      <c r="AS52" s="33"/>
      <c r="AT52" s="33"/>
      <c r="AU52" s="33"/>
      <c r="AV52" s="33"/>
      <c r="AW52" s="33"/>
    </row>
    <row r="53" spans="5:49" s="110" customFormat="1">
      <c r="AR53" s="33"/>
      <c r="AS53" s="33"/>
      <c r="AT53" s="33"/>
      <c r="AU53" s="33"/>
      <c r="AV53" s="33"/>
      <c r="AW53" s="33"/>
    </row>
    <row r="54" spans="5:49" s="110" customFormat="1">
      <c r="AR54" s="33"/>
      <c r="AS54" s="33"/>
      <c r="AT54" s="33"/>
      <c r="AU54" s="33"/>
      <c r="AV54" s="33"/>
      <c r="AW54" s="33"/>
    </row>
    <row r="55" spans="5:49" s="110" customFormat="1">
      <c r="AR55" s="33"/>
      <c r="AS55" s="33"/>
      <c r="AT55" s="33"/>
      <c r="AU55" s="33"/>
      <c r="AV55" s="33"/>
      <c r="AW55" s="33"/>
    </row>
    <row r="56" spans="5:49" s="110" customFormat="1">
      <c r="AR56" s="33"/>
      <c r="AS56" s="33"/>
      <c r="AT56" s="33"/>
      <c r="AU56" s="33"/>
      <c r="AV56" s="33"/>
      <c r="AW56" s="33"/>
    </row>
    <row r="57" spans="5:49" s="110" customFormat="1">
      <c r="AR57" s="33"/>
      <c r="AS57" s="33"/>
      <c r="AT57" s="33"/>
      <c r="AU57" s="33"/>
      <c r="AV57" s="33"/>
      <c r="AW57" s="33"/>
    </row>
    <row r="58" spans="5:49" s="110" customFormat="1">
      <c r="E58" s="214"/>
      <c r="AR58" s="33"/>
      <c r="AS58" s="33"/>
      <c r="AT58" s="33"/>
      <c r="AU58" s="33"/>
      <c r="AV58" s="33"/>
      <c r="AW58" s="33"/>
    </row>
    <row r="59" spans="5:49" s="110" customFormat="1">
      <c r="E59" s="214"/>
      <c r="AR59" s="33"/>
      <c r="AS59" s="33"/>
      <c r="AT59" s="33"/>
      <c r="AU59" s="33"/>
      <c r="AV59" s="33"/>
      <c r="AW59" s="33"/>
    </row>
    <row r="60" spans="5:49" s="110" customFormat="1">
      <c r="AR60" s="33"/>
      <c r="AS60" s="33"/>
      <c r="AT60" s="33"/>
      <c r="AU60" s="33"/>
      <c r="AV60" s="33"/>
      <c r="AW60" s="33"/>
    </row>
    <row r="61" spans="5:49" s="110" customFormat="1">
      <c r="AR61" s="33"/>
      <c r="AS61" s="33"/>
      <c r="AT61" s="33"/>
      <c r="AU61" s="33"/>
      <c r="AV61" s="33"/>
      <c r="AW61" s="33"/>
    </row>
    <row r="62" spans="5:49" s="110" customFormat="1">
      <c r="AR62" s="33"/>
      <c r="AS62" s="33"/>
      <c r="AT62" s="33"/>
      <c r="AU62" s="33"/>
      <c r="AV62" s="33"/>
      <c r="AW62" s="33"/>
    </row>
    <row r="63" spans="5:49" s="110" customFormat="1">
      <c r="AR63" s="33"/>
      <c r="AS63" s="33"/>
      <c r="AT63" s="33"/>
      <c r="AU63" s="33"/>
      <c r="AV63" s="33"/>
      <c r="AW63" s="33"/>
    </row>
    <row r="64" spans="5:49" s="110" customFormat="1">
      <c r="AR64" s="33"/>
      <c r="AS64" s="33"/>
      <c r="AT64" s="33"/>
      <c r="AU64" s="33"/>
      <c r="AV64" s="33"/>
      <c r="AW64" s="33"/>
    </row>
    <row r="65" spans="44:49" s="110" customFormat="1">
      <c r="AR65" s="33"/>
      <c r="AS65" s="33"/>
      <c r="AT65" s="33"/>
      <c r="AU65" s="33"/>
      <c r="AV65" s="33"/>
      <c r="AW65" s="33"/>
    </row>
    <row r="66" spans="44:49" s="110" customFormat="1">
      <c r="AR66" s="33"/>
      <c r="AS66" s="33"/>
      <c r="AT66" s="33"/>
      <c r="AU66" s="33"/>
      <c r="AV66" s="33"/>
      <c r="AW66" s="33"/>
    </row>
    <row r="67" spans="44:49" s="110" customFormat="1">
      <c r="AR67" s="33"/>
      <c r="AS67" s="33"/>
      <c r="AT67" s="33"/>
      <c r="AU67" s="33"/>
      <c r="AV67" s="33"/>
      <c r="AW67" s="33"/>
    </row>
    <row r="68" spans="44:49" s="110" customFormat="1">
      <c r="AR68" s="33"/>
      <c r="AS68" s="33"/>
      <c r="AT68" s="33"/>
      <c r="AU68" s="33"/>
      <c r="AV68" s="33"/>
      <c r="AW68" s="33"/>
    </row>
    <row r="69" spans="44:49" s="110" customFormat="1">
      <c r="AR69" s="33"/>
      <c r="AS69" s="33"/>
      <c r="AT69" s="33"/>
      <c r="AU69" s="33"/>
      <c r="AV69" s="33"/>
      <c r="AW69" s="33"/>
    </row>
    <row r="70" spans="44:49" s="110" customFormat="1">
      <c r="AR70" s="33"/>
      <c r="AS70" s="33"/>
      <c r="AT70" s="33"/>
      <c r="AU70" s="33"/>
      <c r="AV70" s="33"/>
      <c r="AW70" s="33"/>
    </row>
  </sheetData>
  <mergeCells count="47">
    <mergeCell ref="C12:AM46"/>
    <mergeCell ref="B48:AN48"/>
    <mergeCell ref="T8:W8"/>
    <mergeCell ref="X8:AA8"/>
    <mergeCell ref="AB8:AC8"/>
    <mergeCell ref="AD8:AF8"/>
    <mergeCell ref="AG8:AJ8"/>
    <mergeCell ref="AK8:AN8"/>
    <mergeCell ref="B8:C8"/>
    <mergeCell ref="D8:F8"/>
    <mergeCell ref="G8:J8"/>
    <mergeCell ref="K8:N8"/>
    <mergeCell ref="O8:P8"/>
    <mergeCell ref="Q8:S8"/>
    <mergeCell ref="AK7:AN7"/>
    <mergeCell ref="B7:C7"/>
    <mergeCell ref="D7:F7"/>
    <mergeCell ref="G7:J7"/>
    <mergeCell ref="K7:N7"/>
    <mergeCell ref="O7:P7"/>
    <mergeCell ref="Q7:S7"/>
    <mergeCell ref="T7:W7"/>
    <mergeCell ref="X7:AA7"/>
    <mergeCell ref="AB7:AC7"/>
    <mergeCell ref="AD7:AF7"/>
    <mergeCell ref="AG7:AJ7"/>
    <mergeCell ref="AL6:AN6"/>
    <mergeCell ref="B4:G4"/>
    <mergeCell ref="I4:Z4"/>
    <mergeCell ref="AA4:AD4"/>
    <mergeCell ref="AE4:AN4"/>
    <mergeCell ref="B5:H5"/>
    <mergeCell ref="I5:AN5"/>
    <mergeCell ref="B6:I6"/>
    <mergeCell ref="J6:AC6"/>
    <mergeCell ref="AD6:AF6"/>
    <mergeCell ref="AG6:AI6"/>
    <mergeCell ref="AJ6:AK6"/>
    <mergeCell ref="B3:G3"/>
    <mergeCell ref="I3:Z3"/>
    <mergeCell ref="AA3:AD3"/>
    <mergeCell ref="AE3:AN3"/>
    <mergeCell ref="B1:AN1"/>
    <mergeCell ref="B2:G2"/>
    <mergeCell ref="I2:Z2"/>
    <mergeCell ref="AA2:AD2"/>
    <mergeCell ref="AE2:AN2"/>
  </mergeCells>
  <pageMargins left="0.7" right="0.7" top="0.75" bottom="0.75" header="0.3" footer="0.3"/>
  <pageSetup scale="88"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3" tint="0.39997558519241921"/>
  </sheetPr>
  <dimension ref="B1:AX79"/>
  <sheetViews>
    <sheetView view="pageLayout" topLeftCell="A37" zoomScaleNormal="100" zoomScaleSheetLayoutView="100" workbookViewId="0">
      <selection activeCell="B57" sqref="B57:AN57"/>
    </sheetView>
  </sheetViews>
  <sheetFormatPr defaultColWidth="9.140625" defaultRowHeight="12.75"/>
  <cols>
    <col min="1" max="1" width="0.7109375" style="33" customWidth="1"/>
    <col min="2" max="2" width="2.5703125" style="33" customWidth="1"/>
    <col min="3" max="3" width="3.7109375" style="33" customWidth="1"/>
    <col min="4" max="5" width="2.5703125" style="33" customWidth="1"/>
    <col min="6" max="6" width="3.5703125" style="33" customWidth="1"/>
    <col min="7" max="7" width="3" style="33" customWidth="1"/>
    <col min="8" max="8" width="4" style="33" customWidth="1"/>
    <col min="9" max="10" width="2.5703125" style="33" customWidth="1"/>
    <col min="11" max="11" width="3.85546875" style="33" customWidth="1"/>
    <col min="12" max="39" width="2.5703125" style="33" customWidth="1"/>
    <col min="40" max="40" width="5.5703125" style="110" customWidth="1"/>
    <col min="41" max="41" width="21.28515625" style="110" customWidth="1"/>
    <col min="42" max="43" width="9.140625" style="110"/>
    <col min="44" max="47" width="9.140625" style="33"/>
    <col min="48" max="48" width="8.85546875" style="33" customWidth="1"/>
    <col min="49" max="49" width="9.140625" style="33" customWidth="1"/>
    <col min="50" max="16384" width="9.140625" style="33"/>
  </cols>
  <sheetData>
    <row r="1" spans="2:44" s="152" customFormat="1" ht="60" customHeight="1">
      <c r="B1" s="216" t="s">
        <v>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93"/>
      <c r="AP1" s="193"/>
      <c r="AQ1" s="193"/>
    </row>
    <row r="2" spans="2:44" s="174" customFormat="1" ht="15" customHeight="1">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c r="AP2" s="173"/>
      <c r="AQ2" s="173"/>
    </row>
    <row r="3" spans="2:44" s="174" customFormat="1" ht="15" customHeight="1">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c r="AP3" s="173"/>
      <c r="AQ3" s="173"/>
    </row>
    <row r="4" spans="2:44" s="174" customFormat="1" ht="26.25" customHeight="1">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c r="AP4" s="173"/>
      <c r="AQ4" s="173"/>
    </row>
    <row r="5" spans="2:44" s="174" customFormat="1" ht="22.5" customHeight="1">
      <c r="B5" s="343" t="s">
        <v>13</v>
      </c>
      <c r="C5" s="338"/>
      <c r="D5" s="338"/>
      <c r="E5" s="338"/>
      <c r="F5" s="338"/>
      <c r="G5" s="338"/>
      <c r="H5" s="338"/>
      <c r="I5" s="344">
        <f>AE21</f>
        <v>0</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c r="AP5" s="173"/>
      <c r="AQ5" s="173"/>
    </row>
    <row r="6" spans="2:44" s="195" customFormat="1" ht="15" customHeight="1">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48" t="s">
        <v>14</v>
      </c>
      <c r="AE6" s="348"/>
      <c r="AF6" s="348"/>
      <c r="AG6" s="371"/>
      <c r="AH6" s="371"/>
      <c r="AI6" s="371"/>
      <c r="AJ6" s="348" t="s">
        <v>15</v>
      </c>
      <c r="AK6" s="348"/>
      <c r="AL6" s="341" t="str">
        <f>num_pages</f>
        <v>#pages</v>
      </c>
      <c r="AM6" s="341"/>
      <c r="AN6" s="342"/>
      <c r="AO6" s="194"/>
      <c r="AP6" s="194"/>
      <c r="AQ6" s="194"/>
    </row>
    <row r="7" spans="2:44" s="152" customFormat="1" ht="15" customHeight="1">
      <c r="B7" s="216" t="s">
        <v>53</v>
      </c>
      <c r="C7" s="218"/>
      <c r="D7" s="216" t="s">
        <v>54</v>
      </c>
      <c r="E7" s="217"/>
      <c r="F7" s="217"/>
      <c r="G7" s="216" t="s">
        <v>56</v>
      </c>
      <c r="H7" s="217"/>
      <c r="I7" s="217"/>
      <c r="J7" s="218"/>
      <c r="K7" s="216" t="s">
        <v>57</v>
      </c>
      <c r="L7" s="217"/>
      <c r="M7" s="217"/>
      <c r="N7" s="372"/>
      <c r="O7" s="217" t="s">
        <v>53</v>
      </c>
      <c r="P7" s="218"/>
      <c r="Q7" s="216" t="s">
        <v>54</v>
      </c>
      <c r="R7" s="217"/>
      <c r="S7" s="217"/>
      <c r="T7" s="216" t="s">
        <v>56</v>
      </c>
      <c r="U7" s="217"/>
      <c r="V7" s="217"/>
      <c r="W7" s="218"/>
      <c r="X7" s="216" t="s">
        <v>57</v>
      </c>
      <c r="Y7" s="217"/>
      <c r="Z7" s="217"/>
      <c r="AA7" s="372"/>
      <c r="AB7" s="217" t="s">
        <v>53</v>
      </c>
      <c r="AC7" s="218"/>
      <c r="AD7" s="216" t="s">
        <v>54</v>
      </c>
      <c r="AE7" s="217"/>
      <c r="AF7" s="217"/>
      <c r="AG7" s="216" t="s">
        <v>56</v>
      </c>
      <c r="AH7" s="217"/>
      <c r="AI7" s="217"/>
      <c r="AJ7" s="218"/>
      <c r="AK7" s="216" t="s">
        <v>57</v>
      </c>
      <c r="AL7" s="217"/>
      <c r="AM7" s="217"/>
      <c r="AN7" s="218"/>
      <c r="AO7" s="193"/>
      <c r="AP7" s="193"/>
      <c r="AQ7" s="193"/>
    </row>
    <row r="8" spans="2:44" s="196" customFormat="1" ht="15" customHeight="1">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row>
    <row r="9" spans="2:44" s="169" customFormat="1" ht="14.85" customHeight="1">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c r="AP9" s="173"/>
      <c r="AQ9" s="173"/>
      <c r="AR9" s="168"/>
    </row>
    <row r="10" spans="2:44" s="169" customFormat="1" ht="15" customHeight="1">
      <c r="B10" s="182"/>
      <c r="C10" s="365" t="str">
        <f>ToC!F19</f>
        <v>6.0</v>
      </c>
      <c r="D10" s="365"/>
      <c r="E10" s="197"/>
      <c r="F10" s="211" t="str">
        <f>ToC!H19</f>
        <v>Summary</v>
      </c>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c r="AP10" s="173"/>
      <c r="AQ10" s="173"/>
      <c r="AR10" s="168"/>
    </row>
    <row r="11" spans="2:44" s="169" customFormat="1" ht="14.85" customHeight="1">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c r="AP11" s="173"/>
      <c r="AQ11" s="168"/>
      <c r="AR11" s="168"/>
    </row>
    <row r="12" spans="2:44" s="169" customFormat="1" ht="14.85" customHeight="1">
      <c r="B12" s="182"/>
      <c r="L12" s="183"/>
      <c r="M12" s="432" t="s">
        <v>163</v>
      </c>
      <c r="N12" s="433"/>
      <c r="O12" s="433"/>
      <c r="P12" s="433"/>
      <c r="Q12" s="433"/>
      <c r="R12" s="433"/>
      <c r="S12" s="433"/>
      <c r="T12" s="433"/>
      <c r="U12" s="434"/>
      <c r="V12" s="432" t="s">
        <v>164</v>
      </c>
      <c r="W12" s="433"/>
      <c r="X12" s="433"/>
      <c r="Y12" s="433"/>
      <c r="Z12" s="433"/>
      <c r="AA12" s="433"/>
      <c r="AB12" s="433"/>
      <c r="AC12" s="433"/>
      <c r="AD12" s="434"/>
      <c r="AE12" s="432" t="s">
        <v>165</v>
      </c>
      <c r="AF12" s="433"/>
      <c r="AG12" s="433"/>
      <c r="AH12" s="433"/>
      <c r="AI12" s="433"/>
      <c r="AJ12" s="433"/>
      <c r="AK12" s="433"/>
      <c r="AL12" s="433"/>
      <c r="AM12" s="434"/>
      <c r="AN12" s="184" t="s">
        <v>166</v>
      </c>
      <c r="AO12" s="168"/>
      <c r="AP12" s="168"/>
      <c r="AQ12" s="168"/>
      <c r="AR12" s="168"/>
    </row>
    <row r="13" spans="2:44" s="169" customFormat="1" ht="14.85" customHeight="1">
      <c r="B13" s="182"/>
      <c r="C13" s="435" t="s">
        <v>167</v>
      </c>
      <c r="D13" s="436"/>
      <c r="E13" s="436"/>
      <c r="F13" s="436"/>
      <c r="G13" s="436"/>
      <c r="H13" s="436"/>
      <c r="I13" s="436"/>
      <c r="J13" s="436"/>
      <c r="K13" s="436"/>
      <c r="L13" s="436"/>
      <c r="M13" s="436"/>
      <c r="N13" s="436"/>
      <c r="O13" s="436"/>
      <c r="P13" s="436"/>
      <c r="Q13" s="436"/>
      <c r="R13" s="436"/>
      <c r="S13" s="436"/>
      <c r="T13" s="436"/>
      <c r="U13" s="436"/>
      <c r="V13" s="436"/>
      <c r="W13" s="436"/>
      <c r="X13" s="436"/>
      <c r="Y13" s="436"/>
      <c r="Z13" s="436"/>
      <c r="AA13" s="436"/>
      <c r="AB13" s="436"/>
      <c r="AC13" s="436"/>
      <c r="AD13" s="436"/>
      <c r="AE13" s="436"/>
      <c r="AF13" s="436"/>
      <c r="AG13" s="436"/>
      <c r="AH13" s="436"/>
      <c r="AI13" s="436"/>
      <c r="AJ13" s="436"/>
      <c r="AK13" s="436"/>
      <c r="AL13" s="436"/>
      <c r="AM13" s="437"/>
      <c r="AN13" s="184"/>
      <c r="AO13" s="168"/>
      <c r="AP13" s="168"/>
      <c r="AQ13" s="168"/>
      <c r="AR13" s="168"/>
    </row>
    <row r="14" spans="2:44" s="169" customFormat="1" ht="14.85" customHeight="1">
      <c r="B14" s="182"/>
      <c r="C14" s="438" t="s">
        <v>168</v>
      </c>
      <c r="D14" s="438"/>
      <c r="E14" s="438"/>
      <c r="F14" s="438"/>
      <c r="G14" s="438"/>
      <c r="H14" s="438"/>
      <c r="I14" s="438"/>
      <c r="J14" s="438"/>
      <c r="K14" s="428"/>
      <c r="L14" s="428"/>
      <c r="M14" s="439" t="s">
        <v>169</v>
      </c>
      <c r="N14" s="440"/>
      <c r="O14" s="440"/>
      <c r="P14" s="440"/>
      <c r="Q14" s="440"/>
      <c r="R14" s="440"/>
      <c r="S14" s="440"/>
      <c r="T14" s="440"/>
      <c r="U14" s="441"/>
      <c r="V14" s="439"/>
      <c r="W14" s="440"/>
      <c r="X14" s="440"/>
      <c r="Y14" s="440"/>
      <c r="Z14" s="440"/>
      <c r="AA14" s="440"/>
      <c r="AB14" s="440"/>
      <c r="AC14" s="440"/>
      <c r="AD14" s="441"/>
      <c r="AE14" s="439"/>
      <c r="AF14" s="440"/>
      <c r="AG14" s="440"/>
      <c r="AH14" s="440"/>
      <c r="AI14" s="440"/>
      <c r="AJ14" s="440"/>
      <c r="AK14" s="440"/>
      <c r="AL14" s="440"/>
      <c r="AM14" s="441"/>
      <c r="AN14" s="184"/>
      <c r="AO14" s="168"/>
      <c r="AP14" s="168"/>
      <c r="AQ14" s="168"/>
      <c r="AR14" s="168"/>
    </row>
    <row r="15" spans="2:44" s="169" customFormat="1" ht="14.85" customHeight="1">
      <c r="B15" s="182"/>
      <c r="C15" s="438" t="s">
        <v>170</v>
      </c>
      <c r="D15" s="438"/>
      <c r="E15" s="438"/>
      <c r="F15" s="438"/>
      <c r="G15" s="438"/>
      <c r="H15" s="438"/>
      <c r="I15" s="438"/>
      <c r="J15" s="438"/>
      <c r="K15" s="428" t="s">
        <v>131</v>
      </c>
      <c r="L15" s="428"/>
      <c r="M15" s="439">
        <v>114.3</v>
      </c>
      <c r="N15" s="440"/>
      <c r="O15" s="440"/>
      <c r="P15" s="440"/>
      <c r="Q15" s="440"/>
      <c r="R15" s="440"/>
      <c r="S15" s="440"/>
      <c r="T15" s="440"/>
      <c r="U15" s="441"/>
      <c r="V15" s="439"/>
      <c r="W15" s="440"/>
      <c r="X15" s="440"/>
      <c r="Y15" s="440"/>
      <c r="Z15" s="440"/>
      <c r="AA15" s="440"/>
      <c r="AB15" s="440"/>
      <c r="AC15" s="440"/>
      <c r="AD15" s="441"/>
      <c r="AE15" s="439"/>
      <c r="AF15" s="440"/>
      <c r="AG15" s="440"/>
      <c r="AH15" s="440"/>
      <c r="AI15" s="440"/>
      <c r="AJ15" s="440"/>
      <c r="AK15" s="440"/>
      <c r="AL15" s="440"/>
      <c r="AM15" s="441"/>
      <c r="AN15" s="184"/>
      <c r="AO15" s="168"/>
      <c r="AP15" s="168"/>
      <c r="AQ15" s="168"/>
      <c r="AR15" s="168"/>
    </row>
    <row r="16" spans="2:44" s="169" customFormat="1" ht="14.85" customHeight="1">
      <c r="B16" s="182"/>
      <c r="C16" s="438" t="s">
        <v>171</v>
      </c>
      <c r="D16" s="438"/>
      <c r="E16" s="438"/>
      <c r="F16" s="438"/>
      <c r="G16" s="438"/>
      <c r="H16" s="438"/>
      <c r="I16" s="438"/>
      <c r="J16" s="438"/>
      <c r="K16" s="428" t="s">
        <v>131</v>
      </c>
      <c r="L16" s="428"/>
      <c r="M16" s="439">
        <v>6.02</v>
      </c>
      <c r="N16" s="440"/>
      <c r="O16" s="440"/>
      <c r="P16" s="440"/>
      <c r="Q16" s="440"/>
      <c r="R16" s="440"/>
      <c r="S16" s="440"/>
      <c r="T16" s="440"/>
      <c r="U16" s="441"/>
      <c r="V16" s="439"/>
      <c r="W16" s="440"/>
      <c r="X16" s="440"/>
      <c r="Y16" s="440"/>
      <c r="Z16" s="440"/>
      <c r="AA16" s="440"/>
      <c r="AB16" s="440"/>
      <c r="AC16" s="440"/>
      <c r="AD16" s="441"/>
      <c r="AE16" s="439"/>
      <c r="AF16" s="440"/>
      <c r="AG16" s="440"/>
      <c r="AH16" s="440"/>
      <c r="AI16" s="440"/>
      <c r="AJ16" s="440"/>
      <c r="AK16" s="440"/>
      <c r="AL16" s="440"/>
      <c r="AM16" s="441"/>
      <c r="AN16" s="184"/>
      <c r="AO16" s="168"/>
      <c r="AP16" s="168"/>
      <c r="AQ16" s="168"/>
      <c r="AR16" s="168"/>
    </row>
    <row r="17" spans="2:47" s="169" customFormat="1" ht="14.85" customHeight="1">
      <c r="B17" s="182"/>
      <c r="C17" s="438" t="s">
        <v>172</v>
      </c>
      <c r="D17" s="438"/>
      <c r="E17" s="438"/>
      <c r="F17" s="438"/>
      <c r="G17" s="438"/>
      <c r="H17" s="438"/>
      <c r="I17" s="438"/>
      <c r="J17" s="438"/>
      <c r="K17" s="428" t="s">
        <v>131</v>
      </c>
      <c r="L17" s="428"/>
      <c r="M17" s="429">
        <f>IF(M15=0,"",M15-2*M16)</f>
        <v>102.25999999999999</v>
      </c>
      <c r="N17" s="430"/>
      <c r="O17" s="430"/>
      <c r="P17" s="430"/>
      <c r="Q17" s="430"/>
      <c r="R17" s="430"/>
      <c r="S17" s="430"/>
      <c r="T17" s="430"/>
      <c r="U17" s="431"/>
      <c r="V17" s="429" t="str">
        <f>IF(V15=0,"",V15-2*V16)</f>
        <v/>
      </c>
      <c r="W17" s="430"/>
      <c r="X17" s="430"/>
      <c r="Y17" s="430"/>
      <c r="Z17" s="430"/>
      <c r="AA17" s="430"/>
      <c r="AB17" s="430"/>
      <c r="AC17" s="430"/>
      <c r="AD17" s="431"/>
      <c r="AE17" s="429" t="str">
        <f>IF(AE15=0,"",AE15-2*AE16)</f>
        <v/>
      </c>
      <c r="AF17" s="430"/>
      <c r="AG17" s="430"/>
      <c r="AH17" s="430"/>
      <c r="AI17" s="430"/>
      <c r="AJ17" s="430"/>
      <c r="AK17" s="430"/>
      <c r="AL17" s="430"/>
      <c r="AM17" s="431"/>
      <c r="AN17" s="184"/>
      <c r="AO17" s="168"/>
      <c r="AP17" s="168"/>
      <c r="AQ17" s="168"/>
      <c r="AR17" s="168"/>
    </row>
    <row r="18" spans="2:47" s="169" customFormat="1" ht="14.85" customHeight="1">
      <c r="B18" s="182"/>
      <c r="C18" s="438" t="s">
        <v>173</v>
      </c>
      <c r="D18" s="438"/>
      <c r="E18" s="438"/>
      <c r="F18" s="438"/>
      <c r="G18" s="438"/>
      <c r="H18" s="438"/>
      <c r="I18" s="438"/>
      <c r="J18" s="438"/>
      <c r="K18" s="428" t="s">
        <v>128</v>
      </c>
      <c r="L18" s="428"/>
      <c r="M18" s="439">
        <v>4</v>
      </c>
      <c r="N18" s="440"/>
      <c r="O18" s="440"/>
      <c r="P18" s="440"/>
      <c r="Q18" s="440"/>
      <c r="R18" s="440"/>
      <c r="S18" s="440"/>
      <c r="T18" s="440"/>
      <c r="U18" s="441"/>
      <c r="V18" s="439"/>
      <c r="W18" s="440"/>
      <c r="X18" s="440"/>
      <c r="Y18" s="440"/>
      <c r="Z18" s="440"/>
      <c r="AA18" s="440"/>
      <c r="AB18" s="440"/>
      <c r="AC18" s="440"/>
      <c r="AD18" s="441"/>
      <c r="AE18" s="439"/>
      <c r="AF18" s="440"/>
      <c r="AG18" s="440"/>
      <c r="AH18" s="440"/>
      <c r="AI18" s="440"/>
      <c r="AJ18" s="440"/>
      <c r="AK18" s="440"/>
      <c r="AL18" s="440"/>
      <c r="AM18" s="441"/>
      <c r="AN18" s="184"/>
      <c r="AO18" s="168"/>
      <c r="AP18" s="168"/>
      <c r="AQ18" s="168"/>
      <c r="AR18" s="168"/>
    </row>
    <row r="19" spans="2:47" s="169" customFormat="1" ht="14.85" customHeight="1">
      <c r="B19" s="182"/>
      <c r="C19" s="438" t="s">
        <v>174</v>
      </c>
      <c r="D19" s="438"/>
      <c r="E19" s="438"/>
      <c r="F19" s="438"/>
      <c r="G19" s="438"/>
      <c r="H19" s="438"/>
      <c r="I19" s="438"/>
      <c r="J19" s="438"/>
      <c r="K19" s="428" t="s">
        <v>142</v>
      </c>
      <c r="L19" s="428"/>
      <c r="M19" s="439">
        <v>2.0000000000000002E-5</v>
      </c>
      <c r="N19" s="440"/>
      <c r="O19" s="440"/>
      <c r="P19" s="440"/>
      <c r="Q19" s="440"/>
      <c r="R19" s="440"/>
      <c r="S19" s="440"/>
      <c r="T19" s="440"/>
      <c r="U19" s="441"/>
      <c r="V19" s="439"/>
      <c r="W19" s="440"/>
      <c r="X19" s="440"/>
      <c r="Y19" s="440"/>
      <c r="Z19" s="440"/>
      <c r="AA19" s="440"/>
      <c r="AB19" s="440"/>
      <c r="AC19" s="440"/>
      <c r="AD19" s="441"/>
      <c r="AE19" s="439"/>
      <c r="AF19" s="440"/>
      <c r="AG19" s="440"/>
      <c r="AH19" s="440"/>
      <c r="AI19" s="440"/>
      <c r="AJ19" s="440"/>
      <c r="AK19" s="440"/>
      <c r="AL19" s="440"/>
      <c r="AM19" s="441"/>
      <c r="AN19" s="184"/>
      <c r="AO19" s="168"/>
      <c r="AP19" s="168"/>
      <c r="AQ19" s="168"/>
      <c r="AR19" s="168"/>
      <c r="AS19" s="157"/>
    </row>
    <row r="20" spans="2:47" s="169" customFormat="1" ht="14.85" customHeight="1">
      <c r="B20" s="182"/>
      <c r="C20" s="438" t="s">
        <v>175</v>
      </c>
      <c r="D20" s="438"/>
      <c r="E20" s="438"/>
      <c r="F20" s="438"/>
      <c r="G20" s="438"/>
      <c r="H20" s="438"/>
      <c r="I20" s="438"/>
      <c r="J20" s="438"/>
      <c r="K20" s="428" t="s">
        <v>176</v>
      </c>
      <c r="L20" s="428"/>
      <c r="M20" s="439">
        <v>5</v>
      </c>
      <c r="N20" s="440"/>
      <c r="O20" s="440"/>
      <c r="P20" s="440"/>
      <c r="Q20" s="440"/>
      <c r="R20" s="440"/>
      <c r="S20" s="440"/>
      <c r="T20" s="440"/>
      <c r="U20" s="441"/>
      <c r="V20" s="439"/>
      <c r="W20" s="440"/>
      <c r="X20" s="440"/>
      <c r="Y20" s="440"/>
      <c r="Z20" s="440"/>
      <c r="AA20" s="440"/>
      <c r="AB20" s="440"/>
      <c r="AC20" s="440"/>
      <c r="AD20" s="441"/>
      <c r="AE20" s="439"/>
      <c r="AF20" s="440"/>
      <c r="AG20" s="440"/>
      <c r="AH20" s="440"/>
      <c r="AI20" s="440"/>
      <c r="AJ20" s="440"/>
      <c r="AK20" s="440"/>
      <c r="AL20" s="440"/>
      <c r="AM20" s="441"/>
      <c r="AN20" s="184"/>
      <c r="AO20" s="168"/>
      <c r="AP20" s="168"/>
      <c r="AQ20" s="168"/>
      <c r="AR20" s="168"/>
      <c r="AS20" s="157"/>
    </row>
    <row r="21" spans="2:47" s="169" customFormat="1" ht="14.85" customHeight="1">
      <c r="B21" s="182"/>
      <c r="C21" s="438" t="s">
        <v>177</v>
      </c>
      <c r="D21" s="438"/>
      <c r="E21" s="438"/>
      <c r="F21" s="438"/>
      <c r="G21" s="438"/>
      <c r="H21" s="438"/>
      <c r="I21" s="438"/>
      <c r="J21" s="438"/>
      <c r="K21" s="428" t="s">
        <v>178</v>
      </c>
      <c r="L21" s="428"/>
      <c r="M21" s="439">
        <v>20000</v>
      </c>
      <c r="N21" s="440"/>
      <c r="O21" s="440"/>
      <c r="P21" s="440"/>
      <c r="Q21" s="440"/>
      <c r="R21" s="440"/>
      <c r="S21" s="440"/>
      <c r="T21" s="440"/>
      <c r="U21" s="441"/>
      <c r="V21" s="439"/>
      <c r="W21" s="440"/>
      <c r="X21" s="440"/>
      <c r="Y21" s="440"/>
      <c r="Z21" s="440"/>
      <c r="AA21" s="440"/>
      <c r="AB21" s="440"/>
      <c r="AC21" s="440"/>
      <c r="AD21" s="441"/>
      <c r="AE21" s="439"/>
      <c r="AF21" s="440"/>
      <c r="AG21" s="440"/>
      <c r="AH21" s="440"/>
      <c r="AI21" s="440"/>
      <c r="AJ21" s="440"/>
      <c r="AK21" s="440"/>
      <c r="AL21" s="440"/>
      <c r="AM21" s="441"/>
      <c r="AN21" s="184"/>
      <c r="AO21" s="168"/>
      <c r="AP21" s="168"/>
      <c r="AQ21" s="168"/>
      <c r="AR21" s="168"/>
      <c r="AS21" s="157"/>
    </row>
    <row r="22" spans="2:47" s="169" customFormat="1" ht="14.85" customHeight="1">
      <c r="B22" s="182"/>
      <c r="C22" s="438" t="s">
        <v>179</v>
      </c>
      <c r="D22" s="438"/>
      <c r="E22" s="438"/>
      <c r="F22" s="438"/>
      <c r="G22" s="438"/>
      <c r="H22" s="438"/>
      <c r="I22" s="438"/>
      <c r="J22" s="438"/>
      <c r="K22" s="428" t="s">
        <v>178</v>
      </c>
      <c r="L22" s="428"/>
      <c r="M22" s="439" t="s">
        <v>33</v>
      </c>
      <c r="N22" s="440"/>
      <c r="O22" s="440"/>
      <c r="P22" s="440"/>
      <c r="Q22" s="440"/>
      <c r="R22" s="440"/>
      <c r="S22" s="440"/>
      <c r="T22" s="440"/>
      <c r="U22" s="441"/>
      <c r="V22" s="439"/>
      <c r="W22" s="440"/>
      <c r="X22" s="440"/>
      <c r="Y22" s="440"/>
      <c r="Z22" s="440"/>
      <c r="AA22" s="440"/>
      <c r="AB22" s="440"/>
      <c r="AC22" s="440"/>
      <c r="AD22" s="441"/>
      <c r="AE22" s="439"/>
      <c r="AF22" s="440"/>
      <c r="AG22" s="440"/>
      <c r="AH22" s="440"/>
      <c r="AI22" s="440"/>
      <c r="AJ22" s="440"/>
      <c r="AK22" s="440"/>
      <c r="AL22" s="440"/>
      <c r="AM22" s="441"/>
      <c r="AN22" s="184"/>
      <c r="AO22" s="168"/>
      <c r="AP22" s="168"/>
      <c r="AQ22" s="168"/>
      <c r="AR22" s="168"/>
      <c r="AS22" s="157"/>
    </row>
    <row r="23" spans="2:47" s="169" customFormat="1" ht="14.85" customHeight="1">
      <c r="B23" s="182"/>
      <c r="C23" s="438"/>
      <c r="D23" s="438"/>
      <c r="E23" s="438"/>
      <c r="F23" s="438"/>
      <c r="G23" s="438"/>
      <c r="H23" s="438"/>
      <c r="I23" s="438"/>
      <c r="J23" s="438"/>
      <c r="K23" s="428"/>
      <c r="L23" s="428"/>
      <c r="M23" s="439"/>
      <c r="N23" s="440"/>
      <c r="O23" s="440"/>
      <c r="P23" s="440"/>
      <c r="Q23" s="440"/>
      <c r="R23" s="440"/>
      <c r="S23" s="440"/>
      <c r="T23" s="440"/>
      <c r="U23" s="441"/>
      <c r="V23" s="439"/>
      <c r="W23" s="440"/>
      <c r="X23" s="440"/>
      <c r="Y23" s="440"/>
      <c r="Z23" s="440"/>
      <c r="AA23" s="440"/>
      <c r="AB23" s="440"/>
      <c r="AC23" s="440"/>
      <c r="AD23" s="441"/>
      <c r="AE23" s="439"/>
      <c r="AF23" s="440"/>
      <c r="AG23" s="440"/>
      <c r="AH23" s="440"/>
      <c r="AI23" s="440"/>
      <c r="AJ23" s="440"/>
      <c r="AK23" s="440"/>
      <c r="AL23" s="440"/>
      <c r="AM23" s="441"/>
      <c r="AN23" s="184"/>
      <c r="AO23" s="168"/>
      <c r="AP23" s="168"/>
      <c r="AQ23" s="168"/>
      <c r="AR23" s="168"/>
      <c r="AS23" s="157"/>
    </row>
    <row r="24" spans="2:47" s="169" customFormat="1" ht="14.85" customHeight="1">
      <c r="B24" s="182"/>
      <c r="C24" s="438"/>
      <c r="D24" s="438"/>
      <c r="E24" s="438"/>
      <c r="F24" s="438"/>
      <c r="G24" s="438"/>
      <c r="H24" s="438"/>
      <c r="I24" s="438"/>
      <c r="J24" s="438"/>
      <c r="K24" s="428"/>
      <c r="L24" s="428"/>
      <c r="M24" s="439"/>
      <c r="N24" s="440"/>
      <c r="O24" s="440"/>
      <c r="P24" s="440"/>
      <c r="Q24" s="440"/>
      <c r="R24" s="440"/>
      <c r="S24" s="440"/>
      <c r="T24" s="440"/>
      <c r="U24" s="441"/>
      <c r="V24" s="439"/>
      <c r="W24" s="440"/>
      <c r="X24" s="440"/>
      <c r="Y24" s="440"/>
      <c r="Z24" s="440"/>
      <c r="AA24" s="440"/>
      <c r="AB24" s="440"/>
      <c r="AC24" s="440"/>
      <c r="AD24" s="441"/>
      <c r="AE24" s="439"/>
      <c r="AF24" s="440"/>
      <c r="AG24" s="440"/>
      <c r="AH24" s="440"/>
      <c r="AI24" s="440"/>
      <c r="AJ24" s="440"/>
      <c r="AK24" s="440"/>
      <c r="AL24" s="440"/>
      <c r="AM24" s="441"/>
      <c r="AN24" s="184"/>
      <c r="AO24" s="168"/>
      <c r="AP24" s="168"/>
      <c r="AQ24" s="168"/>
      <c r="AR24" s="168"/>
    </row>
    <row r="25" spans="2:47" s="169" customFormat="1" ht="14.85" customHeight="1">
      <c r="B25" s="182"/>
      <c r="C25" s="442" t="s">
        <v>180</v>
      </c>
      <c r="D25" s="443"/>
      <c r="E25" s="443"/>
      <c r="F25" s="443"/>
      <c r="G25" s="443"/>
      <c r="H25" s="443"/>
      <c r="I25" s="443"/>
      <c r="J25" s="444"/>
      <c r="K25" s="448"/>
      <c r="L25" s="449"/>
      <c r="M25" s="452" t="s">
        <v>33</v>
      </c>
      <c r="N25" s="453"/>
      <c r="O25" s="453"/>
      <c r="P25" s="453"/>
      <c r="Q25" s="453"/>
      <c r="R25" s="453"/>
      <c r="S25" s="453"/>
      <c r="T25" s="453"/>
      <c r="U25" s="454"/>
      <c r="V25" s="452"/>
      <c r="W25" s="453"/>
      <c r="X25" s="453"/>
      <c r="Y25" s="453"/>
      <c r="Z25" s="453"/>
      <c r="AA25" s="453"/>
      <c r="AB25" s="453"/>
      <c r="AC25" s="453"/>
      <c r="AD25" s="454"/>
      <c r="AE25" s="452"/>
      <c r="AF25" s="453"/>
      <c r="AG25" s="453"/>
      <c r="AH25" s="453"/>
      <c r="AI25" s="453"/>
      <c r="AJ25" s="453"/>
      <c r="AK25" s="453"/>
      <c r="AL25" s="453"/>
      <c r="AM25" s="454"/>
      <c r="AN25" s="184"/>
      <c r="AO25" s="168"/>
      <c r="AP25" s="168"/>
      <c r="AQ25" s="168"/>
      <c r="AR25" s="168"/>
      <c r="AU25" s="157"/>
    </row>
    <row r="26" spans="2:47" s="169" customFormat="1" ht="14.85" customHeight="1">
      <c r="B26" s="182"/>
      <c r="C26" s="445"/>
      <c r="D26" s="446"/>
      <c r="E26" s="446"/>
      <c r="F26" s="446"/>
      <c r="G26" s="446"/>
      <c r="H26" s="446"/>
      <c r="I26" s="446"/>
      <c r="J26" s="447"/>
      <c r="K26" s="450"/>
      <c r="L26" s="451"/>
      <c r="M26" s="455"/>
      <c r="N26" s="456"/>
      <c r="O26" s="456"/>
      <c r="P26" s="456"/>
      <c r="Q26" s="456"/>
      <c r="R26" s="456"/>
      <c r="S26" s="456"/>
      <c r="T26" s="456"/>
      <c r="U26" s="457"/>
      <c r="V26" s="455"/>
      <c r="W26" s="456"/>
      <c r="X26" s="456"/>
      <c r="Y26" s="456"/>
      <c r="Z26" s="456"/>
      <c r="AA26" s="456"/>
      <c r="AB26" s="456"/>
      <c r="AC26" s="456"/>
      <c r="AD26" s="457"/>
      <c r="AE26" s="455"/>
      <c r="AF26" s="456"/>
      <c r="AG26" s="456"/>
      <c r="AH26" s="456"/>
      <c r="AI26" s="456"/>
      <c r="AJ26" s="456"/>
      <c r="AK26" s="456"/>
      <c r="AL26" s="456"/>
      <c r="AM26" s="457"/>
      <c r="AN26" s="184"/>
      <c r="AO26" s="168"/>
      <c r="AP26" s="168"/>
      <c r="AQ26" s="168"/>
      <c r="AR26" s="168"/>
    </row>
    <row r="27" spans="2:47" s="169" customFormat="1" ht="14.85" customHeight="1">
      <c r="B27" s="182"/>
      <c r="C27" s="438"/>
      <c r="D27" s="438"/>
      <c r="E27" s="438"/>
      <c r="F27" s="438"/>
      <c r="G27" s="438"/>
      <c r="H27" s="438"/>
      <c r="I27" s="438"/>
      <c r="J27" s="438"/>
      <c r="K27" s="428"/>
      <c r="L27" s="428"/>
      <c r="M27" s="439"/>
      <c r="N27" s="440"/>
      <c r="O27" s="440"/>
      <c r="P27" s="440"/>
      <c r="Q27" s="440"/>
      <c r="R27" s="440"/>
      <c r="S27" s="440"/>
      <c r="T27" s="440"/>
      <c r="U27" s="441"/>
      <c r="V27" s="439"/>
      <c r="W27" s="440"/>
      <c r="X27" s="440"/>
      <c r="Y27" s="440"/>
      <c r="Z27" s="440"/>
      <c r="AA27" s="440"/>
      <c r="AB27" s="440"/>
      <c r="AC27" s="440"/>
      <c r="AD27" s="441"/>
      <c r="AE27" s="439"/>
      <c r="AF27" s="440"/>
      <c r="AG27" s="440"/>
      <c r="AH27" s="440"/>
      <c r="AI27" s="440"/>
      <c r="AJ27" s="440"/>
      <c r="AK27" s="440"/>
      <c r="AL27" s="440"/>
      <c r="AM27" s="441"/>
      <c r="AN27" s="184"/>
      <c r="AO27" s="168"/>
      <c r="AP27" s="168"/>
      <c r="AQ27" s="168"/>
      <c r="AR27" s="168"/>
    </row>
    <row r="28" spans="2:47" s="169" customFormat="1" ht="14.85" customHeight="1">
      <c r="B28" s="182"/>
      <c r="C28" s="438"/>
      <c r="D28" s="438"/>
      <c r="E28" s="438"/>
      <c r="F28" s="438"/>
      <c r="G28" s="438"/>
      <c r="H28" s="438"/>
      <c r="I28" s="438"/>
      <c r="J28" s="438"/>
      <c r="K28" s="428"/>
      <c r="L28" s="428"/>
      <c r="M28" s="439"/>
      <c r="N28" s="440"/>
      <c r="O28" s="440"/>
      <c r="P28" s="440"/>
      <c r="Q28" s="440"/>
      <c r="R28" s="440"/>
      <c r="S28" s="440"/>
      <c r="T28" s="440"/>
      <c r="U28" s="441"/>
      <c r="V28" s="439"/>
      <c r="W28" s="440"/>
      <c r="X28" s="440"/>
      <c r="Y28" s="440"/>
      <c r="Z28" s="440"/>
      <c r="AA28" s="440"/>
      <c r="AB28" s="440"/>
      <c r="AC28" s="440"/>
      <c r="AD28" s="441"/>
      <c r="AE28" s="439"/>
      <c r="AF28" s="440"/>
      <c r="AG28" s="440"/>
      <c r="AH28" s="440"/>
      <c r="AI28" s="440"/>
      <c r="AJ28" s="440"/>
      <c r="AK28" s="440"/>
      <c r="AL28" s="440"/>
      <c r="AM28" s="441"/>
      <c r="AN28" s="184"/>
      <c r="AO28" s="168"/>
      <c r="AP28" s="168"/>
      <c r="AQ28" s="168"/>
      <c r="AR28" s="168"/>
    </row>
    <row r="29" spans="2:47" s="169" customFormat="1" ht="14.85" customHeight="1">
      <c r="B29" s="182"/>
      <c r="C29" s="438"/>
      <c r="D29" s="438"/>
      <c r="E29" s="438"/>
      <c r="F29" s="438"/>
      <c r="G29" s="438"/>
      <c r="H29" s="438"/>
      <c r="I29" s="438"/>
      <c r="J29" s="438"/>
      <c r="K29" s="428"/>
      <c r="L29" s="428"/>
      <c r="M29" s="439"/>
      <c r="N29" s="440"/>
      <c r="O29" s="440"/>
      <c r="P29" s="440"/>
      <c r="Q29" s="440"/>
      <c r="R29" s="440"/>
      <c r="S29" s="440"/>
      <c r="T29" s="440"/>
      <c r="U29" s="441"/>
      <c r="V29" s="439"/>
      <c r="W29" s="440"/>
      <c r="X29" s="440"/>
      <c r="Y29" s="440"/>
      <c r="Z29" s="440"/>
      <c r="AA29" s="440"/>
      <c r="AB29" s="440"/>
      <c r="AC29" s="440"/>
      <c r="AD29" s="441"/>
      <c r="AE29" s="439"/>
      <c r="AF29" s="440"/>
      <c r="AG29" s="440"/>
      <c r="AH29" s="440"/>
      <c r="AI29" s="440"/>
      <c r="AJ29" s="440"/>
      <c r="AK29" s="440"/>
      <c r="AL29" s="440"/>
      <c r="AM29" s="441"/>
      <c r="AN29" s="184"/>
      <c r="AO29" s="168"/>
      <c r="AP29" s="168"/>
      <c r="AQ29" s="168"/>
      <c r="AR29" s="168"/>
    </row>
    <row r="30" spans="2:47" s="169" customFormat="1" ht="14.85" customHeight="1">
      <c r="B30" s="182"/>
      <c r="C30" s="438"/>
      <c r="D30" s="438"/>
      <c r="E30" s="438"/>
      <c r="F30" s="438"/>
      <c r="G30" s="438"/>
      <c r="H30" s="438"/>
      <c r="I30" s="438"/>
      <c r="J30" s="438"/>
      <c r="K30" s="428"/>
      <c r="L30" s="428"/>
      <c r="M30" s="439"/>
      <c r="N30" s="440"/>
      <c r="O30" s="440"/>
      <c r="P30" s="440"/>
      <c r="Q30" s="440"/>
      <c r="R30" s="440"/>
      <c r="S30" s="440"/>
      <c r="T30" s="440"/>
      <c r="U30" s="441"/>
      <c r="V30" s="439"/>
      <c r="W30" s="440"/>
      <c r="X30" s="440"/>
      <c r="Y30" s="440"/>
      <c r="Z30" s="440"/>
      <c r="AA30" s="440"/>
      <c r="AB30" s="440"/>
      <c r="AC30" s="440"/>
      <c r="AD30" s="441"/>
      <c r="AE30" s="439"/>
      <c r="AF30" s="440"/>
      <c r="AG30" s="440"/>
      <c r="AH30" s="440"/>
      <c r="AI30" s="440"/>
      <c r="AJ30" s="440"/>
      <c r="AK30" s="440"/>
      <c r="AL30" s="440"/>
      <c r="AM30" s="441"/>
      <c r="AN30" s="184"/>
      <c r="AO30" s="168"/>
      <c r="AP30" s="168"/>
      <c r="AQ30" s="168"/>
      <c r="AR30" s="168"/>
    </row>
    <row r="31" spans="2:47" s="169" customFormat="1" ht="14.85" customHeight="1">
      <c r="B31" s="182"/>
      <c r="C31" s="435" t="s">
        <v>181</v>
      </c>
      <c r="D31" s="436"/>
      <c r="E31" s="436"/>
      <c r="F31" s="436"/>
      <c r="G31" s="436"/>
      <c r="H31" s="436"/>
      <c r="I31" s="436"/>
      <c r="J31" s="436"/>
      <c r="K31" s="436"/>
      <c r="L31" s="436"/>
      <c r="M31" s="436"/>
      <c r="N31" s="436"/>
      <c r="O31" s="436"/>
      <c r="P31" s="436"/>
      <c r="Q31" s="436"/>
      <c r="R31" s="436"/>
      <c r="S31" s="436"/>
      <c r="T31" s="436"/>
      <c r="U31" s="436"/>
      <c r="V31" s="436"/>
      <c r="W31" s="436"/>
      <c r="X31" s="436"/>
      <c r="Y31" s="436"/>
      <c r="Z31" s="436"/>
      <c r="AA31" s="436"/>
      <c r="AB31" s="436"/>
      <c r="AC31" s="436"/>
      <c r="AD31" s="436"/>
      <c r="AE31" s="436"/>
      <c r="AF31" s="436"/>
      <c r="AG31" s="436"/>
      <c r="AH31" s="436"/>
      <c r="AI31" s="436"/>
      <c r="AJ31" s="436"/>
      <c r="AK31" s="436"/>
      <c r="AL31" s="436"/>
      <c r="AM31" s="437"/>
      <c r="AN31" s="184"/>
      <c r="AO31" s="168"/>
      <c r="AP31" s="168"/>
      <c r="AQ31" s="168"/>
      <c r="AR31" s="168"/>
    </row>
    <row r="32" spans="2:47" s="169" customFormat="1" ht="14.85" customHeight="1">
      <c r="B32" s="182"/>
      <c r="C32" s="425" t="s">
        <v>182</v>
      </c>
      <c r="D32" s="426"/>
      <c r="E32" s="426"/>
      <c r="F32" s="426"/>
      <c r="G32" s="426"/>
      <c r="H32" s="426"/>
      <c r="I32" s="426"/>
      <c r="J32" s="427"/>
      <c r="K32" s="428" t="s">
        <v>183</v>
      </c>
      <c r="L32" s="428"/>
      <c r="M32" s="429">
        <v>91511</v>
      </c>
      <c r="N32" s="430"/>
      <c r="O32" s="430"/>
      <c r="P32" s="430"/>
      <c r="Q32" s="430"/>
      <c r="R32" s="430"/>
      <c r="S32" s="430"/>
      <c r="T32" s="430"/>
      <c r="U32" s="431"/>
      <c r="V32" s="429"/>
      <c r="W32" s="430"/>
      <c r="X32" s="430"/>
      <c r="Y32" s="430"/>
      <c r="Z32" s="430"/>
      <c r="AA32" s="430"/>
      <c r="AB32" s="430"/>
      <c r="AC32" s="430"/>
      <c r="AD32" s="431"/>
      <c r="AE32" s="429"/>
      <c r="AF32" s="430"/>
      <c r="AG32" s="430"/>
      <c r="AH32" s="430"/>
      <c r="AI32" s="430"/>
      <c r="AJ32" s="430"/>
      <c r="AK32" s="430"/>
      <c r="AL32" s="430"/>
      <c r="AM32" s="431"/>
      <c r="AN32" s="184"/>
      <c r="AO32" s="168"/>
      <c r="AP32" s="168"/>
      <c r="AQ32" s="168"/>
      <c r="AR32" s="168"/>
    </row>
    <row r="33" spans="2:44" s="169" customFormat="1" ht="14.85" customHeight="1">
      <c r="B33" s="182"/>
      <c r="C33" s="425" t="s">
        <v>184</v>
      </c>
      <c r="D33" s="426"/>
      <c r="E33" s="426"/>
      <c r="F33" s="426"/>
      <c r="G33" s="426"/>
      <c r="H33" s="426"/>
      <c r="I33" s="426"/>
      <c r="J33" s="427"/>
      <c r="K33" s="428"/>
      <c r="L33" s="428"/>
      <c r="M33" s="429" t="s">
        <v>185</v>
      </c>
      <c r="N33" s="430"/>
      <c r="O33" s="430"/>
      <c r="P33" s="430"/>
      <c r="Q33" s="430"/>
      <c r="R33" s="430"/>
      <c r="S33" s="430"/>
      <c r="T33" s="430"/>
      <c r="U33" s="431"/>
      <c r="V33" s="429"/>
      <c r="W33" s="430"/>
      <c r="X33" s="430"/>
      <c r="Y33" s="430"/>
      <c r="Z33" s="430"/>
      <c r="AA33" s="430"/>
      <c r="AB33" s="430"/>
      <c r="AC33" s="430"/>
      <c r="AD33" s="431"/>
      <c r="AE33" s="429"/>
      <c r="AF33" s="430"/>
      <c r="AG33" s="430"/>
      <c r="AH33" s="430"/>
      <c r="AI33" s="430"/>
      <c r="AJ33" s="430"/>
      <c r="AK33" s="430"/>
      <c r="AL33" s="430"/>
      <c r="AM33" s="431"/>
      <c r="AN33" s="184"/>
      <c r="AO33" s="168"/>
      <c r="AP33" s="168"/>
      <c r="AQ33" s="168"/>
      <c r="AR33" s="168"/>
    </row>
    <row r="34" spans="2:44" s="169" customFormat="1" ht="14.85" customHeight="1">
      <c r="B34" s="182"/>
      <c r="C34" s="425" t="s">
        <v>186</v>
      </c>
      <c r="D34" s="426"/>
      <c r="E34" s="426"/>
      <c r="F34" s="426"/>
      <c r="G34" s="426"/>
      <c r="H34" s="426"/>
      <c r="I34" s="426"/>
      <c r="J34" s="427"/>
      <c r="K34" s="428"/>
      <c r="L34" s="428"/>
      <c r="M34" s="429">
        <v>0.14099999999999999</v>
      </c>
      <c r="N34" s="430"/>
      <c r="O34" s="430"/>
      <c r="P34" s="430"/>
      <c r="Q34" s="430"/>
      <c r="R34" s="430"/>
      <c r="S34" s="430"/>
      <c r="T34" s="430"/>
      <c r="U34" s="431"/>
      <c r="V34" s="429"/>
      <c r="W34" s="430"/>
      <c r="X34" s="430"/>
      <c r="Y34" s="430"/>
      <c r="Z34" s="430"/>
      <c r="AA34" s="430"/>
      <c r="AB34" s="430"/>
      <c r="AC34" s="430"/>
      <c r="AD34" s="431"/>
      <c r="AE34" s="429"/>
      <c r="AF34" s="430"/>
      <c r="AG34" s="430"/>
      <c r="AH34" s="430"/>
      <c r="AI34" s="430"/>
      <c r="AJ34" s="430"/>
      <c r="AK34" s="430"/>
      <c r="AL34" s="430"/>
      <c r="AM34" s="431"/>
      <c r="AN34" s="184"/>
      <c r="AO34" s="168"/>
      <c r="AP34" s="168"/>
      <c r="AQ34" s="168"/>
      <c r="AR34" s="168"/>
    </row>
    <row r="35" spans="2:44" s="169" customFormat="1" ht="14.85" customHeight="1">
      <c r="B35" s="182"/>
      <c r="C35" s="442" t="s">
        <v>187</v>
      </c>
      <c r="D35" s="443"/>
      <c r="E35" s="443"/>
      <c r="F35" s="443"/>
      <c r="G35" s="443"/>
      <c r="H35" s="443"/>
      <c r="I35" s="443"/>
      <c r="J35" s="444"/>
      <c r="K35" s="448"/>
      <c r="L35" s="449"/>
      <c r="M35" s="458">
        <v>36858</v>
      </c>
      <c r="N35" s="459"/>
      <c r="O35" s="459"/>
      <c r="P35" s="459"/>
      <c r="Q35" s="459"/>
      <c r="R35" s="459"/>
      <c r="S35" s="459"/>
      <c r="T35" s="459"/>
      <c r="U35" s="460"/>
      <c r="V35" s="464"/>
      <c r="W35" s="465"/>
      <c r="X35" s="465"/>
      <c r="Y35" s="465"/>
      <c r="Z35" s="465"/>
      <c r="AA35" s="465"/>
      <c r="AB35" s="465"/>
      <c r="AC35" s="465"/>
      <c r="AD35" s="466"/>
      <c r="AE35" s="464"/>
      <c r="AF35" s="465"/>
      <c r="AG35" s="465"/>
      <c r="AH35" s="465"/>
      <c r="AI35" s="465"/>
      <c r="AJ35" s="465"/>
      <c r="AK35" s="465"/>
      <c r="AL35" s="465"/>
      <c r="AM35" s="466"/>
      <c r="AN35" s="184"/>
      <c r="AO35" s="168"/>
      <c r="AP35" s="168"/>
      <c r="AQ35" s="168"/>
      <c r="AR35" s="168"/>
    </row>
    <row r="36" spans="2:44" s="169" customFormat="1" ht="14.85" customHeight="1">
      <c r="B36" s="182"/>
      <c r="C36" s="445"/>
      <c r="D36" s="446"/>
      <c r="E36" s="446"/>
      <c r="F36" s="446"/>
      <c r="G36" s="446"/>
      <c r="H36" s="446"/>
      <c r="I36" s="446"/>
      <c r="J36" s="447"/>
      <c r="K36" s="450"/>
      <c r="L36" s="451"/>
      <c r="M36" s="461"/>
      <c r="N36" s="462"/>
      <c r="O36" s="462"/>
      <c r="P36" s="462"/>
      <c r="Q36" s="462"/>
      <c r="R36" s="462"/>
      <c r="S36" s="462"/>
      <c r="T36" s="462"/>
      <c r="U36" s="463"/>
      <c r="V36" s="467"/>
      <c r="W36" s="468"/>
      <c r="X36" s="468"/>
      <c r="Y36" s="468"/>
      <c r="Z36" s="468"/>
      <c r="AA36" s="468"/>
      <c r="AB36" s="468"/>
      <c r="AC36" s="468"/>
      <c r="AD36" s="469"/>
      <c r="AE36" s="467"/>
      <c r="AF36" s="468"/>
      <c r="AG36" s="468"/>
      <c r="AH36" s="468"/>
      <c r="AI36" s="468"/>
      <c r="AJ36" s="468"/>
      <c r="AK36" s="468"/>
      <c r="AL36" s="468"/>
      <c r="AM36" s="469"/>
      <c r="AN36" s="184"/>
      <c r="AO36" s="168"/>
      <c r="AP36" s="168"/>
      <c r="AQ36" s="168"/>
      <c r="AR36" s="168"/>
    </row>
    <row r="37" spans="2:44" s="169" customFormat="1" ht="14.85" customHeight="1">
      <c r="B37" s="182"/>
      <c r="C37" s="470" t="s">
        <v>188</v>
      </c>
      <c r="D37" s="471"/>
      <c r="E37" s="471"/>
      <c r="F37" s="471"/>
      <c r="G37" s="471"/>
      <c r="H37" s="471"/>
      <c r="I37" s="471"/>
      <c r="J37" s="471"/>
      <c r="K37" s="471"/>
      <c r="L37" s="472"/>
      <c r="M37" s="479">
        <v>0.35</v>
      </c>
      <c r="N37" s="480"/>
      <c r="O37" s="480"/>
      <c r="P37" s="480"/>
      <c r="Q37" s="480"/>
      <c r="R37" s="480"/>
      <c r="S37" s="480"/>
      <c r="T37" s="480"/>
      <c r="U37" s="481"/>
      <c r="V37" s="464"/>
      <c r="W37" s="465"/>
      <c r="X37" s="465"/>
      <c r="Y37" s="465"/>
      <c r="Z37" s="465"/>
      <c r="AA37" s="465"/>
      <c r="AB37" s="465"/>
      <c r="AC37" s="465"/>
      <c r="AD37" s="466"/>
      <c r="AE37" s="464"/>
      <c r="AF37" s="465"/>
      <c r="AG37" s="465"/>
      <c r="AH37" s="465"/>
      <c r="AI37" s="465"/>
      <c r="AJ37" s="465"/>
      <c r="AK37" s="465"/>
      <c r="AL37" s="465"/>
      <c r="AM37" s="466"/>
      <c r="AN37" s="184"/>
      <c r="AO37" s="168"/>
      <c r="AP37" s="168"/>
      <c r="AQ37" s="168"/>
      <c r="AR37" s="168"/>
    </row>
    <row r="38" spans="2:44" s="169" customFormat="1" ht="14.85" customHeight="1">
      <c r="B38" s="182"/>
      <c r="C38" s="473"/>
      <c r="D38" s="474"/>
      <c r="E38" s="474"/>
      <c r="F38" s="474"/>
      <c r="G38" s="474"/>
      <c r="H38" s="474"/>
      <c r="I38" s="474"/>
      <c r="J38" s="474"/>
      <c r="K38" s="474"/>
      <c r="L38" s="475"/>
      <c r="M38" s="482"/>
      <c r="N38" s="483"/>
      <c r="O38" s="483"/>
      <c r="P38" s="483"/>
      <c r="Q38" s="483"/>
      <c r="R38" s="483"/>
      <c r="S38" s="483"/>
      <c r="T38" s="483"/>
      <c r="U38" s="484"/>
      <c r="V38" s="467"/>
      <c r="W38" s="468"/>
      <c r="X38" s="468"/>
      <c r="Y38" s="468"/>
      <c r="Z38" s="468"/>
      <c r="AA38" s="468"/>
      <c r="AB38" s="468"/>
      <c r="AC38" s="468"/>
      <c r="AD38" s="469"/>
      <c r="AE38" s="467"/>
      <c r="AF38" s="468"/>
      <c r="AG38" s="468"/>
      <c r="AH38" s="468"/>
      <c r="AI38" s="468"/>
      <c r="AJ38" s="468"/>
      <c r="AK38" s="468"/>
      <c r="AL38" s="468"/>
      <c r="AM38" s="469"/>
      <c r="AN38" s="184"/>
      <c r="AO38" s="168"/>
      <c r="AP38" s="168"/>
      <c r="AQ38" s="168"/>
      <c r="AR38" s="168"/>
    </row>
    <row r="39" spans="2:44" s="169" customFormat="1" ht="14.85" customHeight="1">
      <c r="B39" s="182"/>
      <c r="C39" s="442" t="s">
        <v>189</v>
      </c>
      <c r="D39" s="443"/>
      <c r="E39" s="443"/>
      <c r="F39" s="443"/>
      <c r="G39" s="443"/>
      <c r="H39" s="443"/>
      <c r="I39" s="443"/>
      <c r="J39" s="444"/>
      <c r="K39" s="448"/>
      <c r="L39" s="449"/>
      <c r="M39" s="478" t="s">
        <v>33</v>
      </c>
      <c r="N39" s="478"/>
      <c r="O39" s="478"/>
      <c r="P39" s="478"/>
      <c r="Q39" s="478"/>
      <c r="R39" s="478"/>
      <c r="S39" s="478"/>
      <c r="T39" s="478"/>
      <c r="U39" s="478"/>
      <c r="V39" s="477"/>
      <c r="W39" s="477"/>
      <c r="X39" s="477"/>
      <c r="Y39" s="477"/>
      <c r="Z39" s="477"/>
      <c r="AA39" s="477"/>
      <c r="AB39" s="477"/>
      <c r="AC39" s="477"/>
      <c r="AD39" s="477"/>
      <c r="AE39" s="477"/>
      <c r="AF39" s="477"/>
      <c r="AG39" s="477"/>
      <c r="AH39" s="477"/>
      <c r="AI39" s="477"/>
      <c r="AJ39" s="477"/>
      <c r="AK39" s="477"/>
      <c r="AL39" s="477"/>
      <c r="AM39" s="477"/>
      <c r="AN39" s="184"/>
      <c r="AO39" s="168"/>
      <c r="AP39" s="168"/>
      <c r="AQ39" s="168"/>
      <c r="AR39" s="168"/>
    </row>
    <row r="40" spans="2:44" s="169" customFormat="1" ht="14.85" customHeight="1">
      <c r="B40" s="182"/>
      <c r="C40" s="445"/>
      <c r="D40" s="446"/>
      <c r="E40" s="446"/>
      <c r="F40" s="446"/>
      <c r="G40" s="446"/>
      <c r="H40" s="446"/>
      <c r="I40" s="446"/>
      <c r="J40" s="447"/>
      <c r="K40" s="450"/>
      <c r="L40" s="451"/>
      <c r="M40" s="478"/>
      <c r="N40" s="478"/>
      <c r="O40" s="478"/>
      <c r="P40" s="478"/>
      <c r="Q40" s="478"/>
      <c r="R40" s="478"/>
      <c r="S40" s="478"/>
      <c r="T40" s="478"/>
      <c r="U40" s="478"/>
      <c r="V40" s="477"/>
      <c r="W40" s="477"/>
      <c r="X40" s="477"/>
      <c r="Y40" s="477"/>
      <c r="Z40" s="477"/>
      <c r="AA40" s="477"/>
      <c r="AB40" s="477"/>
      <c r="AC40" s="477"/>
      <c r="AD40" s="477"/>
      <c r="AE40" s="477"/>
      <c r="AF40" s="477"/>
      <c r="AG40" s="477"/>
      <c r="AH40" s="477"/>
      <c r="AI40" s="477"/>
      <c r="AJ40" s="477"/>
      <c r="AK40" s="477"/>
      <c r="AL40" s="477"/>
      <c r="AM40" s="477"/>
      <c r="AN40" s="184"/>
      <c r="AO40" s="168"/>
      <c r="AP40" s="168"/>
      <c r="AQ40" s="168"/>
      <c r="AR40" s="168"/>
    </row>
    <row r="41" spans="2:44" s="169" customFormat="1" ht="14.85" customHeight="1">
      <c r="B41" s="182"/>
      <c r="C41" s="470" t="s">
        <v>190</v>
      </c>
      <c r="D41" s="471"/>
      <c r="E41" s="471"/>
      <c r="F41" s="471"/>
      <c r="G41" s="471"/>
      <c r="H41" s="471"/>
      <c r="I41" s="471"/>
      <c r="J41" s="471"/>
      <c r="K41" s="471"/>
      <c r="L41" s="472"/>
      <c r="M41" s="476" t="s">
        <v>33</v>
      </c>
      <c r="N41" s="476"/>
      <c r="O41" s="476"/>
      <c r="P41" s="476"/>
      <c r="Q41" s="476"/>
      <c r="R41" s="476"/>
      <c r="S41" s="476"/>
      <c r="T41" s="476"/>
      <c r="U41" s="476"/>
      <c r="V41" s="477"/>
      <c r="W41" s="477"/>
      <c r="X41" s="477"/>
      <c r="Y41" s="477"/>
      <c r="Z41" s="477"/>
      <c r="AA41" s="477"/>
      <c r="AB41" s="477"/>
      <c r="AC41" s="477"/>
      <c r="AD41" s="477"/>
      <c r="AE41" s="477"/>
      <c r="AF41" s="477"/>
      <c r="AG41" s="477"/>
      <c r="AH41" s="477"/>
      <c r="AI41" s="477"/>
      <c r="AJ41" s="477"/>
      <c r="AK41" s="477"/>
      <c r="AL41" s="477"/>
      <c r="AM41" s="477"/>
      <c r="AN41" s="184"/>
      <c r="AO41" s="168"/>
      <c r="AP41" s="168"/>
      <c r="AQ41" s="168"/>
      <c r="AR41" s="168"/>
    </row>
    <row r="42" spans="2:44" s="169" customFormat="1" ht="14.85" customHeight="1">
      <c r="B42" s="182"/>
      <c r="C42" s="473"/>
      <c r="D42" s="474"/>
      <c r="E42" s="474"/>
      <c r="F42" s="474"/>
      <c r="G42" s="474"/>
      <c r="H42" s="474"/>
      <c r="I42" s="474"/>
      <c r="J42" s="474"/>
      <c r="K42" s="474"/>
      <c r="L42" s="475"/>
      <c r="M42" s="476"/>
      <c r="N42" s="476"/>
      <c r="O42" s="476"/>
      <c r="P42" s="476"/>
      <c r="Q42" s="476"/>
      <c r="R42" s="476"/>
      <c r="S42" s="476"/>
      <c r="T42" s="476"/>
      <c r="U42" s="476"/>
      <c r="V42" s="477"/>
      <c r="W42" s="477"/>
      <c r="X42" s="477"/>
      <c r="Y42" s="477"/>
      <c r="Z42" s="477"/>
      <c r="AA42" s="477"/>
      <c r="AB42" s="477"/>
      <c r="AC42" s="477"/>
      <c r="AD42" s="477"/>
      <c r="AE42" s="477"/>
      <c r="AF42" s="477"/>
      <c r="AG42" s="477"/>
      <c r="AH42" s="477"/>
      <c r="AI42" s="477"/>
      <c r="AJ42" s="477"/>
      <c r="AK42" s="477"/>
      <c r="AL42" s="477"/>
      <c r="AM42" s="477"/>
      <c r="AN42" s="184"/>
      <c r="AO42" s="168"/>
      <c r="AP42" s="168"/>
      <c r="AQ42" s="168"/>
      <c r="AR42" s="168"/>
    </row>
    <row r="43" spans="2:44" s="169" customFormat="1" ht="14.85" customHeight="1">
      <c r="B43" s="182"/>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4"/>
      <c r="AO43" s="168"/>
      <c r="AP43" s="168"/>
      <c r="AQ43" s="168"/>
      <c r="AR43" s="168"/>
    </row>
    <row r="44" spans="2:44" s="169" customFormat="1" ht="14.85" customHeight="1">
      <c r="B44" s="182"/>
      <c r="C44" s="183" t="s">
        <v>191</v>
      </c>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4"/>
      <c r="AO44" s="168"/>
      <c r="AP44" s="168"/>
      <c r="AQ44" s="168"/>
      <c r="AR44" s="168"/>
    </row>
    <row r="45" spans="2:44" s="169" customFormat="1" ht="14.85" customHeight="1">
      <c r="B45" s="182"/>
      <c r="C45" s="183" t="s">
        <v>192</v>
      </c>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4"/>
      <c r="AO45" s="168"/>
      <c r="AP45" s="168"/>
      <c r="AQ45" s="168"/>
      <c r="AR45" s="168"/>
    </row>
    <row r="46" spans="2:44" s="169" customFormat="1" ht="14.85" customHeight="1">
      <c r="B46" s="182"/>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4"/>
      <c r="AO46" s="168"/>
      <c r="AP46" s="168"/>
      <c r="AQ46" s="168"/>
      <c r="AR46" s="168"/>
    </row>
    <row r="47" spans="2:44" s="169" customFormat="1" ht="14.85" customHeight="1">
      <c r="B47" s="182"/>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4"/>
      <c r="AO47" s="168"/>
      <c r="AP47" s="168"/>
      <c r="AQ47" s="168"/>
      <c r="AR47" s="168"/>
    </row>
    <row r="48" spans="2:44" s="169" customFormat="1" ht="14.85" customHeight="1">
      <c r="B48" s="182"/>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4"/>
      <c r="AO48" s="168"/>
      <c r="AP48" s="168"/>
      <c r="AQ48" s="168"/>
      <c r="AR48" s="168"/>
    </row>
    <row r="49" spans="2:50" s="169" customFormat="1" ht="14.85" customHeight="1">
      <c r="B49" s="182"/>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4"/>
      <c r="AO49" s="168"/>
      <c r="AP49" s="168"/>
      <c r="AQ49" s="168"/>
      <c r="AR49" s="168"/>
    </row>
    <row r="50" spans="2:50" s="169" customFormat="1" ht="14.85" customHeight="1">
      <c r="B50" s="182"/>
      <c r="C50" s="183"/>
      <c r="D50" s="183"/>
      <c r="E50" s="183"/>
      <c r="F50" s="183"/>
      <c r="G50" s="183"/>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c r="AG50" s="183"/>
      <c r="AH50" s="183"/>
      <c r="AI50" s="183"/>
      <c r="AJ50" s="183"/>
      <c r="AK50" s="183"/>
      <c r="AL50" s="183"/>
      <c r="AM50" s="183"/>
      <c r="AN50" s="184"/>
      <c r="AO50" s="168"/>
      <c r="AP50" s="168"/>
      <c r="AQ50" s="168"/>
      <c r="AR50" s="168"/>
    </row>
    <row r="51" spans="2:50" s="169" customFormat="1" ht="14.85" customHeight="1">
      <c r="B51" s="182"/>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4"/>
      <c r="AO51" s="168"/>
      <c r="AP51" s="168"/>
      <c r="AQ51" s="168"/>
      <c r="AR51" s="168"/>
    </row>
    <row r="52" spans="2:50" s="169" customFormat="1" ht="14.85" customHeight="1">
      <c r="B52" s="182"/>
      <c r="C52" s="183"/>
      <c r="D52" s="183"/>
      <c r="E52" s="183"/>
      <c r="F52" s="183"/>
      <c r="G52" s="183"/>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c r="AE52" s="183"/>
      <c r="AF52" s="183"/>
      <c r="AG52" s="183"/>
      <c r="AH52" s="183"/>
      <c r="AI52" s="183"/>
      <c r="AJ52" s="183"/>
      <c r="AK52" s="183"/>
      <c r="AL52" s="183"/>
      <c r="AM52" s="183"/>
      <c r="AN52" s="184"/>
      <c r="AO52" s="168"/>
      <c r="AP52" s="168"/>
      <c r="AQ52" s="168"/>
      <c r="AR52" s="168"/>
    </row>
    <row r="53" spans="2:50" s="169" customFormat="1" ht="14.85" customHeight="1">
      <c r="B53" s="182"/>
      <c r="C53" s="183"/>
      <c r="D53" s="183"/>
      <c r="E53" s="183"/>
      <c r="F53" s="183"/>
      <c r="G53" s="183"/>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c r="AG53" s="183"/>
      <c r="AH53" s="183"/>
      <c r="AI53" s="183"/>
      <c r="AJ53" s="183"/>
      <c r="AK53" s="183"/>
      <c r="AL53" s="183"/>
      <c r="AM53" s="183"/>
      <c r="AN53" s="184"/>
      <c r="AO53" s="168"/>
      <c r="AP53" s="168"/>
      <c r="AQ53" s="168"/>
      <c r="AR53" s="168"/>
    </row>
    <row r="54" spans="2:50" s="169" customFormat="1" ht="14.25" customHeight="1">
      <c r="B54" s="182"/>
      <c r="C54" s="183"/>
      <c r="D54" s="183"/>
      <c r="E54" s="183"/>
      <c r="F54" s="183"/>
      <c r="G54" s="183"/>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c r="AG54" s="183"/>
      <c r="AH54" s="183"/>
      <c r="AI54" s="183"/>
      <c r="AJ54" s="183"/>
      <c r="AK54" s="183"/>
      <c r="AL54" s="183"/>
      <c r="AM54" s="183"/>
      <c r="AN54" s="184"/>
      <c r="AO54" s="168"/>
      <c r="AP54" s="168"/>
      <c r="AQ54" s="168"/>
      <c r="AR54" s="168"/>
    </row>
    <row r="55" spans="2:50" s="169" customFormat="1" ht="16.5" customHeight="1">
      <c r="B55" s="182"/>
      <c r="C55" s="183"/>
      <c r="D55" s="183"/>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183"/>
      <c r="AK55" s="183"/>
      <c r="AL55" s="183"/>
      <c r="AM55" s="183"/>
      <c r="AN55" s="184"/>
      <c r="AO55" s="168"/>
      <c r="AP55" s="168"/>
      <c r="AQ55" s="168"/>
      <c r="AR55" s="168"/>
    </row>
    <row r="56" spans="2:50" s="168" customFormat="1" ht="14.85" customHeight="1">
      <c r="B56" s="190"/>
      <c r="C56" s="191"/>
      <c r="D56" s="191"/>
      <c r="E56" s="191"/>
      <c r="F56" s="191"/>
      <c r="G56" s="191"/>
      <c r="H56" s="191"/>
      <c r="I56" s="191"/>
      <c r="J56" s="191"/>
      <c r="K56" s="191"/>
      <c r="L56" s="191"/>
      <c r="M56" s="191"/>
      <c r="N56" s="191"/>
      <c r="O56" s="191"/>
      <c r="P56" s="191"/>
      <c r="Q56" s="191"/>
      <c r="R56" s="191"/>
      <c r="S56" s="191"/>
      <c r="T56" s="191"/>
      <c r="U56" s="191"/>
      <c r="V56" s="191"/>
      <c r="W56" s="191"/>
      <c r="X56" s="191"/>
      <c r="Y56" s="191"/>
      <c r="Z56" s="191"/>
      <c r="AA56" s="191"/>
      <c r="AB56" s="191"/>
      <c r="AC56" s="191"/>
      <c r="AD56" s="191"/>
      <c r="AE56" s="191"/>
      <c r="AF56" s="191"/>
      <c r="AG56" s="191"/>
      <c r="AH56" s="191"/>
      <c r="AI56" s="191"/>
      <c r="AJ56" s="191"/>
      <c r="AK56" s="191"/>
      <c r="AL56" s="191"/>
      <c r="AM56" s="191"/>
      <c r="AN56" s="192"/>
      <c r="AS56" s="169"/>
      <c r="AT56" s="169"/>
      <c r="AU56" s="169"/>
      <c r="AV56" s="169"/>
      <c r="AW56" s="169"/>
      <c r="AX56" s="169"/>
    </row>
    <row r="57" spans="2:50" s="168" customFormat="1" ht="36" customHeight="1">
      <c r="B57"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57" s="363"/>
      <c r="D57" s="363"/>
      <c r="E57" s="363"/>
      <c r="F57" s="363"/>
      <c r="G57" s="363"/>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R57" s="169"/>
      <c r="AS57" s="169"/>
      <c r="AT57" s="169"/>
      <c r="AU57" s="169"/>
      <c r="AV57" s="169"/>
      <c r="AW57" s="169"/>
    </row>
    <row r="58" spans="2:50" s="168" customFormat="1" ht="15">
      <c r="AR58" s="169"/>
      <c r="AS58" s="169"/>
      <c r="AT58" s="169"/>
      <c r="AU58" s="169"/>
      <c r="AV58" s="169"/>
      <c r="AW58" s="169"/>
    </row>
    <row r="59" spans="2:50" s="168" customFormat="1" ht="15">
      <c r="AR59" s="169"/>
      <c r="AS59" s="169"/>
      <c r="AT59" s="169"/>
      <c r="AU59" s="169"/>
      <c r="AV59" s="169"/>
      <c r="AW59" s="169"/>
    </row>
    <row r="60" spans="2:50" s="168" customFormat="1" ht="15">
      <c r="AR60" s="169"/>
      <c r="AS60" s="169"/>
      <c r="AT60" s="169"/>
      <c r="AU60" s="169"/>
      <c r="AV60" s="169"/>
      <c r="AW60" s="169"/>
    </row>
    <row r="61" spans="2:50" s="110" customFormat="1">
      <c r="AR61" s="33"/>
      <c r="AS61" s="33"/>
      <c r="AT61" s="33"/>
      <c r="AU61" s="33"/>
      <c r="AV61" s="33"/>
      <c r="AW61" s="33"/>
    </row>
    <row r="62" spans="2:50" s="110" customFormat="1">
      <c r="AR62" s="33"/>
      <c r="AS62" s="33"/>
      <c r="AT62" s="33"/>
      <c r="AU62" s="33"/>
      <c r="AV62" s="33"/>
      <c r="AW62" s="33"/>
    </row>
    <row r="63" spans="2:50" s="110" customFormat="1">
      <c r="AR63" s="33"/>
      <c r="AS63" s="33"/>
      <c r="AT63" s="33"/>
      <c r="AU63" s="33"/>
      <c r="AV63" s="33"/>
      <c r="AW63" s="33"/>
    </row>
    <row r="64" spans="2:50" s="110" customFormat="1">
      <c r="AR64" s="33"/>
      <c r="AS64" s="33"/>
      <c r="AT64" s="33"/>
      <c r="AU64" s="33"/>
      <c r="AV64" s="33"/>
      <c r="AW64" s="33"/>
    </row>
    <row r="65" spans="44:49" s="110" customFormat="1">
      <c r="AR65" s="33"/>
      <c r="AS65" s="33"/>
      <c r="AT65" s="33"/>
      <c r="AU65" s="33"/>
      <c r="AV65" s="33"/>
      <c r="AW65" s="33"/>
    </row>
    <row r="66" spans="44:49" s="110" customFormat="1">
      <c r="AR66" s="33"/>
      <c r="AS66" s="33"/>
      <c r="AT66" s="33"/>
      <c r="AU66" s="33"/>
      <c r="AV66" s="33"/>
      <c r="AW66" s="33"/>
    </row>
    <row r="67" spans="44:49" s="110" customFormat="1">
      <c r="AR67" s="33"/>
      <c r="AS67" s="33"/>
      <c r="AT67" s="33"/>
      <c r="AU67" s="33"/>
      <c r="AV67" s="33"/>
      <c r="AW67" s="33"/>
    </row>
    <row r="68" spans="44:49" s="110" customFormat="1">
      <c r="AR68" s="33"/>
      <c r="AS68" s="33"/>
      <c r="AT68" s="33"/>
      <c r="AU68" s="33"/>
      <c r="AV68" s="33"/>
      <c r="AW68" s="33"/>
    </row>
    <row r="69" spans="44:49" s="110" customFormat="1">
      <c r="AR69" s="33"/>
      <c r="AS69" s="33"/>
      <c r="AT69" s="33"/>
      <c r="AU69" s="33"/>
      <c r="AV69" s="33"/>
      <c r="AW69" s="33"/>
    </row>
    <row r="70" spans="44:49" s="110" customFormat="1">
      <c r="AR70" s="33"/>
      <c r="AS70" s="33"/>
      <c r="AT70" s="33"/>
      <c r="AU70" s="33"/>
      <c r="AV70" s="33"/>
      <c r="AW70" s="33"/>
    </row>
    <row r="71" spans="44:49" s="110" customFormat="1">
      <c r="AR71" s="33"/>
      <c r="AS71" s="33"/>
      <c r="AT71" s="33"/>
      <c r="AU71" s="33"/>
      <c r="AV71" s="33"/>
      <c r="AW71" s="33"/>
    </row>
    <row r="72" spans="44:49" s="110" customFormat="1">
      <c r="AR72" s="33"/>
      <c r="AS72" s="33"/>
      <c r="AT72" s="33"/>
      <c r="AU72" s="33"/>
      <c r="AV72" s="33"/>
      <c r="AW72" s="33"/>
    </row>
    <row r="73" spans="44:49" s="110" customFormat="1">
      <c r="AR73" s="33"/>
      <c r="AS73" s="33"/>
      <c r="AT73" s="33"/>
      <c r="AU73" s="33"/>
      <c r="AV73" s="33"/>
      <c r="AW73" s="33"/>
    </row>
    <row r="74" spans="44:49" s="110" customFormat="1">
      <c r="AR74" s="33"/>
      <c r="AS74" s="33"/>
      <c r="AT74" s="33"/>
      <c r="AU74" s="33"/>
      <c r="AV74" s="33"/>
      <c r="AW74" s="33"/>
    </row>
    <row r="75" spans="44:49" s="110" customFormat="1">
      <c r="AR75" s="33"/>
      <c r="AS75" s="33"/>
      <c r="AT75" s="33"/>
      <c r="AU75" s="33"/>
      <c r="AV75" s="33"/>
      <c r="AW75" s="33"/>
    </row>
    <row r="76" spans="44:49" s="110" customFormat="1">
      <c r="AR76" s="33"/>
      <c r="AS76" s="33"/>
      <c r="AT76" s="33"/>
      <c r="AU76" s="33"/>
      <c r="AV76" s="33"/>
      <c r="AW76" s="33"/>
    </row>
    <row r="77" spans="44:49" s="110" customFormat="1">
      <c r="AR77" s="33"/>
      <c r="AS77" s="33"/>
      <c r="AT77" s="33"/>
      <c r="AU77" s="33"/>
      <c r="AV77" s="33"/>
      <c r="AW77" s="33"/>
    </row>
    <row r="78" spans="44:49" s="110" customFormat="1">
      <c r="AR78" s="33"/>
      <c r="AS78" s="33"/>
      <c r="AT78" s="33"/>
      <c r="AU78" s="33"/>
      <c r="AV78" s="33"/>
      <c r="AW78" s="33"/>
    </row>
    <row r="79" spans="44:49" s="110" customFormat="1">
      <c r="AR79" s="33"/>
      <c r="AS79" s="33"/>
      <c r="AT79" s="33"/>
      <c r="AU79" s="33"/>
      <c r="AV79" s="33"/>
      <c r="AW79" s="33"/>
    </row>
  </sheetData>
  <mergeCells count="165">
    <mergeCell ref="C41:L42"/>
    <mergeCell ref="M41:U42"/>
    <mergeCell ref="V41:AD42"/>
    <mergeCell ref="AE41:AM42"/>
    <mergeCell ref="B57:AN57"/>
    <mergeCell ref="M39:U40"/>
    <mergeCell ref="V39:AD40"/>
    <mergeCell ref="AE39:AM40"/>
    <mergeCell ref="C37:L38"/>
    <mergeCell ref="C39:J40"/>
    <mergeCell ref="K39:L40"/>
    <mergeCell ref="M37:U38"/>
    <mergeCell ref="V37:AD38"/>
    <mergeCell ref="AE37:AM38"/>
    <mergeCell ref="C35:J36"/>
    <mergeCell ref="K35:L36"/>
    <mergeCell ref="M35:U36"/>
    <mergeCell ref="V35:AD36"/>
    <mergeCell ref="AE35:AM36"/>
    <mergeCell ref="C34:J34"/>
    <mergeCell ref="K34:L34"/>
    <mergeCell ref="M34:U34"/>
    <mergeCell ref="V34:AD34"/>
    <mergeCell ref="AE34:AM34"/>
    <mergeCell ref="C30:J30"/>
    <mergeCell ref="K30:L30"/>
    <mergeCell ref="M30:U30"/>
    <mergeCell ref="V30:AD30"/>
    <mergeCell ref="AE30:AM30"/>
    <mergeCell ref="C31:AM31"/>
    <mergeCell ref="C28:J28"/>
    <mergeCell ref="K28:L28"/>
    <mergeCell ref="M28:U28"/>
    <mergeCell ref="V28:AD28"/>
    <mergeCell ref="AE28:AM28"/>
    <mergeCell ref="C29:J29"/>
    <mergeCell ref="K29:L29"/>
    <mergeCell ref="M29:U29"/>
    <mergeCell ref="V29:AD29"/>
    <mergeCell ref="AE29:AM29"/>
    <mergeCell ref="C27:J27"/>
    <mergeCell ref="K27:L27"/>
    <mergeCell ref="M27:U27"/>
    <mergeCell ref="V27:AD27"/>
    <mergeCell ref="AE27:AM27"/>
    <mergeCell ref="C25:J26"/>
    <mergeCell ref="K25:L26"/>
    <mergeCell ref="M25:U26"/>
    <mergeCell ref="V25:AD26"/>
    <mergeCell ref="AE25:AM26"/>
    <mergeCell ref="C24:J24"/>
    <mergeCell ref="K24:L24"/>
    <mergeCell ref="M24:U24"/>
    <mergeCell ref="V24:AD24"/>
    <mergeCell ref="AE24:AM24"/>
    <mergeCell ref="C22:J22"/>
    <mergeCell ref="K22:L22"/>
    <mergeCell ref="M22:U22"/>
    <mergeCell ref="V22:AD22"/>
    <mergeCell ref="AE22:AM22"/>
    <mergeCell ref="C23:J23"/>
    <mergeCell ref="K23:L23"/>
    <mergeCell ref="M23:U23"/>
    <mergeCell ref="V23:AD23"/>
    <mergeCell ref="AE23:AM23"/>
    <mergeCell ref="C20:J20"/>
    <mergeCell ref="K20:L20"/>
    <mergeCell ref="M20:U20"/>
    <mergeCell ref="V20:AD20"/>
    <mergeCell ref="AE20:AM20"/>
    <mergeCell ref="C21:J21"/>
    <mergeCell ref="K21:L21"/>
    <mergeCell ref="M21:U21"/>
    <mergeCell ref="V21:AD21"/>
    <mergeCell ref="AE21:AM21"/>
    <mergeCell ref="C18:J18"/>
    <mergeCell ref="K18:L18"/>
    <mergeCell ref="M18:U18"/>
    <mergeCell ref="V18:AD18"/>
    <mergeCell ref="AE18:AM18"/>
    <mergeCell ref="C19:J19"/>
    <mergeCell ref="K19:L19"/>
    <mergeCell ref="M19:U19"/>
    <mergeCell ref="V19:AD19"/>
    <mergeCell ref="AE19:AM19"/>
    <mergeCell ref="C16:J16"/>
    <mergeCell ref="K16:L16"/>
    <mergeCell ref="M16:U16"/>
    <mergeCell ref="V16:AD16"/>
    <mergeCell ref="AE16:AM16"/>
    <mergeCell ref="C17:J17"/>
    <mergeCell ref="K17:L17"/>
    <mergeCell ref="M17:U17"/>
    <mergeCell ref="V17:AD17"/>
    <mergeCell ref="AE17:AM17"/>
    <mergeCell ref="C14:J14"/>
    <mergeCell ref="K14:L14"/>
    <mergeCell ref="M14:U14"/>
    <mergeCell ref="V14:AD14"/>
    <mergeCell ref="AE14:AM14"/>
    <mergeCell ref="C15:J15"/>
    <mergeCell ref="K15:L15"/>
    <mergeCell ref="M15:U15"/>
    <mergeCell ref="V15:AD15"/>
    <mergeCell ref="AE15:AM15"/>
    <mergeCell ref="C10:D10"/>
    <mergeCell ref="M12:U12"/>
    <mergeCell ref="V12:AD12"/>
    <mergeCell ref="AE12:AM12"/>
    <mergeCell ref="C13:AM13"/>
    <mergeCell ref="T8:W8"/>
    <mergeCell ref="X8:AA8"/>
    <mergeCell ref="AB8:AC8"/>
    <mergeCell ref="AD8:AF8"/>
    <mergeCell ref="AG8:AJ8"/>
    <mergeCell ref="AK8:AN8"/>
    <mergeCell ref="B8:C8"/>
    <mergeCell ref="D8:F8"/>
    <mergeCell ref="G8:J8"/>
    <mergeCell ref="K8:N8"/>
    <mergeCell ref="O8:P8"/>
    <mergeCell ref="Q8:S8"/>
    <mergeCell ref="T7:W7"/>
    <mergeCell ref="X7:AA7"/>
    <mergeCell ref="AB7:AC7"/>
    <mergeCell ref="AD7:AF7"/>
    <mergeCell ref="AG7:AJ7"/>
    <mergeCell ref="AK7:AN7"/>
    <mergeCell ref="B7:C7"/>
    <mergeCell ref="D7:F7"/>
    <mergeCell ref="G7:J7"/>
    <mergeCell ref="K7:N7"/>
    <mergeCell ref="O7:P7"/>
    <mergeCell ref="Q7:S7"/>
    <mergeCell ref="B6:I6"/>
    <mergeCell ref="J6:AC6"/>
    <mergeCell ref="AD6:AF6"/>
    <mergeCell ref="AG6:AI6"/>
    <mergeCell ref="AJ6:AK6"/>
    <mergeCell ref="AL6:AN6"/>
    <mergeCell ref="B4:G4"/>
    <mergeCell ref="I4:Z4"/>
    <mergeCell ref="AA4:AD4"/>
    <mergeCell ref="AE4:AN4"/>
    <mergeCell ref="B5:H5"/>
    <mergeCell ref="I5:AN5"/>
    <mergeCell ref="B1:AN1"/>
    <mergeCell ref="B2:G2"/>
    <mergeCell ref="I2:Z2"/>
    <mergeCell ref="AA2:AD2"/>
    <mergeCell ref="AE2:AN2"/>
    <mergeCell ref="B3:G3"/>
    <mergeCell ref="I3:Z3"/>
    <mergeCell ref="AA3:AD3"/>
    <mergeCell ref="AE3:AN3"/>
    <mergeCell ref="C32:J32"/>
    <mergeCell ref="K32:L32"/>
    <mergeCell ref="M32:U32"/>
    <mergeCell ref="V32:AD32"/>
    <mergeCell ref="AE32:AM32"/>
    <mergeCell ref="C33:J33"/>
    <mergeCell ref="K33:L33"/>
    <mergeCell ref="M33:U33"/>
    <mergeCell ref="V33:AD33"/>
    <mergeCell ref="AE33:AM33"/>
  </mergeCells>
  <pageMargins left="0.7" right="0.7" top="0.75" bottom="0.75" header="0.3" footer="0.3"/>
  <pageSetup paperSize="9" scale="81"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FF00"/>
  </sheetPr>
  <dimension ref="A1:AX73"/>
  <sheetViews>
    <sheetView view="pageLayout" topLeftCell="A7" zoomScaleNormal="100" workbookViewId="0">
      <selection activeCell="B51" sqref="B51:AN51"/>
    </sheetView>
  </sheetViews>
  <sheetFormatPr defaultColWidth="9.140625" defaultRowHeight="12.75"/>
  <cols>
    <col min="1" max="1" width="0.7109375" style="33" customWidth="1"/>
    <col min="2" max="39" width="2.5703125" style="33" customWidth="1"/>
    <col min="40" max="40" width="2.5703125" style="110" customWidth="1"/>
    <col min="41" max="41" width="21.28515625" style="110" customWidth="1"/>
    <col min="42" max="43" width="9.140625" style="110"/>
    <col min="44" max="16384" width="9.140625" style="33"/>
  </cols>
  <sheetData>
    <row r="1" spans="1:44" s="210" customFormat="1" ht="60" customHeight="1">
      <c r="A1" s="169"/>
      <c r="B1" s="216" t="s">
        <v>193</v>
      </c>
      <c r="C1" s="217"/>
      <c r="D1" s="217"/>
      <c r="E1" s="217"/>
      <c r="F1" s="217"/>
      <c r="G1" s="217"/>
      <c r="H1" s="217"/>
      <c r="I1" s="217"/>
      <c r="J1" s="217"/>
      <c r="K1" s="217"/>
      <c r="L1" s="217"/>
      <c r="M1" s="217"/>
      <c r="N1" s="217"/>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c r="AN1" s="218"/>
      <c r="AO1" s="168"/>
      <c r="AP1" s="209"/>
      <c r="AQ1" s="209"/>
    </row>
    <row r="2" spans="1:44" s="208" customFormat="1" ht="15" customHeight="1">
      <c r="A2" s="174"/>
      <c r="B2" s="331" t="s">
        <v>1</v>
      </c>
      <c r="C2" s="332"/>
      <c r="D2" s="332"/>
      <c r="E2" s="332"/>
      <c r="F2" s="332"/>
      <c r="G2" s="332"/>
      <c r="H2" s="170"/>
      <c r="I2" s="369" t="str">
        <f>customer</f>
        <v>customer name</v>
      </c>
      <c r="J2" s="369"/>
      <c r="K2" s="369"/>
      <c r="L2" s="369"/>
      <c r="M2" s="369"/>
      <c r="N2" s="369"/>
      <c r="O2" s="369"/>
      <c r="P2" s="369"/>
      <c r="Q2" s="369"/>
      <c r="R2" s="369"/>
      <c r="S2" s="369"/>
      <c r="T2" s="369"/>
      <c r="U2" s="369"/>
      <c r="V2" s="369"/>
      <c r="W2" s="369"/>
      <c r="X2" s="369"/>
      <c r="Y2" s="369"/>
      <c r="Z2" s="369"/>
      <c r="AA2" s="370" t="s">
        <v>3</v>
      </c>
      <c r="AB2" s="370"/>
      <c r="AC2" s="370"/>
      <c r="AD2" s="370"/>
      <c r="AE2" s="334" t="str">
        <f>Proj_no</f>
        <v>proj no</v>
      </c>
      <c r="AF2" s="334"/>
      <c r="AG2" s="334"/>
      <c r="AH2" s="334"/>
      <c r="AI2" s="334"/>
      <c r="AJ2" s="334"/>
      <c r="AK2" s="334"/>
      <c r="AL2" s="334"/>
      <c r="AM2" s="334"/>
      <c r="AN2" s="335"/>
      <c r="AO2" s="172"/>
      <c r="AP2" s="207"/>
      <c r="AQ2" s="207"/>
    </row>
    <row r="3" spans="1:44" s="208" customFormat="1" ht="15" customHeight="1">
      <c r="A3" s="174"/>
      <c r="B3" s="336" t="s">
        <v>5</v>
      </c>
      <c r="C3" s="337"/>
      <c r="D3" s="337"/>
      <c r="E3" s="337"/>
      <c r="F3" s="337"/>
      <c r="G3" s="337"/>
      <c r="H3" s="175"/>
      <c r="I3" s="368" t="str">
        <f>proj_title</f>
        <v>proj title</v>
      </c>
      <c r="J3" s="368"/>
      <c r="K3" s="368"/>
      <c r="L3" s="368"/>
      <c r="M3" s="368"/>
      <c r="N3" s="368"/>
      <c r="O3" s="368"/>
      <c r="P3" s="368"/>
      <c r="Q3" s="368"/>
      <c r="R3" s="368"/>
      <c r="S3" s="368"/>
      <c r="T3" s="368"/>
      <c r="U3" s="368"/>
      <c r="V3" s="368"/>
      <c r="W3" s="368"/>
      <c r="X3" s="368"/>
      <c r="Y3" s="368"/>
      <c r="Z3" s="368"/>
      <c r="AA3" s="338" t="s">
        <v>7</v>
      </c>
      <c r="AB3" s="338"/>
      <c r="AC3" s="338"/>
      <c r="AD3" s="338"/>
      <c r="AE3" s="339" t="str">
        <f>Calc_no</f>
        <v>650100-PR-CAL-0004</v>
      </c>
      <c r="AF3" s="339"/>
      <c r="AG3" s="339"/>
      <c r="AH3" s="339"/>
      <c r="AI3" s="339"/>
      <c r="AJ3" s="339"/>
      <c r="AK3" s="339"/>
      <c r="AL3" s="339"/>
      <c r="AM3" s="339"/>
      <c r="AN3" s="340"/>
      <c r="AO3" s="172"/>
      <c r="AP3" s="207"/>
      <c r="AQ3" s="207"/>
    </row>
    <row r="4" spans="1:44" s="208" customFormat="1" ht="29.25" customHeight="1">
      <c r="A4" s="174"/>
      <c r="B4" s="343" t="s">
        <v>9</v>
      </c>
      <c r="C4" s="338"/>
      <c r="D4" s="338"/>
      <c r="E4" s="338"/>
      <c r="F4" s="338"/>
      <c r="G4" s="338"/>
      <c r="H4" s="175"/>
      <c r="I4" s="344" t="str">
        <f>calc_title</f>
        <v>Vibration Assessment-Flow Induced Turbulence Template</v>
      </c>
      <c r="J4" s="344"/>
      <c r="K4" s="344"/>
      <c r="L4" s="344"/>
      <c r="M4" s="344"/>
      <c r="N4" s="344"/>
      <c r="O4" s="344"/>
      <c r="P4" s="344"/>
      <c r="Q4" s="344"/>
      <c r="R4" s="344"/>
      <c r="S4" s="344"/>
      <c r="T4" s="344"/>
      <c r="U4" s="344"/>
      <c r="V4" s="344"/>
      <c r="W4" s="344"/>
      <c r="X4" s="344"/>
      <c r="Y4" s="344"/>
      <c r="Z4" s="344"/>
      <c r="AA4" s="338" t="s">
        <v>11</v>
      </c>
      <c r="AB4" s="338"/>
      <c r="AC4" s="338"/>
      <c r="AD4" s="338"/>
      <c r="AE4" s="339" t="str">
        <f>Phase_CTR</f>
        <v>phase</v>
      </c>
      <c r="AF4" s="339"/>
      <c r="AG4" s="339"/>
      <c r="AH4" s="339"/>
      <c r="AI4" s="339"/>
      <c r="AJ4" s="339"/>
      <c r="AK4" s="339"/>
      <c r="AL4" s="339"/>
      <c r="AM4" s="339"/>
      <c r="AN4" s="340"/>
      <c r="AO4" s="172"/>
      <c r="AP4" s="207"/>
      <c r="AQ4" s="207"/>
    </row>
    <row r="5" spans="1:44" s="208" customFormat="1" ht="22.5" customHeight="1">
      <c r="A5" s="174"/>
      <c r="B5" s="343" t="s">
        <v>13</v>
      </c>
      <c r="C5" s="338"/>
      <c r="D5" s="338"/>
      <c r="E5" s="338"/>
      <c r="F5" s="338"/>
      <c r="G5" s="338"/>
      <c r="H5" s="338"/>
      <c r="I5" s="344" t="str">
        <f ca="1">elec_file</f>
        <v>https://pdomobility-my.sharepoint.com/personal/lakshmanan_lk_krishnamurthy_pdo_co_om/Documents/Lakshman/atmct2/KS-PR-CAL-0086 Vibration Assessment - Flow Induced Turbulence Calculation.xlsm</v>
      </c>
      <c r="J5" s="344"/>
      <c r="K5" s="344"/>
      <c r="L5" s="344"/>
      <c r="M5" s="344"/>
      <c r="N5" s="344"/>
      <c r="O5" s="344"/>
      <c r="P5" s="344"/>
      <c r="Q5" s="344"/>
      <c r="R5" s="344"/>
      <c r="S5" s="344"/>
      <c r="T5" s="344"/>
      <c r="U5" s="344"/>
      <c r="V5" s="344"/>
      <c r="W5" s="344"/>
      <c r="X5" s="344"/>
      <c r="Y5" s="344"/>
      <c r="Z5" s="344"/>
      <c r="AA5" s="344"/>
      <c r="AB5" s="344"/>
      <c r="AC5" s="344"/>
      <c r="AD5" s="344"/>
      <c r="AE5" s="344"/>
      <c r="AF5" s="344"/>
      <c r="AG5" s="344"/>
      <c r="AH5" s="344"/>
      <c r="AI5" s="344"/>
      <c r="AJ5" s="344"/>
      <c r="AK5" s="344"/>
      <c r="AL5" s="344"/>
      <c r="AM5" s="344"/>
      <c r="AN5" s="345"/>
      <c r="AO5" s="173"/>
      <c r="AP5" s="207"/>
      <c r="AQ5" s="207"/>
    </row>
    <row r="6" spans="1:44" s="208" customFormat="1" ht="15" customHeight="1">
      <c r="A6" s="174"/>
      <c r="B6" s="346"/>
      <c r="C6" s="347"/>
      <c r="D6" s="347"/>
      <c r="E6" s="347"/>
      <c r="F6" s="347"/>
      <c r="G6" s="347"/>
      <c r="H6" s="347"/>
      <c r="I6" s="347"/>
      <c r="J6" s="309"/>
      <c r="K6" s="309"/>
      <c r="L6" s="309"/>
      <c r="M6" s="309"/>
      <c r="N6" s="309"/>
      <c r="O6" s="309"/>
      <c r="P6" s="309"/>
      <c r="Q6" s="309"/>
      <c r="R6" s="309"/>
      <c r="S6" s="309"/>
      <c r="T6" s="309"/>
      <c r="U6" s="309"/>
      <c r="V6" s="309"/>
      <c r="W6" s="309"/>
      <c r="X6" s="309"/>
      <c r="Y6" s="309"/>
      <c r="Z6" s="309"/>
      <c r="AA6" s="309"/>
      <c r="AB6" s="309"/>
      <c r="AC6" s="309"/>
      <c r="AD6" s="309"/>
      <c r="AE6" s="309"/>
      <c r="AF6" s="309"/>
      <c r="AG6" s="348" t="s">
        <v>193</v>
      </c>
      <c r="AH6" s="348"/>
      <c r="AI6" s="348"/>
      <c r="AJ6" s="348"/>
      <c r="AK6" s="348"/>
      <c r="AL6" s="485" t="s">
        <v>109</v>
      </c>
      <c r="AM6" s="485"/>
      <c r="AN6" s="486"/>
      <c r="AO6" s="173"/>
      <c r="AP6" s="207"/>
      <c r="AQ6" s="207"/>
    </row>
    <row r="7" spans="1:44" s="210" customFormat="1" ht="15" customHeight="1">
      <c r="A7" s="169"/>
      <c r="B7" s="349" t="s">
        <v>53</v>
      </c>
      <c r="C7" s="351"/>
      <c r="D7" s="349" t="s">
        <v>54</v>
      </c>
      <c r="E7" s="350"/>
      <c r="F7" s="350"/>
      <c r="G7" s="349" t="s">
        <v>56</v>
      </c>
      <c r="H7" s="350"/>
      <c r="I7" s="350"/>
      <c r="J7" s="351"/>
      <c r="K7" s="349" t="s">
        <v>57</v>
      </c>
      <c r="L7" s="350"/>
      <c r="M7" s="350"/>
      <c r="N7" s="352"/>
      <c r="O7" s="350" t="s">
        <v>53</v>
      </c>
      <c r="P7" s="351"/>
      <c r="Q7" s="349" t="s">
        <v>54</v>
      </c>
      <c r="R7" s="350"/>
      <c r="S7" s="350"/>
      <c r="T7" s="349" t="s">
        <v>56</v>
      </c>
      <c r="U7" s="350"/>
      <c r="V7" s="350"/>
      <c r="W7" s="351"/>
      <c r="X7" s="349" t="s">
        <v>57</v>
      </c>
      <c r="Y7" s="350"/>
      <c r="Z7" s="350"/>
      <c r="AA7" s="352"/>
      <c r="AB7" s="350" t="s">
        <v>53</v>
      </c>
      <c r="AC7" s="351"/>
      <c r="AD7" s="349" t="s">
        <v>54</v>
      </c>
      <c r="AE7" s="350"/>
      <c r="AF7" s="350"/>
      <c r="AG7" s="349" t="s">
        <v>56</v>
      </c>
      <c r="AH7" s="350"/>
      <c r="AI7" s="350"/>
      <c r="AJ7" s="351"/>
      <c r="AK7" s="349" t="s">
        <v>57</v>
      </c>
      <c r="AL7" s="350"/>
      <c r="AM7" s="350"/>
      <c r="AN7" s="351"/>
      <c r="AO7" s="168"/>
      <c r="AP7" s="209"/>
      <c r="AQ7" s="209"/>
    </row>
    <row r="8" spans="1:44" s="212" customFormat="1" ht="15" customHeight="1">
      <c r="A8" s="178"/>
      <c r="B8" s="353" t="str">
        <f>_rev1</f>
        <v>rev1</v>
      </c>
      <c r="C8" s="355"/>
      <c r="D8" s="356" t="str">
        <f>date1</f>
        <v>date1</v>
      </c>
      <c r="E8" s="357"/>
      <c r="F8" s="357"/>
      <c r="G8" s="358" t="str">
        <f>orig1</f>
        <v>by1</v>
      </c>
      <c r="H8" s="359"/>
      <c r="I8" s="359"/>
      <c r="J8" s="360"/>
      <c r="K8" s="353" t="str">
        <f>_chk1</f>
        <v>chkd1</v>
      </c>
      <c r="L8" s="354"/>
      <c r="M8" s="354"/>
      <c r="N8" s="361"/>
      <c r="O8" s="354" t="str">
        <f>_rev2</f>
        <v>rev2</v>
      </c>
      <c r="P8" s="355"/>
      <c r="Q8" s="356" t="str">
        <f>date2</f>
        <v>date2</v>
      </c>
      <c r="R8" s="357"/>
      <c r="S8" s="357"/>
      <c r="T8" s="358" t="str">
        <f>orig2</f>
        <v>by2</v>
      </c>
      <c r="U8" s="359"/>
      <c r="V8" s="359"/>
      <c r="W8" s="360"/>
      <c r="X8" s="353" t="str">
        <f>_chk2</f>
        <v>chkd2</v>
      </c>
      <c r="Y8" s="354"/>
      <c r="Z8" s="354"/>
      <c r="AA8" s="361"/>
      <c r="AB8" s="354" t="str">
        <f>_rev3</f>
        <v>rev3</v>
      </c>
      <c r="AC8" s="355"/>
      <c r="AD8" s="356" t="str">
        <f>date3</f>
        <v>date3</v>
      </c>
      <c r="AE8" s="357"/>
      <c r="AF8" s="357"/>
      <c r="AG8" s="358" t="str">
        <f>orig3</f>
        <v>by3</v>
      </c>
      <c r="AH8" s="359"/>
      <c r="AI8" s="359"/>
      <c r="AJ8" s="360"/>
      <c r="AK8" s="353" t="str">
        <f>_chk3</f>
        <v>chkd3</v>
      </c>
      <c r="AL8" s="354"/>
      <c r="AM8" s="354"/>
      <c r="AN8" s="355"/>
      <c r="AO8" s="178"/>
    </row>
    <row r="9" spans="1:44" s="210" customFormat="1" ht="14.85" customHeight="1">
      <c r="A9" s="169"/>
      <c r="B9" s="179"/>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0"/>
      <c r="AI9" s="180"/>
      <c r="AJ9" s="180"/>
      <c r="AK9" s="180"/>
      <c r="AL9" s="180"/>
      <c r="AM9" s="180"/>
      <c r="AN9" s="181"/>
      <c r="AO9" s="173"/>
      <c r="AP9" s="207"/>
      <c r="AQ9" s="207"/>
      <c r="AR9" s="209"/>
    </row>
    <row r="10" spans="1:44" s="210" customFormat="1" ht="14.85" customHeight="1">
      <c r="A10" s="169"/>
      <c r="B10" s="182"/>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4"/>
      <c r="AO10" s="173"/>
      <c r="AP10" s="207"/>
      <c r="AQ10" s="207"/>
      <c r="AR10" s="209"/>
    </row>
    <row r="11" spans="1:44" s="210" customFormat="1" ht="14.85" customHeight="1">
      <c r="A11" s="169"/>
      <c r="B11" s="182"/>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4"/>
      <c r="AO11" s="173"/>
      <c r="AP11" s="207"/>
      <c r="AQ11" s="209"/>
      <c r="AR11" s="209"/>
    </row>
    <row r="12" spans="1:44" s="210" customFormat="1" ht="14.85" customHeight="1">
      <c r="A12" s="169"/>
      <c r="B12" s="364" t="str">
        <f>"Appendix "&amp;AL6</f>
        <v>Appendix A</v>
      </c>
      <c r="C12" s="365"/>
      <c r="D12" s="365"/>
      <c r="E12" s="365"/>
      <c r="F12" s="365"/>
      <c r="G12" s="365"/>
      <c r="H12" s="365"/>
      <c r="I12" s="365"/>
      <c r="J12" s="365"/>
      <c r="K12" s="365"/>
      <c r="L12" s="365"/>
      <c r="M12" s="365"/>
      <c r="N12" s="365"/>
      <c r="O12" s="365"/>
      <c r="P12" s="365"/>
      <c r="Q12" s="365"/>
      <c r="R12" s="365"/>
      <c r="S12" s="365"/>
      <c r="T12" s="365"/>
      <c r="U12" s="365"/>
      <c r="V12" s="365"/>
      <c r="W12" s="365"/>
      <c r="X12" s="365"/>
      <c r="Y12" s="365"/>
      <c r="Z12" s="365"/>
      <c r="AA12" s="365"/>
      <c r="AB12" s="365"/>
      <c r="AC12" s="365"/>
      <c r="AD12" s="365"/>
      <c r="AE12" s="365"/>
      <c r="AF12" s="365"/>
      <c r="AG12" s="365"/>
      <c r="AH12" s="365"/>
      <c r="AI12" s="365"/>
      <c r="AJ12" s="365"/>
      <c r="AK12" s="365"/>
      <c r="AL12" s="365"/>
      <c r="AM12" s="365"/>
      <c r="AN12" s="366"/>
      <c r="AO12" s="168"/>
      <c r="AP12" s="209"/>
      <c r="AQ12" s="209"/>
      <c r="AR12" s="209"/>
    </row>
    <row r="13" spans="1:44" s="210" customFormat="1" ht="14.85" customHeight="1">
      <c r="A13" s="169"/>
      <c r="B13" s="364" t="str">
        <f>VLOOKUP(AL6,ToC!F34:AJ51,3)</f>
        <v>App A Title</v>
      </c>
      <c r="C13" s="365"/>
      <c r="D13" s="365"/>
      <c r="E13" s="365"/>
      <c r="F13" s="365"/>
      <c r="G13" s="365"/>
      <c r="H13" s="365"/>
      <c r="I13" s="365"/>
      <c r="J13" s="365"/>
      <c r="K13" s="365"/>
      <c r="L13" s="365"/>
      <c r="M13" s="365"/>
      <c r="N13" s="365"/>
      <c r="O13" s="365"/>
      <c r="P13" s="365"/>
      <c r="Q13" s="365"/>
      <c r="R13" s="365"/>
      <c r="S13" s="365"/>
      <c r="T13" s="365"/>
      <c r="U13" s="365"/>
      <c r="V13" s="365"/>
      <c r="W13" s="365"/>
      <c r="X13" s="365"/>
      <c r="Y13" s="365"/>
      <c r="Z13" s="365"/>
      <c r="AA13" s="365"/>
      <c r="AB13" s="365"/>
      <c r="AC13" s="365"/>
      <c r="AD13" s="365"/>
      <c r="AE13" s="365"/>
      <c r="AF13" s="365"/>
      <c r="AG13" s="365"/>
      <c r="AH13" s="365"/>
      <c r="AI13" s="365"/>
      <c r="AJ13" s="365"/>
      <c r="AK13" s="365"/>
      <c r="AL13" s="365"/>
      <c r="AM13" s="365"/>
      <c r="AN13" s="366"/>
      <c r="AO13" s="168"/>
      <c r="AP13" s="209"/>
      <c r="AQ13" s="209"/>
      <c r="AR13" s="209"/>
    </row>
    <row r="14" spans="1:44" s="210" customFormat="1" ht="14.85" customHeight="1">
      <c r="A14" s="169"/>
      <c r="B14" s="182"/>
      <c r="C14" s="183"/>
      <c r="D14" s="183"/>
      <c r="E14" s="183"/>
      <c r="F14" s="183"/>
      <c r="G14" s="183"/>
      <c r="H14" s="183"/>
      <c r="I14" s="183"/>
      <c r="J14" s="183"/>
      <c r="K14" s="183"/>
      <c r="L14" s="183"/>
      <c r="M14" s="183"/>
      <c r="N14" s="183"/>
      <c r="O14" s="183"/>
      <c r="P14" s="183"/>
      <c r="Q14" s="183"/>
      <c r="R14" s="183"/>
      <c r="S14" s="487" t="str">
        <f>VLOOKUP(AL6,ToC!F34:AJ51,29)</f>
        <v>#</v>
      </c>
      <c r="T14" s="487"/>
      <c r="U14" s="488" t="str">
        <f>IF(S14=1," Page"," Pages")</f>
        <v xml:space="preserve"> Pages</v>
      </c>
      <c r="V14" s="488"/>
      <c r="W14" s="488"/>
      <c r="X14" s="183"/>
      <c r="Y14" s="183"/>
      <c r="Z14" s="183"/>
      <c r="AA14" s="183"/>
      <c r="AB14" s="183"/>
      <c r="AC14" s="183"/>
      <c r="AD14" s="183"/>
      <c r="AE14" s="183"/>
      <c r="AF14" s="183"/>
      <c r="AG14" s="183"/>
      <c r="AH14" s="183"/>
      <c r="AI14" s="183"/>
      <c r="AJ14" s="183"/>
      <c r="AK14" s="183"/>
      <c r="AL14" s="183"/>
      <c r="AM14" s="183"/>
      <c r="AN14" s="184"/>
      <c r="AO14" s="168"/>
      <c r="AP14" s="209"/>
      <c r="AQ14" s="209"/>
      <c r="AR14" s="209"/>
    </row>
    <row r="15" spans="1:44" s="210" customFormat="1" ht="14.85" customHeight="1">
      <c r="A15" s="169"/>
      <c r="B15" s="182"/>
      <c r="C15" s="18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4"/>
      <c r="AO15" s="168"/>
      <c r="AP15" s="209"/>
      <c r="AQ15" s="209"/>
      <c r="AR15" s="209"/>
    </row>
    <row r="16" spans="1:44" s="210" customFormat="1" ht="14.85" customHeight="1">
      <c r="A16" s="169"/>
      <c r="B16" s="182"/>
      <c r="C16" s="18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4"/>
      <c r="AO16" s="168"/>
      <c r="AP16" s="209"/>
      <c r="AQ16" s="209"/>
      <c r="AR16" s="209"/>
    </row>
    <row r="17" spans="1:44" s="210" customFormat="1" ht="14.85" customHeight="1">
      <c r="A17" s="169"/>
      <c r="B17" s="182"/>
      <c r="C17" s="183"/>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4"/>
      <c r="AO17" s="168"/>
      <c r="AP17" s="209"/>
      <c r="AQ17" s="209"/>
      <c r="AR17" s="209"/>
    </row>
    <row r="18" spans="1:44" s="210" customFormat="1" ht="14.85" customHeight="1">
      <c r="A18" s="169"/>
      <c r="B18" s="182"/>
      <c r="C18" s="183"/>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4"/>
      <c r="AO18" s="168"/>
      <c r="AP18" s="209"/>
      <c r="AQ18" s="209"/>
      <c r="AR18" s="209"/>
    </row>
    <row r="19" spans="1:44" s="210" customFormat="1" ht="14.85" customHeight="1">
      <c r="A19" s="169"/>
      <c r="B19" s="182"/>
      <c r="C19" s="183"/>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4"/>
      <c r="AO19" s="168"/>
      <c r="AP19" s="209"/>
      <c r="AQ19" s="209"/>
      <c r="AR19" s="209"/>
    </row>
    <row r="20" spans="1:44" s="210" customFormat="1" ht="14.85" customHeight="1">
      <c r="A20" s="169"/>
      <c r="B20" s="182"/>
      <c r="C20" s="183"/>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4"/>
      <c r="AO20" s="168"/>
      <c r="AP20" s="209"/>
      <c r="AQ20" s="209"/>
      <c r="AR20" s="209"/>
    </row>
    <row r="21" spans="1:44" s="210" customFormat="1" ht="14.85" customHeight="1">
      <c r="A21" s="169"/>
      <c r="B21" s="182"/>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4"/>
      <c r="AO21" s="168"/>
      <c r="AP21" s="209"/>
      <c r="AQ21" s="209"/>
      <c r="AR21" s="209"/>
    </row>
    <row r="22" spans="1:44" s="210" customFormat="1" ht="14.85" customHeight="1">
      <c r="A22" s="169"/>
      <c r="B22" s="182"/>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4"/>
      <c r="AO22" s="168"/>
      <c r="AP22" s="209"/>
      <c r="AQ22" s="209"/>
      <c r="AR22" s="209"/>
    </row>
    <row r="23" spans="1:44" s="210" customFormat="1" ht="14.85" customHeight="1">
      <c r="A23" s="169"/>
      <c r="B23" s="182"/>
      <c r="C23" s="183"/>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4"/>
      <c r="AO23" s="168"/>
      <c r="AP23" s="209"/>
      <c r="AQ23" s="209"/>
      <c r="AR23" s="209"/>
    </row>
    <row r="24" spans="1:44" s="210" customFormat="1" ht="14.85" customHeight="1">
      <c r="A24" s="169"/>
      <c r="B24" s="182"/>
      <c r="C24" s="183"/>
      <c r="D24" s="183"/>
      <c r="E24" s="183"/>
      <c r="F24" s="18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4"/>
      <c r="AO24" s="168"/>
      <c r="AP24" s="209"/>
      <c r="AQ24" s="209"/>
      <c r="AR24" s="209"/>
    </row>
    <row r="25" spans="1:44" s="210" customFormat="1" ht="14.85" customHeight="1">
      <c r="A25" s="169"/>
      <c r="B25" s="182"/>
      <c r="C25" s="183"/>
      <c r="D25" s="183"/>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4"/>
      <c r="AO25" s="168"/>
      <c r="AP25" s="209"/>
      <c r="AQ25" s="209"/>
      <c r="AR25" s="209"/>
    </row>
    <row r="26" spans="1:44" s="210" customFormat="1" ht="14.85" customHeight="1">
      <c r="A26" s="169"/>
      <c r="B26" s="182"/>
      <c r="C26" s="183"/>
      <c r="D26" s="183"/>
      <c r="E26" s="183"/>
      <c r="F26" s="183"/>
      <c r="G26" s="183"/>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4"/>
      <c r="AO26" s="168"/>
      <c r="AP26" s="209"/>
      <c r="AQ26" s="209"/>
      <c r="AR26" s="209"/>
    </row>
    <row r="27" spans="1:44" s="210" customFormat="1" ht="14.85" customHeight="1">
      <c r="A27" s="169"/>
      <c r="B27" s="182"/>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4"/>
      <c r="AO27" s="168"/>
      <c r="AP27" s="209"/>
      <c r="AQ27" s="209"/>
      <c r="AR27" s="209"/>
    </row>
    <row r="28" spans="1:44" s="210" customFormat="1" ht="14.85" customHeight="1">
      <c r="A28" s="169"/>
      <c r="B28" s="182"/>
      <c r="C28" s="183"/>
      <c r="D28" s="183"/>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4"/>
      <c r="AO28" s="168"/>
      <c r="AP28" s="209"/>
      <c r="AQ28" s="209"/>
      <c r="AR28" s="209"/>
    </row>
    <row r="29" spans="1:44" s="210" customFormat="1" ht="14.85" customHeight="1">
      <c r="A29" s="169"/>
      <c r="B29" s="182"/>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4"/>
      <c r="AO29" s="168"/>
      <c r="AP29" s="209"/>
      <c r="AQ29" s="209"/>
      <c r="AR29" s="209"/>
    </row>
    <row r="30" spans="1:44" s="210" customFormat="1" ht="14.85" customHeight="1">
      <c r="A30" s="169"/>
      <c r="B30" s="182"/>
      <c r="C30" s="183"/>
      <c r="D30" s="183"/>
      <c r="E30" s="183"/>
      <c r="F30" s="183"/>
      <c r="G30" s="183"/>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4"/>
      <c r="AO30" s="168"/>
      <c r="AP30" s="209"/>
      <c r="AQ30" s="209"/>
      <c r="AR30" s="209"/>
    </row>
    <row r="31" spans="1:44" s="210" customFormat="1" ht="14.85" customHeight="1">
      <c r="A31" s="169"/>
      <c r="B31" s="182"/>
      <c r="C31" s="183"/>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4"/>
      <c r="AO31" s="168"/>
      <c r="AP31" s="209"/>
      <c r="AQ31" s="209"/>
      <c r="AR31" s="209"/>
    </row>
    <row r="32" spans="1:44" s="210" customFormat="1" ht="14.85" customHeight="1">
      <c r="A32" s="169"/>
      <c r="B32" s="182"/>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4"/>
      <c r="AO32" s="168"/>
      <c r="AP32" s="209"/>
      <c r="AQ32" s="209"/>
      <c r="AR32" s="209"/>
    </row>
    <row r="33" spans="1:44" s="210" customFormat="1" ht="14.85" customHeight="1">
      <c r="A33" s="169"/>
      <c r="B33" s="182"/>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4"/>
      <c r="AO33" s="168"/>
      <c r="AP33" s="209"/>
      <c r="AQ33" s="209"/>
      <c r="AR33" s="209"/>
    </row>
    <row r="34" spans="1:44" s="210" customFormat="1" ht="14.85" customHeight="1">
      <c r="A34" s="169"/>
      <c r="B34" s="182"/>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4"/>
      <c r="AO34" s="168"/>
      <c r="AP34" s="209"/>
      <c r="AQ34" s="209"/>
      <c r="AR34" s="209"/>
    </row>
    <row r="35" spans="1:44" s="210" customFormat="1" ht="14.85" customHeight="1">
      <c r="A35" s="169"/>
      <c r="B35" s="182"/>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4"/>
      <c r="AO35" s="168"/>
      <c r="AP35" s="209"/>
      <c r="AQ35" s="209"/>
      <c r="AR35" s="209"/>
    </row>
    <row r="36" spans="1:44" s="210" customFormat="1" ht="14.85" customHeight="1">
      <c r="A36" s="169"/>
      <c r="B36" s="182"/>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4"/>
      <c r="AO36" s="168"/>
      <c r="AP36" s="209"/>
      <c r="AQ36" s="209"/>
      <c r="AR36" s="209"/>
    </row>
    <row r="37" spans="1:44" s="210" customFormat="1" ht="14.85" customHeight="1">
      <c r="A37" s="169"/>
      <c r="B37" s="182"/>
      <c r="C37" s="183"/>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4"/>
      <c r="AO37" s="168"/>
      <c r="AP37" s="209"/>
      <c r="AQ37" s="209"/>
      <c r="AR37" s="209"/>
    </row>
    <row r="38" spans="1:44" s="210" customFormat="1" ht="14.85" customHeight="1">
      <c r="A38" s="169"/>
      <c r="B38" s="182"/>
      <c r="C38" s="183"/>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4"/>
      <c r="AO38" s="168"/>
      <c r="AP38" s="209"/>
      <c r="AQ38" s="209"/>
      <c r="AR38" s="209"/>
    </row>
    <row r="39" spans="1:44" s="210" customFormat="1" ht="14.85" customHeight="1">
      <c r="A39" s="169"/>
      <c r="B39" s="182"/>
      <c r="C39" s="183"/>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4"/>
      <c r="AO39" s="168"/>
      <c r="AP39" s="209"/>
      <c r="AQ39" s="209"/>
      <c r="AR39" s="209"/>
    </row>
    <row r="40" spans="1:44" s="210" customFormat="1" ht="14.85" customHeight="1">
      <c r="A40" s="169"/>
      <c r="B40" s="182"/>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4"/>
      <c r="AO40" s="168"/>
      <c r="AP40" s="209"/>
      <c r="AQ40" s="209"/>
      <c r="AR40" s="209"/>
    </row>
    <row r="41" spans="1:44" s="210" customFormat="1" ht="14.85" customHeight="1">
      <c r="A41" s="169"/>
      <c r="B41" s="182"/>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4"/>
      <c r="AO41" s="168"/>
      <c r="AP41" s="209"/>
      <c r="AQ41" s="209"/>
      <c r="AR41" s="209"/>
    </row>
    <row r="42" spans="1:44" s="210" customFormat="1" ht="14.85" customHeight="1">
      <c r="A42" s="169"/>
      <c r="B42" s="182"/>
      <c r="C42" s="183"/>
      <c r="D42" s="183"/>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4"/>
      <c r="AO42" s="168"/>
      <c r="AP42" s="209"/>
      <c r="AQ42" s="209"/>
      <c r="AR42" s="209"/>
    </row>
    <row r="43" spans="1:44" s="210" customFormat="1" ht="14.85" customHeight="1">
      <c r="A43" s="169"/>
      <c r="B43" s="182"/>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4"/>
      <c r="AO43" s="168"/>
      <c r="AP43" s="209"/>
      <c r="AQ43" s="209"/>
      <c r="AR43" s="209"/>
    </row>
    <row r="44" spans="1:44" s="210" customFormat="1" ht="14.85" customHeight="1">
      <c r="A44" s="169"/>
      <c r="B44" s="182"/>
      <c r="C44" s="183"/>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4"/>
      <c r="AO44" s="168"/>
      <c r="AP44" s="209"/>
      <c r="AQ44" s="209"/>
      <c r="AR44" s="209"/>
    </row>
    <row r="45" spans="1:44" s="210" customFormat="1" ht="14.85" customHeight="1">
      <c r="A45" s="169"/>
      <c r="B45" s="182"/>
      <c r="C45" s="183"/>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4"/>
      <c r="AO45" s="168"/>
      <c r="AP45" s="209"/>
      <c r="AQ45" s="209"/>
      <c r="AR45" s="209"/>
    </row>
    <row r="46" spans="1:44" s="210" customFormat="1" ht="14.85" customHeight="1">
      <c r="A46" s="169"/>
      <c r="B46" s="182"/>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4"/>
      <c r="AO46" s="168"/>
      <c r="AP46" s="209"/>
      <c r="AQ46" s="209"/>
      <c r="AR46" s="209"/>
    </row>
    <row r="47" spans="1:44" s="210" customFormat="1" ht="14.85" customHeight="1">
      <c r="A47" s="169"/>
      <c r="B47" s="182"/>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4"/>
      <c r="AO47" s="168"/>
      <c r="AP47" s="209"/>
      <c r="AQ47" s="209"/>
      <c r="AR47" s="209"/>
    </row>
    <row r="48" spans="1:44" s="210" customFormat="1" ht="14.85" customHeight="1">
      <c r="A48" s="169"/>
      <c r="B48" s="182"/>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4"/>
      <c r="AO48" s="168"/>
      <c r="AP48" s="209"/>
      <c r="AQ48" s="209"/>
      <c r="AR48" s="209"/>
    </row>
    <row r="49" spans="1:50" s="210" customFormat="1" ht="14.85" customHeight="1">
      <c r="A49" s="169"/>
      <c r="B49" s="182"/>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4"/>
      <c r="AO49" s="168"/>
      <c r="AP49" s="209"/>
      <c r="AQ49" s="209"/>
      <c r="AR49" s="209"/>
    </row>
    <row r="50" spans="1:50" s="209" customFormat="1" ht="14.85" customHeight="1">
      <c r="A50" s="168"/>
      <c r="B50" s="190"/>
      <c r="C50" s="191"/>
      <c r="D50" s="191"/>
      <c r="E50" s="191"/>
      <c r="F50" s="191"/>
      <c r="G50" s="191"/>
      <c r="H50" s="191"/>
      <c r="I50" s="191"/>
      <c r="J50" s="191"/>
      <c r="K50" s="191"/>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191"/>
      <c r="AN50" s="192"/>
      <c r="AO50" s="168"/>
      <c r="AS50" s="210"/>
      <c r="AT50" s="210"/>
      <c r="AU50" s="210"/>
      <c r="AV50" s="210"/>
      <c r="AW50" s="210"/>
      <c r="AX50" s="210"/>
    </row>
    <row r="51" spans="1:50" s="209" customFormat="1" ht="36" customHeight="1">
      <c r="A51" s="168"/>
      <c r="B51" s="363" t="str">
        <f>disclaimer</f>
        <v>This Calculation represents the work of Worley performed to recognized engineering principles and practices appropriate for the terms of reference provided by Worley contractual Customer. This Calculation is confidential and prepared solely for the use of the Customer. The contents of this Calculation may not be disclosed to or relied upon by any party other than the Customer, and neither Worley, its subconsultants nor their respective employees assume any liability for any reason, including, but not limited to, negligence, to any other party for any information or representation herein.</v>
      </c>
      <c r="C51" s="363"/>
      <c r="D51" s="363"/>
      <c r="E51" s="363"/>
      <c r="F51" s="363"/>
      <c r="G51" s="363"/>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168"/>
      <c r="AR51" s="210"/>
      <c r="AS51" s="210"/>
      <c r="AT51" s="210"/>
      <c r="AU51" s="210"/>
      <c r="AV51" s="210"/>
      <c r="AW51" s="210"/>
    </row>
    <row r="52" spans="1:50" s="209" customFormat="1" ht="14.25">
      <c r="AR52" s="210"/>
      <c r="AS52" s="210"/>
      <c r="AT52" s="210"/>
      <c r="AU52" s="210"/>
      <c r="AV52" s="210"/>
      <c r="AW52" s="210"/>
    </row>
    <row r="53" spans="1:50" s="209" customFormat="1" ht="14.25">
      <c r="AR53" s="210"/>
      <c r="AS53" s="210"/>
      <c r="AT53" s="210"/>
      <c r="AU53" s="210"/>
      <c r="AV53" s="210"/>
      <c r="AW53" s="210"/>
    </row>
    <row r="54" spans="1:50" s="110" customFormat="1">
      <c r="AR54" s="33"/>
      <c r="AS54" s="33"/>
      <c r="AT54" s="33"/>
      <c r="AU54" s="33"/>
      <c r="AV54" s="33"/>
      <c r="AW54" s="33"/>
    </row>
    <row r="55" spans="1:50" s="110" customFormat="1">
      <c r="AR55" s="33"/>
      <c r="AS55" s="33"/>
      <c r="AT55" s="33"/>
      <c r="AU55" s="33"/>
      <c r="AV55" s="33"/>
      <c r="AW55" s="33"/>
    </row>
    <row r="56" spans="1:50" s="110" customFormat="1">
      <c r="AR56" s="33"/>
      <c r="AS56" s="33"/>
      <c r="AT56" s="33"/>
      <c r="AU56" s="33"/>
      <c r="AV56" s="33"/>
      <c r="AW56" s="33"/>
    </row>
    <row r="57" spans="1:50" s="110" customFormat="1">
      <c r="AR57" s="33"/>
      <c r="AS57" s="33"/>
      <c r="AT57" s="33"/>
      <c r="AU57" s="33"/>
      <c r="AV57" s="33"/>
      <c r="AW57" s="33"/>
    </row>
    <row r="58" spans="1:50" s="110" customFormat="1">
      <c r="AR58" s="33"/>
      <c r="AS58" s="33"/>
      <c r="AT58" s="33"/>
      <c r="AU58" s="33"/>
      <c r="AV58" s="33"/>
      <c r="AW58" s="33"/>
    </row>
    <row r="59" spans="1:50" s="110" customFormat="1">
      <c r="AR59" s="33"/>
      <c r="AS59" s="33"/>
      <c r="AT59" s="33"/>
      <c r="AU59" s="33"/>
      <c r="AV59" s="33"/>
      <c r="AW59" s="33"/>
    </row>
    <row r="60" spans="1:50" s="110" customFormat="1">
      <c r="AR60" s="33"/>
      <c r="AS60" s="33"/>
      <c r="AT60" s="33"/>
      <c r="AU60" s="33"/>
      <c r="AV60" s="33"/>
      <c r="AW60" s="33"/>
    </row>
    <row r="61" spans="1:50" s="110" customFormat="1">
      <c r="AR61" s="33"/>
      <c r="AS61" s="33"/>
      <c r="AT61" s="33"/>
      <c r="AU61" s="33"/>
      <c r="AV61" s="33"/>
      <c r="AW61" s="33"/>
    </row>
    <row r="62" spans="1:50" s="110" customFormat="1">
      <c r="AR62" s="33"/>
      <c r="AS62" s="33"/>
      <c r="AT62" s="33"/>
      <c r="AU62" s="33"/>
      <c r="AV62" s="33"/>
      <c r="AW62" s="33"/>
    </row>
    <row r="63" spans="1:50" s="110" customFormat="1">
      <c r="AR63" s="33"/>
      <c r="AS63" s="33"/>
      <c r="AT63" s="33"/>
      <c r="AU63" s="33"/>
      <c r="AV63" s="33"/>
      <c r="AW63" s="33"/>
    </row>
    <row r="64" spans="1:50" s="110" customFormat="1">
      <c r="AR64" s="33"/>
      <c r="AS64" s="33"/>
      <c r="AT64" s="33"/>
      <c r="AU64" s="33"/>
      <c r="AV64" s="33"/>
      <c r="AW64" s="33"/>
    </row>
    <row r="65" spans="44:49" s="110" customFormat="1">
      <c r="AR65" s="33"/>
      <c r="AS65" s="33"/>
      <c r="AT65" s="33"/>
      <c r="AU65" s="33"/>
      <c r="AV65" s="33"/>
      <c r="AW65" s="33"/>
    </row>
    <row r="66" spans="44:49" s="110" customFormat="1">
      <c r="AR66" s="33"/>
      <c r="AS66" s="33"/>
      <c r="AT66" s="33"/>
      <c r="AU66" s="33"/>
      <c r="AV66" s="33"/>
      <c r="AW66" s="33"/>
    </row>
    <row r="67" spans="44:49" s="110" customFormat="1">
      <c r="AR67" s="33"/>
      <c r="AS67" s="33"/>
      <c r="AT67" s="33"/>
      <c r="AU67" s="33"/>
      <c r="AV67" s="33"/>
      <c r="AW67" s="33"/>
    </row>
    <row r="68" spans="44:49" s="110" customFormat="1">
      <c r="AR68" s="33"/>
      <c r="AS68" s="33"/>
      <c r="AT68" s="33"/>
      <c r="AU68" s="33"/>
      <c r="AV68" s="33"/>
      <c r="AW68" s="33"/>
    </row>
    <row r="69" spans="44:49" s="110" customFormat="1">
      <c r="AR69" s="33"/>
      <c r="AS69" s="33"/>
      <c r="AT69" s="33"/>
      <c r="AU69" s="33"/>
      <c r="AV69" s="33"/>
      <c r="AW69" s="33"/>
    </row>
    <row r="70" spans="44:49" s="110" customFormat="1">
      <c r="AR70" s="33"/>
      <c r="AS70" s="33"/>
      <c r="AT70" s="33"/>
      <c r="AU70" s="33"/>
      <c r="AV70" s="33"/>
      <c r="AW70" s="33"/>
    </row>
    <row r="71" spans="44:49" s="110" customFormat="1">
      <c r="AR71" s="33"/>
      <c r="AS71" s="33"/>
      <c r="AT71" s="33"/>
      <c r="AU71" s="33"/>
      <c r="AV71" s="33"/>
      <c r="AW71" s="33"/>
    </row>
    <row r="72" spans="44:49" s="110" customFormat="1">
      <c r="AR72" s="33"/>
      <c r="AS72" s="33"/>
      <c r="AT72" s="33"/>
      <c r="AU72" s="33"/>
      <c r="AV72" s="33"/>
      <c r="AW72" s="33"/>
    </row>
    <row r="73" spans="44:49" s="110" customFormat="1">
      <c r="AR73" s="33"/>
      <c r="AS73" s="33"/>
      <c r="AT73" s="33"/>
      <c r="AU73" s="33"/>
      <c r="AV73" s="33"/>
      <c r="AW73" s="33"/>
    </row>
  </sheetData>
  <mergeCells count="48">
    <mergeCell ref="B12:AN12"/>
    <mergeCell ref="B13:AN13"/>
    <mergeCell ref="S14:T14"/>
    <mergeCell ref="U14:W14"/>
    <mergeCell ref="B51:AN51"/>
    <mergeCell ref="AK8:AN8"/>
    <mergeCell ref="B8:C8"/>
    <mergeCell ref="D8:F8"/>
    <mergeCell ref="G8:J8"/>
    <mergeCell ref="K8:N8"/>
    <mergeCell ref="O8:P8"/>
    <mergeCell ref="Q8:S8"/>
    <mergeCell ref="T8:W8"/>
    <mergeCell ref="X8:AA8"/>
    <mergeCell ref="AB8:AC8"/>
    <mergeCell ref="AD8:AF8"/>
    <mergeCell ref="AG8:AJ8"/>
    <mergeCell ref="AK7:AN7"/>
    <mergeCell ref="B6:I6"/>
    <mergeCell ref="J6:AF6"/>
    <mergeCell ref="AG6:AK6"/>
    <mergeCell ref="AL6:AN6"/>
    <mergeCell ref="B7:C7"/>
    <mergeCell ref="D7:F7"/>
    <mergeCell ref="G7:J7"/>
    <mergeCell ref="K7:N7"/>
    <mergeCell ref="O7:P7"/>
    <mergeCell ref="Q7:S7"/>
    <mergeCell ref="T7:W7"/>
    <mergeCell ref="X7:AA7"/>
    <mergeCell ref="AB7:AC7"/>
    <mergeCell ref="AD7:AF7"/>
    <mergeCell ref="AG7:AJ7"/>
    <mergeCell ref="B4:G4"/>
    <mergeCell ref="I4:Z4"/>
    <mergeCell ref="AA4:AD4"/>
    <mergeCell ref="AE4:AN4"/>
    <mergeCell ref="B5:H5"/>
    <mergeCell ref="I5:AN5"/>
    <mergeCell ref="B3:G3"/>
    <mergeCell ref="I3:Z3"/>
    <mergeCell ref="AA3:AD3"/>
    <mergeCell ref="AE3:AN3"/>
    <mergeCell ref="B1:AN1"/>
    <mergeCell ref="B2:G2"/>
    <mergeCell ref="I2:Z2"/>
    <mergeCell ref="AA2:AD2"/>
    <mergeCell ref="AE2:AN2"/>
  </mergeCells>
  <pageMargins left="0.7" right="0.7" top="0.75" bottom="0.75" header="0.3" footer="0.3"/>
  <pageSetup paperSize="9" scale="88"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FFFF00"/>
  </sheetPr>
  <dimension ref="A1:BV62"/>
  <sheetViews>
    <sheetView showGridLines="0" tabSelected="1" view="pageLayout" zoomScaleNormal="100" zoomScaleSheetLayoutView="100" workbookViewId="0">
      <selection activeCell="F2" sqref="E1:F1048576"/>
    </sheetView>
  </sheetViews>
  <sheetFormatPr defaultRowHeight="12.75"/>
  <cols>
    <col min="1" max="1" width="3.5703125" customWidth="1"/>
    <col min="2" max="2" width="36.42578125" customWidth="1"/>
    <col min="3" max="3" width="12.7109375" customWidth="1"/>
    <col min="4" max="4" width="12.42578125" customWidth="1"/>
    <col min="5" max="5" width="8.5703125" hidden="1" customWidth="1"/>
    <col min="6" max="6" width="6.85546875" hidden="1" customWidth="1"/>
    <col min="7" max="7" width="12.7109375" customWidth="1"/>
    <col min="8" max="8" width="12.140625" customWidth="1"/>
    <col min="9" max="9" width="8" hidden="1" customWidth="1"/>
    <col min="10" max="10" width="9.28515625" hidden="1" customWidth="1"/>
    <col min="11" max="11" width="12.7109375" customWidth="1"/>
    <col min="12" max="12" width="12.42578125" customWidth="1"/>
    <col min="13" max="13" width="8" hidden="1" customWidth="1"/>
    <col min="14" max="14" width="9.42578125" hidden="1" customWidth="1"/>
    <col min="15" max="15" width="4" customWidth="1"/>
    <col min="16" max="16" width="0.140625" hidden="1" customWidth="1"/>
    <col min="17" max="17" width="9.140625" hidden="1" customWidth="1"/>
    <col min="18" max="18" width="10.5703125" hidden="1" customWidth="1"/>
    <col min="19" max="20" width="9.140625" hidden="1" customWidth="1"/>
    <col min="21" max="21" width="27.5703125" hidden="1" customWidth="1"/>
    <col min="22" max="26" width="9.140625" hidden="1" customWidth="1"/>
    <col min="27" max="29" width="8.5703125" hidden="1" customWidth="1"/>
    <col min="30" max="48" width="0" hidden="1" customWidth="1"/>
    <col min="49" max="73" width="9.140625" hidden="1" customWidth="1"/>
    <col min="74" max="74" width="9.28515625" hidden="1" customWidth="1"/>
  </cols>
  <sheetData>
    <row r="1" spans="1:74" ht="15.75">
      <c r="A1" s="27"/>
      <c r="B1" s="499" t="s">
        <v>194</v>
      </c>
      <c r="C1" s="500"/>
      <c r="D1" s="500"/>
      <c r="E1" s="500"/>
      <c r="F1" s="500"/>
      <c r="G1" s="500"/>
      <c r="H1" s="500"/>
      <c r="I1" s="500"/>
      <c r="J1" s="500"/>
      <c r="K1" s="500"/>
      <c r="L1" s="500"/>
      <c r="M1" s="500"/>
      <c r="N1" s="501"/>
      <c r="O1" s="29"/>
      <c r="AD1" s="38"/>
      <c r="AE1" s="39" t="s">
        <v>195</v>
      </c>
      <c r="AF1" s="39"/>
      <c r="AG1" s="39"/>
      <c r="AH1" s="39"/>
      <c r="AI1" s="39"/>
      <c r="AJ1" s="39"/>
      <c r="AK1" s="39"/>
      <c r="AL1" s="39"/>
      <c r="AM1" s="39"/>
      <c r="AN1" s="39"/>
      <c r="AO1" s="39"/>
      <c r="AP1" s="40"/>
      <c r="AQ1" s="40"/>
      <c r="AR1" s="39"/>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1"/>
    </row>
    <row r="2" spans="1:74" ht="15.75">
      <c r="A2" s="27"/>
      <c r="B2" s="102"/>
      <c r="C2" s="73"/>
      <c r="D2" s="73"/>
      <c r="E2" s="73"/>
      <c r="F2" s="73"/>
      <c r="G2" s="73"/>
      <c r="H2" s="73"/>
      <c r="I2" s="73"/>
      <c r="J2" s="73"/>
      <c r="K2" s="73"/>
      <c r="L2" s="73"/>
      <c r="M2" s="73"/>
      <c r="N2" s="103"/>
      <c r="O2" s="29"/>
      <c r="AD2" s="42"/>
      <c r="AE2" s="43" t="s">
        <v>196</v>
      </c>
      <c r="AF2" s="43"/>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5"/>
    </row>
    <row r="3" spans="1:74" ht="15.75">
      <c r="A3" s="27"/>
      <c r="B3" s="132" t="s">
        <v>197</v>
      </c>
      <c r="C3" s="4" t="s">
        <v>198</v>
      </c>
      <c r="D3" s="131"/>
      <c r="G3" s="31" t="s">
        <v>199</v>
      </c>
      <c r="H3" s="131"/>
      <c r="N3" s="5"/>
      <c r="O3" s="29"/>
      <c r="AD3" s="29"/>
      <c r="AE3" s="27"/>
      <c r="AF3" s="27"/>
      <c r="AG3" s="47"/>
      <c r="AH3" s="47"/>
      <c r="AI3" s="47"/>
      <c r="AJ3" s="47"/>
      <c r="AK3" s="47"/>
      <c r="AL3" s="47"/>
      <c r="AM3" s="47"/>
      <c r="AN3" s="47"/>
      <c r="AO3" s="47"/>
      <c r="AP3" s="44"/>
      <c r="AQ3" s="44"/>
      <c r="AR3" s="47"/>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5"/>
    </row>
    <row r="4" spans="1:74" ht="15.75">
      <c r="A4" s="27"/>
      <c r="B4" s="26"/>
      <c r="C4" s="4"/>
      <c r="G4" s="31" t="s">
        <v>200</v>
      </c>
      <c r="H4" s="131"/>
      <c r="K4" s="31" t="s">
        <v>201</v>
      </c>
      <c r="L4" s="131"/>
      <c r="N4" s="6"/>
      <c r="O4" s="29"/>
      <c r="AD4" s="546" t="s">
        <v>202</v>
      </c>
      <c r="AE4" s="547"/>
      <c r="AF4" s="47"/>
      <c r="AG4" s="47"/>
      <c r="AH4" s="47"/>
      <c r="AI4" s="47"/>
      <c r="AJ4" s="47"/>
      <c r="AK4" s="47"/>
      <c r="AL4" s="47"/>
      <c r="AM4" s="47"/>
      <c r="AN4" s="47"/>
      <c r="AO4" s="47"/>
      <c r="AP4" s="47"/>
      <c r="AQ4" s="47"/>
      <c r="AR4" s="47"/>
      <c r="AS4" s="46"/>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5"/>
    </row>
    <row r="5" spans="1:74" ht="16.5" thickBot="1">
      <c r="A5" s="27"/>
      <c r="B5" s="18"/>
      <c r="C5" s="7"/>
      <c r="D5" s="8"/>
      <c r="E5" s="8"/>
      <c r="F5" s="8"/>
      <c r="G5" s="32" t="s">
        <v>203</v>
      </c>
      <c r="H5" s="130"/>
      <c r="I5" s="8"/>
      <c r="J5" s="8"/>
      <c r="K5" s="32" t="s">
        <v>204</v>
      </c>
      <c r="L5" s="130"/>
      <c r="M5" s="8"/>
      <c r="N5" s="9"/>
      <c r="O5" s="29"/>
      <c r="AD5" s="125" t="s">
        <v>205</v>
      </c>
      <c r="AE5" s="47" t="s">
        <v>131</v>
      </c>
      <c r="AF5" s="47"/>
      <c r="AG5" s="44"/>
      <c r="AH5" s="44"/>
      <c r="AI5" s="44"/>
      <c r="AJ5" s="44"/>
      <c r="AK5" s="44"/>
      <c r="AL5" s="44"/>
      <c r="AM5" s="44"/>
      <c r="AN5" s="44"/>
      <c r="AO5" s="44"/>
      <c r="AP5" s="44"/>
      <c r="AQ5" s="44"/>
      <c r="AR5" s="44"/>
      <c r="AS5" s="46"/>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5"/>
    </row>
    <row r="6" spans="1:74" ht="30.75" customHeight="1" thickBot="1">
      <c r="A6" s="101">
        <v>1</v>
      </c>
      <c r="B6" s="215" t="s">
        <v>206</v>
      </c>
      <c r="C6" s="504" t="s">
        <v>207</v>
      </c>
      <c r="D6" s="505"/>
      <c r="E6" s="100"/>
      <c r="F6" s="100"/>
      <c r="G6" s="504" t="s">
        <v>208</v>
      </c>
      <c r="H6" s="505"/>
      <c r="I6" s="100"/>
      <c r="J6" s="100"/>
      <c r="K6" s="504" t="s">
        <v>209</v>
      </c>
      <c r="L6" s="505"/>
      <c r="N6" s="6"/>
      <c r="O6" s="29"/>
      <c r="AD6" s="42"/>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5"/>
    </row>
    <row r="7" spans="1:74" ht="17.25" customHeight="1">
      <c r="A7" s="30">
        <v>2</v>
      </c>
      <c r="B7" s="94" t="s">
        <v>210</v>
      </c>
      <c r="C7" s="502"/>
      <c r="D7" s="503"/>
      <c r="E7" s="14"/>
      <c r="F7" s="15"/>
      <c r="G7" s="126"/>
      <c r="H7" s="15"/>
      <c r="I7" s="14"/>
      <c r="J7" s="15"/>
      <c r="K7" s="126"/>
      <c r="L7" s="15"/>
      <c r="M7" s="24"/>
      <c r="N7" s="25"/>
      <c r="O7" s="29"/>
      <c r="R7" s="213"/>
      <c r="AC7" s="48"/>
      <c r="AD7" s="49"/>
      <c r="AE7" s="50" t="s">
        <v>211</v>
      </c>
      <c r="AF7" s="50" t="s">
        <v>212</v>
      </c>
      <c r="AG7" s="51" t="s">
        <v>213</v>
      </c>
      <c r="AH7" s="50" t="s">
        <v>214</v>
      </c>
      <c r="AI7" s="50" t="s">
        <v>215</v>
      </c>
      <c r="AJ7" s="51" t="s">
        <v>213</v>
      </c>
      <c r="AK7" s="50" t="s">
        <v>214</v>
      </c>
      <c r="AL7" s="50" t="s">
        <v>215</v>
      </c>
      <c r="AM7" s="51" t="s">
        <v>213</v>
      </c>
      <c r="AN7" s="50" t="s">
        <v>214</v>
      </c>
      <c r="AO7" s="50" t="s">
        <v>215</v>
      </c>
      <c r="AP7" s="51" t="s">
        <v>213</v>
      </c>
      <c r="AQ7" s="50" t="s">
        <v>214</v>
      </c>
      <c r="AR7" s="50" t="s">
        <v>215</v>
      </c>
      <c r="AS7" s="51" t="s">
        <v>213</v>
      </c>
      <c r="AT7" s="50" t="s">
        <v>214</v>
      </c>
      <c r="AU7" s="50" t="s">
        <v>215</v>
      </c>
      <c r="AV7" s="51" t="s">
        <v>213</v>
      </c>
      <c r="AW7" s="50" t="s">
        <v>214</v>
      </c>
      <c r="AX7" s="50" t="s">
        <v>215</v>
      </c>
      <c r="AY7" s="51" t="s">
        <v>213</v>
      </c>
      <c r="AZ7" s="50" t="s">
        <v>214</v>
      </c>
      <c r="BA7" s="50" t="s">
        <v>215</v>
      </c>
      <c r="BB7" s="51" t="s">
        <v>213</v>
      </c>
      <c r="BC7" s="50" t="s">
        <v>214</v>
      </c>
      <c r="BD7" s="50" t="s">
        <v>215</v>
      </c>
      <c r="BE7" s="51" t="s">
        <v>213</v>
      </c>
      <c r="BF7" s="50" t="s">
        <v>214</v>
      </c>
      <c r="BG7" s="50" t="s">
        <v>215</v>
      </c>
      <c r="BH7" s="51" t="s">
        <v>213</v>
      </c>
      <c r="BI7" s="50" t="s">
        <v>214</v>
      </c>
      <c r="BJ7" s="50" t="s">
        <v>215</v>
      </c>
      <c r="BK7" s="51" t="s">
        <v>213</v>
      </c>
      <c r="BL7" s="50" t="s">
        <v>214</v>
      </c>
      <c r="BM7" s="50" t="s">
        <v>215</v>
      </c>
      <c r="BN7" s="51" t="s">
        <v>213</v>
      </c>
      <c r="BO7" s="50" t="s">
        <v>214</v>
      </c>
      <c r="BP7" s="50" t="s">
        <v>215</v>
      </c>
      <c r="BQ7" s="51" t="s">
        <v>213</v>
      </c>
      <c r="BR7" s="50" t="s">
        <v>214</v>
      </c>
      <c r="BS7" s="50" t="s">
        <v>215</v>
      </c>
      <c r="BT7" s="51" t="s">
        <v>213</v>
      </c>
      <c r="BU7" s="50" t="s">
        <v>214</v>
      </c>
      <c r="BV7" s="52" t="s">
        <v>215</v>
      </c>
    </row>
    <row r="8" spans="1:74" ht="15.75" customHeight="1">
      <c r="A8" s="30">
        <v>3</v>
      </c>
      <c r="B8" s="117" t="s">
        <v>216</v>
      </c>
      <c r="C8" s="128"/>
      <c r="D8" s="2"/>
      <c r="E8" s="74">
        <v>16</v>
      </c>
      <c r="F8" s="76">
        <f>VLOOKUP(E8,AC8:AE45,3)</f>
        <v>150</v>
      </c>
      <c r="G8" s="127"/>
      <c r="H8" s="2"/>
      <c r="I8" s="74">
        <v>21</v>
      </c>
      <c r="J8" s="76">
        <f>VLOOKUP(I8,AC8:AE45,3)</f>
        <v>400</v>
      </c>
      <c r="K8" s="127"/>
      <c r="L8" s="2"/>
      <c r="M8" s="74">
        <v>27</v>
      </c>
      <c r="N8" s="76">
        <f>VLOOKUP(M8,AC8:AE45,3)</f>
        <v>700</v>
      </c>
      <c r="O8" s="29"/>
      <c r="Q8" s="213"/>
      <c r="AC8" s="48">
        <v>1</v>
      </c>
      <c r="AD8" t="s">
        <v>217</v>
      </c>
      <c r="AE8" t="s">
        <v>33</v>
      </c>
      <c r="AF8" s="50"/>
      <c r="AG8" s="51"/>
      <c r="AH8" s="50"/>
      <c r="AI8" s="50"/>
      <c r="AJ8" s="51"/>
      <c r="AK8" s="50"/>
      <c r="AL8" s="50"/>
      <c r="AM8" s="51"/>
      <c r="AN8" s="50"/>
      <c r="AO8" s="50"/>
      <c r="AP8" s="51"/>
      <c r="AQ8" s="50"/>
      <c r="AR8" s="50"/>
      <c r="AS8" s="51"/>
      <c r="AT8" s="50"/>
      <c r="AU8" s="50"/>
      <c r="AV8" s="51"/>
      <c r="AW8" s="50"/>
      <c r="AX8" s="50"/>
      <c r="AY8" s="51"/>
      <c r="AZ8" s="50"/>
      <c r="BA8" s="50"/>
      <c r="BB8" s="51"/>
      <c r="BC8" s="50"/>
      <c r="BD8" s="50"/>
      <c r="BE8" s="51"/>
      <c r="BF8" s="50"/>
      <c r="BG8" s="50"/>
      <c r="BH8" s="51"/>
      <c r="BI8" s="50"/>
      <c r="BJ8" s="50"/>
      <c r="BK8" s="51"/>
      <c r="BL8" s="50"/>
      <c r="BM8" s="50"/>
      <c r="BN8" s="51"/>
      <c r="BO8" s="50"/>
      <c r="BP8" s="50"/>
      <c r="BQ8" s="51"/>
      <c r="BR8" s="50"/>
      <c r="BS8" s="50"/>
      <c r="BT8" s="51"/>
      <c r="BU8" s="50"/>
      <c r="BV8" s="52"/>
    </row>
    <row r="9" spans="1:74" ht="15.75" customHeight="1">
      <c r="A9" s="27">
        <v>4</v>
      </c>
      <c r="B9" s="117" t="s">
        <v>218</v>
      </c>
      <c r="C9" s="128"/>
      <c r="D9" s="2"/>
      <c r="E9" s="74">
        <v>14</v>
      </c>
      <c r="F9" s="76" t="str">
        <f>VLOOKUP(E9,AJ47:AL60,3)</f>
        <v>XXS</v>
      </c>
      <c r="G9" s="127"/>
      <c r="H9" s="2"/>
      <c r="I9" s="74">
        <v>4</v>
      </c>
      <c r="J9" s="76">
        <f>VLOOKUP(I9,AJ47:AL60,3)</f>
        <v>20</v>
      </c>
      <c r="K9" s="127"/>
      <c r="L9" s="2"/>
      <c r="M9" s="74">
        <v>4</v>
      </c>
      <c r="N9" s="76">
        <f>VLOOKUP(M9,AJ47:AL60,3)</f>
        <v>20</v>
      </c>
      <c r="O9" s="29"/>
      <c r="Q9" s="213"/>
      <c r="AC9" s="48">
        <v>2</v>
      </c>
      <c r="AD9" s="75" t="s">
        <v>219</v>
      </c>
      <c r="AE9" s="50">
        <v>6</v>
      </c>
      <c r="AF9" s="50">
        <v>10.29</v>
      </c>
      <c r="AG9" s="54"/>
      <c r="AH9" s="55"/>
      <c r="AI9" s="55"/>
      <c r="AJ9" s="54">
        <v>10</v>
      </c>
      <c r="AK9" s="55">
        <v>4.9000000000000002E-2</v>
      </c>
      <c r="AL9" s="55">
        <v>0.307</v>
      </c>
      <c r="AM9" s="54"/>
      <c r="AN9" s="56"/>
      <c r="AO9" s="56"/>
      <c r="AP9" s="54"/>
      <c r="AQ9" s="56"/>
      <c r="AR9" s="56"/>
      <c r="AS9" s="54">
        <v>40</v>
      </c>
      <c r="AT9" s="55">
        <v>6.8000000000000005E-2</v>
      </c>
      <c r="AU9" s="55">
        <v>0.26900000000000002</v>
      </c>
      <c r="AV9" s="54"/>
      <c r="AW9" s="56"/>
      <c r="AX9" s="56"/>
      <c r="AY9" s="54">
        <v>80</v>
      </c>
      <c r="AZ9" s="55">
        <v>9.5000000000000001E-2</v>
      </c>
      <c r="BA9" s="55">
        <v>0.215</v>
      </c>
      <c r="BB9" s="54"/>
      <c r="BC9" s="56"/>
      <c r="BD9" s="56"/>
      <c r="BE9" s="54"/>
      <c r="BF9" s="56"/>
      <c r="BG9" s="56"/>
      <c r="BH9" s="54"/>
      <c r="BI9" s="56"/>
      <c r="BJ9" s="56"/>
      <c r="BK9" s="54"/>
      <c r="BL9" s="56"/>
      <c r="BM9" s="56"/>
      <c r="BN9" s="54" t="s">
        <v>220</v>
      </c>
      <c r="BO9" s="55">
        <v>6.8000000000000005E-2</v>
      </c>
      <c r="BP9" s="55">
        <v>0.26900000000000002</v>
      </c>
      <c r="BQ9" s="54" t="s">
        <v>221</v>
      </c>
      <c r="BR9" s="55">
        <v>9.5000000000000001E-2</v>
      </c>
      <c r="BS9" s="55">
        <v>0.215</v>
      </c>
      <c r="BT9" s="54"/>
      <c r="BU9" s="56"/>
      <c r="BV9" s="57"/>
    </row>
    <row r="10" spans="1:74" ht="17.25" customHeight="1">
      <c r="A10" s="30">
        <v>5</v>
      </c>
      <c r="B10" s="93" t="s">
        <v>222</v>
      </c>
      <c r="C10" s="515">
        <f>IF(F8="N/A","",(VLOOKUP(F8,AE8:AF44,2)))</f>
        <v>168.3</v>
      </c>
      <c r="D10" s="535"/>
      <c r="E10" s="12">
        <f>IF(F8="N/A",C13,C10)</f>
        <v>168.3</v>
      </c>
      <c r="F10" s="3"/>
      <c r="G10" s="514">
        <f>IF(J8="N/A","",(VLOOKUP(J8,AE8:AF44,2)))</f>
        <v>406.4</v>
      </c>
      <c r="H10" s="535"/>
      <c r="I10" s="12">
        <f>IF(J8="N/A",G13,G10)</f>
        <v>406.4</v>
      </c>
      <c r="J10" s="3"/>
      <c r="K10" s="514">
        <f>IF(N8="N/A","",(VLOOKUP(N8,AE8:AF44,2)))</f>
        <v>711.2</v>
      </c>
      <c r="L10" s="535"/>
      <c r="M10" s="12">
        <f>IF(N8="N/A",K13,K10)</f>
        <v>711.2</v>
      </c>
      <c r="N10" s="3"/>
      <c r="O10" s="29"/>
      <c r="Q10" s="213"/>
      <c r="AC10" s="48">
        <v>3</v>
      </c>
      <c r="AD10" s="53" t="s">
        <v>223</v>
      </c>
      <c r="AE10" s="50">
        <v>8</v>
      </c>
      <c r="AF10" s="50">
        <v>13.72</v>
      </c>
      <c r="AG10" s="54"/>
      <c r="AH10" s="55"/>
      <c r="AI10" s="55"/>
      <c r="AJ10" s="54">
        <v>10</v>
      </c>
      <c r="AK10" s="55">
        <v>6.5000000000000002E-2</v>
      </c>
      <c r="AL10" s="55">
        <v>0.41</v>
      </c>
      <c r="AM10" s="54"/>
      <c r="AN10" s="56"/>
      <c r="AO10" s="56"/>
      <c r="AP10" s="54"/>
      <c r="AQ10" s="56"/>
      <c r="AR10" s="56"/>
      <c r="AS10" s="54">
        <v>40</v>
      </c>
      <c r="AT10" s="55">
        <v>8.7999999999999995E-2</v>
      </c>
      <c r="AU10" s="55">
        <v>0.36399999999999999</v>
      </c>
      <c r="AV10" s="54"/>
      <c r="AW10" s="56"/>
      <c r="AX10" s="56"/>
      <c r="AY10" s="54">
        <v>80</v>
      </c>
      <c r="AZ10" s="55">
        <v>0.11899999999999999</v>
      </c>
      <c r="BA10" s="55">
        <v>0.30199999999999999</v>
      </c>
      <c r="BB10" s="54"/>
      <c r="BC10" s="56"/>
      <c r="BD10" s="56"/>
      <c r="BE10" s="54"/>
      <c r="BF10" s="56"/>
      <c r="BG10" s="56"/>
      <c r="BH10" s="54"/>
      <c r="BI10" s="56"/>
      <c r="BJ10" s="56"/>
      <c r="BK10" s="54"/>
      <c r="BL10" s="56"/>
      <c r="BM10" s="56"/>
      <c r="BN10" s="54" t="s">
        <v>220</v>
      </c>
      <c r="BO10" s="55">
        <v>8.7999999999999995E-2</v>
      </c>
      <c r="BP10" s="55">
        <v>0.36399999999999999</v>
      </c>
      <c r="BQ10" s="54" t="s">
        <v>221</v>
      </c>
      <c r="BR10" s="55">
        <v>0.11899999999999999</v>
      </c>
      <c r="BS10" s="55">
        <v>0.30199999999999999</v>
      </c>
      <c r="BT10" s="54"/>
      <c r="BU10" s="56"/>
      <c r="BV10" s="57"/>
    </row>
    <row r="11" spans="1:74" ht="17.25" customHeight="1">
      <c r="A11" s="30">
        <v>6</v>
      </c>
      <c r="B11" s="90" t="s">
        <v>224</v>
      </c>
      <c r="C11" s="550">
        <f>IF(F8="N/A","",VLOOKUP(F8,AE9:BV44,VLOOKUP(F9,AF49:AG62,2)+2,FALSE)*25.4)</f>
        <v>21.945599999999999</v>
      </c>
      <c r="D11" s="551"/>
      <c r="E11" s="12">
        <f>IF(F8="N/A",C14,C11)</f>
        <v>21.945599999999999</v>
      </c>
      <c r="F11" s="3"/>
      <c r="G11" s="550">
        <f>IF(J8="N/A","",VLOOKUP(J8,AE9:BV44,VLOOKUP(J9,AF49:AG62,2)+2,FALSE)*25.4)</f>
        <v>7.9247999999999994</v>
      </c>
      <c r="H11" s="551"/>
      <c r="I11" s="12">
        <f>IF(J8="N/A",G14,G11)</f>
        <v>7.9247999999999994</v>
      </c>
      <c r="J11" s="3"/>
      <c r="K11" s="550">
        <f>IF(N8="N/A","",VLOOKUP(N8,AE9:BV44,VLOOKUP(N9,AF49:AG62,2)+2,FALSE)*25.4)</f>
        <v>12.7</v>
      </c>
      <c r="L11" s="551"/>
      <c r="M11" s="12">
        <f>IF(N8="N/A",K14,K11)</f>
        <v>12.7</v>
      </c>
      <c r="N11" s="3"/>
      <c r="O11" s="27"/>
      <c r="Q11" s="213"/>
      <c r="AC11" s="48">
        <v>4</v>
      </c>
      <c r="AD11" s="53" t="s">
        <v>225</v>
      </c>
      <c r="AE11" s="50">
        <v>10</v>
      </c>
      <c r="AF11" s="50">
        <v>17.149999999999999</v>
      </c>
      <c r="AG11" s="54"/>
      <c r="AH11" s="55"/>
      <c r="AI11" s="55"/>
      <c r="AJ11" s="54">
        <v>10</v>
      </c>
      <c r="AK11" s="55">
        <v>6.5000000000000002E-2</v>
      </c>
      <c r="AL11" s="55">
        <v>0.54500000000000004</v>
      </c>
      <c r="AM11" s="54"/>
      <c r="AN11" s="56"/>
      <c r="AO11" s="56"/>
      <c r="AP11" s="54"/>
      <c r="AQ11" s="56"/>
      <c r="AR11" s="56"/>
      <c r="AS11" s="54">
        <v>40</v>
      </c>
      <c r="AT11" s="55">
        <v>9.0999999999999998E-2</v>
      </c>
      <c r="AU11" s="55">
        <v>0.49299999999999999</v>
      </c>
      <c r="AV11" s="54"/>
      <c r="AW11" s="56"/>
      <c r="AX11" s="56"/>
      <c r="AY11" s="54">
        <v>80</v>
      </c>
      <c r="AZ11" s="55">
        <v>0.126</v>
      </c>
      <c r="BA11" s="55">
        <v>0.42499999999999999</v>
      </c>
      <c r="BB11" s="54"/>
      <c r="BC11" s="56"/>
      <c r="BD11" s="56"/>
      <c r="BE11" s="54"/>
      <c r="BF11" s="56"/>
      <c r="BG11" s="56"/>
      <c r="BH11" s="54"/>
      <c r="BI11" s="56"/>
      <c r="BJ11" s="56"/>
      <c r="BK11" s="54"/>
      <c r="BL11" s="56"/>
      <c r="BM11" s="56"/>
      <c r="BN11" s="54" t="s">
        <v>220</v>
      </c>
      <c r="BO11" s="55">
        <v>9.0999999999999998E-2</v>
      </c>
      <c r="BP11" s="55">
        <v>0.49299999999999999</v>
      </c>
      <c r="BQ11" s="54" t="s">
        <v>221</v>
      </c>
      <c r="BR11" s="55">
        <v>0.126</v>
      </c>
      <c r="BS11" s="55">
        <v>0.42299999999999999</v>
      </c>
      <c r="BT11" s="54"/>
      <c r="BU11" s="56"/>
      <c r="BV11" s="57"/>
    </row>
    <row r="12" spans="1:74" ht="17.25" customHeight="1">
      <c r="A12" s="27">
        <v>7</v>
      </c>
      <c r="B12" s="90" t="s">
        <v>226</v>
      </c>
      <c r="C12" s="552">
        <f>IF(F8="N/A","",VLOOKUP(F8,AE9:BV44,VLOOKUP(F9,AF49:AG62,2)+3,FALSE)*25.4)</f>
        <v>124.38379999999999</v>
      </c>
      <c r="D12" s="553"/>
      <c r="E12" s="12">
        <f>IF(F8="N/A",C15,C12)</f>
        <v>124.38379999999999</v>
      </c>
      <c r="F12" s="3"/>
      <c r="G12" s="552">
        <f>IF(J8="N/A","",VLOOKUP(J8,AE9:BV44,VLOOKUP(J9,AF49:AG62,2)+3,FALSE)*25.4)</f>
        <v>390.55039999999997</v>
      </c>
      <c r="H12" s="553"/>
      <c r="I12" s="12">
        <f>IF(J8="N/A",G15,G12)</f>
        <v>390.55039999999997</v>
      </c>
      <c r="J12" s="3"/>
      <c r="K12" s="552">
        <f>IF(N8="N/A","",VLOOKUP(N8,AE9:BV44,VLOOKUP(N9,AF49:AG62,2)+3,FALSE)*25.4)</f>
        <v>685.8</v>
      </c>
      <c r="L12" s="553"/>
      <c r="M12" s="12">
        <f>IF(N8="N/A",K15,K12)</f>
        <v>685.8</v>
      </c>
      <c r="N12" s="3"/>
      <c r="O12" s="27"/>
      <c r="Q12" s="213"/>
      <c r="AC12" s="48">
        <v>5</v>
      </c>
      <c r="AD12" s="53" t="s">
        <v>227</v>
      </c>
      <c r="AE12" s="58">
        <v>15</v>
      </c>
      <c r="AF12" s="58">
        <v>21.34</v>
      </c>
      <c r="AG12" s="54"/>
      <c r="AH12" s="59"/>
      <c r="AI12" s="59"/>
      <c r="AJ12" s="54">
        <v>10</v>
      </c>
      <c r="AK12" s="59">
        <v>6.5000000000000002E-2</v>
      </c>
      <c r="AL12" s="59">
        <v>0.67400000000000004</v>
      </c>
      <c r="AM12" s="60"/>
      <c r="AN12" s="61"/>
      <c r="AO12" s="61"/>
      <c r="AP12" s="60"/>
      <c r="AQ12" s="61"/>
      <c r="AR12" s="61"/>
      <c r="AS12" s="60">
        <v>40</v>
      </c>
      <c r="AT12" s="59">
        <v>0.109</v>
      </c>
      <c r="AU12" s="59">
        <v>0.622</v>
      </c>
      <c r="AV12" s="60"/>
      <c r="AW12" s="61"/>
      <c r="AX12" s="61"/>
      <c r="AY12" s="54">
        <v>80</v>
      </c>
      <c r="AZ12" s="59">
        <v>0.14699999999999999</v>
      </c>
      <c r="BA12" s="59">
        <v>0.54600000000000004</v>
      </c>
      <c r="BB12" s="60"/>
      <c r="BC12" s="61"/>
      <c r="BD12" s="61"/>
      <c r="BE12" s="60"/>
      <c r="BF12" s="62"/>
      <c r="BG12" s="61"/>
      <c r="BH12" s="60"/>
      <c r="BI12" s="61"/>
      <c r="BJ12" s="61"/>
      <c r="BK12" s="60">
        <v>160</v>
      </c>
      <c r="BL12" s="55">
        <v>0.188</v>
      </c>
      <c r="BM12" s="55">
        <v>0.46400000000000002</v>
      </c>
      <c r="BN12" s="54" t="s">
        <v>220</v>
      </c>
      <c r="BO12" s="59">
        <v>0.109</v>
      </c>
      <c r="BP12" s="59">
        <v>0.622</v>
      </c>
      <c r="BQ12" s="54" t="s">
        <v>221</v>
      </c>
      <c r="BR12" s="59">
        <v>0.14699999999999999</v>
      </c>
      <c r="BS12" s="59">
        <v>0.54600000000000004</v>
      </c>
      <c r="BT12" s="54" t="s">
        <v>228</v>
      </c>
      <c r="BU12" s="55">
        <v>0.29399999999999998</v>
      </c>
      <c r="BV12" s="63">
        <v>0.252</v>
      </c>
    </row>
    <row r="13" spans="1:74" ht="17.25" customHeight="1">
      <c r="A13" s="30">
        <v>8</v>
      </c>
      <c r="B13" s="90" t="s">
        <v>229</v>
      </c>
      <c r="C13" s="533"/>
      <c r="D13" s="534"/>
      <c r="E13" s="12"/>
      <c r="F13" s="3"/>
      <c r="G13" s="533">
        <v>168.3</v>
      </c>
      <c r="H13" s="534"/>
      <c r="I13" s="12"/>
      <c r="J13" s="3"/>
      <c r="K13" s="533"/>
      <c r="L13" s="534"/>
      <c r="M13" s="12"/>
      <c r="N13" s="3"/>
      <c r="O13" s="27"/>
      <c r="Q13" s="213"/>
      <c r="AC13" s="48">
        <v>6</v>
      </c>
      <c r="AD13" s="53" t="s">
        <v>230</v>
      </c>
      <c r="AE13" s="58">
        <v>20</v>
      </c>
      <c r="AF13" s="58">
        <v>26.67</v>
      </c>
      <c r="AG13" s="54">
        <v>5</v>
      </c>
      <c r="AH13" s="59">
        <v>6.5000000000000002E-2</v>
      </c>
      <c r="AI13" s="59">
        <v>0.92</v>
      </c>
      <c r="AJ13" s="54">
        <v>10</v>
      </c>
      <c r="AK13" s="59">
        <v>8.3000000000000004E-2</v>
      </c>
      <c r="AL13" s="59">
        <v>0.88400000000000001</v>
      </c>
      <c r="AM13" s="60"/>
      <c r="AN13" s="61"/>
      <c r="AO13" s="61"/>
      <c r="AP13" s="60"/>
      <c r="AQ13" s="61"/>
      <c r="AR13" s="61"/>
      <c r="AS13" s="60">
        <v>40</v>
      </c>
      <c r="AT13" s="59">
        <v>0.113</v>
      </c>
      <c r="AU13" s="59">
        <v>0.82399999999999995</v>
      </c>
      <c r="AV13" s="60"/>
      <c r="AW13" s="61"/>
      <c r="AX13" s="61"/>
      <c r="AY13" s="54">
        <v>80</v>
      </c>
      <c r="AZ13" s="59">
        <v>0.154</v>
      </c>
      <c r="BA13" s="59">
        <v>0.74199999999999999</v>
      </c>
      <c r="BB13" s="60"/>
      <c r="BC13" s="61"/>
      <c r="BD13" s="61"/>
      <c r="BE13" s="60"/>
      <c r="BF13" s="61"/>
      <c r="BG13" s="61"/>
      <c r="BH13" s="60"/>
      <c r="BI13" s="61"/>
      <c r="BJ13" s="61"/>
      <c r="BK13" s="60">
        <v>160</v>
      </c>
      <c r="BL13" s="55">
        <v>0.219</v>
      </c>
      <c r="BM13" s="55">
        <v>0.61199999999999999</v>
      </c>
      <c r="BN13" s="54" t="s">
        <v>220</v>
      </c>
      <c r="BO13" s="59">
        <v>0.113</v>
      </c>
      <c r="BP13" s="59">
        <v>0.82399999999999995</v>
      </c>
      <c r="BQ13" s="54" t="s">
        <v>221</v>
      </c>
      <c r="BR13" s="59">
        <v>0.154</v>
      </c>
      <c r="BS13" s="59">
        <v>0.74199999999999999</v>
      </c>
      <c r="BT13" s="54" t="s">
        <v>228</v>
      </c>
      <c r="BU13" s="55">
        <v>0.308</v>
      </c>
      <c r="BV13" s="63">
        <v>0.434</v>
      </c>
    </row>
    <row r="14" spans="1:74" ht="17.25" customHeight="1">
      <c r="A14" s="30">
        <v>9</v>
      </c>
      <c r="B14" s="90" t="s">
        <v>231</v>
      </c>
      <c r="C14" s="536"/>
      <c r="D14" s="537"/>
      <c r="E14" s="12"/>
      <c r="F14" s="3"/>
      <c r="G14" s="536">
        <v>21.95</v>
      </c>
      <c r="H14" s="537"/>
      <c r="I14" s="12"/>
      <c r="J14" s="3"/>
      <c r="K14" s="536"/>
      <c r="L14" s="537"/>
      <c r="M14" s="12"/>
      <c r="N14" s="3"/>
      <c r="O14" s="27"/>
      <c r="Q14" s="213"/>
      <c r="AC14" s="48">
        <v>7</v>
      </c>
      <c r="AD14" s="49">
        <v>1</v>
      </c>
      <c r="AE14" s="58">
        <v>25</v>
      </c>
      <c r="AF14" s="58">
        <v>33.4</v>
      </c>
      <c r="AG14" s="54">
        <v>5</v>
      </c>
      <c r="AH14" s="59">
        <v>6.5000000000000002E-2</v>
      </c>
      <c r="AI14" s="59">
        <v>1.1850000000000001</v>
      </c>
      <c r="AJ14" s="54">
        <v>10</v>
      </c>
      <c r="AK14" s="59">
        <v>0.109</v>
      </c>
      <c r="AL14" s="59">
        <v>1.097</v>
      </c>
      <c r="AM14" s="60"/>
      <c r="AN14" s="61"/>
      <c r="AO14" s="61"/>
      <c r="AP14" s="60"/>
      <c r="AQ14" s="61"/>
      <c r="AR14" s="61"/>
      <c r="AS14" s="60">
        <v>40</v>
      </c>
      <c r="AT14" s="59">
        <v>0.13300000000000001</v>
      </c>
      <c r="AU14" s="59">
        <v>1.0489999999999999</v>
      </c>
      <c r="AV14" s="60"/>
      <c r="AW14" s="61"/>
      <c r="AX14" s="61"/>
      <c r="AY14" s="54">
        <v>80</v>
      </c>
      <c r="AZ14" s="59">
        <v>0.17899999999999999</v>
      </c>
      <c r="BA14" s="59">
        <v>0.95700000000000007</v>
      </c>
      <c r="BB14" s="60"/>
      <c r="BC14" s="61"/>
      <c r="BD14" s="61"/>
      <c r="BE14" s="60"/>
      <c r="BF14" s="61"/>
      <c r="BG14" s="61"/>
      <c r="BH14" s="60"/>
      <c r="BI14" s="61"/>
      <c r="BJ14" s="61"/>
      <c r="BK14" s="60">
        <v>160</v>
      </c>
      <c r="BL14" s="55">
        <v>0.25</v>
      </c>
      <c r="BM14" s="55">
        <v>0.81499999999999995</v>
      </c>
      <c r="BN14" s="54" t="s">
        <v>220</v>
      </c>
      <c r="BO14" s="59">
        <v>0.13300000000000001</v>
      </c>
      <c r="BP14" s="59">
        <v>1.0489999999999999</v>
      </c>
      <c r="BQ14" s="54" t="s">
        <v>221</v>
      </c>
      <c r="BR14" s="59">
        <v>0.17899999999999999</v>
      </c>
      <c r="BS14" s="59">
        <v>0.95700000000000007</v>
      </c>
      <c r="BT14" s="54" t="s">
        <v>228</v>
      </c>
      <c r="BU14" s="55">
        <v>0.35799999999999998</v>
      </c>
      <c r="BV14" s="63">
        <v>0.59899999999999998</v>
      </c>
    </row>
    <row r="15" spans="1:74" ht="17.25" customHeight="1">
      <c r="A15" s="27">
        <v>10</v>
      </c>
      <c r="B15" s="129" t="s">
        <v>232</v>
      </c>
      <c r="C15" s="533"/>
      <c r="D15" s="534"/>
      <c r="E15" s="12"/>
      <c r="F15" s="3"/>
      <c r="G15" s="533">
        <v>124.38</v>
      </c>
      <c r="H15" s="534"/>
      <c r="I15" s="12"/>
      <c r="J15" s="3"/>
      <c r="K15" s="533"/>
      <c r="L15" s="534"/>
      <c r="M15" s="12"/>
      <c r="N15" s="3"/>
      <c r="O15" s="27"/>
      <c r="Q15" s="213"/>
      <c r="AC15" s="48">
        <v>8</v>
      </c>
      <c r="AD15" s="49">
        <v>1.25</v>
      </c>
      <c r="AE15" s="58">
        <v>32</v>
      </c>
      <c r="AF15" s="58">
        <v>42.16</v>
      </c>
      <c r="AG15" s="54">
        <v>5</v>
      </c>
      <c r="AH15" s="59">
        <v>6.5000000000000002E-2</v>
      </c>
      <c r="AI15" s="59">
        <v>1.53</v>
      </c>
      <c r="AJ15" s="54">
        <v>10</v>
      </c>
      <c r="AK15" s="59">
        <v>0.109</v>
      </c>
      <c r="AL15" s="59">
        <v>1.4419999999999999</v>
      </c>
      <c r="AM15" s="60"/>
      <c r="AN15" s="61"/>
      <c r="AO15" s="61"/>
      <c r="AP15" s="60"/>
      <c r="AQ15" s="61"/>
      <c r="AR15" s="61"/>
      <c r="AS15" s="60">
        <v>40</v>
      </c>
      <c r="AT15" s="59">
        <v>0.14000000000000001</v>
      </c>
      <c r="AU15" s="59">
        <v>1.38</v>
      </c>
      <c r="AV15" s="60"/>
      <c r="AW15" s="61"/>
      <c r="AX15" s="61"/>
      <c r="AY15" s="54">
        <v>80</v>
      </c>
      <c r="AZ15" s="59">
        <v>0.191</v>
      </c>
      <c r="BA15" s="59">
        <v>1.278</v>
      </c>
      <c r="BB15" s="60"/>
      <c r="BC15" s="61"/>
      <c r="BD15" s="61"/>
      <c r="BE15" s="60"/>
      <c r="BF15" s="61"/>
      <c r="BG15" s="61"/>
      <c r="BH15" s="60"/>
      <c r="BI15" s="61"/>
      <c r="BJ15" s="61"/>
      <c r="BK15" s="60">
        <v>160</v>
      </c>
      <c r="BL15" s="59">
        <v>0.25</v>
      </c>
      <c r="BM15" s="59">
        <v>1.1599999999999999</v>
      </c>
      <c r="BN15" s="54" t="s">
        <v>220</v>
      </c>
      <c r="BO15" s="59">
        <v>0.14000000000000001</v>
      </c>
      <c r="BP15" s="59">
        <v>1.38</v>
      </c>
      <c r="BQ15" s="54" t="s">
        <v>221</v>
      </c>
      <c r="BR15" s="59">
        <v>0.191</v>
      </c>
      <c r="BS15" s="59">
        <v>1.278</v>
      </c>
      <c r="BT15" s="54" t="s">
        <v>228</v>
      </c>
      <c r="BU15" s="59">
        <v>0.38200000000000001</v>
      </c>
      <c r="BV15" s="64">
        <v>0.89600000000000002</v>
      </c>
    </row>
    <row r="16" spans="1:74" ht="17.25" customHeight="1">
      <c r="A16" s="30">
        <v>11</v>
      </c>
      <c r="B16" s="90" t="s">
        <v>233</v>
      </c>
      <c r="C16" s="514">
        <f>IF(F8="N/A","",(VLOOKUP(F8,AE8:AU44,16)*25.4))</f>
        <v>7.1120000000000001</v>
      </c>
      <c r="D16" s="535"/>
      <c r="E16" s="1">
        <f>IF(F8="N/A",C17,C16)</f>
        <v>7.1120000000000001</v>
      </c>
      <c r="F16" s="22"/>
      <c r="G16" s="514">
        <f>IF(J8="N/A","",(VLOOKUP(J8,AE8:AU44,16)*25.4))</f>
        <v>12.7</v>
      </c>
      <c r="H16" s="535"/>
      <c r="I16" s="1">
        <f>IF(J8="N/A",G17,G16)</f>
        <v>12.7</v>
      </c>
      <c r="J16" s="22"/>
      <c r="K16" s="514">
        <f>IF(N8="N/A","",(VLOOKUP(N8,AE8:AU44,16)*25.4))</f>
        <v>0</v>
      </c>
      <c r="L16" s="535"/>
      <c r="M16" s="1">
        <f>IF(N8="N/A",K17,K16)</f>
        <v>0</v>
      </c>
      <c r="N16" s="22"/>
      <c r="O16" s="27"/>
      <c r="Q16" s="213"/>
      <c r="AC16" s="48">
        <v>9</v>
      </c>
      <c r="AD16" s="49">
        <v>1.5</v>
      </c>
      <c r="AE16" s="58">
        <v>40</v>
      </c>
      <c r="AF16" s="58">
        <v>48.26</v>
      </c>
      <c r="AG16" s="54">
        <v>5</v>
      </c>
      <c r="AH16" s="59">
        <v>6.5000000000000002E-2</v>
      </c>
      <c r="AI16" s="59">
        <v>1.77</v>
      </c>
      <c r="AJ16" s="54">
        <v>10</v>
      </c>
      <c r="AK16" s="59">
        <v>0.109</v>
      </c>
      <c r="AL16" s="59">
        <v>1.6819999999999999</v>
      </c>
      <c r="AM16" s="60"/>
      <c r="AN16" s="61"/>
      <c r="AO16" s="61"/>
      <c r="AP16" s="60"/>
      <c r="AQ16" s="61"/>
      <c r="AR16" s="61"/>
      <c r="AS16" s="60">
        <v>40</v>
      </c>
      <c r="AT16" s="59">
        <v>0.14499999999999999</v>
      </c>
      <c r="AU16" s="59">
        <v>1.61</v>
      </c>
      <c r="AV16" s="60"/>
      <c r="AW16" s="61"/>
      <c r="AX16" s="61"/>
      <c r="AY16" s="54">
        <v>80</v>
      </c>
      <c r="AZ16" s="59">
        <v>0.2</v>
      </c>
      <c r="BA16" s="59">
        <v>1.5</v>
      </c>
      <c r="BB16" s="60"/>
      <c r="BC16" s="61"/>
      <c r="BD16" s="61"/>
      <c r="BE16" s="60"/>
      <c r="BF16" s="61"/>
      <c r="BG16" s="61"/>
      <c r="BH16" s="60"/>
      <c r="BI16" s="61"/>
      <c r="BJ16" s="61"/>
      <c r="BK16" s="60">
        <v>160</v>
      </c>
      <c r="BL16" s="59">
        <v>0.28100000000000003</v>
      </c>
      <c r="BM16" s="59">
        <v>1.3380000000000001</v>
      </c>
      <c r="BN16" s="54" t="s">
        <v>220</v>
      </c>
      <c r="BO16" s="59">
        <v>0.14499999999999999</v>
      </c>
      <c r="BP16" s="59">
        <v>1.61</v>
      </c>
      <c r="BQ16" s="54" t="s">
        <v>221</v>
      </c>
      <c r="BR16" s="59">
        <v>0.2</v>
      </c>
      <c r="BS16" s="59">
        <v>1.5</v>
      </c>
      <c r="BT16" s="54" t="s">
        <v>228</v>
      </c>
      <c r="BU16" s="59">
        <v>0.4</v>
      </c>
      <c r="BV16" s="64">
        <v>1.1000000000000001</v>
      </c>
    </row>
    <row r="17" spans="1:74" ht="17.25" customHeight="1">
      <c r="A17" s="30">
        <v>12</v>
      </c>
      <c r="B17" s="91" t="s">
        <v>234</v>
      </c>
      <c r="C17" s="536"/>
      <c r="D17" s="537"/>
      <c r="E17" s="22"/>
      <c r="F17" s="22"/>
      <c r="G17" s="536">
        <v>7.1120000000000001</v>
      </c>
      <c r="H17" s="537"/>
      <c r="I17" s="22"/>
      <c r="J17" s="22"/>
      <c r="K17" s="536"/>
      <c r="L17" s="537"/>
      <c r="M17" s="22"/>
      <c r="N17" s="22"/>
      <c r="O17" s="27"/>
      <c r="Q17" s="213"/>
      <c r="AC17" s="48">
        <v>10</v>
      </c>
      <c r="AD17" s="49">
        <v>2</v>
      </c>
      <c r="AE17" s="58">
        <v>50</v>
      </c>
      <c r="AF17" s="58">
        <v>60.33</v>
      </c>
      <c r="AG17" s="54">
        <v>5</v>
      </c>
      <c r="AH17" s="59">
        <v>6.5000000000000002E-2</v>
      </c>
      <c r="AI17" s="59">
        <v>2.2450000000000001</v>
      </c>
      <c r="AJ17" s="54">
        <v>10</v>
      </c>
      <c r="AK17" s="59">
        <v>0.109</v>
      </c>
      <c r="AL17" s="59">
        <v>2.157</v>
      </c>
      <c r="AM17" s="60"/>
      <c r="AN17" s="61"/>
      <c r="AO17" s="61"/>
      <c r="AP17" s="60"/>
      <c r="AQ17" s="61"/>
      <c r="AR17" s="61"/>
      <c r="AS17" s="60">
        <v>40</v>
      </c>
      <c r="AT17" s="59">
        <v>0.154</v>
      </c>
      <c r="AU17" s="59">
        <v>2.0670000000000002</v>
      </c>
      <c r="AV17" s="60"/>
      <c r="AW17" s="61"/>
      <c r="AX17" s="61"/>
      <c r="AY17" s="54">
        <v>80</v>
      </c>
      <c r="AZ17" s="59">
        <v>0.218</v>
      </c>
      <c r="BA17" s="59">
        <v>1.9390000000000001</v>
      </c>
      <c r="BB17" s="60"/>
      <c r="BC17" s="61"/>
      <c r="BD17" s="61"/>
      <c r="BE17" s="60"/>
      <c r="BF17" s="61"/>
      <c r="BG17" s="61"/>
      <c r="BH17" s="60"/>
      <c r="BI17" s="61"/>
      <c r="BJ17" s="61"/>
      <c r="BK17" s="60">
        <v>160</v>
      </c>
      <c r="BL17" s="59">
        <v>0.34399999999999997</v>
      </c>
      <c r="BM17" s="59">
        <v>1.6870000000000001</v>
      </c>
      <c r="BN17" s="54" t="s">
        <v>220</v>
      </c>
      <c r="BO17" s="59">
        <v>0.154</v>
      </c>
      <c r="BP17" s="59">
        <v>2.0670000000000002</v>
      </c>
      <c r="BQ17" s="54" t="s">
        <v>221</v>
      </c>
      <c r="BR17" s="59">
        <v>0.218</v>
      </c>
      <c r="BS17" s="59">
        <v>1.9390000000000001</v>
      </c>
      <c r="BT17" s="54" t="s">
        <v>228</v>
      </c>
      <c r="BU17" s="59">
        <v>0.436</v>
      </c>
      <c r="BV17" s="64">
        <v>1.5029999999999999</v>
      </c>
    </row>
    <row r="18" spans="1:74" ht="17.25" customHeight="1">
      <c r="A18" s="27">
        <v>13</v>
      </c>
      <c r="B18" s="113" t="s">
        <v>235</v>
      </c>
      <c r="C18" s="538">
        <v>4</v>
      </c>
      <c r="D18" s="539"/>
      <c r="E18" s="78"/>
      <c r="F18" s="79"/>
      <c r="G18" s="538">
        <v>10</v>
      </c>
      <c r="H18" s="539"/>
      <c r="I18" s="78"/>
      <c r="J18" s="79"/>
      <c r="K18" s="525">
        <v>15</v>
      </c>
      <c r="L18" s="540"/>
      <c r="M18" s="78"/>
      <c r="N18" s="79"/>
      <c r="O18" s="27"/>
      <c r="AC18" s="48">
        <v>11</v>
      </c>
      <c r="AD18" s="49">
        <v>2.5</v>
      </c>
      <c r="AE18" s="58">
        <v>65</v>
      </c>
      <c r="AF18" s="58">
        <v>73.02</v>
      </c>
      <c r="AG18" s="54">
        <v>5</v>
      </c>
      <c r="AH18" s="59">
        <v>8.3000000000000004E-2</v>
      </c>
      <c r="AI18" s="59">
        <v>2.7090000000000001</v>
      </c>
      <c r="AJ18" s="54">
        <v>10</v>
      </c>
      <c r="AK18" s="59">
        <v>0.12</v>
      </c>
      <c r="AL18" s="59">
        <v>2.6349999999999998</v>
      </c>
      <c r="AM18" s="60"/>
      <c r="AN18" s="61"/>
      <c r="AO18" s="61"/>
      <c r="AP18" s="60"/>
      <c r="AQ18" s="61"/>
      <c r="AR18" s="61"/>
      <c r="AS18" s="60">
        <v>40</v>
      </c>
      <c r="AT18" s="59">
        <v>0.20300000000000001</v>
      </c>
      <c r="AU18" s="59">
        <v>2.4689999999999999</v>
      </c>
      <c r="AV18" s="60"/>
      <c r="AW18" s="61"/>
      <c r="AX18" s="61"/>
      <c r="AY18" s="54">
        <v>80</v>
      </c>
      <c r="AZ18" s="55">
        <v>0.27600000000000002</v>
      </c>
      <c r="BA18" s="55">
        <v>2.323</v>
      </c>
      <c r="BB18" s="60"/>
      <c r="BC18" s="61"/>
      <c r="BD18" s="61"/>
      <c r="BE18" s="60"/>
      <c r="BF18" s="61"/>
      <c r="BG18" s="61"/>
      <c r="BH18" s="60"/>
      <c r="BI18" s="61"/>
      <c r="BJ18" s="61"/>
      <c r="BK18" s="60">
        <v>160</v>
      </c>
      <c r="BL18" s="59">
        <v>0.375</v>
      </c>
      <c r="BM18" s="59">
        <v>2.125</v>
      </c>
      <c r="BN18" s="54" t="s">
        <v>220</v>
      </c>
      <c r="BO18" s="55">
        <v>0.20300000000000001</v>
      </c>
      <c r="BP18" s="55">
        <v>2.4689999999999999</v>
      </c>
      <c r="BQ18" s="54" t="s">
        <v>221</v>
      </c>
      <c r="BR18" s="55">
        <v>0.27600000000000002</v>
      </c>
      <c r="BS18" s="55">
        <v>2.323</v>
      </c>
      <c r="BT18" s="54" t="s">
        <v>228</v>
      </c>
      <c r="BU18" s="59">
        <v>0.55200000000000005</v>
      </c>
      <c r="BV18" s="64">
        <v>1.7709999999999999</v>
      </c>
    </row>
    <row r="19" spans="1:74" ht="17.25" customHeight="1">
      <c r="A19" s="30">
        <v>14</v>
      </c>
      <c r="B19" s="113" t="s">
        <v>236</v>
      </c>
      <c r="C19" s="525">
        <v>2.0000000000000002E-5</v>
      </c>
      <c r="D19" s="526"/>
      <c r="E19" s="78"/>
      <c r="F19" s="79"/>
      <c r="G19" s="525"/>
      <c r="H19" s="526"/>
      <c r="I19" s="78"/>
      <c r="J19" s="79"/>
      <c r="K19" s="525">
        <v>2.0000000000000002E-5</v>
      </c>
      <c r="L19" s="540"/>
      <c r="M19" s="78"/>
      <c r="N19" s="79"/>
      <c r="O19" s="27"/>
      <c r="AC19" s="48">
        <v>12</v>
      </c>
      <c r="AD19" s="49">
        <v>3</v>
      </c>
      <c r="AE19" s="58">
        <v>80</v>
      </c>
      <c r="AF19" s="58">
        <v>88.9</v>
      </c>
      <c r="AG19" s="54">
        <v>5</v>
      </c>
      <c r="AH19" s="59">
        <v>8.3000000000000004E-2</v>
      </c>
      <c r="AI19" s="59">
        <v>3.3340000000000001</v>
      </c>
      <c r="AJ19" s="54">
        <v>10</v>
      </c>
      <c r="AK19" s="59">
        <v>0.12</v>
      </c>
      <c r="AL19" s="59">
        <v>3.26</v>
      </c>
      <c r="AM19" s="60"/>
      <c r="AN19" s="61"/>
      <c r="AO19" s="61"/>
      <c r="AP19" s="60"/>
      <c r="AQ19" s="61"/>
      <c r="AR19" s="61"/>
      <c r="AS19" s="60">
        <v>40</v>
      </c>
      <c r="AT19" s="59">
        <v>0.216</v>
      </c>
      <c r="AU19" s="59">
        <v>3.0680000000000001</v>
      </c>
      <c r="AV19" s="60"/>
      <c r="AW19" s="61"/>
      <c r="AX19" s="61"/>
      <c r="AY19" s="54">
        <v>80</v>
      </c>
      <c r="AZ19" s="55">
        <v>0.3</v>
      </c>
      <c r="BA19" s="55">
        <v>2.9</v>
      </c>
      <c r="BB19" s="60"/>
      <c r="BC19" s="61"/>
      <c r="BD19" s="61"/>
      <c r="BE19" s="60"/>
      <c r="BF19" s="61"/>
      <c r="BG19" s="61"/>
      <c r="BH19" s="60"/>
      <c r="BI19" s="61"/>
      <c r="BJ19" s="61"/>
      <c r="BK19" s="60">
        <v>160</v>
      </c>
      <c r="BL19" s="59">
        <v>0.438</v>
      </c>
      <c r="BM19" s="59">
        <v>2.6240000000000001</v>
      </c>
      <c r="BN19" s="54" t="s">
        <v>220</v>
      </c>
      <c r="BO19" s="55">
        <v>0.216</v>
      </c>
      <c r="BP19" s="55">
        <v>3.0680000000000001</v>
      </c>
      <c r="BQ19" s="54" t="s">
        <v>221</v>
      </c>
      <c r="BR19" s="55">
        <v>0.3</v>
      </c>
      <c r="BS19" s="55">
        <v>2.9</v>
      </c>
      <c r="BT19" s="54" t="s">
        <v>228</v>
      </c>
      <c r="BU19" s="59">
        <v>0.6</v>
      </c>
      <c r="BV19" s="64">
        <v>2.2999999999999998</v>
      </c>
    </row>
    <row r="20" spans="1:74" ht="17.25" customHeight="1">
      <c r="A20" s="27">
        <v>15</v>
      </c>
      <c r="B20" s="113" t="s">
        <v>237</v>
      </c>
      <c r="C20" s="527">
        <v>965.96</v>
      </c>
      <c r="D20" s="528"/>
      <c r="E20" s="78"/>
      <c r="F20" s="79"/>
      <c r="G20" s="527">
        <v>965.96</v>
      </c>
      <c r="H20" s="528"/>
      <c r="I20" s="78"/>
      <c r="J20" s="79"/>
      <c r="K20" s="527">
        <v>965.96</v>
      </c>
      <c r="L20" s="541"/>
      <c r="M20" s="78"/>
      <c r="N20" s="79"/>
      <c r="O20" s="27"/>
      <c r="U20" t="s">
        <v>238</v>
      </c>
      <c r="V20" s="33">
        <v>2</v>
      </c>
      <c r="W20" t="s">
        <v>238</v>
      </c>
      <c r="X20" s="33">
        <v>1</v>
      </c>
      <c r="Y20" t="s">
        <v>238</v>
      </c>
      <c r="Z20" s="33">
        <v>3</v>
      </c>
      <c r="AC20" s="48">
        <v>13</v>
      </c>
      <c r="AD20" s="49">
        <v>3.5</v>
      </c>
      <c r="AE20" s="58">
        <v>90</v>
      </c>
      <c r="AF20" s="58">
        <v>101.6</v>
      </c>
      <c r="AG20" s="54">
        <v>5</v>
      </c>
      <c r="AH20" s="59">
        <v>8.3000000000000004E-2</v>
      </c>
      <c r="AI20" s="59">
        <v>3.8340000000000001</v>
      </c>
      <c r="AJ20" s="54">
        <v>10</v>
      </c>
      <c r="AK20" s="59">
        <v>0.12</v>
      </c>
      <c r="AL20" s="59">
        <v>3.76</v>
      </c>
      <c r="AM20" s="60"/>
      <c r="AN20" s="61"/>
      <c r="AO20" s="61"/>
      <c r="AP20" s="60"/>
      <c r="AQ20" s="61"/>
      <c r="AR20" s="61"/>
      <c r="AS20" s="60">
        <v>40</v>
      </c>
      <c r="AT20" s="59">
        <v>0.22600000000000001</v>
      </c>
      <c r="AU20" s="59">
        <v>3.548</v>
      </c>
      <c r="AV20" s="60"/>
      <c r="AW20" s="61"/>
      <c r="AX20" s="61"/>
      <c r="AY20" s="54">
        <v>80</v>
      </c>
      <c r="AZ20" s="55">
        <v>0.318</v>
      </c>
      <c r="BA20" s="55">
        <v>3.3639999999999999</v>
      </c>
      <c r="BB20" s="60"/>
      <c r="BC20" s="61"/>
      <c r="BD20" s="61"/>
      <c r="BE20" s="60"/>
      <c r="BF20" s="61"/>
      <c r="BG20" s="61"/>
      <c r="BH20" s="60"/>
      <c r="BI20" s="61"/>
      <c r="BJ20" s="61"/>
      <c r="BK20" s="60"/>
      <c r="BL20" s="59"/>
      <c r="BM20" s="59"/>
      <c r="BN20" s="54" t="s">
        <v>220</v>
      </c>
      <c r="BO20" s="55">
        <v>0.22600000000000001</v>
      </c>
      <c r="BP20" s="55">
        <v>3.548</v>
      </c>
      <c r="BQ20" s="54" t="s">
        <v>221</v>
      </c>
      <c r="BR20" s="55">
        <v>0.318</v>
      </c>
      <c r="BS20" s="55">
        <v>3.3639999999999999</v>
      </c>
      <c r="BT20" s="54"/>
      <c r="BU20" s="59"/>
      <c r="BV20" s="64"/>
    </row>
    <row r="21" spans="1:74" ht="17.25" customHeight="1">
      <c r="A21" s="30">
        <v>16</v>
      </c>
      <c r="B21" s="113" t="s">
        <v>239</v>
      </c>
      <c r="C21" s="525">
        <v>5</v>
      </c>
      <c r="D21" s="526"/>
      <c r="E21" s="78"/>
      <c r="F21" s="79"/>
      <c r="G21" s="525"/>
      <c r="H21" s="526"/>
      <c r="I21" s="78"/>
      <c r="J21" s="79"/>
      <c r="K21" s="525">
        <v>18</v>
      </c>
      <c r="L21" s="540"/>
      <c r="M21" s="78"/>
      <c r="N21" s="79"/>
      <c r="O21" s="28"/>
      <c r="U21" t="s">
        <v>169</v>
      </c>
      <c r="W21" t="s">
        <v>169</v>
      </c>
      <c r="Y21" t="s">
        <v>169</v>
      </c>
      <c r="AC21" s="48">
        <v>14</v>
      </c>
      <c r="AD21" s="49">
        <v>4</v>
      </c>
      <c r="AE21" s="58">
        <v>100</v>
      </c>
      <c r="AF21" s="58">
        <v>114.3</v>
      </c>
      <c r="AG21" s="54">
        <v>5</v>
      </c>
      <c r="AH21" s="59">
        <v>8.3000000000000004E-2</v>
      </c>
      <c r="AI21" s="59">
        <v>4.3339999999999996</v>
      </c>
      <c r="AJ21" s="54">
        <v>10</v>
      </c>
      <c r="AK21" s="59">
        <v>0.12</v>
      </c>
      <c r="AL21" s="59">
        <v>4.26</v>
      </c>
      <c r="AM21" s="60"/>
      <c r="AN21" s="61"/>
      <c r="AO21" s="61"/>
      <c r="AP21" s="60"/>
      <c r="AQ21" s="61"/>
      <c r="AR21" s="61"/>
      <c r="AS21" s="60">
        <v>40</v>
      </c>
      <c r="AT21" s="59">
        <v>0.23700000000000002</v>
      </c>
      <c r="AU21" s="59">
        <v>4.0259999999999998</v>
      </c>
      <c r="AV21" s="60"/>
      <c r="AW21" s="61"/>
      <c r="AX21" s="61"/>
      <c r="AY21" s="54">
        <v>80</v>
      </c>
      <c r="AZ21" s="59">
        <v>0.33700000000000002</v>
      </c>
      <c r="BA21" s="59">
        <v>3.8260000000000001</v>
      </c>
      <c r="BB21" s="60"/>
      <c r="BC21" s="61"/>
      <c r="BD21" s="61"/>
      <c r="BE21" s="60">
        <v>120</v>
      </c>
      <c r="BF21" s="55">
        <v>0.438</v>
      </c>
      <c r="BG21" s="55">
        <v>3.6240000000000001</v>
      </c>
      <c r="BH21" s="60"/>
      <c r="BI21" s="61"/>
      <c r="BJ21" s="61"/>
      <c r="BK21" s="60">
        <v>160</v>
      </c>
      <c r="BL21" s="55">
        <v>0.53100000000000003</v>
      </c>
      <c r="BM21" s="55">
        <v>3.4380000000000002</v>
      </c>
      <c r="BN21" s="54" t="s">
        <v>220</v>
      </c>
      <c r="BO21" s="59">
        <v>0.23700000000000002</v>
      </c>
      <c r="BP21" s="59">
        <v>4.0259999999999998</v>
      </c>
      <c r="BQ21" s="54" t="s">
        <v>221</v>
      </c>
      <c r="BR21" s="59">
        <v>0.33700000000000002</v>
      </c>
      <c r="BS21" s="59">
        <v>3.8260000000000001</v>
      </c>
      <c r="BT21" s="54" t="s">
        <v>228</v>
      </c>
      <c r="BU21" s="55">
        <v>0.67400000000000004</v>
      </c>
      <c r="BV21" s="63">
        <v>3.1520000000000001</v>
      </c>
    </row>
    <row r="22" spans="1:74" ht="17.25" customHeight="1">
      <c r="A22" s="30">
        <v>17</v>
      </c>
      <c r="B22" s="88" t="s">
        <v>240</v>
      </c>
      <c r="C22" s="525">
        <v>20000</v>
      </c>
      <c r="D22" s="526"/>
      <c r="E22" s="78"/>
      <c r="F22" s="79"/>
      <c r="G22" s="525"/>
      <c r="H22" s="526"/>
      <c r="I22" s="78"/>
      <c r="J22" s="79"/>
      <c r="K22" s="525">
        <v>53482</v>
      </c>
      <c r="L22" s="540"/>
      <c r="M22" s="78"/>
      <c r="N22" s="79"/>
      <c r="O22" s="28"/>
      <c r="U22" t="s">
        <v>241</v>
      </c>
      <c r="W22" t="s">
        <v>241</v>
      </c>
      <c r="Y22" t="s">
        <v>241</v>
      </c>
      <c r="AC22" s="48">
        <v>15</v>
      </c>
      <c r="AD22" s="49">
        <v>5</v>
      </c>
      <c r="AE22" s="58">
        <v>125</v>
      </c>
      <c r="AF22" s="58">
        <v>141.30000000000001</v>
      </c>
      <c r="AG22" s="54">
        <v>5</v>
      </c>
      <c r="AH22" s="59">
        <v>0.109</v>
      </c>
      <c r="AI22" s="59">
        <v>5.3449999999999998</v>
      </c>
      <c r="AJ22" s="54">
        <v>10</v>
      </c>
      <c r="AK22" s="59">
        <v>0.13400000000000001</v>
      </c>
      <c r="AL22" s="59">
        <v>5.2949999999999999</v>
      </c>
      <c r="AM22" s="60"/>
      <c r="AN22" s="61"/>
      <c r="AO22" s="61"/>
      <c r="AP22" s="60"/>
      <c r="AQ22" s="61"/>
      <c r="AR22" s="61"/>
      <c r="AS22" s="60">
        <v>40</v>
      </c>
      <c r="AT22" s="59">
        <v>0.25800000000000001</v>
      </c>
      <c r="AU22" s="59">
        <v>5.0469999999999997</v>
      </c>
      <c r="AV22" s="60"/>
      <c r="AW22" s="61"/>
      <c r="AX22" s="61"/>
      <c r="AY22" s="54">
        <v>80</v>
      </c>
      <c r="AZ22" s="59">
        <v>0.375</v>
      </c>
      <c r="BA22" s="59">
        <v>4.8129999999999997</v>
      </c>
      <c r="BB22" s="60"/>
      <c r="BC22" s="61"/>
      <c r="BD22" s="61"/>
      <c r="BE22" s="60">
        <v>120</v>
      </c>
      <c r="BF22" s="55">
        <v>0.5</v>
      </c>
      <c r="BG22" s="55">
        <v>4.5629999999999997</v>
      </c>
      <c r="BH22" s="60"/>
      <c r="BI22" s="61"/>
      <c r="BJ22" s="61"/>
      <c r="BK22" s="60">
        <v>160</v>
      </c>
      <c r="BL22" s="55">
        <v>0.625</v>
      </c>
      <c r="BM22" s="55">
        <v>4.3129999999999997</v>
      </c>
      <c r="BN22" s="54" t="s">
        <v>220</v>
      </c>
      <c r="BO22" s="59">
        <v>0.25800000000000001</v>
      </c>
      <c r="BP22" s="59">
        <v>5.0469999999999997</v>
      </c>
      <c r="BQ22" s="54" t="s">
        <v>221</v>
      </c>
      <c r="BR22" s="59">
        <v>0.375</v>
      </c>
      <c r="BS22" s="59">
        <v>4.8129999999999997</v>
      </c>
      <c r="BT22" s="54" t="s">
        <v>228</v>
      </c>
      <c r="BU22" s="55">
        <v>0.75</v>
      </c>
      <c r="BV22" s="63">
        <v>4.0629999999999997</v>
      </c>
    </row>
    <row r="23" spans="1:74" ht="17.25" customHeight="1">
      <c r="A23" s="27">
        <v>18</v>
      </c>
      <c r="B23" s="88" t="s">
        <v>242</v>
      </c>
      <c r="C23" s="525"/>
      <c r="D23" s="526"/>
      <c r="E23" s="78"/>
      <c r="F23" s="79"/>
      <c r="G23" s="525">
        <v>150000</v>
      </c>
      <c r="H23" s="526"/>
      <c r="I23" s="78"/>
      <c r="J23" s="79"/>
      <c r="K23" s="542">
        <v>828796</v>
      </c>
      <c r="L23" s="543"/>
      <c r="M23" s="78"/>
      <c r="N23" s="79"/>
      <c r="O23" s="28"/>
      <c r="AC23" s="48">
        <v>16</v>
      </c>
      <c r="AD23" s="49">
        <v>6</v>
      </c>
      <c r="AE23" s="58">
        <v>150</v>
      </c>
      <c r="AF23" s="58">
        <v>168.3</v>
      </c>
      <c r="AG23" s="54">
        <v>5</v>
      </c>
      <c r="AH23" s="59">
        <v>0.109</v>
      </c>
      <c r="AI23" s="59">
        <v>6.407</v>
      </c>
      <c r="AJ23" s="54">
        <v>10</v>
      </c>
      <c r="AK23" s="59">
        <v>0.13400000000000001</v>
      </c>
      <c r="AL23" s="59">
        <v>6.3570000000000002</v>
      </c>
      <c r="AM23" s="60"/>
      <c r="AN23" s="61"/>
      <c r="AO23" s="61"/>
      <c r="AP23" s="60"/>
      <c r="AQ23" s="61"/>
      <c r="AR23" s="61"/>
      <c r="AS23" s="60">
        <v>40</v>
      </c>
      <c r="AT23" s="59">
        <v>0.28000000000000003</v>
      </c>
      <c r="AU23" s="59">
        <v>6.0650000000000004</v>
      </c>
      <c r="AV23" s="60"/>
      <c r="AW23" s="61"/>
      <c r="AX23" s="61"/>
      <c r="AY23" s="60">
        <v>80</v>
      </c>
      <c r="AZ23" s="59">
        <v>0.432</v>
      </c>
      <c r="BA23" s="59">
        <v>5.7610000000000001</v>
      </c>
      <c r="BB23" s="60"/>
      <c r="BC23" s="61"/>
      <c r="BD23" s="61"/>
      <c r="BE23" s="60">
        <v>120</v>
      </c>
      <c r="BF23" s="55">
        <v>0.56200000000000006</v>
      </c>
      <c r="BG23" s="55">
        <v>5.5010000000000003</v>
      </c>
      <c r="BH23" s="60"/>
      <c r="BI23" s="61"/>
      <c r="BJ23" s="61"/>
      <c r="BK23" s="60">
        <v>160</v>
      </c>
      <c r="BL23" s="55">
        <v>0.71899999999999997</v>
      </c>
      <c r="BM23" s="55">
        <v>5.1870000000000003</v>
      </c>
      <c r="BN23" s="54" t="s">
        <v>220</v>
      </c>
      <c r="BO23" s="59">
        <v>0.28000000000000003</v>
      </c>
      <c r="BP23" s="59">
        <v>6.0650000000000004</v>
      </c>
      <c r="BQ23" s="54" t="s">
        <v>221</v>
      </c>
      <c r="BR23" s="59">
        <v>0.432</v>
      </c>
      <c r="BS23" s="59">
        <v>5.7610000000000001</v>
      </c>
      <c r="BT23" s="54" t="s">
        <v>228</v>
      </c>
      <c r="BU23" s="55">
        <v>0.86399999999999999</v>
      </c>
      <c r="BV23" s="63">
        <v>4.8970000000000002</v>
      </c>
    </row>
    <row r="24" spans="1:74" ht="17.25" customHeight="1">
      <c r="A24" s="30">
        <v>19</v>
      </c>
      <c r="B24" s="88" t="s">
        <v>243</v>
      </c>
      <c r="C24" s="531">
        <f>IF(C21=0,"",C22/C21)</f>
        <v>4000</v>
      </c>
      <c r="D24" s="532"/>
      <c r="E24" s="133"/>
      <c r="F24" s="134"/>
      <c r="G24" s="531" t="str">
        <f>IF(G21=0,"",G22/G21)</f>
        <v/>
      </c>
      <c r="H24" s="532"/>
      <c r="I24" s="133"/>
      <c r="J24" s="134"/>
      <c r="K24" s="544">
        <f>IF(K21=0,"",K22/K21)</f>
        <v>2971.2222222222222</v>
      </c>
      <c r="L24" s="545"/>
      <c r="M24" s="78"/>
      <c r="N24" s="79"/>
      <c r="O24" s="28"/>
      <c r="U24" t="s">
        <v>244</v>
      </c>
      <c r="V24" s="33">
        <v>1</v>
      </c>
      <c r="W24" t="s">
        <v>244</v>
      </c>
      <c r="X24" s="33">
        <v>5</v>
      </c>
      <c r="Y24" t="s">
        <v>244</v>
      </c>
      <c r="Z24" s="33">
        <v>2</v>
      </c>
      <c r="AC24" s="48">
        <v>17</v>
      </c>
      <c r="AD24" s="49">
        <v>8</v>
      </c>
      <c r="AE24" s="58">
        <v>200</v>
      </c>
      <c r="AF24" s="58">
        <v>219.1</v>
      </c>
      <c r="AG24" s="54">
        <v>5</v>
      </c>
      <c r="AH24" s="59">
        <v>0.109</v>
      </c>
      <c r="AI24" s="59">
        <v>8.407</v>
      </c>
      <c r="AJ24" s="54">
        <v>10</v>
      </c>
      <c r="AK24" s="59">
        <v>0.14799999999999999</v>
      </c>
      <c r="AL24" s="59">
        <v>8.3290000000000006</v>
      </c>
      <c r="AM24" s="60">
        <v>20</v>
      </c>
      <c r="AN24" s="55">
        <v>0.25</v>
      </c>
      <c r="AO24" s="55">
        <v>8.125</v>
      </c>
      <c r="AP24" s="60">
        <v>30</v>
      </c>
      <c r="AQ24" s="55">
        <v>0.27700000000000002</v>
      </c>
      <c r="AR24" s="55">
        <v>8.0709999999999997</v>
      </c>
      <c r="AS24" s="60">
        <v>40</v>
      </c>
      <c r="AT24" s="55">
        <v>0.32200000000000001</v>
      </c>
      <c r="AU24" s="55">
        <v>7.9809999999999999</v>
      </c>
      <c r="AV24" s="60">
        <v>60</v>
      </c>
      <c r="AW24" s="55">
        <v>0.40600000000000003</v>
      </c>
      <c r="AX24" s="55">
        <v>7.8129999999999997</v>
      </c>
      <c r="AY24" s="60">
        <v>80</v>
      </c>
      <c r="AZ24" s="59">
        <v>0.5</v>
      </c>
      <c r="BA24" s="59">
        <v>7.625</v>
      </c>
      <c r="BB24" s="60">
        <v>100</v>
      </c>
      <c r="BC24" s="55">
        <v>0.59399999999999997</v>
      </c>
      <c r="BD24" s="55">
        <v>7.4370000000000003</v>
      </c>
      <c r="BE24" s="60">
        <v>120</v>
      </c>
      <c r="BF24" s="59">
        <v>0.71899999999999997</v>
      </c>
      <c r="BG24" s="59">
        <v>7.1870000000000003</v>
      </c>
      <c r="BH24" s="60">
        <v>140</v>
      </c>
      <c r="BI24" s="55">
        <v>0.81200000000000006</v>
      </c>
      <c r="BJ24" s="55">
        <v>7.0010000000000003</v>
      </c>
      <c r="BK24" s="60">
        <v>160</v>
      </c>
      <c r="BL24" s="59">
        <v>0.90600000000000003</v>
      </c>
      <c r="BM24" s="59">
        <v>6.8129999999999997</v>
      </c>
      <c r="BN24" s="54" t="s">
        <v>220</v>
      </c>
      <c r="BO24" s="59">
        <v>0.32200000000000001</v>
      </c>
      <c r="BP24" s="59">
        <v>7.9809999999999999</v>
      </c>
      <c r="BQ24" s="54" t="s">
        <v>221</v>
      </c>
      <c r="BR24" s="59">
        <v>0.5</v>
      </c>
      <c r="BS24" s="59">
        <v>7.625</v>
      </c>
      <c r="BT24" s="54" t="s">
        <v>228</v>
      </c>
      <c r="BU24" s="59">
        <v>0.875</v>
      </c>
      <c r="BV24" s="64">
        <v>6.875</v>
      </c>
    </row>
    <row r="25" spans="1:74" ht="17.25" customHeight="1">
      <c r="A25" s="30">
        <v>20</v>
      </c>
      <c r="B25" s="88" t="s">
        <v>245</v>
      </c>
      <c r="C25" s="506" t="str">
        <f>IF(C23=0,"",C23/C20)</f>
        <v/>
      </c>
      <c r="D25" s="507"/>
      <c r="E25" s="36"/>
      <c r="F25" s="81"/>
      <c r="G25" s="506">
        <f>IF(G23=0,"",G23/G20)</f>
        <v>155.28593316493436</v>
      </c>
      <c r="H25" s="507"/>
      <c r="I25" s="36"/>
      <c r="J25" s="81"/>
      <c r="K25" s="506">
        <f>IF(K23=0,"",K23/K20)</f>
        <v>858.0024017557663</v>
      </c>
      <c r="L25" s="507"/>
      <c r="M25" s="78"/>
      <c r="N25" s="79"/>
      <c r="O25" s="92"/>
      <c r="U25" t="s">
        <v>246</v>
      </c>
      <c r="W25" t="s">
        <v>246</v>
      </c>
      <c r="Y25" t="s">
        <v>246</v>
      </c>
      <c r="AC25" s="48">
        <v>18</v>
      </c>
      <c r="AD25" s="49">
        <v>10</v>
      </c>
      <c r="AE25" s="58">
        <v>250</v>
      </c>
      <c r="AF25" s="58">
        <v>273.05</v>
      </c>
      <c r="AG25" s="54">
        <v>5</v>
      </c>
      <c r="AH25" s="59">
        <v>0.13400000000000001</v>
      </c>
      <c r="AI25" s="59">
        <v>10.481999999999999</v>
      </c>
      <c r="AJ25" s="54">
        <v>10</v>
      </c>
      <c r="AK25" s="59">
        <v>0.16500000000000001</v>
      </c>
      <c r="AL25" s="59">
        <v>10.42</v>
      </c>
      <c r="AM25" s="60">
        <v>20</v>
      </c>
      <c r="AN25" s="55">
        <v>0.25</v>
      </c>
      <c r="AO25" s="55">
        <v>10.25</v>
      </c>
      <c r="AP25" s="60">
        <v>30</v>
      </c>
      <c r="AQ25" s="55">
        <v>0.307</v>
      </c>
      <c r="AR25" s="55">
        <v>10.135999999999999</v>
      </c>
      <c r="AS25" s="60">
        <v>40</v>
      </c>
      <c r="AT25" s="55">
        <v>0.36499999999999999</v>
      </c>
      <c r="AU25" s="55">
        <v>10.02</v>
      </c>
      <c r="AV25" s="60">
        <v>60</v>
      </c>
      <c r="AW25" s="55">
        <v>0.5</v>
      </c>
      <c r="AX25" s="55">
        <v>9.75</v>
      </c>
      <c r="AY25" s="60">
        <v>80</v>
      </c>
      <c r="AZ25" s="59">
        <v>0.59399999999999997</v>
      </c>
      <c r="BA25" s="59">
        <v>9.5619999999999994</v>
      </c>
      <c r="BB25" s="60">
        <v>100</v>
      </c>
      <c r="BC25" s="55">
        <v>0.71899999999999997</v>
      </c>
      <c r="BD25" s="55">
        <v>9.3119999999999994</v>
      </c>
      <c r="BE25" s="60">
        <v>120</v>
      </c>
      <c r="BF25" s="59">
        <v>0.84399999999999997</v>
      </c>
      <c r="BG25" s="59">
        <v>9.0619999999999994</v>
      </c>
      <c r="BH25" s="60">
        <v>140</v>
      </c>
      <c r="BI25" s="55">
        <v>1</v>
      </c>
      <c r="BJ25" s="55">
        <v>8.75</v>
      </c>
      <c r="BK25" s="60">
        <v>160</v>
      </c>
      <c r="BL25" s="59">
        <v>1.125</v>
      </c>
      <c r="BM25" s="59">
        <v>8.5</v>
      </c>
      <c r="BN25" s="54" t="s">
        <v>220</v>
      </c>
      <c r="BO25" s="59">
        <v>0.36499999999999999</v>
      </c>
      <c r="BP25" s="59">
        <v>10.02</v>
      </c>
      <c r="BQ25" s="54" t="s">
        <v>221</v>
      </c>
      <c r="BR25" s="59">
        <v>0.5</v>
      </c>
      <c r="BS25" s="59">
        <v>9.75</v>
      </c>
      <c r="BT25" s="54" t="s">
        <v>228</v>
      </c>
      <c r="BU25" s="59">
        <v>1</v>
      </c>
      <c r="BV25" s="64">
        <v>8.75</v>
      </c>
    </row>
    <row r="26" spans="1:74" ht="17.25" customHeight="1">
      <c r="A26" s="30">
        <v>21</v>
      </c>
      <c r="B26" s="113" t="s">
        <v>247</v>
      </c>
      <c r="C26" s="506">
        <f>IF(V20=1,((C25)/((((PI()*((E12/1000)^2))/4))*3600)),IF(V20=2,((C24)/((((PI()*((E12/1000)^2))/4))*3600)),IF(V20=3,((C24+C25)/((((PI()*((E12/1000)^2))/4))*3600)),IF(V20=4,""))))</f>
        <v>91.440789671632203</v>
      </c>
      <c r="D26" s="507"/>
      <c r="E26" s="36"/>
      <c r="F26" s="81"/>
      <c r="G26" s="506">
        <v>4.2</v>
      </c>
      <c r="H26" s="507"/>
      <c r="I26" s="36"/>
      <c r="J26" s="81"/>
      <c r="K26" s="506">
        <f>IF(Z20=1,((K25)/((((PI()*((M12/1000)^2))/4))*3600)),IF(Z20=2,((K24)/((((PI()*((M12/1000)^2))/4))*3600)),IF(Z20=3,((K24+K25)/((((PI()*((M12/1000)^2))/4))*3600)),IF(Z20=4,""))))</f>
        <v>2.8795425431994497</v>
      </c>
      <c r="L26" s="507"/>
      <c r="M26" s="78"/>
      <c r="N26" s="79"/>
      <c r="O26" s="92"/>
      <c r="U26" t="s">
        <v>248</v>
      </c>
      <c r="W26" t="s">
        <v>248</v>
      </c>
      <c r="Y26" t="s">
        <v>248</v>
      </c>
      <c r="AC26" s="48">
        <v>19</v>
      </c>
      <c r="AD26" s="49">
        <v>12</v>
      </c>
      <c r="AE26" s="58">
        <v>300</v>
      </c>
      <c r="AF26" s="58">
        <v>323.85000000000002</v>
      </c>
      <c r="AG26" s="54">
        <v>5</v>
      </c>
      <c r="AH26" s="59">
        <v>0.156</v>
      </c>
      <c r="AI26" s="59">
        <v>12.438000000000001</v>
      </c>
      <c r="AJ26" s="54">
        <v>10</v>
      </c>
      <c r="AK26" s="59">
        <v>0.18</v>
      </c>
      <c r="AL26" s="59">
        <v>12.39</v>
      </c>
      <c r="AM26" s="60">
        <v>20</v>
      </c>
      <c r="AN26" s="55">
        <v>0.25</v>
      </c>
      <c r="AO26" s="55">
        <v>12.25</v>
      </c>
      <c r="AP26" s="60">
        <v>30</v>
      </c>
      <c r="AQ26" s="55">
        <v>0.33</v>
      </c>
      <c r="AR26" s="55">
        <v>12.09</v>
      </c>
      <c r="AS26" s="60">
        <v>40</v>
      </c>
      <c r="AT26" s="55">
        <v>0.40600000000000003</v>
      </c>
      <c r="AU26" s="55">
        <v>11.938000000000001</v>
      </c>
      <c r="AV26" s="60">
        <v>60</v>
      </c>
      <c r="AW26" s="55">
        <v>0.56200000000000006</v>
      </c>
      <c r="AX26" s="55">
        <v>11.625999999999999</v>
      </c>
      <c r="AY26" s="60">
        <v>80</v>
      </c>
      <c r="AZ26" s="59">
        <v>0.68800000000000006</v>
      </c>
      <c r="BA26" s="59">
        <v>11.374000000000001</v>
      </c>
      <c r="BB26" s="60">
        <v>100</v>
      </c>
      <c r="BC26" s="55">
        <v>0.84399999999999997</v>
      </c>
      <c r="BD26" s="55">
        <v>11.061999999999999</v>
      </c>
      <c r="BE26" s="60">
        <v>120</v>
      </c>
      <c r="BF26" s="59">
        <v>1</v>
      </c>
      <c r="BG26" s="59">
        <v>10.75</v>
      </c>
      <c r="BH26" s="60">
        <v>140</v>
      </c>
      <c r="BI26" s="55">
        <v>1.125</v>
      </c>
      <c r="BJ26" s="55">
        <v>10.5</v>
      </c>
      <c r="BK26" s="60">
        <v>160</v>
      </c>
      <c r="BL26" s="59">
        <v>1.3120000000000001</v>
      </c>
      <c r="BM26" s="59">
        <v>10.125999999999999</v>
      </c>
      <c r="BN26" s="54" t="s">
        <v>220</v>
      </c>
      <c r="BO26" s="59">
        <v>0.375</v>
      </c>
      <c r="BP26" s="59">
        <v>12</v>
      </c>
      <c r="BQ26" s="54" t="s">
        <v>221</v>
      </c>
      <c r="BR26" s="59">
        <v>0.5</v>
      </c>
      <c r="BS26" s="59">
        <v>11.75</v>
      </c>
      <c r="BT26" s="54" t="s">
        <v>228</v>
      </c>
      <c r="BU26" s="59">
        <v>1</v>
      </c>
      <c r="BV26" s="64">
        <v>10.75</v>
      </c>
    </row>
    <row r="27" spans="1:74" ht="17.25" customHeight="1">
      <c r="A27" s="27">
        <v>22</v>
      </c>
      <c r="B27" s="88" t="s">
        <v>249</v>
      </c>
      <c r="C27" s="491">
        <f>IF($V$20=1,$C$20*($C$26^2),IF($V$20=2,$C$21*($C$26^2),IF($V$20=3,"",IF(V20=4,""))))</f>
        <v>41807.090078858389</v>
      </c>
      <c r="D27" s="516"/>
      <c r="E27" s="84"/>
      <c r="F27" s="86"/>
      <c r="G27" s="491">
        <f>IF(X20=1,G20*(G26^2),IF(X20=2,G21*(G26^2),IF(X20=3,"",IF(X20=4,""))))</f>
        <v>17039.5344</v>
      </c>
      <c r="H27" s="516"/>
      <c r="I27" s="84"/>
      <c r="J27" s="86"/>
      <c r="K27" s="491" t="str">
        <f>IF($Z$20=1,$K$20*($K$26^2),IF($Z$20=2,$K$21*($K$26^2),IF($Z$20=3,"",IF($Z20=4,""))))</f>
        <v/>
      </c>
      <c r="L27" s="492"/>
      <c r="M27" s="37"/>
      <c r="N27" s="77"/>
      <c r="O27" s="28"/>
      <c r="U27" t="s">
        <v>250</v>
      </c>
      <c r="W27" t="s">
        <v>250</v>
      </c>
      <c r="Y27" t="s">
        <v>250</v>
      </c>
      <c r="AC27" s="48">
        <v>20</v>
      </c>
      <c r="AD27" s="49">
        <v>14</v>
      </c>
      <c r="AE27" s="58">
        <v>350</v>
      </c>
      <c r="AF27" s="58">
        <v>355.6</v>
      </c>
      <c r="AG27" s="54">
        <v>5</v>
      </c>
      <c r="AH27" s="59">
        <v>0.156</v>
      </c>
      <c r="AI27" s="59">
        <v>13.688000000000001</v>
      </c>
      <c r="AJ27" s="54">
        <v>10</v>
      </c>
      <c r="AK27" s="59">
        <v>0.25</v>
      </c>
      <c r="AL27" s="59">
        <v>13.5</v>
      </c>
      <c r="AM27" s="60">
        <v>20</v>
      </c>
      <c r="AN27" s="59">
        <v>0.312</v>
      </c>
      <c r="AO27" s="59">
        <v>13.375999999999999</v>
      </c>
      <c r="AP27" s="60">
        <v>30</v>
      </c>
      <c r="AQ27" s="59">
        <v>0.375</v>
      </c>
      <c r="AR27" s="59">
        <v>13.25</v>
      </c>
      <c r="AS27" s="60">
        <v>40</v>
      </c>
      <c r="AT27" s="59">
        <v>0.438</v>
      </c>
      <c r="AU27" s="59">
        <v>13.124000000000001</v>
      </c>
      <c r="AV27" s="60">
        <v>60</v>
      </c>
      <c r="AW27" s="59">
        <v>0.59399999999999997</v>
      </c>
      <c r="AX27" s="59">
        <v>12.811999999999999</v>
      </c>
      <c r="AY27" s="60">
        <v>80</v>
      </c>
      <c r="AZ27" s="55">
        <v>0.75</v>
      </c>
      <c r="BA27" s="55">
        <v>12.5</v>
      </c>
      <c r="BB27" s="60">
        <v>100</v>
      </c>
      <c r="BC27" s="59">
        <v>0.93799999999999994</v>
      </c>
      <c r="BD27" s="59">
        <v>12.124000000000001</v>
      </c>
      <c r="BE27" s="60">
        <v>120</v>
      </c>
      <c r="BF27" s="59">
        <v>1.0940000000000001</v>
      </c>
      <c r="BG27" s="59">
        <v>11.811999999999999</v>
      </c>
      <c r="BH27" s="60">
        <v>140</v>
      </c>
      <c r="BI27" s="59">
        <v>1.25</v>
      </c>
      <c r="BJ27" s="59">
        <v>11.5</v>
      </c>
      <c r="BK27" s="60">
        <v>160</v>
      </c>
      <c r="BL27" s="59">
        <v>1.4059999999999999</v>
      </c>
      <c r="BM27" s="59">
        <v>11.188000000000001</v>
      </c>
      <c r="BN27" s="54" t="s">
        <v>220</v>
      </c>
      <c r="BO27" s="55">
        <v>0.375</v>
      </c>
      <c r="BP27" s="55">
        <v>13.25</v>
      </c>
      <c r="BQ27" s="54" t="s">
        <v>221</v>
      </c>
      <c r="BR27" s="55">
        <v>0.5</v>
      </c>
      <c r="BS27" s="55">
        <v>13</v>
      </c>
      <c r="BT27" s="56"/>
      <c r="BU27" s="61"/>
      <c r="BV27" s="65"/>
    </row>
    <row r="28" spans="1:74" ht="17.25" customHeight="1">
      <c r="A28" s="30">
        <v>23</v>
      </c>
      <c r="B28" s="88" t="s">
        <v>251</v>
      </c>
      <c r="C28" s="517" t="str">
        <f>IF(V20=3,((C22+C23)/(C24+C25))*C26^2,"")</f>
        <v/>
      </c>
      <c r="D28" s="518"/>
      <c r="E28" s="84"/>
      <c r="F28" s="86"/>
      <c r="G28" s="491" t="str">
        <f>IF(X20=3,((G22+G23)/(G24+G25))*G26^2,"")</f>
        <v/>
      </c>
      <c r="H28" s="516"/>
      <c r="I28" s="84"/>
      <c r="J28" s="86"/>
      <c r="K28" s="517">
        <f>IF(Z20=3,((K22+K23)/(K24+K25))*K26^2,"")</f>
        <v>1910.4760850467369</v>
      </c>
      <c r="L28" s="518"/>
      <c r="M28" s="84"/>
      <c r="N28" s="86"/>
      <c r="O28" s="28"/>
      <c r="U28" t="s">
        <v>252</v>
      </c>
      <c r="W28" t="s">
        <v>252</v>
      </c>
      <c r="Y28" t="s">
        <v>252</v>
      </c>
      <c r="AC28" s="48">
        <v>21</v>
      </c>
      <c r="AD28" s="49">
        <v>16</v>
      </c>
      <c r="AE28" s="58">
        <v>400</v>
      </c>
      <c r="AF28" s="58">
        <v>406.4</v>
      </c>
      <c r="AG28" s="54">
        <v>5</v>
      </c>
      <c r="AH28" s="59">
        <v>0.16500000000000001</v>
      </c>
      <c r="AI28" s="59">
        <v>15.67</v>
      </c>
      <c r="AJ28" s="54">
        <v>10</v>
      </c>
      <c r="AK28" s="59">
        <v>0.25</v>
      </c>
      <c r="AL28" s="59">
        <v>15.5</v>
      </c>
      <c r="AM28" s="60">
        <v>20</v>
      </c>
      <c r="AN28" s="59">
        <v>0.312</v>
      </c>
      <c r="AO28" s="59">
        <v>15.375999999999999</v>
      </c>
      <c r="AP28" s="60">
        <v>30</v>
      </c>
      <c r="AQ28" s="59">
        <v>0.375</v>
      </c>
      <c r="AR28" s="59">
        <v>15.25</v>
      </c>
      <c r="AS28" s="60">
        <v>40</v>
      </c>
      <c r="AT28" s="59">
        <v>0.5</v>
      </c>
      <c r="AU28" s="59">
        <v>15</v>
      </c>
      <c r="AV28" s="60">
        <v>60</v>
      </c>
      <c r="AW28" s="59">
        <v>0.65600000000000003</v>
      </c>
      <c r="AX28" s="59">
        <v>14.688000000000001</v>
      </c>
      <c r="AY28" s="60">
        <v>80</v>
      </c>
      <c r="AZ28" s="55">
        <v>0.84399999999999997</v>
      </c>
      <c r="BA28" s="55">
        <v>14.311999999999999</v>
      </c>
      <c r="BB28" s="60">
        <v>100</v>
      </c>
      <c r="BC28" s="59">
        <v>1.0309999999999999</v>
      </c>
      <c r="BD28" s="59">
        <v>13.938000000000001</v>
      </c>
      <c r="BE28" s="60">
        <v>120</v>
      </c>
      <c r="BF28" s="59">
        <v>1.2190000000000001</v>
      </c>
      <c r="BG28" s="59">
        <v>13.561999999999999</v>
      </c>
      <c r="BH28" s="60">
        <v>140</v>
      </c>
      <c r="BI28" s="59">
        <v>1.4379999999999999</v>
      </c>
      <c r="BJ28" s="59">
        <v>13.124000000000001</v>
      </c>
      <c r="BK28" s="60">
        <v>160</v>
      </c>
      <c r="BL28" s="59">
        <v>1.5940000000000001</v>
      </c>
      <c r="BM28" s="59">
        <v>12.811999999999999</v>
      </c>
      <c r="BN28" s="54" t="s">
        <v>220</v>
      </c>
      <c r="BO28" s="55">
        <v>0.375</v>
      </c>
      <c r="BP28" s="55">
        <v>15.25</v>
      </c>
      <c r="BQ28" s="54" t="s">
        <v>221</v>
      </c>
      <c r="BR28" s="55">
        <v>0.5</v>
      </c>
      <c r="BS28" s="55">
        <v>15</v>
      </c>
      <c r="BT28" s="56"/>
      <c r="BU28" s="61"/>
      <c r="BV28" s="65"/>
    </row>
    <row r="29" spans="1:74" ht="17.25" customHeight="1">
      <c r="A29" s="30">
        <v>24</v>
      </c>
      <c r="B29" s="88" t="s">
        <v>186</v>
      </c>
      <c r="C29" s="512">
        <f>IF($V$20=1,1,IF($V$20=3,1,IF($V$20=2,($C$19^(0.5))/(0.001^(0.5)),"")))</f>
        <v>0.14142135623730953</v>
      </c>
      <c r="D29" s="513"/>
      <c r="E29" s="85"/>
      <c r="F29" s="87"/>
      <c r="G29" s="512">
        <f>IF($X$20=1,1,IF($X$20=3,1,IF($X$20=2,($G$19^(0.5))/(0.001^(0.5)),"")))</f>
        <v>1</v>
      </c>
      <c r="H29" s="513"/>
      <c r="I29" s="85"/>
      <c r="J29" s="87"/>
      <c r="K29" s="512">
        <f>IF($Z$20=1,1,IF($Z$20=3,1,IF($Z$20=2,($K$19^(0.5))/(0.001^(0.5)),"")))</f>
        <v>1</v>
      </c>
      <c r="L29" s="520"/>
      <c r="M29" s="85"/>
      <c r="N29" s="87"/>
      <c r="O29" s="28"/>
      <c r="U29" t="s">
        <v>253</v>
      </c>
      <c r="W29" t="s">
        <v>253</v>
      </c>
      <c r="Y29" t="s">
        <v>253</v>
      </c>
      <c r="AC29" s="48">
        <v>22</v>
      </c>
      <c r="AD29" s="49">
        <v>18</v>
      </c>
      <c r="AE29" s="58">
        <v>450</v>
      </c>
      <c r="AF29" s="58">
        <v>457.2</v>
      </c>
      <c r="AG29" s="54">
        <v>5</v>
      </c>
      <c r="AH29" s="59">
        <v>0.16500000000000001</v>
      </c>
      <c r="AI29" s="59">
        <v>17.670000000000002</v>
      </c>
      <c r="AJ29" s="54">
        <v>10</v>
      </c>
      <c r="AK29" s="59">
        <v>0.25</v>
      </c>
      <c r="AL29" s="59">
        <v>17.5</v>
      </c>
      <c r="AM29" s="60">
        <v>20</v>
      </c>
      <c r="AN29" s="59">
        <v>0.312</v>
      </c>
      <c r="AO29" s="59">
        <v>17.376000000000001</v>
      </c>
      <c r="AP29" s="60">
        <v>30</v>
      </c>
      <c r="AQ29" s="59">
        <v>0.438</v>
      </c>
      <c r="AR29" s="59">
        <v>17.123999999999999</v>
      </c>
      <c r="AS29" s="60">
        <v>40</v>
      </c>
      <c r="AT29" s="59">
        <v>0.56200000000000006</v>
      </c>
      <c r="AU29" s="59">
        <v>16.876000000000001</v>
      </c>
      <c r="AV29" s="60">
        <v>60</v>
      </c>
      <c r="AW29" s="59">
        <v>0.75</v>
      </c>
      <c r="AX29" s="59">
        <v>16.5</v>
      </c>
      <c r="AY29" s="60">
        <v>80</v>
      </c>
      <c r="AZ29" s="55">
        <v>0.93800000000000006</v>
      </c>
      <c r="BA29" s="55">
        <v>16.123999999999999</v>
      </c>
      <c r="BB29" s="60">
        <v>100</v>
      </c>
      <c r="BC29" s="59">
        <v>1.1559999999999999</v>
      </c>
      <c r="BD29" s="59">
        <v>15.688000000000001</v>
      </c>
      <c r="BE29" s="60">
        <v>120</v>
      </c>
      <c r="BF29" s="59">
        <v>1.375</v>
      </c>
      <c r="BG29" s="59">
        <v>15.25</v>
      </c>
      <c r="BH29" s="60">
        <v>140</v>
      </c>
      <c r="BI29" s="59">
        <v>1.5620000000000001</v>
      </c>
      <c r="BJ29" s="59">
        <v>14.875999999999999</v>
      </c>
      <c r="BK29" s="60">
        <v>160</v>
      </c>
      <c r="BL29" s="59">
        <v>1.7809999999999999</v>
      </c>
      <c r="BM29" s="59">
        <v>14.438000000000001</v>
      </c>
      <c r="BN29" s="54" t="s">
        <v>220</v>
      </c>
      <c r="BO29" s="55">
        <v>0.375</v>
      </c>
      <c r="BP29" s="55">
        <v>17.25</v>
      </c>
      <c r="BQ29" s="54" t="s">
        <v>221</v>
      </c>
      <c r="BR29" s="55">
        <v>0.5</v>
      </c>
      <c r="BS29" s="55">
        <v>17</v>
      </c>
      <c r="BT29" s="56"/>
      <c r="BU29" s="61"/>
      <c r="BV29" s="65"/>
    </row>
    <row r="30" spans="1:74" ht="17.25" customHeight="1">
      <c r="A30" s="30">
        <v>25</v>
      </c>
      <c r="B30" s="113" t="s">
        <v>254</v>
      </c>
      <c r="C30" s="512" t="str">
        <f>IF(V20=4,"",IF(C18&lt;=U34,"Stiff",IF(AND(C18&gt;U34,C18&lt;=U35),"Medium Stiff",IF(AND(C18&gt;U35,C18&lt;=U36),"Medium",IF(C18&gt;U36,"Flexible")))))</f>
        <v>Stiff</v>
      </c>
      <c r="D30" s="513"/>
      <c r="E30" s="85"/>
      <c r="F30" s="87"/>
      <c r="G30" s="512" t="str">
        <f>IF(X20=4,"",IF(G18&lt;=U37,"Stiff",IF(AND(G18&gt;U37,G18&lt;=U38),"Medium Stiff",IF(AND(G18&gt;U38,G18&lt;=U39),"Medium",IF(G18&gt;U39,"Flexible")))))</f>
        <v>Medium Stiff</v>
      </c>
      <c r="H30" s="513"/>
      <c r="I30" s="85"/>
      <c r="J30" s="87"/>
      <c r="K30" s="521" t="str">
        <f>IF(Z20=4,"",IF(K18&lt;=U40,"Stiff",IF(AND(K18&gt;U40,K18&lt;=U41),"Medium Stiff",IF(AND(K18&gt;U41,K18&lt;=U42),"Medium",IF(K18&gt;U42,"Flexible")))))</f>
        <v>Medium Stiff</v>
      </c>
      <c r="L30" s="522"/>
      <c r="M30" s="85"/>
      <c r="N30" s="87"/>
      <c r="O30" s="28"/>
      <c r="AC30" s="48">
        <v>23</v>
      </c>
      <c r="AD30" s="49">
        <v>20</v>
      </c>
      <c r="AE30" s="58">
        <v>500</v>
      </c>
      <c r="AF30" s="58">
        <v>508</v>
      </c>
      <c r="AG30" s="54">
        <v>5</v>
      </c>
      <c r="AH30" s="59">
        <v>0.188</v>
      </c>
      <c r="AI30" s="59">
        <v>19.623999999999999</v>
      </c>
      <c r="AJ30" s="54">
        <v>10</v>
      </c>
      <c r="AK30" s="59">
        <v>0.25</v>
      </c>
      <c r="AL30" s="59">
        <v>19.5</v>
      </c>
      <c r="AM30" s="60">
        <v>20</v>
      </c>
      <c r="AN30" s="59">
        <v>0.375</v>
      </c>
      <c r="AO30" s="59">
        <v>19.25</v>
      </c>
      <c r="AP30" s="60">
        <v>30</v>
      </c>
      <c r="AQ30" s="59">
        <v>0.5</v>
      </c>
      <c r="AR30" s="59">
        <v>19</v>
      </c>
      <c r="AS30" s="60">
        <v>40</v>
      </c>
      <c r="AT30" s="59">
        <v>0.59399999999999997</v>
      </c>
      <c r="AU30" s="59">
        <v>18.812000000000001</v>
      </c>
      <c r="AV30" s="60">
        <v>60</v>
      </c>
      <c r="AW30" s="59">
        <v>0.81200000000000006</v>
      </c>
      <c r="AX30" s="59">
        <v>18.376000000000001</v>
      </c>
      <c r="AY30" s="60">
        <v>80</v>
      </c>
      <c r="AZ30" s="59">
        <v>1.0309999999999999</v>
      </c>
      <c r="BA30" s="59">
        <v>17.937999999999999</v>
      </c>
      <c r="BB30" s="60">
        <v>100</v>
      </c>
      <c r="BC30" s="59">
        <v>1.2809999999999999</v>
      </c>
      <c r="BD30" s="59">
        <v>17.437999999999999</v>
      </c>
      <c r="BE30" s="60">
        <v>120</v>
      </c>
      <c r="BF30" s="55">
        <v>1.5</v>
      </c>
      <c r="BG30" s="55">
        <v>17</v>
      </c>
      <c r="BH30" s="60">
        <v>140</v>
      </c>
      <c r="BI30" s="59">
        <v>1.75</v>
      </c>
      <c r="BJ30" s="59">
        <v>16.5</v>
      </c>
      <c r="BK30" s="60">
        <v>160</v>
      </c>
      <c r="BL30" s="55">
        <v>1.9690000000000001</v>
      </c>
      <c r="BM30" s="55">
        <v>16.062000000000001</v>
      </c>
      <c r="BN30" s="54" t="s">
        <v>220</v>
      </c>
      <c r="BO30" s="59">
        <v>0.375</v>
      </c>
      <c r="BP30" s="59">
        <v>19.25</v>
      </c>
      <c r="BQ30" s="54" t="s">
        <v>221</v>
      </c>
      <c r="BR30" s="59">
        <v>0.5</v>
      </c>
      <c r="BS30" s="59">
        <v>19</v>
      </c>
      <c r="BT30" s="56"/>
      <c r="BU30" s="61"/>
      <c r="BV30" s="65"/>
    </row>
    <row r="31" spans="1:74" ht="17.25" customHeight="1">
      <c r="A31" s="27">
        <v>26</v>
      </c>
      <c r="B31" s="95" t="s">
        <v>255</v>
      </c>
      <c r="C31" s="514"/>
      <c r="D31" s="515"/>
      <c r="E31" s="22"/>
      <c r="F31" s="13"/>
      <c r="G31" s="22"/>
      <c r="H31" s="11"/>
      <c r="I31" s="11"/>
      <c r="J31" s="13"/>
      <c r="K31" s="11"/>
      <c r="L31" s="16"/>
      <c r="M31" s="23"/>
      <c r="N31" s="13"/>
      <c r="O31" s="28"/>
      <c r="AC31" s="48">
        <v>24</v>
      </c>
      <c r="AD31" s="49">
        <v>22</v>
      </c>
      <c r="AE31" s="58">
        <v>550</v>
      </c>
      <c r="AF31" s="58">
        <v>558.79999999999995</v>
      </c>
      <c r="AG31" s="54">
        <v>5</v>
      </c>
      <c r="AH31" s="59">
        <v>0.188</v>
      </c>
      <c r="AI31" s="59">
        <v>21.623999999999999</v>
      </c>
      <c r="AJ31" s="54">
        <v>10</v>
      </c>
      <c r="AK31" s="59">
        <v>0.25</v>
      </c>
      <c r="AL31" s="59">
        <v>23.5</v>
      </c>
      <c r="AM31" s="60">
        <v>20</v>
      </c>
      <c r="AN31" s="59">
        <v>0.375</v>
      </c>
      <c r="AO31" s="59">
        <v>21.25</v>
      </c>
      <c r="AP31" s="60">
        <v>30</v>
      </c>
      <c r="AQ31" s="59">
        <v>0.5</v>
      </c>
      <c r="AR31" s="59">
        <v>21</v>
      </c>
      <c r="AS31" s="60"/>
      <c r="AT31" s="59"/>
      <c r="AU31" s="59"/>
      <c r="AV31" s="60">
        <v>60</v>
      </c>
      <c r="AW31" s="59">
        <v>0.875</v>
      </c>
      <c r="AX31" s="59">
        <v>20.25</v>
      </c>
      <c r="AY31" s="60">
        <v>80</v>
      </c>
      <c r="AZ31" s="59">
        <v>1.125</v>
      </c>
      <c r="BA31" s="59">
        <v>19.75</v>
      </c>
      <c r="BB31" s="60">
        <v>100</v>
      </c>
      <c r="BC31" s="59">
        <v>1.375</v>
      </c>
      <c r="BD31" s="59">
        <v>19.25</v>
      </c>
      <c r="BE31" s="60">
        <v>120</v>
      </c>
      <c r="BF31" s="55">
        <v>1.625</v>
      </c>
      <c r="BG31" s="55">
        <v>18.75</v>
      </c>
      <c r="BH31" s="60">
        <v>140</v>
      </c>
      <c r="BI31" s="59">
        <v>1.875</v>
      </c>
      <c r="BJ31" s="59">
        <v>20.125</v>
      </c>
      <c r="BK31" s="60">
        <v>160</v>
      </c>
      <c r="BL31" s="55">
        <v>2.125</v>
      </c>
      <c r="BM31" s="55">
        <v>17.75</v>
      </c>
      <c r="BN31" s="54" t="s">
        <v>220</v>
      </c>
      <c r="BO31" s="55">
        <v>0.375</v>
      </c>
      <c r="BP31" s="55">
        <v>21.25</v>
      </c>
      <c r="BQ31" s="54" t="s">
        <v>221</v>
      </c>
      <c r="BR31" s="55">
        <v>0.5</v>
      </c>
      <c r="BS31" s="55">
        <v>21</v>
      </c>
      <c r="BT31" s="56"/>
      <c r="BU31" s="61"/>
      <c r="BV31" s="65"/>
    </row>
    <row r="32" spans="1:74" ht="17.25" customHeight="1">
      <c r="A32" s="30">
        <v>27</v>
      </c>
      <c r="B32" s="89" t="s">
        <v>256</v>
      </c>
      <c r="C32" s="491">
        <f>IF($V$24=1,$R$52,IF($V$24=2,$T$52,IF($V$24=3,$X$52,IF($V$24=4,$V$52,IF($V$24=5,$AB$52,IF($V$24=6,$Z$52,""))))))</f>
        <v>559280.21143107908</v>
      </c>
      <c r="D32" s="516"/>
      <c r="E32" s="84"/>
      <c r="F32" s="86"/>
      <c r="G32" s="491">
        <f>IF($X$24=1,$R$55,IF($X$24=2,$T$55,IF($X$24=3,$X$55,IF($X$24=4,$V$55,IF($X$24=5,$AB$55,IF($X$24=6,$Z$55,""))))))</f>
        <v>12.603836672</v>
      </c>
      <c r="H32" s="516"/>
      <c r="I32" s="84"/>
      <c r="J32" s="86"/>
      <c r="K32" s="491">
        <f>IF($Z$24=1,$R$58,IF($Z$24=2,$T$58,IF($Z$24=3,$X$58,IF($Z$24=4,$V$58,IF($Z$24=5,$AB$58,IF($Z$24=6,$Z$58,""))))))</f>
        <v>547065</v>
      </c>
      <c r="L32" s="492"/>
      <c r="M32" s="36"/>
      <c r="N32" s="81"/>
      <c r="O32" s="28"/>
      <c r="AC32" s="48">
        <v>25</v>
      </c>
      <c r="AD32" s="49">
        <v>24</v>
      </c>
      <c r="AE32" s="58">
        <v>600</v>
      </c>
      <c r="AF32" s="58">
        <v>609.6</v>
      </c>
      <c r="AG32" s="54">
        <v>5</v>
      </c>
      <c r="AH32" s="59">
        <v>0.218</v>
      </c>
      <c r="AI32" s="59">
        <v>23.564</v>
      </c>
      <c r="AJ32" s="54">
        <v>10</v>
      </c>
      <c r="AK32" s="59">
        <v>0.25</v>
      </c>
      <c r="AL32" s="59">
        <v>23.5</v>
      </c>
      <c r="AM32" s="60">
        <v>20</v>
      </c>
      <c r="AN32" s="59">
        <v>0.375</v>
      </c>
      <c r="AO32" s="59">
        <v>23.25</v>
      </c>
      <c r="AP32" s="60">
        <v>30</v>
      </c>
      <c r="AQ32" s="59">
        <v>0.56200000000000006</v>
      </c>
      <c r="AR32" s="59">
        <v>22.876000000000001</v>
      </c>
      <c r="AS32" s="60">
        <v>40</v>
      </c>
      <c r="AT32" s="59">
        <v>0.68800000000000006</v>
      </c>
      <c r="AU32" s="59">
        <v>22.623999999999999</v>
      </c>
      <c r="AV32" s="60">
        <v>60</v>
      </c>
      <c r="AW32" s="59">
        <v>0.96899999999999997</v>
      </c>
      <c r="AX32" s="59">
        <v>22.062000000000001</v>
      </c>
      <c r="AY32" s="60">
        <v>80</v>
      </c>
      <c r="AZ32" s="59">
        <v>1.2190000000000001</v>
      </c>
      <c r="BA32" s="59">
        <v>21.562000000000001</v>
      </c>
      <c r="BB32" s="60">
        <v>100</v>
      </c>
      <c r="BC32" s="59">
        <v>1.5309999999999999</v>
      </c>
      <c r="BD32" s="59">
        <v>20.937999999999999</v>
      </c>
      <c r="BE32" s="60">
        <v>120</v>
      </c>
      <c r="BF32" s="55">
        <v>1.8120000000000001</v>
      </c>
      <c r="BG32" s="55">
        <v>20.376000000000001</v>
      </c>
      <c r="BH32" s="60">
        <v>140</v>
      </c>
      <c r="BI32" s="59">
        <v>2.0619999999999998</v>
      </c>
      <c r="BJ32" s="59">
        <v>19.876000000000001</v>
      </c>
      <c r="BK32" s="60">
        <v>160</v>
      </c>
      <c r="BL32" s="55">
        <v>2.3439999999999999</v>
      </c>
      <c r="BM32" s="55">
        <v>19.312000000000001</v>
      </c>
      <c r="BN32" s="54" t="s">
        <v>220</v>
      </c>
      <c r="BO32" s="55">
        <v>0.375</v>
      </c>
      <c r="BP32" s="55">
        <v>23.25</v>
      </c>
      <c r="BQ32" s="54" t="s">
        <v>221</v>
      </c>
      <c r="BR32" s="55">
        <v>0.5</v>
      </c>
      <c r="BS32" s="55">
        <v>23</v>
      </c>
      <c r="BT32" s="56"/>
      <c r="BU32" s="61"/>
      <c r="BV32" s="65"/>
    </row>
    <row r="33" spans="1:74" ht="17.25" customHeight="1">
      <c r="A33" s="30">
        <v>28</v>
      </c>
      <c r="B33" s="89" t="s">
        <v>257</v>
      </c>
      <c r="C33" s="506">
        <f>IF($V$24=1,$R$53,IF($V$24=2,$T$53,IF($V$24=3,$X$53,IF($V$24=4,$V$53,IF($V$24=5,$AB$53,IF($V$24=6,$Z$53,""))))))</f>
        <v>-0.86132518988032392</v>
      </c>
      <c r="D33" s="507"/>
      <c r="E33" s="36"/>
      <c r="F33" s="81"/>
      <c r="G33" s="506">
        <f>IF($X$24=1,$R$56,IF($X$24=2,$T$56,IF($X$24=3,$X$56,IF($X$24=4,$V$56,IF($X$24=5,$AB$56,IF($X$24=6,$Z$56,""))))))</f>
        <v>-0.12488676352</v>
      </c>
      <c r="H33" s="507"/>
      <c r="I33" s="36"/>
      <c r="J33" s="81"/>
      <c r="K33" s="506">
        <f>IF($Z$24=1,$R$59,IF($Z$24=2,$T$59,IF($Z$24=3,$X$59,IF($Z$24=4,$V$59,IF($Z$24=5,$AB$59,IF($Z$24=6,$Z$59,""))))))</f>
        <v>-0.7746949225275136</v>
      </c>
      <c r="L33" s="519"/>
      <c r="M33" s="36"/>
      <c r="N33" s="81"/>
      <c r="O33" s="28"/>
      <c r="T33" s="48" t="s">
        <v>258</v>
      </c>
      <c r="Y33" s="48" t="s">
        <v>259</v>
      </c>
      <c r="AC33" s="48">
        <v>26</v>
      </c>
      <c r="AD33" s="49">
        <v>26</v>
      </c>
      <c r="AE33" s="58">
        <v>650</v>
      </c>
      <c r="AF33" s="58">
        <v>660.4</v>
      </c>
      <c r="AG33" s="54"/>
      <c r="AH33" s="59"/>
      <c r="AI33" s="59"/>
      <c r="AJ33" s="54">
        <v>10</v>
      </c>
      <c r="AK33" s="59">
        <v>0.312</v>
      </c>
      <c r="AL33" s="59">
        <v>25.376000000000001</v>
      </c>
      <c r="AM33" s="60">
        <v>20</v>
      </c>
      <c r="AN33" s="59">
        <v>0.5</v>
      </c>
      <c r="AO33" s="59">
        <v>25</v>
      </c>
      <c r="AP33" s="60"/>
      <c r="AQ33" s="59"/>
      <c r="AR33" s="59"/>
      <c r="AS33" s="60"/>
      <c r="AT33" s="59"/>
      <c r="AU33" s="59"/>
      <c r="AV33" s="60"/>
      <c r="AW33" s="61"/>
      <c r="AX33" s="61"/>
      <c r="AY33" s="61"/>
      <c r="AZ33" s="61"/>
      <c r="BA33" s="61"/>
      <c r="BB33" s="61"/>
      <c r="BC33" s="61"/>
      <c r="BD33" s="61"/>
      <c r="BE33" s="61"/>
      <c r="BF33" s="62"/>
      <c r="BG33" s="61"/>
      <c r="BH33" s="61"/>
      <c r="BI33" s="61"/>
      <c r="BJ33" s="61"/>
      <c r="BK33" s="61"/>
      <c r="BL33" s="59"/>
      <c r="BM33" s="59"/>
      <c r="BN33" s="54" t="s">
        <v>220</v>
      </c>
      <c r="BO33" s="55">
        <v>0.375</v>
      </c>
      <c r="BP33" s="55">
        <v>25.25</v>
      </c>
      <c r="BQ33" s="54" t="s">
        <v>221</v>
      </c>
      <c r="BR33" s="55">
        <v>0.5</v>
      </c>
      <c r="BS33" s="55">
        <v>25</v>
      </c>
      <c r="BT33" s="56"/>
      <c r="BU33" s="61"/>
      <c r="BV33" s="65"/>
    </row>
    <row r="34" spans="1:74" ht="17.25" customHeight="1" thickBot="1">
      <c r="A34" s="27">
        <v>29</v>
      </c>
      <c r="B34" s="88" t="s">
        <v>260</v>
      </c>
      <c r="C34" s="491">
        <f>IF(V24=1,R54,IF(V24=2,T54,IF(V24=3,X54,IF(V24=4,V54,IF(V24=5,AB54,IF(V24=6,Z54,""))))))</f>
        <v>96734.966217077148</v>
      </c>
      <c r="D34" s="516"/>
      <c r="E34" s="84"/>
      <c r="F34" s="86"/>
      <c r="G34" s="491">
        <f>IF(X24=1,R57,IF(X24=2,T57,IF(X24=3,X57,IF(X24=4,V57,IF(X24=5,AB57,IF(X24=6,Z57,""))))))</f>
        <v>2226.4419426429668</v>
      </c>
      <c r="H34" s="516"/>
      <c r="I34" s="84"/>
      <c r="J34" s="86"/>
      <c r="K34" s="491">
        <f>IF(Z24=1,R60,IF(Z24=2,T60,IF(Z24=3,X60,IF(Z24=4,V60,IF(Z24=5,AB60,IF(Z24=6,Z60,""))))))</f>
        <v>24195.051024856213</v>
      </c>
      <c r="L34" s="492"/>
      <c r="M34" s="36"/>
      <c r="N34" s="81"/>
      <c r="O34" s="28"/>
      <c r="T34" s="48" t="s">
        <v>185</v>
      </c>
      <c r="U34">
        <f>(-0.000012346*(E10^2))+(0.02*E10)+2.0563</f>
        <v>5.0726009080600001</v>
      </c>
      <c r="W34" s="48"/>
      <c r="Y34" s="48" t="s">
        <v>252</v>
      </c>
      <c r="AB34" s="48" t="s">
        <v>261</v>
      </c>
      <c r="AC34" s="48">
        <v>27</v>
      </c>
      <c r="AD34" s="49">
        <v>28</v>
      </c>
      <c r="AE34" s="58">
        <v>700</v>
      </c>
      <c r="AF34" s="58">
        <v>711.2</v>
      </c>
      <c r="AG34" s="54"/>
      <c r="AH34" s="59"/>
      <c r="AI34" s="59"/>
      <c r="AJ34" s="54">
        <v>10</v>
      </c>
      <c r="AK34" s="59">
        <v>0.312</v>
      </c>
      <c r="AL34" s="59">
        <v>27.376000000000001</v>
      </c>
      <c r="AM34" s="60">
        <v>20</v>
      </c>
      <c r="AN34" s="59">
        <v>0.5</v>
      </c>
      <c r="AO34" s="59">
        <v>27</v>
      </c>
      <c r="AP34" s="60">
        <v>30</v>
      </c>
      <c r="AQ34" s="59">
        <v>0.625</v>
      </c>
      <c r="AR34" s="59">
        <v>26.75</v>
      </c>
      <c r="AS34" s="60"/>
      <c r="AT34" s="59"/>
      <c r="AU34" s="59"/>
      <c r="AV34" s="61"/>
      <c r="AW34" s="61"/>
      <c r="AX34" s="61"/>
      <c r="AY34" s="61"/>
      <c r="AZ34" s="61"/>
      <c r="BA34" s="61"/>
      <c r="BB34" s="61"/>
      <c r="BC34" s="61"/>
      <c r="BD34" s="61"/>
      <c r="BE34" s="61"/>
      <c r="BF34" s="62"/>
      <c r="BG34" s="61"/>
      <c r="BH34" s="61"/>
      <c r="BI34" s="61"/>
      <c r="BJ34" s="61"/>
      <c r="BK34" s="61"/>
      <c r="BL34" s="62"/>
      <c r="BM34" s="61"/>
      <c r="BN34" s="54" t="s">
        <v>220</v>
      </c>
      <c r="BO34" s="59">
        <v>0.375</v>
      </c>
      <c r="BP34" s="59">
        <v>27.25</v>
      </c>
      <c r="BQ34" s="54" t="s">
        <v>221</v>
      </c>
      <c r="BR34" s="59">
        <v>0.5</v>
      </c>
      <c r="BS34" s="59">
        <v>27</v>
      </c>
      <c r="BT34" s="56"/>
      <c r="BU34" s="61"/>
      <c r="BV34" s="65"/>
    </row>
    <row r="35" spans="1:74" ht="17.25" customHeight="1">
      <c r="A35" s="30">
        <v>30</v>
      </c>
      <c r="B35" s="523" t="s">
        <v>262</v>
      </c>
      <c r="C35" s="508">
        <f>IF(V20=1,(C27/C34),IF(V20=2,((C27/C34)*C29),IF(V20=3,(C28/C34),IF(V20=4,""))))</f>
        <v>6.1119733747772478E-2</v>
      </c>
      <c r="D35" s="529"/>
      <c r="E35" s="96"/>
      <c r="F35" s="98"/>
      <c r="G35" s="508">
        <f>IF($X$20=1,($G$27/$G$34),IF($X$20=2,(($G$27/$G$34)*$G$29),IF($X$20=3,($G$28/$G$34),IF(X20=4,""))))</f>
        <v>7.653257906097787</v>
      </c>
      <c r="H35" s="529"/>
      <c r="I35" s="96"/>
      <c r="J35" s="98"/>
      <c r="K35" s="508">
        <f>IF($Z$20=1,($K$27/$K$34),IF($Z$20=2,(($K$27/$K$34)*$K$29),IF($Z$20=3,($K$28/$K$34),IF(Z20=4,""))))</f>
        <v>7.8961440630319582E-2</v>
      </c>
      <c r="L35" s="509"/>
      <c r="M35" s="80"/>
      <c r="N35" s="82"/>
      <c r="O35" s="28"/>
      <c r="T35" s="112" t="s">
        <v>263</v>
      </c>
      <c r="U35">
        <f>(-0.000011886*(E10^2))+(0.025262*E10)+3.3601</f>
        <v>7.2750249574600012</v>
      </c>
      <c r="X35" s="17" t="s">
        <v>256</v>
      </c>
      <c r="Y35">
        <f>((0.000013175*(E10^2))-(0.0044213*E10)+12.217)*(0.0529*(LN(C37))+1)</f>
        <v>12.280441446521099</v>
      </c>
      <c r="AB35">
        <f>((41.21*E10)+49397)*(C37^((0.0001665*E10)+0.84615))</f>
        <v>103255.24134752183</v>
      </c>
      <c r="AC35" s="48">
        <v>28</v>
      </c>
      <c r="AD35" s="49">
        <v>30</v>
      </c>
      <c r="AE35" s="58">
        <v>750</v>
      </c>
      <c r="AF35" s="58">
        <v>762</v>
      </c>
      <c r="AG35" s="54">
        <v>5</v>
      </c>
      <c r="AH35" s="59">
        <v>0.25</v>
      </c>
      <c r="AI35" s="59">
        <v>29.5</v>
      </c>
      <c r="AJ35" s="54">
        <v>10</v>
      </c>
      <c r="AK35" s="59">
        <v>0.312</v>
      </c>
      <c r="AL35" s="59">
        <v>29.376000000000001</v>
      </c>
      <c r="AM35" s="60">
        <v>20</v>
      </c>
      <c r="AN35" s="59">
        <v>0.5</v>
      </c>
      <c r="AO35" s="59">
        <v>29</v>
      </c>
      <c r="AP35" s="60">
        <v>30</v>
      </c>
      <c r="AQ35" s="59">
        <v>0.625</v>
      </c>
      <c r="AR35" s="59">
        <v>28.75</v>
      </c>
      <c r="AS35" s="60"/>
      <c r="AT35" s="59"/>
      <c r="AU35" s="59"/>
      <c r="AV35" s="61"/>
      <c r="AW35" s="61"/>
      <c r="AX35" s="61"/>
      <c r="AY35" s="61"/>
      <c r="AZ35" s="61"/>
      <c r="BA35" s="61"/>
      <c r="BB35" s="61"/>
      <c r="BC35" s="61"/>
      <c r="BD35" s="61"/>
      <c r="BE35" s="61"/>
      <c r="BF35" s="62"/>
      <c r="BG35" s="61"/>
      <c r="BH35" s="61"/>
      <c r="BI35" s="61"/>
      <c r="BJ35" s="61"/>
      <c r="BK35" s="61"/>
      <c r="BL35" s="62"/>
      <c r="BM35" s="61"/>
      <c r="BN35" s="54" t="s">
        <v>220</v>
      </c>
      <c r="BO35" s="59">
        <v>0.375</v>
      </c>
      <c r="BP35" s="59">
        <v>29.25</v>
      </c>
      <c r="BQ35" s="54" t="s">
        <v>221</v>
      </c>
      <c r="BR35" s="59">
        <v>0.5</v>
      </c>
      <c r="BS35" s="59">
        <v>29</v>
      </c>
      <c r="BT35" s="56"/>
      <c r="BU35" s="61"/>
      <c r="BV35" s="65"/>
    </row>
    <row r="36" spans="1:74" ht="17.25" customHeight="1" thickBot="1">
      <c r="A36" s="30">
        <v>31</v>
      </c>
      <c r="B36" s="524"/>
      <c r="C36" s="510"/>
      <c r="D36" s="530"/>
      <c r="E36" s="97"/>
      <c r="F36" s="99"/>
      <c r="G36" s="510"/>
      <c r="H36" s="530"/>
      <c r="I36" s="97"/>
      <c r="J36" s="99"/>
      <c r="K36" s="510"/>
      <c r="L36" s="511"/>
      <c r="M36" s="35"/>
      <c r="N36" s="83"/>
      <c r="O36" s="28"/>
      <c r="T36" s="112" t="s">
        <v>264</v>
      </c>
      <c r="U36">
        <f>(-0.000015968*(E10^2))+(0.033583*E10)+4.429</f>
        <v>9.6287270564800007</v>
      </c>
      <c r="X36" s="17" t="s">
        <v>257</v>
      </c>
      <c r="Y36">
        <f>((-0.0000004622*(E10^2))+(0.0002835*E10)-0.164)*((-0.1407*LN(C37))+1)</f>
        <v>-0.11676095048230742</v>
      </c>
      <c r="AB36">
        <f>(0.0815*LN(E10))-1.3842+(0.0191*(C37-1))</f>
        <v>-0.94735152975246406</v>
      </c>
      <c r="AC36" s="48">
        <v>29</v>
      </c>
      <c r="AD36" s="49">
        <v>32</v>
      </c>
      <c r="AE36" s="58">
        <v>800</v>
      </c>
      <c r="AF36" s="58">
        <v>812.8</v>
      </c>
      <c r="AG36" s="54"/>
      <c r="AH36" s="59"/>
      <c r="AI36" s="59"/>
      <c r="AJ36" s="54">
        <v>10</v>
      </c>
      <c r="AK36" s="59">
        <v>0.312</v>
      </c>
      <c r="AL36" s="59">
        <v>31.376000000000001</v>
      </c>
      <c r="AM36" s="60">
        <v>20</v>
      </c>
      <c r="AN36" s="59">
        <v>0.5</v>
      </c>
      <c r="AO36" s="59">
        <v>31</v>
      </c>
      <c r="AP36" s="60">
        <v>30</v>
      </c>
      <c r="AQ36" s="59">
        <v>0.625</v>
      </c>
      <c r="AR36" s="59">
        <v>30.75</v>
      </c>
      <c r="AS36" s="60">
        <v>40</v>
      </c>
      <c r="AT36" s="59">
        <v>0.68800000000000006</v>
      </c>
      <c r="AU36" s="59">
        <v>30.623999999999999</v>
      </c>
      <c r="AV36" s="61"/>
      <c r="AW36" s="61"/>
      <c r="AX36" s="61"/>
      <c r="AY36" s="61"/>
      <c r="AZ36" s="61"/>
      <c r="BA36" s="61"/>
      <c r="BB36" s="61"/>
      <c r="BC36" s="61"/>
      <c r="BD36" s="61"/>
      <c r="BE36" s="61"/>
      <c r="BF36" s="62"/>
      <c r="BG36" s="61"/>
      <c r="BH36" s="61"/>
      <c r="BI36" s="61"/>
      <c r="BJ36" s="61"/>
      <c r="BK36" s="61"/>
      <c r="BL36" s="62"/>
      <c r="BM36" s="61"/>
      <c r="BN36" s="54" t="s">
        <v>220</v>
      </c>
      <c r="BO36" s="59">
        <v>0.375</v>
      </c>
      <c r="BP36" s="59">
        <v>31.25</v>
      </c>
      <c r="BQ36" s="54" t="s">
        <v>221</v>
      </c>
      <c r="BR36" s="59">
        <v>0.5</v>
      </c>
      <c r="BS36" s="59">
        <v>31</v>
      </c>
      <c r="BT36" s="56"/>
      <c r="BU36" s="61"/>
      <c r="BV36" s="65"/>
    </row>
    <row r="37" spans="1:74" ht="17.25" customHeight="1">
      <c r="A37" s="30">
        <v>32</v>
      </c>
      <c r="B37" s="124" t="s">
        <v>265</v>
      </c>
      <c r="C37" s="548">
        <v>2</v>
      </c>
      <c r="D37" s="549"/>
      <c r="E37" s="115"/>
      <c r="F37" s="115"/>
      <c r="G37" s="548">
        <v>4</v>
      </c>
      <c r="H37" s="549"/>
      <c r="I37" s="116"/>
      <c r="J37" s="116"/>
      <c r="K37" s="548">
        <v>2</v>
      </c>
      <c r="L37" s="549"/>
      <c r="M37" s="27"/>
      <c r="N37" s="27"/>
      <c r="O37" s="28"/>
      <c r="T37" s="48" t="s">
        <v>185</v>
      </c>
      <c r="U37">
        <f>(-0.000012346*(I10^2))+(0.02*I10)+2.0563</f>
        <v>8.1452227878399999</v>
      </c>
      <c r="X37" t="s">
        <v>260</v>
      </c>
      <c r="Y37">
        <f>EXP(Y35*($E$10/$E$11)^(Y36))</f>
        <v>16007.311134529193</v>
      </c>
      <c r="AB37">
        <f>AB35*($E$10/$E$11)^(AB36)</f>
        <v>14988.407112889539</v>
      </c>
      <c r="AC37" s="48">
        <v>30</v>
      </c>
      <c r="AD37" s="49">
        <v>34</v>
      </c>
      <c r="AE37" s="58">
        <v>850</v>
      </c>
      <c r="AF37" s="58">
        <v>863.6</v>
      </c>
      <c r="AG37" s="54"/>
      <c r="AH37" s="59"/>
      <c r="AI37" s="59"/>
      <c r="AJ37" s="54">
        <v>10</v>
      </c>
      <c r="AK37" s="59">
        <v>0.312</v>
      </c>
      <c r="AL37" s="59">
        <v>33.375999999999998</v>
      </c>
      <c r="AM37" s="60">
        <v>20</v>
      </c>
      <c r="AN37" s="59">
        <v>0.5</v>
      </c>
      <c r="AO37" s="59">
        <v>33</v>
      </c>
      <c r="AP37" s="60">
        <v>30</v>
      </c>
      <c r="AQ37" s="59">
        <v>0.625</v>
      </c>
      <c r="AR37" s="59">
        <v>32.75</v>
      </c>
      <c r="AS37" s="60">
        <v>40</v>
      </c>
      <c r="AT37" s="59">
        <v>0.68800000000000006</v>
      </c>
      <c r="AU37" s="59">
        <v>32.624000000000002</v>
      </c>
      <c r="AV37" s="61"/>
      <c r="AW37" s="61"/>
      <c r="AX37" s="61"/>
      <c r="AY37" s="61"/>
      <c r="AZ37" s="61"/>
      <c r="BA37" s="61"/>
      <c r="BB37" s="61"/>
      <c r="BC37" s="61"/>
      <c r="BD37" s="61"/>
      <c r="BE37" s="61"/>
      <c r="BF37" s="62"/>
      <c r="BG37" s="61"/>
      <c r="BH37" s="61"/>
      <c r="BI37" s="61"/>
      <c r="BJ37" s="61"/>
      <c r="BK37" s="61"/>
      <c r="BL37" s="62"/>
      <c r="BM37" s="61"/>
      <c r="BN37" s="54" t="s">
        <v>220</v>
      </c>
      <c r="BO37" s="59">
        <v>0.375</v>
      </c>
      <c r="BP37" s="59">
        <v>33.25</v>
      </c>
      <c r="BQ37" s="54" t="s">
        <v>221</v>
      </c>
      <c r="BR37" s="59">
        <v>0.5</v>
      </c>
      <c r="BS37" s="59">
        <v>33</v>
      </c>
      <c r="BT37" s="56"/>
      <c r="BU37" s="61"/>
      <c r="BV37" s="65"/>
    </row>
    <row r="38" spans="1:74" ht="17.25" customHeight="1">
      <c r="A38" s="27">
        <v>33</v>
      </c>
      <c r="B38" s="117" t="s">
        <v>266</v>
      </c>
      <c r="C38" s="493" t="str">
        <f>IF(C35&gt;=1,IF($V$24=5,Y35,IF($V$24=6,AB35,"")),"")</f>
        <v/>
      </c>
      <c r="D38" s="494"/>
      <c r="E38" s="119"/>
      <c r="F38" s="119"/>
      <c r="G38" s="493">
        <f>IF(G35&gt;=1,IF($X$24=5,Y38,IF($X$24=6,AB38,"")),"")</f>
        <v>13.519919782587845</v>
      </c>
      <c r="H38" s="494"/>
      <c r="I38" s="119"/>
      <c r="J38" s="119"/>
      <c r="K38" s="493" t="str">
        <f>IF(K35&gt;=1,IF($Z$24=5,Y41,IF($Z$24=6,AB41,"")),"")</f>
        <v/>
      </c>
      <c r="L38" s="494"/>
      <c r="O38" s="28"/>
      <c r="T38" s="112" t="s">
        <v>263</v>
      </c>
      <c r="U38">
        <f>(-0.000011886*(I10^2))+(0.025262*I10)+3.3601</f>
        <v>11.663473629439999</v>
      </c>
      <c r="X38" s="17" t="s">
        <v>256</v>
      </c>
      <c r="Y38">
        <f>((0.000013175*(I10^2))-(0.0044213*I10)+12.217)*(0.0529*(LN(G37))+1)</f>
        <v>13.519919782587845</v>
      </c>
      <c r="AB38">
        <f>((41.21*I10)+49397)*(G37^((0.0001665*I10)+0.84615))</f>
        <v>234783.27275150674</v>
      </c>
      <c r="AC38" s="48">
        <v>31</v>
      </c>
      <c r="AD38" s="49">
        <v>36</v>
      </c>
      <c r="AE38" s="58">
        <v>900</v>
      </c>
      <c r="AF38" s="58">
        <v>914.4</v>
      </c>
      <c r="AG38" s="54"/>
      <c r="AH38" s="59"/>
      <c r="AI38" s="59"/>
      <c r="AJ38" s="54">
        <v>10</v>
      </c>
      <c r="AK38" s="59">
        <v>0.312</v>
      </c>
      <c r="AL38" s="59">
        <v>35.375999999999998</v>
      </c>
      <c r="AM38" s="60">
        <v>20</v>
      </c>
      <c r="AN38" s="59">
        <v>0.5</v>
      </c>
      <c r="AO38" s="59">
        <v>35</v>
      </c>
      <c r="AP38" s="60">
        <v>30</v>
      </c>
      <c r="AQ38" s="59">
        <v>0.625</v>
      </c>
      <c r="AR38" s="59">
        <v>34.75</v>
      </c>
      <c r="AS38" s="60">
        <v>40</v>
      </c>
      <c r="AT38" s="59">
        <v>0.75</v>
      </c>
      <c r="AU38" s="59">
        <v>34.5</v>
      </c>
      <c r="AV38" s="61"/>
      <c r="AW38" s="61"/>
      <c r="AX38" s="61"/>
      <c r="AY38" s="61"/>
      <c r="AZ38" s="61"/>
      <c r="BA38" s="61"/>
      <c r="BB38" s="61"/>
      <c r="BC38" s="61"/>
      <c r="BD38" s="61"/>
      <c r="BE38" s="61"/>
      <c r="BF38" s="62"/>
      <c r="BG38" s="61"/>
      <c r="BH38" s="61"/>
      <c r="BI38" s="61"/>
      <c r="BJ38" s="61"/>
      <c r="BK38" s="61"/>
      <c r="BL38" s="62"/>
      <c r="BM38" s="61"/>
      <c r="BN38" s="54" t="s">
        <v>220</v>
      </c>
      <c r="BO38" s="59">
        <v>0.375</v>
      </c>
      <c r="BP38" s="59">
        <v>35.25</v>
      </c>
      <c r="BQ38" s="54" t="s">
        <v>221</v>
      </c>
      <c r="BR38" s="59">
        <v>0.5</v>
      </c>
      <c r="BS38" s="59">
        <v>35</v>
      </c>
      <c r="BT38" s="56"/>
      <c r="BU38" s="61"/>
      <c r="BV38" s="65"/>
    </row>
    <row r="39" spans="1:74" ht="17.25" customHeight="1">
      <c r="A39" s="27">
        <v>34</v>
      </c>
      <c r="B39" s="117" t="s">
        <v>267</v>
      </c>
      <c r="C39" s="495" t="str">
        <f>IF(C35&gt;=1,IF($V$24=5,Y36,IF($V$24=6,AB36,"")),"")</f>
        <v/>
      </c>
      <c r="D39" s="496"/>
      <c r="E39" s="120"/>
      <c r="F39" s="120"/>
      <c r="G39" s="495">
        <f>IF(G35&gt;=1,IF($X$24=5,Y39,IF($X$24=6,AB39,"")),"")</f>
        <v>-0.10071755312334228</v>
      </c>
      <c r="H39" s="496"/>
      <c r="I39" s="120"/>
      <c r="J39" s="120"/>
      <c r="K39" s="495" t="str">
        <f>IF(K35&gt;=1,IF($Z$24=5,Y42,IF($Z$24=6,AB42,"")),"")</f>
        <v/>
      </c>
      <c r="L39" s="496"/>
      <c r="O39" s="28"/>
      <c r="T39" s="112" t="s">
        <v>264</v>
      </c>
      <c r="U39">
        <f>(-0.000015968*(I10^2))+(0.033583*I10)+4.429</f>
        <v>15.43984099072</v>
      </c>
      <c r="X39" s="17" t="s">
        <v>257</v>
      </c>
      <c r="Y39">
        <f>((-0.0000004622*(I10^2))+(0.0002835*I10)-0.164)*((-0.1407*LN(G37))+1)</f>
        <v>-0.10071755312334228</v>
      </c>
      <c r="AB39">
        <f>(0.0815*LN(I10))-1.3842+(0.0191*(G37-1))</f>
        <v>-0.8373019614544619</v>
      </c>
      <c r="AC39" s="48">
        <v>32</v>
      </c>
      <c r="AD39" s="49">
        <v>38</v>
      </c>
      <c r="AE39" s="58">
        <v>950</v>
      </c>
      <c r="AF39" s="58">
        <v>965.2</v>
      </c>
      <c r="AG39" s="54"/>
      <c r="AH39" s="59"/>
      <c r="AI39" s="59"/>
      <c r="AJ39" s="61"/>
      <c r="AK39" s="59"/>
      <c r="AL39" s="59"/>
      <c r="AM39" s="61"/>
      <c r="AN39" s="61"/>
      <c r="AO39" s="61"/>
      <c r="AP39" s="61"/>
      <c r="AQ39" s="61"/>
      <c r="AR39" s="61"/>
      <c r="AS39" s="61"/>
      <c r="AT39" s="61"/>
      <c r="AU39" s="61"/>
      <c r="AV39" s="61"/>
      <c r="AW39" s="61"/>
      <c r="AX39" s="61"/>
      <c r="AY39" s="61"/>
      <c r="AZ39" s="61"/>
      <c r="BA39" s="61"/>
      <c r="BB39" s="61"/>
      <c r="BC39" s="61"/>
      <c r="BD39" s="61"/>
      <c r="BE39" s="61"/>
      <c r="BF39" s="62"/>
      <c r="BG39" s="61"/>
      <c r="BH39" s="61"/>
      <c r="BI39" s="61"/>
      <c r="BJ39" s="61"/>
      <c r="BK39" s="61"/>
      <c r="BL39" s="62"/>
      <c r="BM39" s="61"/>
      <c r="BN39" s="54" t="s">
        <v>220</v>
      </c>
      <c r="BO39" s="59">
        <v>0.375</v>
      </c>
      <c r="BP39" s="59">
        <v>37.25</v>
      </c>
      <c r="BQ39" s="54" t="s">
        <v>221</v>
      </c>
      <c r="BR39" s="59">
        <v>0.5</v>
      </c>
      <c r="BS39" s="59">
        <v>37</v>
      </c>
      <c r="BT39" s="56"/>
      <c r="BU39" s="61"/>
      <c r="BV39" s="65"/>
    </row>
    <row r="40" spans="1:74" ht="17.25" customHeight="1" thickBot="1">
      <c r="A40" s="27">
        <v>35</v>
      </c>
      <c r="B40" s="118" t="s">
        <v>268</v>
      </c>
      <c r="C40" s="497" t="str">
        <f>IF(C35&gt;=1,IF($V$24=5,Y37,IF($V$24=6,AB37,"")),"")</f>
        <v/>
      </c>
      <c r="D40" s="498"/>
      <c r="E40" s="121"/>
      <c r="F40" s="121"/>
      <c r="G40" s="497">
        <f>IF(G35&gt;=1,IF(X24=5,Y40,IF(X24=6,AB40,"")),"")</f>
        <v>8900.9082442818162</v>
      </c>
      <c r="H40" s="498"/>
      <c r="I40" s="121"/>
      <c r="J40" s="121"/>
      <c r="K40" s="497" t="str">
        <f>IF(K35&gt;=1,IF(Z24=5,Y43,IF(Z24=6,AB43,"")),"")</f>
        <v/>
      </c>
      <c r="L40" s="498"/>
      <c r="O40" s="28"/>
      <c r="T40" s="48" t="s">
        <v>185</v>
      </c>
      <c r="U40">
        <f>(-0.000012346*(M10^2))+(0.02*M10)+2.0563</f>
        <v>10.03562603776</v>
      </c>
      <c r="X40" t="s">
        <v>260</v>
      </c>
      <c r="Y40">
        <f>EXP(Y38*($I$10/$I$11)^(Y39))</f>
        <v>8900.9082442818162</v>
      </c>
      <c r="AB40">
        <f>AB38*($I$10/$I$11)^(AB39)</f>
        <v>8687.7992732789553</v>
      </c>
      <c r="AC40" s="48">
        <v>33</v>
      </c>
      <c r="AD40" s="49">
        <v>40</v>
      </c>
      <c r="AE40" s="58">
        <v>1000</v>
      </c>
      <c r="AF40" s="58">
        <v>1016</v>
      </c>
      <c r="AG40" s="54"/>
      <c r="AH40" s="59"/>
      <c r="AI40" s="59"/>
      <c r="AJ40" s="61"/>
      <c r="AK40" s="59"/>
      <c r="AL40" s="59"/>
      <c r="AM40" s="61"/>
      <c r="AN40" s="61"/>
      <c r="AO40" s="61"/>
      <c r="AP40" s="61"/>
      <c r="AQ40" s="61"/>
      <c r="AR40" s="61"/>
      <c r="AS40" s="61"/>
      <c r="AT40" s="61"/>
      <c r="AU40" s="61"/>
      <c r="AV40" s="61"/>
      <c r="AW40" s="61"/>
      <c r="AX40" s="61"/>
      <c r="AY40" s="61"/>
      <c r="AZ40" s="61"/>
      <c r="BA40" s="61"/>
      <c r="BB40" s="61"/>
      <c r="BC40" s="61"/>
      <c r="BD40" s="61"/>
      <c r="BE40" s="61"/>
      <c r="BF40" s="62"/>
      <c r="BG40" s="61"/>
      <c r="BH40" s="61"/>
      <c r="BI40" s="61"/>
      <c r="BJ40" s="61"/>
      <c r="BK40" s="61"/>
      <c r="BL40" s="62"/>
      <c r="BM40" s="61"/>
      <c r="BN40" s="54" t="s">
        <v>220</v>
      </c>
      <c r="BO40" s="55">
        <v>0.375</v>
      </c>
      <c r="BP40" s="55">
        <v>39.25</v>
      </c>
      <c r="BQ40" s="54" t="s">
        <v>221</v>
      </c>
      <c r="BR40" s="55">
        <v>0.5</v>
      </c>
      <c r="BS40" s="55">
        <v>39</v>
      </c>
      <c r="BT40" s="56"/>
      <c r="BU40" s="61"/>
      <c r="BV40" s="65"/>
    </row>
    <row r="41" spans="1:74" ht="17.25" customHeight="1">
      <c r="A41" s="27">
        <v>36</v>
      </c>
      <c r="B41" s="523" t="s">
        <v>269</v>
      </c>
      <c r="C41" s="508" t="str">
        <f>IF(C35&gt;=1,IF(V20=1,(C27/C40),IF(V20=2,((C27/C40)*C29),IF(V20=3,(C28/C40),IF(V20=4,"")))),"")</f>
        <v/>
      </c>
      <c r="D41" s="509"/>
      <c r="E41" s="122"/>
      <c r="F41" s="122"/>
      <c r="G41" s="508">
        <f>IF(G35&gt;=1,IF($X$20=1,($G$27/$G$40),IF($X$20=2,(($G$27/$G$40)*$G$29),IF($X$20=3,($G$28/$G$40),IF(X20=4,"")))),"")</f>
        <v>1.9143590667780064</v>
      </c>
      <c r="H41" s="509"/>
      <c r="I41" s="122"/>
      <c r="J41" s="122"/>
      <c r="K41" s="508" t="str">
        <f>IF(K35&gt;=1,IF($Z$20=1,($K$27/$K$40),IF($Z$20=2,(($K$27/$K$40)*$K$29),IF($Z$20=3,($K$28/$K$40),IF(Z20=4,"")))),"")</f>
        <v/>
      </c>
      <c r="L41" s="509"/>
      <c r="O41" s="28"/>
      <c r="T41" s="112" t="s">
        <v>263</v>
      </c>
      <c r="U41">
        <f>(-0.000011886*(M10^2))+(0.025262*M10)+3.3601</f>
        <v>15.314430940160001</v>
      </c>
      <c r="X41" s="17" t="s">
        <v>256</v>
      </c>
      <c r="Y41">
        <f>((0.000013175*(M10^2))-(0.0044213*M10)+12.217)*(0.0529*(LN(K37))+1)</f>
        <v>16.313578133924974</v>
      </c>
      <c r="AB41">
        <f>((41.21*M10)+49397)*(K37^((0.0001665*M10)+0.84615))</f>
        <v>153591.89784249978</v>
      </c>
      <c r="AC41" s="48">
        <v>34</v>
      </c>
      <c r="AD41" s="49">
        <v>42</v>
      </c>
      <c r="AE41" s="58">
        <v>1050</v>
      </c>
      <c r="AF41" s="58">
        <v>1066.8</v>
      </c>
      <c r="AG41" s="54"/>
      <c r="AH41" s="59"/>
      <c r="AI41" s="59"/>
      <c r="AJ41" s="61"/>
      <c r="AK41" s="61"/>
      <c r="AL41" s="61"/>
      <c r="AM41" s="61"/>
      <c r="AN41" s="61"/>
      <c r="AO41" s="61"/>
      <c r="AP41" s="61"/>
      <c r="AQ41" s="61"/>
      <c r="AR41" s="61"/>
      <c r="AS41" s="61"/>
      <c r="AT41" s="66"/>
      <c r="AU41" s="61"/>
      <c r="AV41" s="61"/>
      <c r="AW41" s="61"/>
      <c r="AX41" s="61"/>
      <c r="AY41" s="61"/>
      <c r="AZ41" s="61"/>
      <c r="BA41" s="66"/>
      <c r="BB41" s="66"/>
      <c r="BC41" s="66"/>
      <c r="BD41" s="66"/>
      <c r="BE41" s="61"/>
      <c r="BF41" s="61"/>
      <c r="BG41" s="61"/>
      <c r="BH41" s="61"/>
      <c r="BI41" s="61"/>
      <c r="BJ41" s="61"/>
      <c r="BK41" s="66"/>
      <c r="BL41" s="61"/>
      <c r="BM41" s="61"/>
      <c r="BN41" s="54" t="s">
        <v>220</v>
      </c>
      <c r="BO41" s="55">
        <v>0.375</v>
      </c>
      <c r="BP41" s="55">
        <v>41.25</v>
      </c>
      <c r="BQ41" s="54" t="s">
        <v>221</v>
      </c>
      <c r="BR41" s="55">
        <v>0.5</v>
      </c>
      <c r="BS41" s="55">
        <v>41</v>
      </c>
      <c r="BT41" s="56"/>
      <c r="BU41" s="61"/>
      <c r="BV41" s="65"/>
    </row>
    <row r="42" spans="1:74" ht="17.25" customHeight="1" thickBot="1">
      <c r="A42" s="27">
        <v>37</v>
      </c>
      <c r="B42" s="524"/>
      <c r="C42" s="510"/>
      <c r="D42" s="511"/>
      <c r="E42" s="123"/>
      <c r="F42" s="123"/>
      <c r="G42" s="510"/>
      <c r="H42" s="511"/>
      <c r="I42" s="123"/>
      <c r="J42" s="123"/>
      <c r="K42" s="510"/>
      <c r="L42" s="511"/>
      <c r="O42" s="28"/>
      <c r="T42" s="112" t="s">
        <v>264</v>
      </c>
      <c r="U42">
        <f>(-0.000015968*(M10^2))+(0.033583*M10)+4.429</f>
        <v>20.236528334079999</v>
      </c>
      <c r="X42" s="17" t="s">
        <v>257</v>
      </c>
      <c r="Y42">
        <f>((-0.0000004622*(M10^2))+(0.0002835*M10)-0.164)*((-0.1407*LN(K37))+1)</f>
        <v>-0.17702759960975084</v>
      </c>
      <c r="AB42">
        <f>(0.0815*LN(M10))-1.3842+(0.0191*(K37-1))</f>
        <v>-0.8298932747377249</v>
      </c>
      <c r="AC42" s="48">
        <v>35</v>
      </c>
      <c r="AD42" s="49">
        <v>44</v>
      </c>
      <c r="AE42" s="50">
        <v>1100</v>
      </c>
      <c r="AF42" s="50">
        <v>1117.5999999999999</v>
      </c>
      <c r="AG42" s="54"/>
      <c r="AH42" s="55"/>
      <c r="AI42" s="55"/>
      <c r="AJ42" s="56"/>
      <c r="AK42" s="56"/>
      <c r="AL42" s="56"/>
      <c r="AM42" s="56"/>
      <c r="AN42" s="56"/>
      <c r="AO42" s="56"/>
      <c r="AP42" s="56"/>
      <c r="AQ42" s="56"/>
      <c r="AR42" s="56"/>
      <c r="AS42" s="56"/>
      <c r="AT42" s="56"/>
      <c r="AU42" s="56"/>
      <c r="AV42" s="56"/>
      <c r="AW42" s="56"/>
      <c r="AX42" s="56"/>
      <c r="AY42" s="56"/>
      <c r="AZ42" s="56"/>
      <c r="BA42" s="56"/>
      <c r="BB42" s="56"/>
      <c r="BC42" s="56"/>
      <c r="BD42" s="56"/>
      <c r="BE42" s="56"/>
      <c r="BF42" s="56"/>
      <c r="BG42" s="56"/>
      <c r="BH42" s="56"/>
      <c r="BI42" s="56"/>
      <c r="BJ42" s="56"/>
      <c r="BK42" s="56"/>
      <c r="BL42" s="56"/>
      <c r="BM42" s="56"/>
      <c r="BN42" s="54" t="s">
        <v>220</v>
      </c>
      <c r="BO42" s="55">
        <v>0.375</v>
      </c>
      <c r="BP42" s="55">
        <v>43.25</v>
      </c>
      <c r="BQ42" s="54" t="s">
        <v>221</v>
      </c>
      <c r="BR42" s="55">
        <v>0.5</v>
      </c>
      <c r="BS42" s="55">
        <v>43</v>
      </c>
      <c r="BT42" s="56"/>
      <c r="BU42" s="56"/>
      <c r="BV42" s="57"/>
    </row>
    <row r="43" spans="1:74" ht="17.25" customHeight="1">
      <c r="A43" s="27"/>
      <c r="B43" s="114"/>
      <c r="C43" s="114"/>
      <c r="D43" s="114"/>
      <c r="E43" s="114"/>
      <c r="F43" s="114"/>
      <c r="G43" s="114"/>
      <c r="H43" s="114"/>
      <c r="I43" s="114"/>
      <c r="J43" s="114"/>
      <c r="K43" s="114"/>
      <c r="L43" s="114"/>
      <c r="O43" s="28"/>
      <c r="X43" t="s">
        <v>260</v>
      </c>
      <c r="Y43">
        <f>EXP(Y41*($M$10/$M$11)^(Y42))</f>
        <v>2979.9538645610023</v>
      </c>
      <c r="AB43">
        <f>AB41*($M$10/$M$11)^(AB42)</f>
        <v>5439.4979842678222</v>
      </c>
      <c r="AC43" s="48">
        <v>36</v>
      </c>
      <c r="AD43" s="49">
        <v>46</v>
      </c>
      <c r="AE43" s="58">
        <v>1150</v>
      </c>
      <c r="AF43" s="58">
        <v>1168.4000000000001</v>
      </c>
      <c r="AG43" s="54"/>
      <c r="AH43" s="59"/>
      <c r="AI43" s="59"/>
      <c r="AJ43" s="61"/>
      <c r="AK43" s="61"/>
      <c r="AL43" s="61"/>
      <c r="AM43" s="61"/>
      <c r="AN43" s="61"/>
      <c r="AO43" s="61"/>
      <c r="AP43" s="61"/>
      <c r="AQ43" s="61"/>
      <c r="AR43" s="61"/>
      <c r="AS43" s="61"/>
      <c r="AT43" s="61"/>
      <c r="AU43" s="61"/>
      <c r="AV43" s="61"/>
      <c r="AW43" s="61"/>
      <c r="AX43" s="61"/>
      <c r="AY43" s="61"/>
      <c r="AZ43" s="61"/>
      <c r="BA43" s="61"/>
      <c r="BB43" s="61"/>
      <c r="BC43" s="61"/>
      <c r="BD43" s="61"/>
      <c r="BE43" s="61"/>
      <c r="BF43" s="62"/>
      <c r="BG43" s="61"/>
      <c r="BH43" s="61"/>
      <c r="BI43" s="61"/>
      <c r="BJ43" s="61"/>
      <c r="BK43" s="61"/>
      <c r="BL43" s="61"/>
      <c r="BM43" s="61"/>
      <c r="BN43" s="54" t="s">
        <v>220</v>
      </c>
      <c r="BO43" s="59">
        <v>0.375</v>
      </c>
      <c r="BP43" s="59">
        <v>45.25</v>
      </c>
      <c r="BQ43" s="54" t="s">
        <v>221</v>
      </c>
      <c r="BR43" s="59">
        <v>0.5</v>
      </c>
      <c r="BS43" s="59">
        <v>45</v>
      </c>
      <c r="BT43" s="61"/>
      <c r="BU43" s="61"/>
      <c r="BV43" s="65"/>
    </row>
    <row r="44" spans="1:74" ht="17.25" customHeight="1" thickBot="1">
      <c r="A44" s="27"/>
      <c r="O44" s="28"/>
      <c r="AC44" s="48">
        <v>37</v>
      </c>
      <c r="AD44" s="67">
        <v>48</v>
      </c>
      <c r="AE44" s="68">
        <v>1200</v>
      </c>
      <c r="AF44" s="68">
        <v>1219.2</v>
      </c>
      <c r="AG44" s="69"/>
      <c r="AH44" s="70"/>
      <c r="AI44" s="70"/>
      <c r="AJ44" s="71"/>
      <c r="AK44" s="71"/>
      <c r="AL44" s="71"/>
      <c r="AM44" s="71"/>
      <c r="AN44" s="71"/>
      <c r="AO44" s="71"/>
      <c r="AP44" s="71"/>
      <c r="AQ44" s="71"/>
      <c r="AR44" s="71"/>
      <c r="AS44" s="71"/>
      <c r="AT44" s="71"/>
      <c r="AU44" s="71"/>
      <c r="AV44" s="71"/>
      <c r="AW44" s="71"/>
      <c r="AX44" s="71"/>
      <c r="AY44" s="71"/>
      <c r="AZ44" s="71"/>
      <c r="BA44" s="71"/>
      <c r="BB44" s="71"/>
      <c r="BC44" s="71"/>
      <c r="BD44" s="71"/>
      <c r="BE44" s="71"/>
      <c r="BF44" s="71"/>
      <c r="BG44" s="71"/>
      <c r="BH44" s="71"/>
      <c r="BI44" s="71"/>
      <c r="BJ44" s="71"/>
      <c r="BK44" s="71"/>
      <c r="BL44" s="71"/>
      <c r="BM44" s="71"/>
      <c r="BN44" s="69" t="s">
        <v>220</v>
      </c>
      <c r="BO44" s="70">
        <v>0.375</v>
      </c>
      <c r="BP44" s="70">
        <v>47.25</v>
      </c>
      <c r="BQ44" s="69" t="s">
        <v>221</v>
      </c>
      <c r="BR44" s="70">
        <v>0.5</v>
      </c>
      <c r="BS44" s="70">
        <v>47</v>
      </c>
      <c r="BT44" s="71"/>
      <c r="BU44" s="71"/>
      <c r="BV44" s="72"/>
    </row>
    <row r="45" spans="1:74" ht="17.25" customHeight="1">
      <c r="A45" s="27"/>
      <c r="O45" s="28"/>
      <c r="AC45" s="48"/>
      <c r="AE45" t="s">
        <v>33</v>
      </c>
    </row>
    <row r="46" spans="1:74" ht="17.25" customHeight="1">
      <c r="A46" s="27"/>
      <c r="O46" s="27"/>
      <c r="AC46" s="48"/>
    </row>
    <row r="47" spans="1:74" ht="17.25" customHeight="1">
      <c r="A47" s="27"/>
      <c r="O47" s="27"/>
      <c r="AE47" s="19"/>
      <c r="AF47" s="47" t="s">
        <v>270</v>
      </c>
      <c r="AG47" s="47" t="s">
        <v>271</v>
      </c>
      <c r="AJ47" s="44">
        <v>1</v>
      </c>
      <c r="AK47" s="44" t="s">
        <v>217</v>
      </c>
      <c r="AL47" s="46" t="s">
        <v>272</v>
      </c>
    </row>
    <row r="48" spans="1:74" ht="17.25" customHeight="1">
      <c r="A48" s="27"/>
      <c r="O48" s="27"/>
      <c r="AE48" s="20"/>
      <c r="AF48" s="44"/>
      <c r="AG48" s="44"/>
      <c r="AJ48" s="44">
        <v>2</v>
      </c>
      <c r="AK48" s="44" t="s">
        <v>273</v>
      </c>
      <c r="AL48" s="46">
        <v>5</v>
      </c>
    </row>
    <row r="49" spans="15:42" ht="17.25" customHeight="1">
      <c r="O49" s="27"/>
      <c r="Q49" s="48" t="s">
        <v>274</v>
      </c>
      <c r="AE49" s="21"/>
      <c r="AF49" s="47">
        <v>5</v>
      </c>
      <c r="AG49" s="47">
        <v>2</v>
      </c>
      <c r="AJ49" s="44">
        <v>3</v>
      </c>
      <c r="AK49" s="44" t="s">
        <v>275</v>
      </c>
      <c r="AL49" s="46">
        <v>10</v>
      </c>
      <c r="AO49" s="44" t="s">
        <v>217</v>
      </c>
      <c r="AP49" s="46" t="s">
        <v>272</v>
      </c>
    </row>
    <row r="50" spans="15:42" ht="17.25" customHeight="1">
      <c r="O50" s="27"/>
      <c r="Q50" s="489" t="s">
        <v>244</v>
      </c>
      <c r="R50" s="489"/>
      <c r="S50" s="489"/>
      <c r="T50" s="490" t="s">
        <v>246</v>
      </c>
      <c r="U50" s="490"/>
      <c r="AE50" s="20"/>
      <c r="AF50" s="47">
        <v>10</v>
      </c>
      <c r="AG50" s="47">
        <v>5</v>
      </c>
      <c r="AJ50" s="44">
        <v>4</v>
      </c>
      <c r="AK50" s="44" t="s">
        <v>276</v>
      </c>
      <c r="AL50" s="46">
        <v>20</v>
      </c>
    </row>
    <row r="51" spans="15:42" ht="17.25" customHeight="1">
      <c r="O51" s="27"/>
      <c r="Q51" s="489"/>
      <c r="R51" s="489"/>
      <c r="S51" s="489"/>
      <c r="T51" s="490"/>
      <c r="U51" s="490"/>
      <c r="V51" t="s">
        <v>250</v>
      </c>
      <c r="X51" t="s">
        <v>248</v>
      </c>
      <c r="Y51" s="10"/>
      <c r="Z51" t="s">
        <v>253</v>
      </c>
      <c r="AA51" s="10"/>
      <c r="AB51" t="s">
        <v>252</v>
      </c>
      <c r="AE51" s="21"/>
      <c r="AF51" s="47">
        <v>20</v>
      </c>
      <c r="AG51" s="47">
        <v>8</v>
      </c>
      <c r="AJ51" s="44">
        <v>5</v>
      </c>
      <c r="AK51" s="44" t="s">
        <v>277</v>
      </c>
      <c r="AL51" s="46">
        <v>30</v>
      </c>
    </row>
    <row r="52" spans="15:42" ht="17.25" customHeight="1">
      <c r="O52" s="27"/>
      <c r="Q52" s="17" t="s">
        <v>256</v>
      </c>
      <c r="R52" s="33">
        <f>446187+(646*E10)+(0.000917*(E10^3))</f>
        <v>559280.21143107908</v>
      </c>
      <c r="S52" s="33"/>
      <c r="T52" s="33">
        <f>283921+370*E10</f>
        <v>346192</v>
      </c>
      <c r="U52" s="33"/>
      <c r="V52" s="33">
        <f>150412+209*E10</f>
        <v>185586.7</v>
      </c>
      <c r="W52" s="33"/>
      <c r="X52" s="33">
        <f>13.1-((0.00475)*(E10))+(0.0000141*(E10^2))</f>
        <v>12.699955949</v>
      </c>
      <c r="Y52" s="33"/>
      <c r="Z52" s="34">
        <f>(41.21*E10)+49397</f>
        <v>56332.643000000004</v>
      </c>
      <c r="AA52" s="33"/>
      <c r="AB52" s="33">
        <f>0.0000132*E10^2-0.00442*E10+12.22</f>
        <v>11.850002548000001</v>
      </c>
      <c r="AE52" s="21"/>
      <c r="AF52" s="47">
        <v>30</v>
      </c>
      <c r="AG52" s="47">
        <v>11</v>
      </c>
      <c r="AJ52" s="44">
        <v>6</v>
      </c>
      <c r="AK52" s="44" t="s">
        <v>278</v>
      </c>
      <c r="AL52" s="46">
        <v>40</v>
      </c>
    </row>
    <row r="53" spans="15:42" ht="17.25" customHeight="1">
      <c r="O53" s="27"/>
      <c r="Q53" s="17" t="s">
        <v>257</v>
      </c>
      <c r="R53" s="33">
        <f>0.1*LN(E10)-1.3739</f>
        <v>-0.86132518988032392</v>
      </c>
      <c r="S53" s="33"/>
      <c r="T53" s="33">
        <f>0.1106*LN(E10)-1.501</f>
        <v>-0.93409226000763823</v>
      </c>
      <c r="U53" s="33"/>
      <c r="V53" s="33">
        <f>0.0815*LN(E10)-1.3269</f>
        <v>-0.90915152975246394</v>
      </c>
      <c r="W53" s="33"/>
      <c r="X53" s="33">
        <f>-0.132+((0.000228)*E10)-((0.000000372)*(E10^2))</f>
        <v>-0.10416445908000001</v>
      </c>
      <c r="Y53" s="33"/>
      <c r="Z53" s="33">
        <f>0.0815*LN(E10)-1.3842</f>
        <v>-0.96645152975246407</v>
      </c>
      <c r="AA53" s="33"/>
      <c r="AB53" s="33">
        <f>(0.000284*E10)-(0.000000462*E10^2)-0.164</f>
        <v>-0.12928889918</v>
      </c>
      <c r="AE53" s="21"/>
      <c r="AF53" s="44">
        <v>40</v>
      </c>
      <c r="AG53" s="47">
        <v>14</v>
      </c>
      <c r="AJ53" s="44">
        <v>7</v>
      </c>
      <c r="AK53" s="44" t="s">
        <v>279</v>
      </c>
      <c r="AL53" s="46">
        <v>80</v>
      </c>
    </row>
    <row r="54" spans="15:42" ht="17.25" customHeight="1">
      <c r="O54" s="27"/>
      <c r="Q54" t="s">
        <v>260</v>
      </c>
      <c r="R54" s="33">
        <f>R52*($E$10/$E$11)^(R53)</f>
        <v>96734.966217077148</v>
      </c>
      <c r="S54" s="33"/>
      <c r="T54" s="33">
        <f>T52*($E$10/$E$11)^(T53)</f>
        <v>51628.72076350409</v>
      </c>
      <c r="U54" s="33"/>
      <c r="V54" s="33">
        <f>V52*($E$10/$E$11)^(V53)</f>
        <v>29119.717969005644</v>
      </c>
      <c r="W54" s="33"/>
      <c r="X54" s="33">
        <f>EXP(X52*($E$10/$E$11)^(X53))</f>
        <v>28904.192244833637</v>
      </c>
      <c r="Y54" s="33"/>
      <c r="Z54" s="33">
        <f>Z52*($E$10/$E$11)^(Z53)</f>
        <v>7865.1141905711584</v>
      </c>
      <c r="AA54" s="33"/>
      <c r="AB54" s="33">
        <f>EXP(AB52*($E$10/$E$11)^(AB53))</f>
        <v>9009.973595900834</v>
      </c>
      <c r="AE54" s="21"/>
      <c r="AF54" s="44">
        <v>60</v>
      </c>
      <c r="AG54" s="47">
        <v>17</v>
      </c>
      <c r="AJ54" s="44">
        <v>8</v>
      </c>
      <c r="AK54" s="44" t="s">
        <v>280</v>
      </c>
      <c r="AL54" s="46">
        <v>100</v>
      </c>
    </row>
    <row r="55" spans="15:42" ht="17.25" customHeight="1">
      <c r="O55" s="27"/>
      <c r="Q55" s="17" t="s">
        <v>256</v>
      </c>
      <c r="R55" s="33">
        <f>446187+(646*I10)+(0.000917*(I10^3))</f>
        <v>770271.73677004792</v>
      </c>
      <c r="S55" s="33"/>
      <c r="T55" s="33">
        <f>283921+370*I10</f>
        <v>434289</v>
      </c>
      <c r="U55" s="33"/>
      <c r="V55" s="33">
        <f>150412+209*I10</f>
        <v>235349.59999999998</v>
      </c>
      <c r="W55" s="33"/>
      <c r="X55" s="33">
        <f>13.1-((0.00475)*(I10))+(0.0000141*(I10^2))</f>
        <v>13.498369535999998</v>
      </c>
      <c r="Y55" s="33"/>
      <c r="Z55" s="34">
        <f>(41.21*I10)+49397</f>
        <v>66144.744000000006</v>
      </c>
      <c r="AA55" s="33"/>
      <c r="AB55" s="33">
        <f>(0.0000132*(I10^2))-(0.00442*I10)+12.22</f>
        <v>12.603836672</v>
      </c>
      <c r="AE55" s="21"/>
      <c r="AF55" s="44">
        <v>80</v>
      </c>
      <c r="AG55" s="47">
        <v>20</v>
      </c>
      <c r="AJ55" s="44">
        <v>9</v>
      </c>
      <c r="AK55" s="44" t="s">
        <v>281</v>
      </c>
      <c r="AL55" s="46">
        <v>120</v>
      </c>
    </row>
    <row r="56" spans="15:42" ht="17.25" customHeight="1">
      <c r="O56" s="27"/>
      <c r="Q56" s="17" t="s">
        <v>257</v>
      </c>
      <c r="R56" s="33">
        <f>0.1*LN(I10)-1.3739</f>
        <v>-0.77316621037357258</v>
      </c>
      <c r="S56" s="33"/>
      <c r="T56" s="33">
        <f>0.1106*LN(I10)-1.501</f>
        <v>-0.8365884286731714</v>
      </c>
      <c r="U56" s="33"/>
      <c r="V56" s="33">
        <f>0.0815*LN(I10)-1.3269</f>
        <v>-0.83730196145446179</v>
      </c>
      <c r="W56" s="33"/>
      <c r="X56" s="33">
        <f>-0.132+((0.000228)*I10)-((0.000000372)*(I10^2))</f>
        <v>-0.10078067712</v>
      </c>
      <c r="Y56" s="33"/>
      <c r="Z56" s="33">
        <f>0.0815*LN(I10)-1.3842</f>
        <v>-0.89460196145446191</v>
      </c>
      <c r="AA56" s="33"/>
      <c r="AB56" s="33">
        <f>(0.000284*I10)-(0.000000462*(I10^2))-0.164</f>
        <v>-0.12488676352</v>
      </c>
      <c r="AE56" s="21"/>
      <c r="AF56" s="44">
        <v>100</v>
      </c>
      <c r="AG56" s="47">
        <v>23</v>
      </c>
      <c r="AJ56" s="44">
        <v>10</v>
      </c>
      <c r="AK56" s="44" t="s">
        <v>282</v>
      </c>
      <c r="AL56" s="46">
        <v>140</v>
      </c>
    </row>
    <row r="57" spans="15:42" ht="15.75">
      <c r="O57" s="27"/>
      <c r="Q57" t="s">
        <v>260</v>
      </c>
      <c r="R57" s="33">
        <f>R55*($I$10/$I$11)^(R56)</f>
        <v>36690.742740253256</v>
      </c>
      <c r="S57" s="33"/>
      <c r="T57" s="33">
        <f>T55*($I$10/$I$11)^(T56)</f>
        <v>16115.417893070906</v>
      </c>
      <c r="U57" s="33"/>
      <c r="V57" s="33">
        <f>V55*($I$10/$I$11)^(V56)</f>
        <v>8708.7553550314478</v>
      </c>
      <c r="W57" s="33"/>
      <c r="X57" s="33">
        <f>EXP(X55*($I$10/$I$11)^(X56))</f>
        <v>8753.0450712675356</v>
      </c>
      <c r="Y57" s="33"/>
      <c r="Z57" s="33">
        <f>Z55*($I$10/$I$11)^(Z56)</f>
        <v>1953.2460254014156</v>
      </c>
      <c r="AA57" s="33"/>
      <c r="AB57" s="33">
        <f>EXP(AB55*(($I$10/$I$11)^(AB56)))</f>
        <v>2226.4419426429668</v>
      </c>
      <c r="AE57" s="21"/>
      <c r="AF57" s="44">
        <v>120</v>
      </c>
      <c r="AG57" s="47">
        <v>26</v>
      </c>
      <c r="AJ57" s="44">
        <v>11</v>
      </c>
      <c r="AK57" s="44" t="s">
        <v>283</v>
      </c>
      <c r="AL57" s="46">
        <v>160</v>
      </c>
    </row>
    <row r="58" spans="15:42" ht="15.75">
      <c r="O58" s="27"/>
      <c r="Q58" s="17" t="s">
        <v>256</v>
      </c>
      <c r="R58" s="33">
        <f>446187+(646*M10)+(0.000917*(M10^3))</f>
        <v>1235493.5361269759</v>
      </c>
      <c r="S58" s="33"/>
      <c r="T58" s="33">
        <f>283921+370*M10</f>
        <v>547065</v>
      </c>
      <c r="U58" s="33"/>
      <c r="V58" s="33">
        <f>150412+209*M10</f>
        <v>299052.80000000005</v>
      </c>
      <c r="W58" s="33"/>
      <c r="X58" s="33">
        <f>13.1-((0.00475)*(M10))+(0.0000141*(M10^2))</f>
        <v>16.853656704000002</v>
      </c>
      <c r="Y58" s="33"/>
      <c r="Z58" s="34">
        <f>(41.21*M10)+49397</f>
        <v>78705.551999999996</v>
      </c>
      <c r="AA58" s="33"/>
      <c r="AB58" s="33">
        <f>0.0000132*M10^2-0.00442*M10+12.22</f>
        <v>15.753127808000002</v>
      </c>
      <c r="AE58" s="21"/>
      <c r="AF58" s="44">
        <v>140</v>
      </c>
      <c r="AG58" s="47">
        <v>29</v>
      </c>
      <c r="AJ58" s="44">
        <v>12</v>
      </c>
      <c r="AK58" s="44" t="s">
        <v>284</v>
      </c>
      <c r="AL58" s="46" t="s">
        <v>220</v>
      </c>
    </row>
    <row r="59" spans="15:42" ht="15.75">
      <c r="Q59" s="17" t="s">
        <v>257</v>
      </c>
      <c r="R59" s="33">
        <f>0.1*LN(M10)-1.3739</f>
        <v>-0.71720463158003034</v>
      </c>
      <c r="S59" s="33"/>
      <c r="T59" s="33">
        <f>0.1106*LN(M10)-1.501</f>
        <v>-0.7746949225275136</v>
      </c>
      <c r="U59" s="33"/>
      <c r="V59" s="33">
        <f>0.0815*LN(M10)-1.3269</f>
        <v>-0.79169327473772477</v>
      </c>
      <c r="W59" s="33"/>
      <c r="X59" s="33">
        <f>-0.132+((0.000228)*M10)-((0.000000372)*(M10^2))</f>
        <v>-0.15800602368000002</v>
      </c>
      <c r="Y59" s="33"/>
      <c r="Z59" s="33">
        <f>0.0815*LN(M10)-1.3842</f>
        <v>-0.8489932747377249</v>
      </c>
      <c r="AA59" s="33"/>
      <c r="AB59" s="33">
        <f>(0.000284*M10)-(0.000000462*M10^2)-0.164</f>
        <v>-0.19570131328000001</v>
      </c>
      <c r="AF59" s="44">
        <v>160</v>
      </c>
      <c r="AG59" s="47">
        <v>32</v>
      </c>
      <c r="AJ59" s="44">
        <v>13</v>
      </c>
      <c r="AK59" s="44" t="s">
        <v>221</v>
      </c>
      <c r="AL59" s="46" t="s">
        <v>221</v>
      </c>
    </row>
    <row r="60" spans="15:42" ht="15.75">
      <c r="Q60" t="s">
        <v>260</v>
      </c>
      <c r="R60" s="33">
        <f>R58*($M$10/$M$11)^(R59)</f>
        <v>68870.292542300638</v>
      </c>
      <c r="S60" s="33"/>
      <c r="T60" s="33">
        <f>T58*($M$10/$M$11)^(T59)</f>
        <v>24195.051024856213</v>
      </c>
      <c r="U60" s="33"/>
      <c r="V60" s="33">
        <f>V58*($M$10/$M$11)^(V59)</f>
        <v>12351.484822879691</v>
      </c>
      <c r="W60" s="33"/>
      <c r="X60" s="33">
        <f>EXP(X58*($M$10/$M$11)^(X59))</f>
        <v>7496.2479013763614</v>
      </c>
      <c r="Y60" s="33"/>
      <c r="Z60" s="33">
        <f>Z58*($M$10/$M$11)^(Z59)</f>
        <v>2581.1039252545097</v>
      </c>
      <c r="AA60" s="33"/>
      <c r="AB60" s="33">
        <f>EXP(AB58*($M$10/$M$11)^(AB59))</f>
        <v>1293.957277874737</v>
      </c>
      <c r="AF60" s="47" t="s">
        <v>220</v>
      </c>
      <c r="AG60" s="47">
        <v>35</v>
      </c>
      <c r="AJ60" s="44">
        <v>14</v>
      </c>
      <c r="AK60" s="44" t="s">
        <v>228</v>
      </c>
      <c r="AL60" s="46" t="s">
        <v>228</v>
      </c>
    </row>
    <row r="61" spans="15:42" ht="15.75">
      <c r="AF61" s="47" t="s">
        <v>221</v>
      </c>
      <c r="AG61" s="47">
        <v>38</v>
      </c>
    </row>
    <row r="62" spans="15:42" ht="15.75">
      <c r="AF62" s="47" t="s">
        <v>228</v>
      </c>
      <c r="AG62" s="47">
        <v>41</v>
      </c>
    </row>
  </sheetData>
  <sheetProtection selectLockedCells="1"/>
  <mergeCells count="101">
    <mergeCell ref="AD4:AE4"/>
    <mergeCell ref="B41:B42"/>
    <mergeCell ref="C41:D42"/>
    <mergeCell ref="G41:H42"/>
    <mergeCell ref="K41:L42"/>
    <mergeCell ref="C37:D37"/>
    <mergeCell ref="G37:H37"/>
    <mergeCell ref="K37:L37"/>
    <mergeCell ref="C10:D10"/>
    <mergeCell ref="G10:H10"/>
    <mergeCell ref="K10:L10"/>
    <mergeCell ref="C11:D11"/>
    <mergeCell ref="G11:H11"/>
    <mergeCell ref="K11:L11"/>
    <mergeCell ref="C12:D12"/>
    <mergeCell ref="G12:H12"/>
    <mergeCell ref="K12:L12"/>
    <mergeCell ref="C13:D13"/>
    <mergeCell ref="G13:H13"/>
    <mergeCell ref="K13:L13"/>
    <mergeCell ref="C14:D14"/>
    <mergeCell ref="G14:H14"/>
    <mergeCell ref="K14:L14"/>
    <mergeCell ref="C15:D15"/>
    <mergeCell ref="G15:H15"/>
    <mergeCell ref="K15:L15"/>
    <mergeCell ref="K28:L28"/>
    <mergeCell ref="K27:L27"/>
    <mergeCell ref="C16:D16"/>
    <mergeCell ref="G16:H16"/>
    <mergeCell ref="K16:L16"/>
    <mergeCell ref="C17:D17"/>
    <mergeCell ref="G17:H17"/>
    <mergeCell ref="K17:L17"/>
    <mergeCell ref="C18:D18"/>
    <mergeCell ref="G18:H18"/>
    <mergeCell ref="C24:D24"/>
    <mergeCell ref="C25:D25"/>
    <mergeCell ref="K18:L18"/>
    <mergeCell ref="K25:L25"/>
    <mergeCell ref="G22:H22"/>
    <mergeCell ref="K19:L19"/>
    <mergeCell ref="K22:L22"/>
    <mergeCell ref="K20:L20"/>
    <mergeCell ref="K21:L21"/>
    <mergeCell ref="K23:L23"/>
    <mergeCell ref="K24:L24"/>
    <mergeCell ref="B35:B36"/>
    <mergeCell ref="G23:H23"/>
    <mergeCell ref="G19:H19"/>
    <mergeCell ref="C22:D22"/>
    <mergeCell ref="C23:D23"/>
    <mergeCell ref="C20:D20"/>
    <mergeCell ref="C21:D21"/>
    <mergeCell ref="G20:H20"/>
    <mergeCell ref="G21:H21"/>
    <mergeCell ref="C19:D19"/>
    <mergeCell ref="C35:D36"/>
    <mergeCell ref="G35:H36"/>
    <mergeCell ref="G29:H29"/>
    <mergeCell ref="G32:H32"/>
    <mergeCell ref="G27:H27"/>
    <mergeCell ref="G28:H28"/>
    <mergeCell ref="G24:H24"/>
    <mergeCell ref="G25:H25"/>
    <mergeCell ref="B1:N1"/>
    <mergeCell ref="C7:D7"/>
    <mergeCell ref="C6:D6"/>
    <mergeCell ref="G6:H6"/>
    <mergeCell ref="K6:L6"/>
    <mergeCell ref="C26:D26"/>
    <mergeCell ref="G26:H26"/>
    <mergeCell ref="K26:L26"/>
    <mergeCell ref="K35:L36"/>
    <mergeCell ref="C29:D29"/>
    <mergeCell ref="C31:D31"/>
    <mergeCell ref="C32:D32"/>
    <mergeCell ref="C33:D33"/>
    <mergeCell ref="K34:L34"/>
    <mergeCell ref="C27:D27"/>
    <mergeCell ref="C28:D28"/>
    <mergeCell ref="G33:H33"/>
    <mergeCell ref="G34:H34"/>
    <mergeCell ref="C34:D34"/>
    <mergeCell ref="K33:L33"/>
    <mergeCell ref="K29:L29"/>
    <mergeCell ref="C30:D30"/>
    <mergeCell ref="G30:H30"/>
    <mergeCell ref="K30:L30"/>
    <mergeCell ref="Q50:S51"/>
    <mergeCell ref="T50:U51"/>
    <mergeCell ref="K32:L32"/>
    <mergeCell ref="C38:D38"/>
    <mergeCell ref="C39:D39"/>
    <mergeCell ref="G38:H38"/>
    <mergeCell ref="G39:H39"/>
    <mergeCell ref="K38:L38"/>
    <mergeCell ref="K39:L39"/>
    <mergeCell ref="C40:D40"/>
    <mergeCell ref="G40:H40"/>
    <mergeCell ref="K40:L40"/>
  </mergeCells>
  <phoneticPr fontId="2" type="noConversion"/>
  <conditionalFormatting sqref="C17:D17 K17:L17 G17:H17">
    <cfRule type="expression" dxfId="34" priority="52" stopIfTrue="1">
      <formula>F9="N/A"</formula>
    </cfRule>
  </conditionalFormatting>
  <conditionalFormatting sqref="C13:D15">
    <cfRule type="expression" dxfId="33" priority="53" stopIfTrue="1">
      <formula>F$8="N/A"</formula>
    </cfRule>
  </conditionalFormatting>
  <conditionalFormatting sqref="C11:C12 G11:G12 K11:K12">
    <cfRule type="cellIs" dxfId="32" priority="54" stopIfTrue="1" operator="equal">
      <formula>#N/A</formula>
    </cfRule>
  </conditionalFormatting>
  <conditionalFormatting sqref="G13:H15">
    <cfRule type="expression" dxfId="31" priority="55" stopIfTrue="1">
      <formula>$J$8="N/A"</formula>
    </cfRule>
  </conditionalFormatting>
  <conditionalFormatting sqref="K13:L15">
    <cfRule type="expression" dxfId="30" priority="56" stopIfTrue="1">
      <formula>$N$8="N/A"</formula>
    </cfRule>
  </conditionalFormatting>
  <conditionalFormatting sqref="C24:D24">
    <cfRule type="expression" dxfId="29" priority="46" stopIfTrue="1">
      <formula>$V$20=1</formula>
    </cfRule>
  </conditionalFormatting>
  <conditionalFormatting sqref="C25:D25">
    <cfRule type="expression" dxfId="28" priority="45" stopIfTrue="1">
      <formula>$V$20=2</formula>
    </cfRule>
  </conditionalFormatting>
  <conditionalFormatting sqref="G24:H24">
    <cfRule type="expression" dxfId="27" priority="44" stopIfTrue="1">
      <formula>$X$20=1</formula>
    </cfRule>
  </conditionalFormatting>
  <conditionalFormatting sqref="G25:H25">
    <cfRule type="expression" dxfId="26" priority="43" stopIfTrue="1">
      <formula>$X$20=2</formula>
    </cfRule>
  </conditionalFormatting>
  <conditionalFormatting sqref="K24:L24">
    <cfRule type="expression" dxfId="25" priority="42" stopIfTrue="1">
      <formula>$Z$20=1</formula>
    </cfRule>
  </conditionalFormatting>
  <conditionalFormatting sqref="K25:L25">
    <cfRule type="expression" dxfId="24" priority="41" stopIfTrue="1">
      <formula>$Z$20=2</formula>
    </cfRule>
  </conditionalFormatting>
  <conditionalFormatting sqref="C27:D27">
    <cfRule type="expression" dxfId="23" priority="40" stopIfTrue="1">
      <formula>$V$20&gt;2</formula>
    </cfRule>
  </conditionalFormatting>
  <conditionalFormatting sqref="G27:H27">
    <cfRule type="expression" dxfId="22" priority="38" stopIfTrue="1">
      <formula>$X$20&gt;2</formula>
    </cfRule>
  </conditionalFormatting>
  <conditionalFormatting sqref="G28:H28">
    <cfRule type="expression" dxfId="21" priority="37" stopIfTrue="1">
      <formula>$X$20&lt;3</formula>
    </cfRule>
  </conditionalFormatting>
  <conditionalFormatting sqref="K27:L27">
    <cfRule type="expression" dxfId="20" priority="36" stopIfTrue="1">
      <formula>$Z$20&gt;2</formula>
    </cfRule>
  </conditionalFormatting>
  <conditionalFormatting sqref="K28:L28">
    <cfRule type="expression" dxfId="19" priority="35" stopIfTrue="1">
      <formula>$Z$20&lt;3</formula>
    </cfRule>
  </conditionalFormatting>
  <conditionalFormatting sqref="K19:L19 K21:L22">
    <cfRule type="expression" dxfId="18" priority="31" stopIfTrue="1">
      <formula>$Z$20=1</formula>
    </cfRule>
  </conditionalFormatting>
  <conditionalFormatting sqref="K20:L20 K23:L23">
    <cfRule type="expression" dxfId="17" priority="30" stopIfTrue="1">
      <formula>$Z$20=2</formula>
    </cfRule>
  </conditionalFormatting>
  <conditionalFormatting sqref="C28:D28">
    <cfRule type="expression" dxfId="16" priority="28" stopIfTrue="1">
      <formula>$V$20&lt;3</formula>
    </cfRule>
  </conditionalFormatting>
  <conditionalFormatting sqref="C38:D40">
    <cfRule type="expression" dxfId="15" priority="20" stopIfTrue="1">
      <formula>$V$20=4</formula>
    </cfRule>
  </conditionalFormatting>
  <conditionalFormatting sqref="C37:D37">
    <cfRule type="expression" dxfId="14" priority="12" stopIfTrue="1">
      <formula>OR($V$24&lt;5,$V$24&gt;6)</formula>
    </cfRule>
    <cfRule type="expression" dxfId="13" priority="19" stopIfTrue="1">
      <formula>$C$35&lt;1</formula>
    </cfRule>
  </conditionalFormatting>
  <conditionalFormatting sqref="G38:H40">
    <cfRule type="expression" dxfId="12" priority="18" stopIfTrue="1">
      <formula>$X$20=4</formula>
    </cfRule>
  </conditionalFormatting>
  <conditionalFormatting sqref="G37:H37">
    <cfRule type="expression" dxfId="11" priority="13" stopIfTrue="1">
      <formula>OR($X$24&lt;5,$X$24&gt;6)</formula>
    </cfRule>
    <cfRule type="expression" dxfId="10" priority="17" stopIfTrue="1">
      <formula>$G$35&lt;1</formula>
    </cfRule>
  </conditionalFormatting>
  <conditionalFormatting sqref="K38:L40">
    <cfRule type="expression" dxfId="9" priority="11" stopIfTrue="1">
      <formula>$Z$20=4</formula>
    </cfRule>
  </conditionalFormatting>
  <conditionalFormatting sqref="K37:L37">
    <cfRule type="expression" dxfId="8" priority="9" stopIfTrue="1">
      <formula>OR($Z$24&lt;5,$Z$24&gt;6)</formula>
    </cfRule>
    <cfRule type="expression" dxfId="7" priority="10" stopIfTrue="1">
      <formula>$K$35&lt;1</formula>
    </cfRule>
  </conditionalFormatting>
  <conditionalFormatting sqref="C19:D19 C21:D22">
    <cfRule type="expression" dxfId="6" priority="7" stopIfTrue="1">
      <formula>$V$20=1</formula>
    </cfRule>
  </conditionalFormatting>
  <conditionalFormatting sqref="C20:D20 C23:D23">
    <cfRule type="expression" dxfId="5" priority="6" stopIfTrue="1">
      <formula>$V$20=2</formula>
    </cfRule>
  </conditionalFormatting>
  <conditionalFormatting sqref="G19:H19 G21:H22">
    <cfRule type="expression" dxfId="4" priority="5" stopIfTrue="1">
      <formula>$X$20=1</formula>
    </cfRule>
  </conditionalFormatting>
  <conditionalFormatting sqref="G20:H20 G23:H23">
    <cfRule type="expression" dxfId="3" priority="4" stopIfTrue="1">
      <formula>$X$20=2</formula>
    </cfRule>
  </conditionalFormatting>
  <conditionalFormatting sqref="C41:D42">
    <cfRule type="expression" dxfId="2" priority="3" stopIfTrue="1">
      <formula>$V$24&lt;5</formula>
    </cfRule>
  </conditionalFormatting>
  <conditionalFormatting sqref="G41:H42">
    <cfRule type="expression" dxfId="1" priority="2" stopIfTrue="1">
      <formula>$X$24&lt;5</formula>
    </cfRule>
  </conditionalFormatting>
  <conditionalFormatting sqref="K41:L42">
    <cfRule type="expression" dxfId="0" priority="1" stopIfTrue="1">
      <formula>$Z$24&lt;5</formula>
    </cfRule>
  </conditionalFormatting>
  <pageMargins left="0.75" right="0.75" top="1" bottom="1" header="0.5" footer="0.5"/>
  <pageSetup paperSize="9" scale="63" orientation="portrait" r:id="rId1"/>
  <headerFooter alignWithMargins="0"/>
  <ignoredErrors>
    <ignoredError sqref="G4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1">
              <controlPr locked="0" defaultSize="0" autoLine="0" autoPict="0">
                <anchor moveWithCells="1">
                  <from>
                    <xdr:col>2</xdr:col>
                    <xdr:colOff>9525</xdr:colOff>
                    <xdr:row>6</xdr:row>
                    <xdr:rowOff>9525</xdr:rowOff>
                  </from>
                  <to>
                    <xdr:col>3</xdr:col>
                    <xdr:colOff>819150</xdr:colOff>
                    <xdr:row>6</xdr:row>
                    <xdr:rowOff>209550</xdr:rowOff>
                  </to>
                </anchor>
              </controlPr>
            </control>
          </mc:Choice>
        </mc:AlternateContent>
        <mc:AlternateContent xmlns:mc="http://schemas.openxmlformats.org/markup-compatibility/2006">
          <mc:Choice Requires="x14">
            <control shapeId="10242" r:id="rId5" name="Drop Down 2">
              <controlPr locked="0" defaultSize="0" autoLine="0" autoPict="0">
                <anchor moveWithCells="1">
                  <from>
                    <xdr:col>2</xdr:col>
                    <xdr:colOff>0</xdr:colOff>
                    <xdr:row>30</xdr:row>
                    <xdr:rowOff>0</xdr:rowOff>
                  </from>
                  <to>
                    <xdr:col>4</xdr:col>
                    <xdr:colOff>0</xdr:colOff>
                    <xdr:row>31</xdr:row>
                    <xdr:rowOff>0</xdr:rowOff>
                  </to>
                </anchor>
              </controlPr>
            </control>
          </mc:Choice>
        </mc:AlternateContent>
        <mc:AlternateContent xmlns:mc="http://schemas.openxmlformats.org/markup-compatibility/2006">
          <mc:Choice Requires="x14">
            <control shapeId="10243" r:id="rId6" name="Drop Down 3">
              <controlPr locked="0" defaultSize="0" autoLine="0" autoPict="0">
                <anchor moveWithCells="1">
                  <from>
                    <xdr:col>4</xdr:col>
                    <xdr:colOff>0</xdr:colOff>
                    <xdr:row>6</xdr:row>
                    <xdr:rowOff>9525</xdr:rowOff>
                  </from>
                  <to>
                    <xdr:col>7</xdr:col>
                    <xdr:colOff>838200</xdr:colOff>
                    <xdr:row>7</xdr:row>
                    <xdr:rowOff>0</xdr:rowOff>
                  </to>
                </anchor>
              </controlPr>
            </control>
          </mc:Choice>
        </mc:AlternateContent>
        <mc:AlternateContent xmlns:mc="http://schemas.openxmlformats.org/markup-compatibility/2006">
          <mc:Choice Requires="x14">
            <control shapeId="10245" r:id="rId7" name="Drop Down 5">
              <controlPr locked="0" defaultSize="0" autoLine="0" autoPict="0">
                <anchor moveWithCells="1">
                  <from>
                    <xdr:col>4</xdr:col>
                    <xdr:colOff>0</xdr:colOff>
                    <xdr:row>30</xdr:row>
                    <xdr:rowOff>0</xdr:rowOff>
                  </from>
                  <to>
                    <xdr:col>8</xdr:col>
                    <xdr:colOff>0</xdr:colOff>
                    <xdr:row>31</xdr:row>
                    <xdr:rowOff>0</xdr:rowOff>
                  </to>
                </anchor>
              </controlPr>
            </control>
          </mc:Choice>
        </mc:AlternateContent>
        <mc:AlternateContent xmlns:mc="http://schemas.openxmlformats.org/markup-compatibility/2006">
          <mc:Choice Requires="x14">
            <control shapeId="10246" r:id="rId8" name="Drop Down 6">
              <controlPr locked="0" defaultSize="0" autoLine="0" autoPict="0">
                <anchor moveWithCells="1">
                  <from>
                    <xdr:col>8</xdr:col>
                    <xdr:colOff>0</xdr:colOff>
                    <xdr:row>30</xdr:row>
                    <xdr:rowOff>0</xdr:rowOff>
                  </from>
                  <to>
                    <xdr:col>11</xdr:col>
                    <xdr:colOff>819150</xdr:colOff>
                    <xdr:row>31</xdr:row>
                    <xdr:rowOff>0</xdr:rowOff>
                  </to>
                </anchor>
              </controlPr>
            </control>
          </mc:Choice>
        </mc:AlternateContent>
        <mc:AlternateContent xmlns:mc="http://schemas.openxmlformats.org/markup-compatibility/2006">
          <mc:Choice Requires="x14">
            <control shapeId="10247" r:id="rId9" name="Drop Down 7">
              <controlPr locked="0" defaultSize="0" autoLine="0" autoPict="0">
                <anchor moveWithCells="1">
                  <from>
                    <xdr:col>8</xdr:col>
                    <xdr:colOff>0</xdr:colOff>
                    <xdr:row>6</xdr:row>
                    <xdr:rowOff>9525</xdr:rowOff>
                  </from>
                  <to>
                    <xdr:col>11</xdr:col>
                    <xdr:colOff>809625</xdr:colOff>
                    <xdr:row>7</xdr:row>
                    <xdr:rowOff>0</xdr:rowOff>
                  </to>
                </anchor>
              </controlPr>
            </control>
          </mc:Choice>
        </mc:AlternateContent>
        <mc:AlternateContent xmlns:mc="http://schemas.openxmlformats.org/markup-compatibility/2006">
          <mc:Choice Requires="x14">
            <control shapeId="10260" r:id="rId10" name="Drop Down 20">
              <controlPr defaultSize="0" autoLine="0" autoPict="0">
                <anchor moveWithCells="1">
                  <from>
                    <xdr:col>2</xdr:col>
                    <xdr:colOff>9525</xdr:colOff>
                    <xdr:row>6</xdr:row>
                    <xdr:rowOff>209550</xdr:rowOff>
                  </from>
                  <to>
                    <xdr:col>4</xdr:col>
                    <xdr:colOff>0</xdr:colOff>
                    <xdr:row>8</xdr:row>
                    <xdr:rowOff>0</xdr:rowOff>
                  </to>
                </anchor>
              </controlPr>
            </control>
          </mc:Choice>
        </mc:AlternateContent>
        <mc:AlternateContent xmlns:mc="http://schemas.openxmlformats.org/markup-compatibility/2006">
          <mc:Choice Requires="x14">
            <control shapeId="10261" r:id="rId11" name="Drop Down 21">
              <controlPr defaultSize="0" autoLine="0" autoPict="0">
                <anchor moveWithCells="1">
                  <from>
                    <xdr:col>2</xdr:col>
                    <xdr:colOff>9525</xdr:colOff>
                    <xdr:row>7</xdr:row>
                    <xdr:rowOff>190500</xdr:rowOff>
                  </from>
                  <to>
                    <xdr:col>4</xdr:col>
                    <xdr:colOff>0</xdr:colOff>
                    <xdr:row>9</xdr:row>
                    <xdr:rowOff>0</xdr:rowOff>
                  </to>
                </anchor>
              </controlPr>
            </control>
          </mc:Choice>
        </mc:AlternateContent>
        <mc:AlternateContent xmlns:mc="http://schemas.openxmlformats.org/markup-compatibility/2006">
          <mc:Choice Requires="x14">
            <control shapeId="10262" r:id="rId12" name="Drop Down 22">
              <controlPr defaultSize="0" autoLine="0" autoPict="0">
                <anchor moveWithCells="1">
                  <from>
                    <xdr:col>4</xdr:col>
                    <xdr:colOff>0</xdr:colOff>
                    <xdr:row>6</xdr:row>
                    <xdr:rowOff>209550</xdr:rowOff>
                  </from>
                  <to>
                    <xdr:col>7</xdr:col>
                    <xdr:colOff>838200</xdr:colOff>
                    <xdr:row>8</xdr:row>
                    <xdr:rowOff>0</xdr:rowOff>
                  </to>
                </anchor>
              </controlPr>
            </control>
          </mc:Choice>
        </mc:AlternateContent>
        <mc:AlternateContent xmlns:mc="http://schemas.openxmlformats.org/markup-compatibility/2006">
          <mc:Choice Requires="x14">
            <control shapeId="10263" r:id="rId13" name="Drop Down 23">
              <controlPr defaultSize="0" autoLine="0" autoPict="0">
                <anchor moveWithCells="1">
                  <from>
                    <xdr:col>4</xdr:col>
                    <xdr:colOff>0</xdr:colOff>
                    <xdr:row>7</xdr:row>
                    <xdr:rowOff>190500</xdr:rowOff>
                  </from>
                  <to>
                    <xdr:col>7</xdr:col>
                    <xdr:colOff>838200</xdr:colOff>
                    <xdr:row>9</xdr:row>
                    <xdr:rowOff>0</xdr:rowOff>
                  </to>
                </anchor>
              </controlPr>
            </control>
          </mc:Choice>
        </mc:AlternateContent>
        <mc:AlternateContent xmlns:mc="http://schemas.openxmlformats.org/markup-compatibility/2006">
          <mc:Choice Requires="x14">
            <control shapeId="10264" r:id="rId14" name="Drop Down 24">
              <controlPr defaultSize="0" autoLine="0" autoPict="0">
                <anchor moveWithCells="1">
                  <from>
                    <xdr:col>8</xdr:col>
                    <xdr:colOff>0</xdr:colOff>
                    <xdr:row>6</xdr:row>
                    <xdr:rowOff>209550</xdr:rowOff>
                  </from>
                  <to>
                    <xdr:col>11</xdr:col>
                    <xdr:colOff>809625</xdr:colOff>
                    <xdr:row>8</xdr:row>
                    <xdr:rowOff>0</xdr:rowOff>
                  </to>
                </anchor>
              </controlPr>
            </control>
          </mc:Choice>
        </mc:AlternateContent>
        <mc:AlternateContent xmlns:mc="http://schemas.openxmlformats.org/markup-compatibility/2006">
          <mc:Choice Requires="x14">
            <control shapeId="10265" r:id="rId15" name="Drop Down 25">
              <controlPr defaultSize="0" autoLine="0" autoPict="0">
                <anchor moveWithCells="1">
                  <from>
                    <xdr:col>8</xdr:col>
                    <xdr:colOff>0</xdr:colOff>
                    <xdr:row>7</xdr:row>
                    <xdr:rowOff>190500</xdr:rowOff>
                  </from>
                  <to>
                    <xdr:col>11</xdr:col>
                    <xdr:colOff>809625</xdr:colOff>
                    <xdr:row>9</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C9FE37D29EAF54A8ECDB3031766E701" ma:contentTypeVersion="4" ma:contentTypeDescription="Create a new document." ma:contentTypeScope="" ma:versionID="87dff79857fba6ec4013c5d454895e34">
  <xsd:schema xmlns:xsd="http://www.w3.org/2001/XMLSchema" xmlns:xs="http://www.w3.org/2001/XMLSchema" xmlns:p="http://schemas.microsoft.com/office/2006/metadata/properties" xmlns:ns1="http://schemas.microsoft.com/sharepoint/v3" xmlns:ns2="8fb78fff-28b5-471e-b286-22424dba9286" targetNamespace="http://schemas.microsoft.com/office/2006/metadata/properties" ma:root="true" ma:fieldsID="6b65c460018cb5f02bd5e7d0b3262a28" ns1:_="" ns2:_="">
    <xsd:import namespace="http://schemas.microsoft.com/sharepoint/v3"/>
    <xsd:import namespace="8fb78fff-28b5-471e-b286-22424dba9286"/>
    <xsd:element name="properties">
      <xsd:complexType>
        <xsd:sequence>
          <xsd:element name="documentManagement">
            <xsd:complexType>
              <xsd:all>
                <xsd:element ref="ns1:PublishingStartDate" minOccurs="0"/>
                <xsd:element ref="ns1:PublishingExpirationDate" minOccurs="0"/>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fb78fff-28b5-471e-b286-22424dba928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04453E18-4BF1-4890-8E54-731640A31C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fb78fff-28b5-471e-b286-22424dba92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320CFD-5CD9-4709-9A47-521668B99878}">
  <ds:schemaRefs>
    <ds:schemaRef ds:uri="http://schemas.microsoft.com/sharepoint/v3/contenttype/forms"/>
  </ds:schemaRefs>
</ds:datastoreItem>
</file>

<file path=customXml/itemProps3.xml><?xml version="1.0" encoding="utf-8"?>
<ds:datastoreItem xmlns:ds="http://schemas.openxmlformats.org/officeDocument/2006/customXml" ds:itemID="{3BD39365-BC0B-4F00-843E-B82E9234D9D9}">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40</vt:i4>
      </vt:variant>
    </vt:vector>
  </HeadingPairs>
  <TitlesOfParts>
    <vt:vector size="53" baseType="lpstr">
      <vt:lpstr>Cover Sheet</vt:lpstr>
      <vt:lpstr>Checklist</vt:lpstr>
      <vt:lpstr>ToC</vt:lpstr>
      <vt:lpstr>P4-Introduction</vt:lpstr>
      <vt:lpstr>P5-Sketch</vt:lpstr>
      <vt:lpstr>P6-Mechanism</vt:lpstr>
      <vt:lpstr>P7-Methodology</vt:lpstr>
      <vt:lpstr>P8-Methodology</vt:lpstr>
      <vt:lpstr>P9-Methodology</vt:lpstr>
      <vt:lpstr>P8-Cases</vt:lpstr>
      <vt:lpstr>P9-Summary</vt:lpstr>
      <vt:lpstr>AppA</vt:lpstr>
      <vt:lpstr>Flow Induced Turbulence</vt:lpstr>
      <vt:lpstr>_app1</vt:lpstr>
      <vt:lpstr>_app2</vt:lpstr>
      <vt:lpstr>_app3</vt:lpstr>
      <vt:lpstr>_chk1</vt:lpstr>
      <vt:lpstr>_chk2</vt:lpstr>
      <vt:lpstr>_chk3</vt:lpstr>
      <vt:lpstr>_rev1</vt:lpstr>
      <vt:lpstr>_rev2</vt:lpstr>
      <vt:lpstr>_rev3</vt:lpstr>
      <vt:lpstr>Calc_no</vt:lpstr>
      <vt:lpstr>calc_title</vt:lpstr>
      <vt:lpstr>customer</vt:lpstr>
      <vt:lpstr>date1</vt:lpstr>
      <vt:lpstr>date2</vt:lpstr>
      <vt:lpstr>date3</vt:lpstr>
      <vt:lpstr>desc1</vt:lpstr>
      <vt:lpstr>desc2</vt:lpstr>
      <vt:lpstr>desc3</vt:lpstr>
      <vt:lpstr>disclaimer</vt:lpstr>
      <vt:lpstr>elec_file</vt:lpstr>
      <vt:lpstr>num_pages</vt:lpstr>
      <vt:lpstr>orig1</vt:lpstr>
      <vt:lpstr>orig2</vt:lpstr>
      <vt:lpstr>orig3</vt:lpstr>
      <vt:lpstr>Phase_CTR</vt:lpstr>
      <vt:lpstr>AppA!Print_Area</vt:lpstr>
      <vt:lpstr>Checklist!Print_Area</vt:lpstr>
      <vt:lpstr>'Cover Sheet'!Print_Area</vt:lpstr>
      <vt:lpstr>'Flow Induced Turbulence'!Print_Area</vt:lpstr>
      <vt:lpstr>'P4-Introduction'!Print_Area</vt:lpstr>
      <vt:lpstr>'P5-Sketch'!Print_Area</vt:lpstr>
      <vt:lpstr>'P6-Mechanism'!Print_Area</vt:lpstr>
      <vt:lpstr>'P7-Methodology'!Print_Area</vt:lpstr>
      <vt:lpstr>'P8-Cases'!Print_Area</vt:lpstr>
      <vt:lpstr>'P8-Methodology'!Print_Area</vt:lpstr>
      <vt:lpstr>'P9-Methodology'!Print_Area</vt:lpstr>
      <vt:lpstr>'P9-Summary'!Print_Area</vt:lpstr>
      <vt:lpstr>ToC!Print_Area</vt:lpstr>
      <vt:lpstr>Proj_no</vt:lpstr>
      <vt:lpstr>proj_title</vt:lpstr>
    </vt:vector>
  </TitlesOfParts>
  <Manager/>
  <Company>WorleyParsons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Abdullah Aminu</dc:creator>
  <cp:keywords/>
  <dc:description/>
  <cp:lastModifiedBy>Krishnamurthy, Lakshmanan UEFM42</cp:lastModifiedBy>
  <cp:revision/>
  <dcterms:created xsi:type="dcterms:W3CDTF">2009-12-16T10:24:59Z</dcterms:created>
  <dcterms:modified xsi:type="dcterms:W3CDTF">2024-11-25T10:33:09Z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0x0101004C9FE37D29EAF54A8ECDB3031766E701</vt:lpwstr>
  </property>
</Properties>
</file>