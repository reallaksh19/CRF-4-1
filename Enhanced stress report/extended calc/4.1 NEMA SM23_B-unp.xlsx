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etrofaconline-my.sharepoint.com/personal/venkateshwarlu_b_petrofac_com/Documents/Desktop/TEMP/PI-24006/Compressor Analysis/"/>
    </mc:Choice>
  </mc:AlternateContent>
  <xr:revisionPtr revIDLastSave="10" documentId="8_{F6886EF2-3584-4AB9-8B39-E9665811C477}" xr6:coauthVersionLast="47" xr6:coauthVersionMax="47" xr10:uidLastSave="{3011F379-0DA9-4E4D-99C1-208E6FCD0F1D}"/>
  <bookViews>
    <workbookView xWindow="-120" yWindow="-120" windowWidth="29040" windowHeight="15840" firstSheet="1" activeTab="2" xr2:uid="{00000000-000D-0000-FFFF-FFFF00000000}"/>
  </bookViews>
  <sheets>
    <sheet name="DATA" sheetId="4" state="hidden" r:id="rId1"/>
    <sheet name="Revision" sheetId="26" r:id="rId2"/>
    <sheet name="NEMA SM-23" sheetId="25" r:id="rId3"/>
  </sheets>
  <definedNames>
    <definedName name="_xlnm._FilterDatabase" localSheetId="2" hidden="1">'NEMA SM-23'!$AU$1:$BA$160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" i="25" l="1"/>
  <c r="R15" i="25"/>
  <c r="S15" i="25"/>
  <c r="Q16" i="25"/>
  <c r="R16" i="25"/>
  <c r="S16" i="25"/>
  <c r="Q17" i="25"/>
  <c r="R17" i="25"/>
  <c r="W17" i="25" s="1"/>
  <c r="Z17" i="25" s="1"/>
  <c r="S17" i="25"/>
  <c r="Q18" i="25"/>
  <c r="R18" i="25"/>
  <c r="S18" i="25"/>
  <c r="Q19" i="25"/>
  <c r="R19" i="25"/>
  <c r="S19" i="25"/>
  <c r="Q20" i="25"/>
  <c r="R20" i="25"/>
  <c r="S20" i="25"/>
  <c r="Q21" i="25"/>
  <c r="R21" i="25"/>
  <c r="S21" i="25"/>
  <c r="Q22" i="25"/>
  <c r="R22" i="25"/>
  <c r="S22" i="25"/>
  <c r="Q23" i="25"/>
  <c r="R23" i="25"/>
  <c r="S23" i="25"/>
  <c r="Q24" i="25"/>
  <c r="R24" i="25"/>
  <c r="S24" i="25"/>
  <c r="Q25" i="25"/>
  <c r="R25" i="25"/>
  <c r="W25" i="25" s="1"/>
  <c r="Z25" i="25" s="1"/>
  <c r="S25" i="25"/>
  <c r="Q26" i="25"/>
  <c r="R26" i="25"/>
  <c r="S26" i="25"/>
  <c r="Q27" i="25"/>
  <c r="R27" i="25"/>
  <c r="S27" i="25"/>
  <c r="Q28" i="25"/>
  <c r="R28" i="25"/>
  <c r="S28" i="25"/>
  <c r="Q29" i="25"/>
  <c r="R29" i="25"/>
  <c r="S29" i="25"/>
  <c r="Q30" i="25"/>
  <c r="W30" i="25" s="1"/>
  <c r="Z30" i="25" s="1"/>
  <c r="R30" i="25"/>
  <c r="S30" i="25"/>
  <c r="Q31" i="25"/>
  <c r="R31" i="25"/>
  <c r="S31" i="25"/>
  <c r="Q32" i="25"/>
  <c r="R32" i="25"/>
  <c r="S32" i="25"/>
  <c r="Q33" i="25"/>
  <c r="R33" i="25"/>
  <c r="S33" i="25"/>
  <c r="Q34" i="25"/>
  <c r="R34" i="25"/>
  <c r="S34" i="25"/>
  <c r="Q35" i="25"/>
  <c r="R35" i="25"/>
  <c r="S35" i="25"/>
  <c r="Q36" i="25"/>
  <c r="R36" i="25"/>
  <c r="S36" i="25"/>
  <c r="Q37" i="25"/>
  <c r="R37" i="25"/>
  <c r="S37" i="25"/>
  <c r="Q38" i="25"/>
  <c r="R38" i="25"/>
  <c r="S38" i="25"/>
  <c r="Q39" i="25"/>
  <c r="R39" i="25"/>
  <c r="S39" i="25"/>
  <c r="Q40" i="25"/>
  <c r="R40" i="25"/>
  <c r="S40" i="25"/>
  <c r="Q41" i="25"/>
  <c r="R41" i="25"/>
  <c r="S41" i="25"/>
  <c r="Q42" i="25"/>
  <c r="R42" i="25"/>
  <c r="S42" i="25"/>
  <c r="Q43" i="25"/>
  <c r="R43" i="25"/>
  <c r="S43" i="25"/>
  <c r="Q44" i="25"/>
  <c r="R44" i="25"/>
  <c r="S44" i="25"/>
  <c r="Q45" i="25"/>
  <c r="R45" i="25"/>
  <c r="S45" i="25"/>
  <c r="Q46" i="25"/>
  <c r="R46" i="25"/>
  <c r="S46" i="25"/>
  <c r="Q47" i="25"/>
  <c r="R47" i="25"/>
  <c r="S47" i="25"/>
  <c r="Q48" i="25"/>
  <c r="R48" i="25"/>
  <c r="S48" i="25"/>
  <c r="Q49" i="25"/>
  <c r="R49" i="25"/>
  <c r="S49" i="25"/>
  <c r="Q50" i="25"/>
  <c r="R50" i="25"/>
  <c r="S50" i="25"/>
  <c r="Q51" i="25"/>
  <c r="R51" i="25"/>
  <c r="S51" i="25"/>
  <c r="Q52" i="25"/>
  <c r="R52" i="25"/>
  <c r="S52" i="25"/>
  <c r="Q53" i="25"/>
  <c r="R53" i="25"/>
  <c r="S53" i="25"/>
  <c r="Q54" i="25"/>
  <c r="R54" i="25"/>
  <c r="S54" i="25"/>
  <c r="Q55" i="25"/>
  <c r="R55" i="25"/>
  <c r="S55" i="25"/>
  <c r="Q56" i="25"/>
  <c r="R56" i="25"/>
  <c r="S56" i="25"/>
  <c r="Q57" i="25"/>
  <c r="R57" i="25"/>
  <c r="S57" i="25"/>
  <c r="Q58" i="25"/>
  <c r="R58" i="25"/>
  <c r="S58" i="25"/>
  <c r="Q59" i="25"/>
  <c r="R59" i="25"/>
  <c r="S59" i="25"/>
  <c r="Q60" i="25"/>
  <c r="R60" i="25"/>
  <c r="S60" i="25"/>
  <c r="Q61" i="25"/>
  <c r="R61" i="25"/>
  <c r="S61" i="25"/>
  <c r="Q62" i="25"/>
  <c r="R62" i="25"/>
  <c r="S62" i="25"/>
  <c r="Q63" i="25"/>
  <c r="R63" i="25"/>
  <c r="S63" i="25"/>
  <c r="Q64" i="25"/>
  <c r="R64" i="25"/>
  <c r="S64" i="25"/>
  <c r="Q65" i="25"/>
  <c r="R65" i="25"/>
  <c r="S65" i="25"/>
  <c r="Q66" i="25"/>
  <c r="R66" i="25"/>
  <c r="S66" i="25"/>
  <c r="Q67" i="25"/>
  <c r="R67" i="25"/>
  <c r="S67" i="25"/>
  <c r="Q68" i="25"/>
  <c r="R68" i="25"/>
  <c r="S68" i="25"/>
  <c r="Q69" i="25"/>
  <c r="R69" i="25"/>
  <c r="S69" i="25"/>
  <c r="Q70" i="25"/>
  <c r="R70" i="25"/>
  <c r="S70" i="25"/>
  <c r="Q71" i="25"/>
  <c r="R71" i="25"/>
  <c r="S71" i="25"/>
  <c r="Q72" i="25"/>
  <c r="R72" i="25"/>
  <c r="S72" i="25"/>
  <c r="Q73" i="25"/>
  <c r="R73" i="25"/>
  <c r="S73" i="25"/>
  <c r="Q74" i="25"/>
  <c r="R74" i="25"/>
  <c r="S74" i="25"/>
  <c r="Q75" i="25"/>
  <c r="R75" i="25"/>
  <c r="S75" i="25"/>
  <c r="Q76" i="25"/>
  <c r="R76" i="25"/>
  <c r="S76" i="25"/>
  <c r="Q77" i="25"/>
  <c r="R77" i="25"/>
  <c r="S77" i="25"/>
  <c r="Q78" i="25"/>
  <c r="R78" i="25"/>
  <c r="S78" i="25"/>
  <c r="Q79" i="25"/>
  <c r="R79" i="25"/>
  <c r="S79" i="25"/>
  <c r="Q80" i="25"/>
  <c r="R80" i="25"/>
  <c r="S80" i="25"/>
  <c r="Q81" i="25"/>
  <c r="R81" i="25"/>
  <c r="S81" i="25"/>
  <c r="Q82" i="25"/>
  <c r="R82" i="25"/>
  <c r="S82" i="25"/>
  <c r="Q83" i="25"/>
  <c r="R83" i="25"/>
  <c r="S83" i="25"/>
  <c r="Q84" i="25"/>
  <c r="R84" i="25"/>
  <c r="S84" i="25"/>
  <c r="Q85" i="25"/>
  <c r="R85" i="25"/>
  <c r="S85" i="25"/>
  <c r="Q86" i="25"/>
  <c r="R86" i="25"/>
  <c r="S86" i="25"/>
  <c r="Q87" i="25"/>
  <c r="R87" i="25"/>
  <c r="S87" i="25"/>
  <c r="Q88" i="25"/>
  <c r="R88" i="25"/>
  <c r="S88" i="25"/>
  <c r="Q89" i="25"/>
  <c r="R89" i="25"/>
  <c r="S89" i="25"/>
  <c r="Q90" i="25"/>
  <c r="R90" i="25"/>
  <c r="S90" i="25"/>
  <c r="Q91" i="25"/>
  <c r="R91" i="25"/>
  <c r="S91" i="25"/>
  <c r="Q92" i="25"/>
  <c r="R92" i="25"/>
  <c r="S92" i="25"/>
  <c r="Q93" i="25"/>
  <c r="R93" i="25"/>
  <c r="S93" i="25"/>
  <c r="Q94" i="25"/>
  <c r="R94" i="25"/>
  <c r="S94" i="25"/>
  <c r="Q95" i="25"/>
  <c r="R95" i="25"/>
  <c r="S95" i="25"/>
  <c r="Q96" i="25"/>
  <c r="R96" i="25"/>
  <c r="S96" i="25"/>
  <c r="Q97" i="25"/>
  <c r="R97" i="25"/>
  <c r="S97" i="25"/>
  <c r="Q98" i="25"/>
  <c r="R98" i="25"/>
  <c r="S98" i="25"/>
  <c r="Q99" i="25"/>
  <c r="R99" i="25"/>
  <c r="S99" i="25"/>
  <c r="Q100" i="25"/>
  <c r="R100" i="25"/>
  <c r="S100" i="25"/>
  <c r="Q101" i="25"/>
  <c r="R101" i="25"/>
  <c r="S101" i="25"/>
  <c r="Q102" i="25"/>
  <c r="R102" i="25"/>
  <c r="S102" i="25"/>
  <c r="Q103" i="25"/>
  <c r="R103" i="25"/>
  <c r="S103" i="25"/>
  <c r="Q104" i="25"/>
  <c r="R104" i="25"/>
  <c r="S104" i="25"/>
  <c r="Q105" i="25"/>
  <c r="R105" i="25"/>
  <c r="S105" i="25"/>
  <c r="Q106" i="25"/>
  <c r="R106" i="25"/>
  <c r="S106" i="25"/>
  <c r="Q107" i="25"/>
  <c r="R107" i="25"/>
  <c r="S107" i="25"/>
  <c r="Q108" i="25"/>
  <c r="R108" i="25"/>
  <c r="S108" i="25"/>
  <c r="Q109" i="25"/>
  <c r="R109" i="25"/>
  <c r="S109" i="25"/>
  <c r="Q110" i="25"/>
  <c r="R110" i="25"/>
  <c r="S110" i="25"/>
  <c r="Q111" i="25"/>
  <c r="R111" i="25"/>
  <c r="S111" i="25"/>
  <c r="Q112" i="25"/>
  <c r="R112" i="25"/>
  <c r="S112" i="25"/>
  <c r="Q113" i="25"/>
  <c r="R113" i="25"/>
  <c r="S113" i="25"/>
  <c r="Q114" i="25"/>
  <c r="R114" i="25"/>
  <c r="S114" i="25"/>
  <c r="Q115" i="25"/>
  <c r="R115" i="25"/>
  <c r="S115" i="25"/>
  <c r="Q116" i="25"/>
  <c r="R116" i="25"/>
  <c r="S116" i="25"/>
  <c r="Q117" i="25"/>
  <c r="R117" i="25"/>
  <c r="S117" i="25"/>
  <c r="Q118" i="25"/>
  <c r="R118" i="25"/>
  <c r="S118" i="25"/>
  <c r="Q119" i="25"/>
  <c r="R119" i="25"/>
  <c r="S119" i="25"/>
  <c r="Q120" i="25"/>
  <c r="R120" i="25"/>
  <c r="S120" i="25"/>
  <c r="Q121" i="25"/>
  <c r="R121" i="25"/>
  <c r="S121" i="25"/>
  <c r="Q122" i="25"/>
  <c r="R122" i="25"/>
  <c r="S122" i="25"/>
  <c r="Q123" i="25"/>
  <c r="R123" i="25"/>
  <c r="S123" i="25"/>
  <c r="Q124" i="25"/>
  <c r="R124" i="25"/>
  <c r="S124" i="25"/>
  <c r="Q125" i="25"/>
  <c r="R125" i="25"/>
  <c r="S125" i="25"/>
  <c r="Q126" i="25"/>
  <c r="R126" i="25"/>
  <c r="S126" i="25"/>
  <c r="Q127" i="25"/>
  <c r="R127" i="25"/>
  <c r="S127" i="25"/>
  <c r="Q128" i="25"/>
  <c r="R128" i="25"/>
  <c r="S128" i="25"/>
  <c r="Q129" i="25"/>
  <c r="R129" i="25"/>
  <c r="S129" i="25"/>
  <c r="Q130" i="25"/>
  <c r="R130" i="25"/>
  <c r="S130" i="25"/>
  <c r="Q131" i="25"/>
  <c r="R131" i="25"/>
  <c r="S131" i="25"/>
  <c r="Q132" i="25"/>
  <c r="R132" i="25"/>
  <c r="S132" i="25"/>
  <c r="Q133" i="25"/>
  <c r="R133" i="25"/>
  <c r="S133" i="25"/>
  <c r="Q134" i="25"/>
  <c r="R134" i="25"/>
  <c r="S134" i="25"/>
  <c r="Q135" i="25"/>
  <c r="R135" i="25"/>
  <c r="S135" i="25"/>
  <c r="Q136" i="25"/>
  <c r="R136" i="25"/>
  <c r="S136" i="25"/>
  <c r="Q137" i="25"/>
  <c r="R137" i="25"/>
  <c r="S137" i="25"/>
  <c r="Q138" i="25"/>
  <c r="R138" i="25"/>
  <c r="S138" i="25"/>
  <c r="Q139" i="25"/>
  <c r="R139" i="25"/>
  <c r="S139" i="25"/>
  <c r="Q140" i="25"/>
  <c r="R140" i="25"/>
  <c r="S140" i="25"/>
  <c r="Q141" i="25"/>
  <c r="R141" i="25"/>
  <c r="S141" i="25"/>
  <c r="Q142" i="25"/>
  <c r="R142" i="25"/>
  <c r="S142" i="25"/>
  <c r="Q143" i="25"/>
  <c r="R143" i="25"/>
  <c r="S143" i="25"/>
  <c r="Q144" i="25"/>
  <c r="R144" i="25"/>
  <c r="S144" i="25"/>
  <c r="Q145" i="25"/>
  <c r="R145" i="25"/>
  <c r="S145" i="25"/>
  <c r="Q146" i="25"/>
  <c r="R146" i="25"/>
  <c r="S146" i="25"/>
  <c r="Q147" i="25"/>
  <c r="R147" i="25"/>
  <c r="S147" i="25"/>
  <c r="Q148" i="25"/>
  <c r="R148" i="25"/>
  <c r="S148" i="25"/>
  <c r="Q149" i="25"/>
  <c r="R149" i="25"/>
  <c r="S149" i="25"/>
  <c r="Q150" i="25"/>
  <c r="R150" i="25"/>
  <c r="S150" i="25"/>
  <c r="Q151" i="25"/>
  <c r="R151" i="25"/>
  <c r="S151" i="25"/>
  <c r="Q152" i="25"/>
  <c r="R152" i="25"/>
  <c r="S152" i="25"/>
  <c r="Q153" i="25"/>
  <c r="R153" i="25"/>
  <c r="S153" i="25"/>
  <c r="Q154" i="25"/>
  <c r="R154" i="25"/>
  <c r="S154" i="25"/>
  <c r="Q155" i="25"/>
  <c r="R155" i="25"/>
  <c r="S155" i="25"/>
  <c r="Q156" i="25"/>
  <c r="R156" i="25"/>
  <c r="S156" i="25"/>
  <c r="Q157" i="25"/>
  <c r="R157" i="25"/>
  <c r="S157" i="25"/>
  <c r="Q158" i="25"/>
  <c r="R158" i="25"/>
  <c r="S158" i="25"/>
  <c r="Q159" i="25"/>
  <c r="R159" i="25"/>
  <c r="S159" i="25"/>
  <c r="Q160" i="25"/>
  <c r="R160" i="25"/>
  <c r="S160" i="25"/>
  <c r="Q161" i="25"/>
  <c r="R161" i="25"/>
  <c r="S161" i="25"/>
  <c r="Q162" i="25"/>
  <c r="R162" i="25"/>
  <c r="S162" i="25"/>
  <c r="Q163" i="25"/>
  <c r="R163" i="25"/>
  <c r="S163" i="25"/>
  <c r="S14" i="25"/>
  <c r="R14" i="25"/>
  <c r="Q14" i="25"/>
  <c r="G799" i="25"/>
  <c r="G800" i="25"/>
  <c r="G801" i="25"/>
  <c r="G802" i="25"/>
  <c r="G803" i="25"/>
  <c r="G804" i="25"/>
  <c r="G805" i="25"/>
  <c r="G806" i="25"/>
  <c r="G807" i="25"/>
  <c r="G808" i="25"/>
  <c r="G809" i="25"/>
  <c r="G810" i="25"/>
  <c r="G811" i="25"/>
  <c r="G812" i="25"/>
  <c r="G813" i="25"/>
  <c r="G814" i="25"/>
  <c r="G815" i="25"/>
  <c r="G816" i="25"/>
  <c r="G817" i="25"/>
  <c r="G818" i="25"/>
  <c r="G819" i="25"/>
  <c r="G820" i="25"/>
  <c r="G821" i="25"/>
  <c r="G822" i="25"/>
  <c r="G823" i="25"/>
  <c r="G824" i="25"/>
  <c r="G825" i="25"/>
  <c r="G826" i="25"/>
  <c r="G827" i="25"/>
  <c r="G828" i="25"/>
  <c r="G829" i="25"/>
  <c r="G830" i="25"/>
  <c r="G831" i="25"/>
  <c r="G832" i="25"/>
  <c r="G833" i="25"/>
  <c r="G834" i="25"/>
  <c r="G835" i="25"/>
  <c r="G836" i="25"/>
  <c r="G837" i="25"/>
  <c r="G838" i="25"/>
  <c r="G839" i="25"/>
  <c r="G840" i="25"/>
  <c r="G841" i="25"/>
  <c r="G842" i="25"/>
  <c r="G843" i="25"/>
  <c r="G844" i="25"/>
  <c r="G845" i="25"/>
  <c r="G846" i="25"/>
  <c r="G847" i="25"/>
  <c r="G848" i="25"/>
  <c r="G849" i="25"/>
  <c r="G850" i="25"/>
  <c r="G851" i="25"/>
  <c r="G852" i="25"/>
  <c r="G853" i="25"/>
  <c r="G854" i="25"/>
  <c r="G855" i="25"/>
  <c r="G856" i="25"/>
  <c r="G857" i="25"/>
  <c r="G858" i="25"/>
  <c r="G859" i="25"/>
  <c r="G860" i="25"/>
  <c r="G861" i="25"/>
  <c r="G862" i="25"/>
  <c r="G863" i="25"/>
  <c r="G864" i="25"/>
  <c r="G865" i="25"/>
  <c r="G866" i="25"/>
  <c r="G867" i="25"/>
  <c r="G868" i="25"/>
  <c r="G869" i="25"/>
  <c r="G870" i="25"/>
  <c r="G871" i="25"/>
  <c r="G872" i="25"/>
  <c r="G873" i="25"/>
  <c r="G874" i="25"/>
  <c r="G875" i="25"/>
  <c r="G876" i="25"/>
  <c r="G877" i="25"/>
  <c r="G878" i="25"/>
  <c r="G879" i="25"/>
  <c r="G880" i="25"/>
  <c r="G881" i="25"/>
  <c r="G882" i="25"/>
  <c r="G883" i="25"/>
  <c r="G884" i="25"/>
  <c r="G885" i="25"/>
  <c r="G886" i="25"/>
  <c r="G887" i="25"/>
  <c r="G888" i="25"/>
  <c r="G889" i="25"/>
  <c r="G890" i="25"/>
  <c r="G891" i="25"/>
  <c r="G892" i="25"/>
  <c r="G893" i="25"/>
  <c r="G894" i="25"/>
  <c r="G895" i="25"/>
  <c r="G896" i="25"/>
  <c r="G897" i="25"/>
  <c r="G898" i="25"/>
  <c r="G899" i="25"/>
  <c r="G900" i="25"/>
  <c r="G901" i="25"/>
  <c r="G902" i="25"/>
  <c r="G903" i="25"/>
  <c r="G904" i="25"/>
  <c r="G905" i="25"/>
  <c r="G906" i="25"/>
  <c r="G907" i="25"/>
  <c r="G908" i="25"/>
  <c r="G909" i="25"/>
  <c r="G910" i="25"/>
  <c r="G911" i="25"/>
  <c r="G912" i="25"/>
  <c r="G913" i="25"/>
  <c r="G914" i="25"/>
  <c r="G915" i="25"/>
  <c r="G916" i="25"/>
  <c r="G917" i="25"/>
  <c r="G918" i="25"/>
  <c r="G919" i="25"/>
  <c r="G920" i="25"/>
  <c r="G921" i="25"/>
  <c r="G922" i="25"/>
  <c r="G923" i="25"/>
  <c r="G924" i="25"/>
  <c r="G925" i="25"/>
  <c r="G926" i="25"/>
  <c r="G927" i="25"/>
  <c r="G928" i="25"/>
  <c r="G929" i="25"/>
  <c r="G930" i="25"/>
  <c r="G931" i="25"/>
  <c r="G932" i="25"/>
  <c r="G933" i="25"/>
  <c r="G934" i="25"/>
  <c r="G935" i="25"/>
  <c r="G936" i="25"/>
  <c r="G937" i="25"/>
  <c r="G938" i="25"/>
  <c r="G939" i="25"/>
  <c r="G940" i="25"/>
  <c r="G941" i="25"/>
  <c r="G942" i="25"/>
  <c r="G943" i="25"/>
  <c r="G944" i="25"/>
  <c r="G945" i="25"/>
  <c r="G946" i="25"/>
  <c r="G947" i="25"/>
  <c r="W15" i="25"/>
  <c r="Z15" i="25" s="1"/>
  <c r="T15" i="25"/>
  <c r="U15" i="25"/>
  <c r="V15" i="25"/>
  <c r="T16" i="25"/>
  <c r="U16" i="25"/>
  <c r="V16" i="25"/>
  <c r="T17" i="25"/>
  <c r="X17" i="25" s="1"/>
  <c r="AA17" i="25" s="1"/>
  <c r="U17" i="25"/>
  <c r="V17" i="25"/>
  <c r="W18" i="25"/>
  <c r="Z18" i="25" s="1"/>
  <c r="T18" i="25"/>
  <c r="U18" i="25"/>
  <c r="V18" i="25"/>
  <c r="T19" i="25"/>
  <c r="U19" i="25"/>
  <c r="V19" i="25"/>
  <c r="T20" i="25"/>
  <c r="U20" i="25"/>
  <c r="V20" i="25"/>
  <c r="T21" i="25"/>
  <c r="U21" i="25"/>
  <c r="V21" i="25"/>
  <c r="W22" i="25"/>
  <c r="Z22" i="25" s="1"/>
  <c r="T22" i="25"/>
  <c r="U22" i="25"/>
  <c r="V22" i="25"/>
  <c r="W23" i="25"/>
  <c r="Z23" i="25" s="1"/>
  <c r="T23" i="25"/>
  <c r="U23" i="25"/>
  <c r="V23" i="25"/>
  <c r="W24" i="25"/>
  <c r="Z24" i="25" s="1"/>
  <c r="T24" i="25"/>
  <c r="U24" i="25"/>
  <c r="V24" i="25"/>
  <c r="T25" i="25"/>
  <c r="U25" i="25"/>
  <c r="V25" i="25"/>
  <c r="W26" i="25"/>
  <c r="Z26" i="25" s="1"/>
  <c r="T26" i="25"/>
  <c r="U26" i="25"/>
  <c r="V26" i="25"/>
  <c r="T27" i="25"/>
  <c r="U27" i="25"/>
  <c r="V27" i="25"/>
  <c r="T28" i="25"/>
  <c r="U28" i="25"/>
  <c r="V28" i="25"/>
  <c r="T29" i="25"/>
  <c r="U29" i="25"/>
  <c r="V29" i="25"/>
  <c r="T30" i="25"/>
  <c r="U30" i="25"/>
  <c r="V30" i="25"/>
  <c r="W31" i="25"/>
  <c r="Z31" i="25" s="1"/>
  <c r="T31" i="25"/>
  <c r="U31" i="25"/>
  <c r="V31" i="25"/>
  <c r="T32" i="25"/>
  <c r="U32" i="25"/>
  <c r="V32" i="25"/>
  <c r="W33" i="25"/>
  <c r="Z33" i="25" s="1"/>
  <c r="T33" i="25"/>
  <c r="X33" i="25" s="1"/>
  <c r="AA33" i="25" s="1"/>
  <c r="U33" i="25"/>
  <c r="V33" i="25"/>
  <c r="W34" i="25"/>
  <c r="Z34" i="25" s="1"/>
  <c r="T34" i="25"/>
  <c r="U34" i="25"/>
  <c r="V34" i="25"/>
  <c r="T35" i="25"/>
  <c r="X35" i="25" s="1"/>
  <c r="AA35" i="25" s="1"/>
  <c r="U35" i="25"/>
  <c r="V35" i="25"/>
  <c r="W35" i="25"/>
  <c r="Z35" i="25" s="1"/>
  <c r="T36" i="25"/>
  <c r="U36" i="25"/>
  <c r="X36" i="25" s="1"/>
  <c r="AA36" i="25" s="1"/>
  <c r="V36" i="25"/>
  <c r="T37" i="25"/>
  <c r="U37" i="25"/>
  <c r="V37" i="25"/>
  <c r="W38" i="25"/>
  <c r="Z38" i="25" s="1"/>
  <c r="AB38" i="25" s="1"/>
  <c r="T38" i="25"/>
  <c r="X38" i="25" s="1"/>
  <c r="AA38" i="25" s="1"/>
  <c r="U38" i="25"/>
  <c r="V38" i="25"/>
  <c r="W39" i="25"/>
  <c r="Z39" i="25" s="1"/>
  <c r="T39" i="25"/>
  <c r="U39" i="25"/>
  <c r="V39" i="25"/>
  <c r="W40" i="25"/>
  <c r="Z40" i="25" s="1"/>
  <c r="T40" i="25"/>
  <c r="U40" i="25"/>
  <c r="V40" i="25"/>
  <c r="T41" i="25"/>
  <c r="U41" i="25"/>
  <c r="V41" i="25"/>
  <c r="W42" i="25"/>
  <c r="Z42" i="25" s="1"/>
  <c r="T42" i="25"/>
  <c r="U42" i="25"/>
  <c r="V42" i="25"/>
  <c r="W43" i="25"/>
  <c r="Z43" i="25" s="1"/>
  <c r="T43" i="25"/>
  <c r="U43" i="25"/>
  <c r="V43" i="25"/>
  <c r="W44" i="25"/>
  <c r="Z44" i="25" s="1"/>
  <c r="T44" i="25"/>
  <c r="U44" i="25"/>
  <c r="V44" i="25"/>
  <c r="T45" i="25"/>
  <c r="U45" i="25"/>
  <c r="X45" i="25" s="1"/>
  <c r="AA45" i="25" s="1"/>
  <c r="V45" i="25"/>
  <c r="T46" i="25"/>
  <c r="X46" i="25" s="1"/>
  <c r="AA46" i="25" s="1"/>
  <c r="U46" i="25"/>
  <c r="V46" i="25"/>
  <c r="W46" i="25"/>
  <c r="Z46" i="25" s="1"/>
  <c r="AB46" i="25" s="1"/>
  <c r="T47" i="25"/>
  <c r="U47" i="25"/>
  <c r="V47" i="25"/>
  <c r="W47" i="25"/>
  <c r="Z47" i="25" s="1"/>
  <c r="T48" i="25"/>
  <c r="U48" i="25"/>
  <c r="V48" i="25"/>
  <c r="T49" i="25"/>
  <c r="U49" i="25"/>
  <c r="V49" i="25"/>
  <c r="W50" i="25"/>
  <c r="Z50" i="25" s="1"/>
  <c r="T50" i="25"/>
  <c r="U50" i="25"/>
  <c r="V50" i="25"/>
  <c r="W51" i="25"/>
  <c r="Z51" i="25" s="1"/>
  <c r="T51" i="25"/>
  <c r="U51" i="25"/>
  <c r="V51" i="25"/>
  <c r="W52" i="25"/>
  <c r="Z52" i="25" s="1"/>
  <c r="T52" i="25"/>
  <c r="U52" i="25"/>
  <c r="V52" i="25"/>
  <c r="X52" i="25"/>
  <c r="AA52" i="25" s="1"/>
  <c r="T53" i="25"/>
  <c r="U53" i="25"/>
  <c r="V53" i="25"/>
  <c r="W54" i="25"/>
  <c r="Z54" i="25" s="1"/>
  <c r="T54" i="25"/>
  <c r="U54" i="25"/>
  <c r="V54" i="25"/>
  <c r="W55" i="25"/>
  <c r="Z55" i="25" s="1"/>
  <c r="T55" i="25"/>
  <c r="U55" i="25"/>
  <c r="V55" i="25"/>
  <c r="T56" i="25"/>
  <c r="X56" i="25" s="1"/>
  <c r="AA56" i="25" s="1"/>
  <c r="U56" i="25"/>
  <c r="V56" i="25"/>
  <c r="W57" i="25"/>
  <c r="Z57" i="25" s="1"/>
  <c r="T57" i="25"/>
  <c r="U57" i="25"/>
  <c r="V57" i="25"/>
  <c r="W58" i="25"/>
  <c r="Z58" i="25" s="1"/>
  <c r="T58" i="25"/>
  <c r="U58" i="25"/>
  <c r="V58" i="25"/>
  <c r="T59" i="25"/>
  <c r="X59" i="25" s="1"/>
  <c r="AA59" i="25" s="1"/>
  <c r="U59" i="25"/>
  <c r="V59" i="25"/>
  <c r="T60" i="25"/>
  <c r="X60" i="25" s="1"/>
  <c r="AA60" i="25" s="1"/>
  <c r="U60" i="25"/>
  <c r="V60" i="25"/>
  <c r="W61" i="25"/>
  <c r="Z61" i="25" s="1"/>
  <c r="T61" i="25"/>
  <c r="U61" i="25"/>
  <c r="V61" i="25"/>
  <c r="X61" i="25" s="1"/>
  <c r="AA61" i="25" s="1"/>
  <c r="W62" i="25"/>
  <c r="Z62" i="25" s="1"/>
  <c r="T62" i="25"/>
  <c r="U62" i="25"/>
  <c r="V62" i="25"/>
  <c r="T63" i="25"/>
  <c r="X63" i="25" s="1"/>
  <c r="AA63" i="25" s="1"/>
  <c r="U63" i="25"/>
  <c r="V63" i="25"/>
  <c r="T64" i="25"/>
  <c r="X64" i="25" s="1"/>
  <c r="AA64" i="25" s="1"/>
  <c r="U64" i="25"/>
  <c r="V64" i="25"/>
  <c r="T65" i="25"/>
  <c r="U65" i="25"/>
  <c r="V65" i="25"/>
  <c r="X65" i="25" s="1"/>
  <c r="AA65" i="25" s="1"/>
  <c r="W66" i="25"/>
  <c r="Z66" i="25" s="1"/>
  <c r="T66" i="25"/>
  <c r="U66" i="25"/>
  <c r="V66" i="25"/>
  <c r="T67" i="25"/>
  <c r="U67" i="25"/>
  <c r="V67" i="25"/>
  <c r="T68" i="25"/>
  <c r="U68" i="25"/>
  <c r="X68" i="25" s="1"/>
  <c r="AA68" i="25" s="1"/>
  <c r="V68" i="25"/>
  <c r="T69" i="25"/>
  <c r="U69" i="25"/>
  <c r="V69" i="25"/>
  <c r="X69" i="25" s="1"/>
  <c r="AA69" i="25" s="1"/>
  <c r="W70" i="25"/>
  <c r="Z70" i="25" s="1"/>
  <c r="T70" i="25"/>
  <c r="U70" i="25"/>
  <c r="V70" i="25"/>
  <c r="T71" i="25"/>
  <c r="U71" i="25"/>
  <c r="V71" i="25"/>
  <c r="T72" i="25"/>
  <c r="U72" i="25"/>
  <c r="X72" i="25" s="1"/>
  <c r="AA72" i="25" s="1"/>
  <c r="V72" i="25"/>
  <c r="T73" i="25"/>
  <c r="U73" i="25"/>
  <c r="V73" i="25"/>
  <c r="W74" i="25"/>
  <c r="Z74" i="25" s="1"/>
  <c r="T74" i="25"/>
  <c r="U74" i="25"/>
  <c r="V74" i="25"/>
  <c r="T75" i="25"/>
  <c r="U75" i="25"/>
  <c r="V75" i="25"/>
  <c r="T76" i="25"/>
  <c r="X76" i="25" s="1"/>
  <c r="AA76" i="25" s="1"/>
  <c r="U76" i="25"/>
  <c r="V76" i="25"/>
  <c r="T77" i="25"/>
  <c r="U77" i="25"/>
  <c r="V77" i="25"/>
  <c r="T78" i="25"/>
  <c r="X78" i="25" s="1"/>
  <c r="AA78" i="25" s="1"/>
  <c r="U78" i="25"/>
  <c r="V78" i="25"/>
  <c r="W78" i="25"/>
  <c r="Z78" i="25" s="1"/>
  <c r="T79" i="25"/>
  <c r="U79" i="25"/>
  <c r="V79" i="25"/>
  <c r="T80" i="25"/>
  <c r="U80" i="25"/>
  <c r="V80" i="25"/>
  <c r="X80" i="25"/>
  <c r="AA80" i="25" s="1"/>
  <c r="T81" i="25"/>
  <c r="U81" i="25"/>
  <c r="V81" i="25"/>
  <c r="W82" i="25"/>
  <c r="Z82" i="25" s="1"/>
  <c r="AB82" i="25" s="1"/>
  <c r="T82" i="25"/>
  <c r="X82" i="25" s="1"/>
  <c r="AA82" i="25" s="1"/>
  <c r="U82" i="25"/>
  <c r="V82" i="25"/>
  <c r="W83" i="25"/>
  <c r="Z83" i="25" s="1"/>
  <c r="T83" i="25"/>
  <c r="U83" i="25"/>
  <c r="V83" i="25"/>
  <c r="T84" i="25"/>
  <c r="X84" i="25" s="1"/>
  <c r="AA84" i="25" s="1"/>
  <c r="U84" i="25"/>
  <c r="V84" i="25"/>
  <c r="T85" i="25"/>
  <c r="U85" i="25"/>
  <c r="V85" i="25"/>
  <c r="X85" i="25" s="1"/>
  <c r="AA85" i="25" s="1"/>
  <c r="W86" i="25"/>
  <c r="Z86" i="25" s="1"/>
  <c r="T86" i="25"/>
  <c r="U86" i="25"/>
  <c r="V86" i="25"/>
  <c r="T87" i="25"/>
  <c r="U87" i="25"/>
  <c r="V87" i="25"/>
  <c r="T88" i="25"/>
  <c r="U88" i="25"/>
  <c r="V88" i="25"/>
  <c r="X88" i="25" s="1"/>
  <c r="AA88" i="25" s="1"/>
  <c r="W89" i="25"/>
  <c r="Z89" i="25" s="1"/>
  <c r="T89" i="25"/>
  <c r="U89" i="25"/>
  <c r="V89" i="25"/>
  <c r="W90" i="25"/>
  <c r="Z90" i="25" s="1"/>
  <c r="AB90" i="25" s="1"/>
  <c r="T90" i="25"/>
  <c r="U90" i="25"/>
  <c r="X90" i="25" s="1"/>
  <c r="AA90" i="25" s="1"/>
  <c r="V90" i="25"/>
  <c r="W91" i="25"/>
  <c r="Z91" i="25" s="1"/>
  <c r="T91" i="25"/>
  <c r="U91" i="25"/>
  <c r="X91" i="25" s="1"/>
  <c r="AA91" i="25" s="1"/>
  <c r="V91" i="25"/>
  <c r="W92" i="25"/>
  <c r="Z92" i="25" s="1"/>
  <c r="T92" i="25"/>
  <c r="U92" i="25"/>
  <c r="V92" i="25"/>
  <c r="T93" i="25"/>
  <c r="X93" i="25" s="1"/>
  <c r="AA93" i="25" s="1"/>
  <c r="U93" i="25"/>
  <c r="V93" i="25"/>
  <c r="T94" i="25"/>
  <c r="U94" i="25"/>
  <c r="V94" i="25"/>
  <c r="T95" i="25"/>
  <c r="U95" i="25"/>
  <c r="V95" i="25"/>
  <c r="T96" i="25"/>
  <c r="X96" i="25" s="1"/>
  <c r="AA96" i="25" s="1"/>
  <c r="U96" i="25"/>
  <c r="V96" i="25"/>
  <c r="T97" i="25"/>
  <c r="U97" i="25"/>
  <c r="V97" i="25"/>
  <c r="T98" i="25"/>
  <c r="U98" i="25"/>
  <c r="V98" i="25"/>
  <c r="X98" i="25" s="1"/>
  <c r="AA98" i="25" s="1"/>
  <c r="W99" i="25"/>
  <c r="Z99" i="25" s="1"/>
  <c r="T99" i="25"/>
  <c r="U99" i="25"/>
  <c r="X99" i="25" s="1"/>
  <c r="AA99" i="25" s="1"/>
  <c r="V99" i="25"/>
  <c r="W100" i="25"/>
  <c r="Z100" i="25" s="1"/>
  <c r="T100" i="25"/>
  <c r="U100" i="25"/>
  <c r="V100" i="25"/>
  <c r="W101" i="25"/>
  <c r="Z101" i="25" s="1"/>
  <c r="T101" i="25"/>
  <c r="U101" i="25"/>
  <c r="V101" i="25"/>
  <c r="T102" i="25"/>
  <c r="X102" i="25" s="1"/>
  <c r="AA102" i="25" s="1"/>
  <c r="U102" i="25"/>
  <c r="V102" i="25"/>
  <c r="W103" i="25"/>
  <c r="Z103" i="25" s="1"/>
  <c r="T103" i="25"/>
  <c r="U103" i="25"/>
  <c r="V103" i="25"/>
  <c r="W104" i="25"/>
  <c r="Z104" i="25" s="1"/>
  <c r="T104" i="25"/>
  <c r="U104" i="25"/>
  <c r="V104" i="25"/>
  <c r="T105" i="25"/>
  <c r="U105" i="25"/>
  <c r="V105" i="25"/>
  <c r="T106" i="25"/>
  <c r="U106" i="25"/>
  <c r="V106" i="25"/>
  <c r="X106" i="25"/>
  <c r="AA106" i="25" s="1"/>
  <c r="T107" i="25"/>
  <c r="U107" i="25"/>
  <c r="V107" i="25"/>
  <c r="W108" i="25"/>
  <c r="Z108" i="25" s="1"/>
  <c r="T108" i="25"/>
  <c r="U108" i="25"/>
  <c r="V108" i="25"/>
  <c r="T109" i="25"/>
  <c r="U109" i="25"/>
  <c r="V109" i="25"/>
  <c r="T110" i="25"/>
  <c r="X110" i="25" s="1"/>
  <c r="AA110" i="25" s="1"/>
  <c r="U110" i="25"/>
  <c r="V110" i="25"/>
  <c r="T111" i="25"/>
  <c r="U111" i="25"/>
  <c r="V111" i="25"/>
  <c r="X111" i="25" s="1"/>
  <c r="AA111" i="25" s="1"/>
  <c r="T112" i="25"/>
  <c r="U112" i="25"/>
  <c r="V112" i="25"/>
  <c r="T113" i="25"/>
  <c r="U113" i="25"/>
  <c r="V113" i="25"/>
  <c r="T114" i="25"/>
  <c r="X114" i="25" s="1"/>
  <c r="AA114" i="25" s="1"/>
  <c r="U114" i="25"/>
  <c r="V114" i="25"/>
  <c r="W115" i="25"/>
  <c r="Z115" i="25" s="1"/>
  <c r="T115" i="25"/>
  <c r="U115" i="25"/>
  <c r="V115" i="25"/>
  <c r="W116" i="25"/>
  <c r="Z116" i="25" s="1"/>
  <c r="T116" i="25"/>
  <c r="U116" i="25"/>
  <c r="V116" i="25"/>
  <c r="W117" i="25"/>
  <c r="T117" i="25"/>
  <c r="X117" i="25" s="1"/>
  <c r="AA117" i="25" s="1"/>
  <c r="U117" i="25"/>
  <c r="V117" i="25"/>
  <c r="Z117" i="25"/>
  <c r="T118" i="25"/>
  <c r="X118" i="25" s="1"/>
  <c r="AA118" i="25" s="1"/>
  <c r="U118" i="25"/>
  <c r="V118" i="25"/>
  <c r="W119" i="25"/>
  <c r="Z119" i="25" s="1"/>
  <c r="T119" i="25"/>
  <c r="U119" i="25"/>
  <c r="V119" i="25"/>
  <c r="X119" i="25" s="1"/>
  <c r="AA119" i="25" s="1"/>
  <c r="W120" i="25"/>
  <c r="Z120" i="25" s="1"/>
  <c r="T120" i="25"/>
  <c r="U120" i="25"/>
  <c r="V120" i="25"/>
  <c r="T121" i="25"/>
  <c r="U121" i="25"/>
  <c r="V121" i="25"/>
  <c r="T122" i="25"/>
  <c r="X122" i="25" s="1"/>
  <c r="AA122" i="25" s="1"/>
  <c r="U122" i="25"/>
  <c r="V122" i="25"/>
  <c r="T123" i="25"/>
  <c r="U123" i="25"/>
  <c r="V123" i="25"/>
  <c r="X123" i="25" s="1"/>
  <c r="AA123" i="25" s="1"/>
  <c r="W124" i="25"/>
  <c r="Z124" i="25" s="1"/>
  <c r="T124" i="25"/>
  <c r="U124" i="25"/>
  <c r="V124" i="25"/>
  <c r="T125" i="25"/>
  <c r="U125" i="25"/>
  <c r="V125" i="25"/>
  <c r="T126" i="25"/>
  <c r="U126" i="25"/>
  <c r="V126" i="25"/>
  <c r="T127" i="25"/>
  <c r="U127" i="25"/>
  <c r="V127" i="25"/>
  <c r="T128" i="25"/>
  <c r="X128" i="25" s="1"/>
  <c r="AA128" i="25" s="1"/>
  <c r="U128" i="25"/>
  <c r="V128" i="25"/>
  <c r="W128" i="25"/>
  <c r="Z128" i="25" s="1"/>
  <c r="W129" i="25"/>
  <c r="T129" i="25"/>
  <c r="U129" i="25"/>
  <c r="V129" i="25"/>
  <c r="Z129" i="25"/>
  <c r="T130" i="25"/>
  <c r="U130" i="25"/>
  <c r="V130" i="25"/>
  <c r="T131" i="25"/>
  <c r="U131" i="25"/>
  <c r="V131" i="25"/>
  <c r="W132" i="25"/>
  <c r="Z132" i="25" s="1"/>
  <c r="AB132" i="25" s="1"/>
  <c r="T132" i="25"/>
  <c r="X132" i="25" s="1"/>
  <c r="AA132" i="25" s="1"/>
  <c r="U132" i="25"/>
  <c r="V132" i="25"/>
  <c r="T133" i="25"/>
  <c r="U133" i="25"/>
  <c r="V133" i="25"/>
  <c r="T134" i="25"/>
  <c r="U134" i="25"/>
  <c r="V134" i="25"/>
  <c r="T135" i="25"/>
  <c r="U135" i="25"/>
  <c r="V135" i="25"/>
  <c r="T136" i="25"/>
  <c r="U136" i="25"/>
  <c r="V136" i="25"/>
  <c r="W137" i="25"/>
  <c r="T137" i="25"/>
  <c r="X137" i="25" s="1"/>
  <c r="AA137" i="25" s="1"/>
  <c r="U137" i="25"/>
  <c r="V137" i="25"/>
  <c r="Z137" i="25"/>
  <c r="AB137" i="25" s="1"/>
  <c r="T138" i="25"/>
  <c r="X138" i="25" s="1"/>
  <c r="AA138" i="25" s="1"/>
  <c r="U138" i="25"/>
  <c r="V138" i="25"/>
  <c r="T139" i="25"/>
  <c r="U139" i="25"/>
  <c r="V139" i="25"/>
  <c r="W140" i="25"/>
  <c r="Z140" i="25" s="1"/>
  <c r="T140" i="25"/>
  <c r="U140" i="25"/>
  <c r="V140" i="25"/>
  <c r="T141" i="25"/>
  <c r="U141" i="25"/>
  <c r="V141" i="25"/>
  <c r="T142" i="25"/>
  <c r="X142" i="25" s="1"/>
  <c r="AA142" i="25" s="1"/>
  <c r="U142" i="25"/>
  <c r="V142" i="25"/>
  <c r="W143" i="25"/>
  <c r="Z143" i="25" s="1"/>
  <c r="T143" i="25"/>
  <c r="U143" i="25"/>
  <c r="V143" i="25"/>
  <c r="T144" i="25"/>
  <c r="X144" i="25" s="1"/>
  <c r="AA144" i="25" s="1"/>
  <c r="U144" i="25"/>
  <c r="V144" i="25"/>
  <c r="W144" i="25"/>
  <c r="Z144" i="25" s="1"/>
  <c r="T145" i="25"/>
  <c r="U145" i="25"/>
  <c r="V145" i="25"/>
  <c r="T146" i="25"/>
  <c r="U146" i="25"/>
  <c r="V146" i="25"/>
  <c r="T147" i="25"/>
  <c r="X147" i="25" s="1"/>
  <c r="AA147" i="25" s="1"/>
  <c r="U147" i="25"/>
  <c r="V147" i="25"/>
  <c r="W147" i="25"/>
  <c r="Z147" i="25" s="1"/>
  <c r="AB147" i="25" s="1"/>
  <c r="W148" i="25"/>
  <c r="Z148" i="25" s="1"/>
  <c r="T148" i="25"/>
  <c r="U148" i="25"/>
  <c r="V148" i="25"/>
  <c r="T149" i="25"/>
  <c r="U149" i="25"/>
  <c r="V149" i="25"/>
  <c r="T150" i="25"/>
  <c r="X150" i="25" s="1"/>
  <c r="AA150" i="25" s="1"/>
  <c r="U150" i="25"/>
  <c r="V150" i="25"/>
  <c r="T151" i="25"/>
  <c r="U151" i="25"/>
  <c r="V151" i="25"/>
  <c r="W151" i="25"/>
  <c r="Z151" i="25" s="1"/>
  <c r="T152" i="25"/>
  <c r="U152" i="25"/>
  <c r="V152" i="25"/>
  <c r="W152" i="25"/>
  <c r="Z152" i="25" s="1"/>
  <c r="T153" i="25"/>
  <c r="U153" i="25"/>
  <c r="V153" i="25"/>
  <c r="T154" i="25"/>
  <c r="U154" i="25"/>
  <c r="V154" i="25"/>
  <c r="T155" i="25"/>
  <c r="X155" i="25" s="1"/>
  <c r="AA155" i="25" s="1"/>
  <c r="U155" i="25"/>
  <c r="V155" i="25"/>
  <c r="W156" i="25"/>
  <c r="Z156" i="25" s="1"/>
  <c r="T156" i="25"/>
  <c r="U156" i="25"/>
  <c r="V156" i="25"/>
  <c r="T157" i="25"/>
  <c r="X157" i="25" s="1"/>
  <c r="AA157" i="25" s="1"/>
  <c r="U157" i="25"/>
  <c r="V157" i="25"/>
  <c r="W158" i="25"/>
  <c r="Z158" i="25" s="1"/>
  <c r="T158" i="25"/>
  <c r="U158" i="25"/>
  <c r="V158" i="25"/>
  <c r="T159" i="25"/>
  <c r="U159" i="25"/>
  <c r="V159" i="25"/>
  <c r="X159" i="25"/>
  <c r="AA159" i="25" s="1"/>
  <c r="W160" i="25"/>
  <c r="Z160" i="25" s="1"/>
  <c r="T160" i="25"/>
  <c r="U160" i="25"/>
  <c r="V160" i="25"/>
  <c r="T161" i="25"/>
  <c r="X161" i="25" s="1"/>
  <c r="AA161" i="25" s="1"/>
  <c r="U161" i="25"/>
  <c r="V161" i="25"/>
  <c r="T162" i="25"/>
  <c r="X162" i="25" s="1"/>
  <c r="AA162" i="25" s="1"/>
  <c r="U162" i="25"/>
  <c r="V162" i="25"/>
  <c r="W163" i="25"/>
  <c r="Z163" i="25" s="1"/>
  <c r="T163" i="25"/>
  <c r="X163" i="25" s="1"/>
  <c r="AA163" i="25" s="1"/>
  <c r="U163" i="25"/>
  <c r="V163" i="25"/>
  <c r="N14" i="25"/>
  <c r="O14" i="25"/>
  <c r="P14" i="25"/>
  <c r="V14" i="25"/>
  <c r="X21" i="25" l="1"/>
  <c r="AA21" i="25" s="1"/>
  <c r="X15" i="25"/>
  <c r="AA15" i="25" s="1"/>
  <c r="X19" i="25"/>
  <c r="AA19" i="25" s="1"/>
  <c r="AB156" i="25"/>
  <c r="W161" i="25"/>
  <c r="Z161" i="25" s="1"/>
  <c r="X152" i="25"/>
  <c r="AA152" i="25" s="1"/>
  <c r="AB128" i="25"/>
  <c r="W27" i="25"/>
  <c r="Z27" i="25" s="1"/>
  <c r="AB27" i="25" s="1"/>
  <c r="X158" i="25"/>
  <c r="AA158" i="25" s="1"/>
  <c r="AB158" i="25" s="1"/>
  <c r="X153" i="25"/>
  <c r="AA153" i="25" s="1"/>
  <c r="X143" i="25"/>
  <c r="AA143" i="25" s="1"/>
  <c r="W136" i="25"/>
  <c r="Z136" i="25" s="1"/>
  <c r="W162" i="25"/>
  <c r="Z162" i="25" s="1"/>
  <c r="X160" i="25"/>
  <c r="AA160" i="25" s="1"/>
  <c r="W157" i="25"/>
  <c r="Z157" i="25" s="1"/>
  <c r="W155" i="25"/>
  <c r="Z155" i="25" s="1"/>
  <c r="AB155" i="25" s="1"/>
  <c r="X139" i="25"/>
  <c r="AA139" i="25" s="1"/>
  <c r="X134" i="25"/>
  <c r="AA134" i="25" s="1"/>
  <c r="X154" i="25"/>
  <c r="AA154" i="25" s="1"/>
  <c r="W153" i="25"/>
  <c r="Z153" i="25" s="1"/>
  <c r="X149" i="25"/>
  <c r="AA149" i="25" s="1"/>
  <c r="AB151" i="25"/>
  <c r="AB143" i="25"/>
  <c r="AB104" i="25"/>
  <c r="W159" i="25"/>
  <c r="Z159" i="25" s="1"/>
  <c r="X156" i="25"/>
  <c r="AA156" i="25" s="1"/>
  <c r="X148" i="25"/>
  <c r="AA148" i="25" s="1"/>
  <c r="AB148" i="25" s="1"/>
  <c r="W121" i="25"/>
  <c r="Z121" i="25" s="1"/>
  <c r="AB121" i="25" s="1"/>
  <c r="W112" i="25"/>
  <c r="Z112" i="25" s="1"/>
  <c r="W109" i="25"/>
  <c r="Z109" i="25" s="1"/>
  <c r="W95" i="25"/>
  <c r="Z95" i="25" s="1"/>
  <c r="W88" i="25"/>
  <c r="Z88" i="25" s="1"/>
  <c r="AB88" i="25" s="1"/>
  <c r="X83" i="25"/>
  <c r="AA83" i="25" s="1"/>
  <c r="AB83" i="25" s="1"/>
  <c r="W81" i="25"/>
  <c r="Z81" i="25" s="1"/>
  <c r="W75" i="25"/>
  <c r="Z75" i="25" s="1"/>
  <c r="X70" i="25"/>
  <c r="AA70" i="25" s="1"/>
  <c r="AB70" i="25" s="1"/>
  <c r="W56" i="25"/>
  <c r="Z56" i="25" s="1"/>
  <c r="X50" i="25"/>
  <c r="AA50" i="25" s="1"/>
  <c r="AB50" i="25" s="1"/>
  <c r="X40" i="25"/>
  <c r="AA40" i="25" s="1"/>
  <c r="W37" i="25"/>
  <c r="Z37" i="25" s="1"/>
  <c r="AB37" i="25" s="1"/>
  <c r="X29" i="25"/>
  <c r="AA29" i="25" s="1"/>
  <c r="W28" i="25"/>
  <c r="Z28" i="25" s="1"/>
  <c r="AB28" i="25" s="1"/>
  <c r="X22" i="25"/>
  <c r="AA22" i="25" s="1"/>
  <c r="AB22" i="25" s="1"/>
  <c r="X136" i="25"/>
  <c r="AA136" i="25" s="1"/>
  <c r="W133" i="25"/>
  <c r="Z133" i="25" s="1"/>
  <c r="X124" i="25"/>
  <c r="AA124" i="25" s="1"/>
  <c r="AB124" i="25" s="1"/>
  <c r="X116" i="25"/>
  <c r="AA116" i="25" s="1"/>
  <c r="AB116" i="25" s="1"/>
  <c r="W114" i="25"/>
  <c r="Z114" i="25" s="1"/>
  <c r="X107" i="25"/>
  <c r="AA107" i="25" s="1"/>
  <c r="X105" i="25"/>
  <c r="AA105" i="25" s="1"/>
  <c r="X104" i="25"/>
  <c r="AA104" i="25" s="1"/>
  <c r="W102" i="25"/>
  <c r="Z102" i="25" s="1"/>
  <c r="W96" i="25"/>
  <c r="Z96" i="25" s="1"/>
  <c r="X92" i="25"/>
  <c r="AA92" i="25" s="1"/>
  <c r="AB92" i="25" s="1"/>
  <c r="X73" i="25"/>
  <c r="AA73" i="25" s="1"/>
  <c r="X71" i="25"/>
  <c r="AA71" i="25" s="1"/>
  <c r="W69" i="25"/>
  <c r="Z69" i="25" s="1"/>
  <c r="AB69" i="25" s="1"/>
  <c r="W63" i="25"/>
  <c r="Z63" i="25" s="1"/>
  <c r="AB63" i="25" s="1"/>
  <c r="X58" i="25"/>
  <c r="AA58" i="25" s="1"/>
  <c r="X53" i="25"/>
  <c r="AA53" i="25" s="1"/>
  <c r="X51" i="25"/>
  <c r="AA51" i="25" s="1"/>
  <c r="W49" i="25"/>
  <c r="Z49" i="25" s="1"/>
  <c r="X41" i="25"/>
  <c r="AA41" i="25" s="1"/>
  <c r="X34" i="25"/>
  <c r="AA34" i="25" s="1"/>
  <c r="AB34" i="25" s="1"/>
  <c r="X24" i="25"/>
  <c r="AA24" i="25" s="1"/>
  <c r="W21" i="25"/>
  <c r="Z21" i="25" s="1"/>
  <c r="AB21" i="25" s="1"/>
  <c r="X18" i="25"/>
  <c r="AA18" i="25" s="1"/>
  <c r="AB103" i="25"/>
  <c r="AB40" i="25"/>
  <c r="AB33" i="25"/>
  <c r="AB17" i="25"/>
  <c r="W149" i="25"/>
  <c r="Z149" i="25" s="1"/>
  <c r="AB149" i="25" s="1"/>
  <c r="X145" i="25"/>
  <c r="AA145" i="25" s="1"/>
  <c r="W135" i="25"/>
  <c r="Z135" i="25" s="1"/>
  <c r="X131" i="25"/>
  <c r="AA131" i="25" s="1"/>
  <c r="X130" i="25"/>
  <c r="AA130" i="25" s="1"/>
  <c r="W122" i="25"/>
  <c r="Z122" i="25" s="1"/>
  <c r="AB122" i="25" s="1"/>
  <c r="X112" i="25"/>
  <c r="AA112" i="25" s="1"/>
  <c r="W110" i="25"/>
  <c r="Z110" i="25" s="1"/>
  <c r="AB110" i="25" s="1"/>
  <c r="W105" i="25"/>
  <c r="Z105" i="25" s="1"/>
  <c r="W97" i="25"/>
  <c r="Z97" i="25" s="1"/>
  <c r="X86" i="25"/>
  <c r="AA86" i="25" s="1"/>
  <c r="AB86" i="25" s="1"/>
  <c r="W84" i="25"/>
  <c r="Z84" i="25" s="1"/>
  <c r="AB84" i="25" s="1"/>
  <c r="X81" i="25"/>
  <c r="AA81" i="25" s="1"/>
  <c r="X79" i="25"/>
  <c r="AA79" i="25" s="1"/>
  <c r="W77" i="25"/>
  <c r="Z77" i="25" s="1"/>
  <c r="W71" i="25"/>
  <c r="Z71" i="25" s="1"/>
  <c r="AB71" i="25" s="1"/>
  <c r="X66" i="25"/>
  <c r="AA66" i="25" s="1"/>
  <c r="X48" i="25"/>
  <c r="AA48" i="25" s="1"/>
  <c r="W45" i="25"/>
  <c r="Z45" i="25" s="1"/>
  <c r="X30" i="25"/>
  <c r="AA30" i="25" s="1"/>
  <c r="AB30" i="25" s="1"/>
  <c r="X25" i="25"/>
  <c r="AA25" i="25" s="1"/>
  <c r="X20" i="25"/>
  <c r="AA20" i="25" s="1"/>
  <c r="AB20" i="25" s="1"/>
  <c r="X140" i="25"/>
  <c r="AA140" i="25" s="1"/>
  <c r="AB140" i="25" s="1"/>
  <c r="W123" i="25"/>
  <c r="Z123" i="25" s="1"/>
  <c r="X113" i="25"/>
  <c r="AA113" i="25" s="1"/>
  <c r="W111" i="25"/>
  <c r="Z111" i="25" s="1"/>
  <c r="X100" i="25"/>
  <c r="AA100" i="25" s="1"/>
  <c r="AB100" i="25" s="1"/>
  <c r="W98" i="25"/>
  <c r="Z98" i="25" s="1"/>
  <c r="X94" i="25"/>
  <c r="AA94" i="25" s="1"/>
  <c r="X87" i="25"/>
  <c r="AA87" i="25" s="1"/>
  <c r="W85" i="25"/>
  <c r="Z85" i="25" s="1"/>
  <c r="AB85" i="25" s="1"/>
  <c r="X67" i="25"/>
  <c r="AA67" i="25" s="1"/>
  <c r="W65" i="25"/>
  <c r="Z65" i="25" s="1"/>
  <c r="W59" i="25"/>
  <c r="Z59" i="25" s="1"/>
  <c r="X54" i="25"/>
  <c r="AA54" i="25" s="1"/>
  <c r="AB54" i="25" s="1"/>
  <c r="X42" i="25"/>
  <c r="AA42" i="25" s="1"/>
  <c r="X37" i="25"/>
  <c r="AA37" i="25" s="1"/>
  <c r="W36" i="25"/>
  <c r="Z36" i="25" s="1"/>
  <c r="X32" i="25"/>
  <c r="AA32" i="25" s="1"/>
  <c r="W29" i="25"/>
  <c r="Z29" i="25" s="1"/>
  <c r="X16" i="25"/>
  <c r="AA16" i="25" s="1"/>
  <c r="X151" i="25"/>
  <c r="AA151" i="25" s="1"/>
  <c r="X146" i="25"/>
  <c r="AA146" i="25" s="1"/>
  <c r="W145" i="25"/>
  <c r="Z145" i="25" s="1"/>
  <c r="X141" i="25"/>
  <c r="AA141" i="25" s="1"/>
  <c r="W139" i="25"/>
  <c r="Z139" i="25" s="1"/>
  <c r="AB139" i="25" s="1"/>
  <c r="X120" i="25"/>
  <c r="AA120" i="25" s="1"/>
  <c r="AB120" i="25" s="1"/>
  <c r="X115" i="25"/>
  <c r="AA115" i="25" s="1"/>
  <c r="X108" i="25"/>
  <c r="AA108" i="25" s="1"/>
  <c r="AB108" i="25" s="1"/>
  <c r="W106" i="25"/>
  <c r="Z106" i="25" s="1"/>
  <c r="X103" i="25"/>
  <c r="AA103" i="25" s="1"/>
  <c r="X101" i="25"/>
  <c r="AA101" i="25" s="1"/>
  <c r="AB101" i="25" s="1"/>
  <c r="X95" i="25"/>
  <c r="AA95" i="25" s="1"/>
  <c r="X89" i="25"/>
  <c r="AA89" i="25" s="1"/>
  <c r="W79" i="25"/>
  <c r="Z79" i="25" s="1"/>
  <c r="AB79" i="25" s="1"/>
  <c r="X74" i="25"/>
  <c r="AA74" i="25" s="1"/>
  <c r="W72" i="25"/>
  <c r="Z72" i="25" s="1"/>
  <c r="W60" i="25"/>
  <c r="Z60" i="25" s="1"/>
  <c r="X55" i="25"/>
  <c r="AA55" i="25" s="1"/>
  <c r="AB55" i="25" s="1"/>
  <c r="W53" i="25"/>
  <c r="Z53" i="25" s="1"/>
  <c r="AB53" i="25" s="1"/>
  <c r="X49" i="25"/>
  <c r="AA49" i="25" s="1"/>
  <c r="W48" i="25"/>
  <c r="Z48" i="25" s="1"/>
  <c r="X44" i="25"/>
  <c r="AA44" i="25" s="1"/>
  <c r="W41" i="25"/>
  <c r="Z41" i="25" s="1"/>
  <c r="X26" i="25"/>
  <c r="AA26" i="25" s="1"/>
  <c r="AB26" i="25" s="1"/>
  <c r="W20" i="25"/>
  <c r="Z20" i="25" s="1"/>
  <c r="W19" i="25"/>
  <c r="Z19" i="25" s="1"/>
  <c r="AB19" i="25" s="1"/>
  <c r="W138" i="25"/>
  <c r="Z138" i="25" s="1"/>
  <c r="AB138" i="25" s="1"/>
  <c r="X135" i="25"/>
  <c r="AA135" i="25" s="1"/>
  <c r="X127" i="25"/>
  <c r="AA127" i="25" s="1"/>
  <c r="X126" i="25"/>
  <c r="AA126" i="25" s="1"/>
  <c r="W125" i="25"/>
  <c r="Z125" i="25" s="1"/>
  <c r="X121" i="25"/>
  <c r="AA121" i="25" s="1"/>
  <c r="W118" i="25"/>
  <c r="Z118" i="25" s="1"/>
  <c r="W113" i="25"/>
  <c r="Z113" i="25" s="1"/>
  <c r="AB113" i="25" s="1"/>
  <c r="X109" i="25"/>
  <c r="AA109" i="25" s="1"/>
  <c r="W107" i="25"/>
  <c r="Z107" i="25" s="1"/>
  <c r="X97" i="25"/>
  <c r="AA97" i="25" s="1"/>
  <c r="W94" i="25"/>
  <c r="Z94" i="25" s="1"/>
  <c r="AB94" i="25" s="1"/>
  <c r="W87" i="25"/>
  <c r="Z87" i="25" s="1"/>
  <c r="X77" i="25"/>
  <c r="AA77" i="25" s="1"/>
  <c r="X75" i="25"/>
  <c r="AA75" i="25" s="1"/>
  <c r="W73" i="25"/>
  <c r="Z73" i="25" s="1"/>
  <c r="W67" i="25"/>
  <c r="Z67" i="25" s="1"/>
  <c r="AB67" i="25" s="1"/>
  <c r="X62" i="25"/>
  <c r="AA62" i="25" s="1"/>
  <c r="X57" i="25"/>
  <c r="AA57" i="25" s="1"/>
  <c r="W32" i="25"/>
  <c r="Z32" i="25" s="1"/>
  <c r="X28" i="25"/>
  <c r="AA28" i="25" s="1"/>
  <c r="W16" i="25"/>
  <c r="Z16" i="25" s="1"/>
  <c r="AB16" i="25" s="1"/>
  <c r="AB162" i="25"/>
  <c r="AB160" i="25"/>
  <c r="AB152" i="25"/>
  <c r="AB144" i="25"/>
  <c r="AB159" i="25"/>
  <c r="AB153" i="25"/>
  <c r="AB145" i="25"/>
  <c r="AB161" i="25"/>
  <c r="AB163" i="25"/>
  <c r="AB157" i="25"/>
  <c r="W134" i="25"/>
  <c r="Z134" i="25" s="1"/>
  <c r="AB134" i="25" s="1"/>
  <c r="AB114" i="25"/>
  <c r="AB91" i="25"/>
  <c r="AB89" i="25"/>
  <c r="W141" i="25"/>
  <c r="Z141" i="25" s="1"/>
  <c r="AB141" i="25" s="1"/>
  <c r="W130" i="25"/>
  <c r="Z130" i="25" s="1"/>
  <c r="AB130" i="25" s="1"/>
  <c r="AB118" i="25"/>
  <c r="AB97" i="25"/>
  <c r="AB135" i="25"/>
  <c r="W126" i="25"/>
  <c r="Z126" i="25" s="1"/>
  <c r="AB126" i="25" s="1"/>
  <c r="W154" i="25"/>
  <c r="Z154" i="25" s="1"/>
  <c r="AB154" i="25" s="1"/>
  <c r="W150" i="25"/>
  <c r="Z150" i="25" s="1"/>
  <c r="AB150" i="25" s="1"/>
  <c r="W146" i="25"/>
  <c r="Z146" i="25" s="1"/>
  <c r="AB146" i="25" s="1"/>
  <c r="W142" i="25"/>
  <c r="Z142" i="25" s="1"/>
  <c r="AB142" i="25" s="1"/>
  <c r="X133" i="25"/>
  <c r="AA133" i="25" s="1"/>
  <c r="AB133" i="25" s="1"/>
  <c r="W131" i="25"/>
  <c r="Z131" i="25" s="1"/>
  <c r="AB131" i="25" s="1"/>
  <c r="AB123" i="25"/>
  <c r="AB107" i="25"/>
  <c r="AB105" i="25"/>
  <c r="AB96" i="25"/>
  <c r="AB48" i="25"/>
  <c r="X129" i="25"/>
  <c r="AA129" i="25" s="1"/>
  <c r="AB129" i="25" s="1"/>
  <c r="W127" i="25"/>
  <c r="Z127" i="25" s="1"/>
  <c r="AB127" i="25" s="1"/>
  <c r="AB111" i="25"/>
  <c r="AB99" i="25"/>
  <c r="X125" i="25"/>
  <c r="AA125" i="25" s="1"/>
  <c r="AB125" i="25" s="1"/>
  <c r="AB115" i="25"/>
  <c r="AB102" i="25"/>
  <c r="AB98" i="25"/>
  <c r="AB87" i="25"/>
  <c r="AB119" i="25"/>
  <c r="AB117" i="25"/>
  <c r="AB106" i="25"/>
  <c r="W93" i="25"/>
  <c r="Z93" i="25" s="1"/>
  <c r="AB93" i="25" s="1"/>
  <c r="W80" i="25"/>
  <c r="Z80" i="25" s="1"/>
  <c r="AB80" i="25" s="1"/>
  <c r="AB74" i="25"/>
  <c r="AB73" i="25"/>
  <c r="W64" i="25"/>
  <c r="Z64" i="25" s="1"/>
  <c r="AB64" i="25" s="1"/>
  <c r="AB58" i="25"/>
  <c r="AB57" i="25"/>
  <c r="X43" i="25"/>
  <c r="AA43" i="25" s="1"/>
  <c r="AB43" i="25" s="1"/>
  <c r="X27" i="25"/>
  <c r="AA27" i="25" s="1"/>
  <c r="AB75" i="25"/>
  <c r="AB59" i="25"/>
  <c r="AB52" i="25"/>
  <c r="AB51" i="25"/>
  <c r="AB42" i="25"/>
  <c r="AB41" i="25"/>
  <c r="AB36" i="25"/>
  <c r="AB35" i="25"/>
  <c r="AB25" i="25"/>
  <c r="AB78" i="25"/>
  <c r="AB77" i="25"/>
  <c r="W68" i="25"/>
  <c r="Z68" i="25" s="1"/>
  <c r="AB68" i="25" s="1"/>
  <c r="AB62" i="25"/>
  <c r="AB61" i="25"/>
  <c r="X47" i="25"/>
  <c r="AA47" i="25" s="1"/>
  <c r="AB47" i="25" s="1"/>
  <c r="X31" i="25"/>
  <c r="AA31" i="25" s="1"/>
  <c r="AB31" i="25" s="1"/>
  <c r="AB56" i="25"/>
  <c r="AB45" i="25"/>
  <c r="AB29" i="25"/>
  <c r="AB24" i="25"/>
  <c r="AB15" i="25"/>
  <c r="AB81" i="25"/>
  <c r="AB72" i="25"/>
  <c r="AB66" i="25"/>
  <c r="AB65" i="25"/>
  <c r="AB18" i="25"/>
  <c r="AB60" i="25"/>
  <c r="AB44" i="25"/>
  <c r="W76" i="25"/>
  <c r="Z76" i="25" s="1"/>
  <c r="AB76" i="25" s="1"/>
  <c r="X39" i="25"/>
  <c r="AA39" i="25" s="1"/>
  <c r="AB39" i="25" s="1"/>
  <c r="X23" i="25"/>
  <c r="AA23" i="25" s="1"/>
  <c r="AB23" i="25" s="1"/>
  <c r="AV3" i="25"/>
  <c r="AV4" i="25"/>
  <c r="AV5" i="25"/>
  <c r="AV6" i="25"/>
  <c r="AV7" i="25"/>
  <c r="AV8" i="25"/>
  <c r="AV9" i="25"/>
  <c r="AV10" i="25"/>
  <c r="AV11" i="25"/>
  <c r="AV12" i="25"/>
  <c r="AV13" i="25"/>
  <c r="AV14" i="25"/>
  <c r="AV15" i="25"/>
  <c r="AV16" i="25"/>
  <c r="AV17" i="25"/>
  <c r="AV18" i="25"/>
  <c r="AV19" i="25"/>
  <c r="AV20" i="25"/>
  <c r="AV21" i="25"/>
  <c r="AV22" i="25"/>
  <c r="AV23" i="25"/>
  <c r="AV24" i="25"/>
  <c r="AV25" i="25"/>
  <c r="AV2" i="25"/>
  <c r="G798" i="25"/>
  <c r="N793" i="25"/>
  <c r="M793" i="25" s="1"/>
  <c r="F639" i="25"/>
  <c r="F640" i="25" s="1"/>
  <c r="F641" i="25" s="1"/>
  <c r="F642" i="25" s="1"/>
  <c r="F643" i="25" s="1"/>
  <c r="F644" i="25" s="1"/>
  <c r="F645" i="25" s="1"/>
  <c r="F646" i="25" s="1"/>
  <c r="F647" i="25" s="1"/>
  <c r="F648" i="25" s="1"/>
  <c r="F649" i="25" s="1"/>
  <c r="F650" i="25" s="1"/>
  <c r="F651" i="25" s="1"/>
  <c r="E639" i="25"/>
  <c r="E640" i="25" s="1"/>
  <c r="E641" i="25" s="1"/>
  <c r="E642" i="25" s="1"/>
  <c r="E643" i="25" s="1"/>
  <c r="E644" i="25" s="1"/>
  <c r="E645" i="25" s="1"/>
  <c r="E646" i="25" s="1"/>
  <c r="E647" i="25" s="1"/>
  <c r="E648" i="25" s="1"/>
  <c r="E649" i="25" s="1"/>
  <c r="E650" i="25" s="1"/>
  <c r="E651" i="25" s="1"/>
  <c r="D639" i="25"/>
  <c r="D640" i="25" s="1"/>
  <c r="D641" i="25" s="1"/>
  <c r="D642" i="25" s="1"/>
  <c r="D643" i="25" s="1"/>
  <c r="D644" i="25" s="1"/>
  <c r="D645" i="25" s="1"/>
  <c r="D646" i="25" s="1"/>
  <c r="D647" i="25" s="1"/>
  <c r="D648" i="25" s="1"/>
  <c r="D649" i="25" s="1"/>
  <c r="D650" i="25" s="1"/>
  <c r="D651" i="25" s="1"/>
  <c r="C639" i="25"/>
  <c r="C640" i="25" s="1"/>
  <c r="C641" i="25" s="1"/>
  <c r="C642" i="25" s="1"/>
  <c r="C643" i="25" s="1"/>
  <c r="C644" i="25" s="1"/>
  <c r="C645" i="25" s="1"/>
  <c r="C646" i="25" s="1"/>
  <c r="C647" i="25" s="1"/>
  <c r="C648" i="25" s="1"/>
  <c r="C649" i="25" s="1"/>
  <c r="C650" i="25" s="1"/>
  <c r="C651" i="25" s="1"/>
  <c r="B639" i="25"/>
  <c r="F483" i="25"/>
  <c r="F484" i="25" s="1"/>
  <c r="F485" i="25" s="1"/>
  <c r="F486" i="25" s="1"/>
  <c r="F487" i="25" s="1"/>
  <c r="F488" i="25" s="1"/>
  <c r="F489" i="25" s="1"/>
  <c r="F490" i="25" s="1"/>
  <c r="F491" i="25" s="1"/>
  <c r="F492" i="25" s="1"/>
  <c r="F493" i="25" s="1"/>
  <c r="F494" i="25" s="1"/>
  <c r="F495" i="25" s="1"/>
  <c r="F631" i="25" s="1"/>
  <c r="E483" i="25"/>
  <c r="E484" i="25" s="1"/>
  <c r="E485" i="25" s="1"/>
  <c r="E486" i="25" s="1"/>
  <c r="E487" i="25" s="1"/>
  <c r="E488" i="25" s="1"/>
  <c r="E489" i="25" s="1"/>
  <c r="E490" i="25" s="1"/>
  <c r="E491" i="25" s="1"/>
  <c r="E492" i="25" s="1"/>
  <c r="E493" i="25" s="1"/>
  <c r="E494" i="25" s="1"/>
  <c r="E495" i="25" s="1"/>
  <c r="E631" i="25" s="1"/>
  <c r="D483" i="25"/>
  <c r="D484" i="25" s="1"/>
  <c r="D485" i="25" s="1"/>
  <c r="D486" i="25" s="1"/>
  <c r="D487" i="25" s="1"/>
  <c r="D488" i="25" s="1"/>
  <c r="D489" i="25" s="1"/>
  <c r="D490" i="25" s="1"/>
  <c r="D491" i="25" s="1"/>
  <c r="D492" i="25" s="1"/>
  <c r="D493" i="25" s="1"/>
  <c r="D494" i="25" s="1"/>
  <c r="D495" i="25" s="1"/>
  <c r="D631" i="25" s="1"/>
  <c r="C483" i="25"/>
  <c r="C484" i="25" s="1"/>
  <c r="C485" i="25" s="1"/>
  <c r="C486" i="25" s="1"/>
  <c r="C487" i="25" s="1"/>
  <c r="C488" i="25" s="1"/>
  <c r="C489" i="25" s="1"/>
  <c r="C490" i="25" s="1"/>
  <c r="C491" i="25" s="1"/>
  <c r="C492" i="25" s="1"/>
  <c r="C493" i="25" s="1"/>
  <c r="C494" i="25" s="1"/>
  <c r="C495" i="25" s="1"/>
  <c r="C631" i="25" s="1"/>
  <c r="B483" i="25"/>
  <c r="B484" i="25" s="1"/>
  <c r="F327" i="25"/>
  <c r="F328" i="25" s="1"/>
  <c r="F329" i="25" s="1"/>
  <c r="F330" i="25" s="1"/>
  <c r="F331" i="25" s="1"/>
  <c r="F332" i="25" s="1"/>
  <c r="F333" i="25" s="1"/>
  <c r="F334" i="25" s="1"/>
  <c r="F335" i="25" s="1"/>
  <c r="F336" i="25" s="1"/>
  <c r="F337" i="25" s="1"/>
  <c r="F338" i="25" s="1"/>
  <c r="F339" i="25" s="1"/>
  <c r="E327" i="25"/>
  <c r="E328" i="25" s="1"/>
  <c r="E329" i="25" s="1"/>
  <c r="E330" i="25" s="1"/>
  <c r="E331" i="25" s="1"/>
  <c r="E332" i="25" s="1"/>
  <c r="E333" i="25" s="1"/>
  <c r="E334" i="25" s="1"/>
  <c r="E335" i="25" s="1"/>
  <c r="E336" i="25" s="1"/>
  <c r="E337" i="25" s="1"/>
  <c r="E338" i="25" s="1"/>
  <c r="E339" i="25" s="1"/>
  <c r="D327" i="25"/>
  <c r="D328" i="25" s="1"/>
  <c r="D329" i="25" s="1"/>
  <c r="D330" i="25" s="1"/>
  <c r="D331" i="25" s="1"/>
  <c r="D332" i="25" s="1"/>
  <c r="D333" i="25" s="1"/>
  <c r="D334" i="25" s="1"/>
  <c r="D335" i="25" s="1"/>
  <c r="D336" i="25" s="1"/>
  <c r="D337" i="25" s="1"/>
  <c r="D338" i="25" s="1"/>
  <c r="D339" i="25" s="1"/>
  <c r="C327" i="25"/>
  <c r="C328" i="25" s="1"/>
  <c r="C329" i="25" s="1"/>
  <c r="C330" i="25" s="1"/>
  <c r="C331" i="25" s="1"/>
  <c r="C332" i="25" s="1"/>
  <c r="C333" i="25" s="1"/>
  <c r="C334" i="25" s="1"/>
  <c r="C335" i="25" s="1"/>
  <c r="C336" i="25" s="1"/>
  <c r="C337" i="25" s="1"/>
  <c r="C338" i="25" s="1"/>
  <c r="C339" i="25" s="1"/>
  <c r="B327" i="25"/>
  <c r="B328" i="25" s="1"/>
  <c r="B329" i="25" s="1"/>
  <c r="B330" i="25" s="1"/>
  <c r="F171" i="25"/>
  <c r="F172" i="25" s="1"/>
  <c r="F173" i="25" s="1"/>
  <c r="F174" i="25" s="1"/>
  <c r="F175" i="25" s="1"/>
  <c r="F176" i="25" s="1"/>
  <c r="F177" i="25" s="1"/>
  <c r="F178" i="25" s="1"/>
  <c r="F179" i="25" s="1"/>
  <c r="F180" i="25" s="1"/>
  <c r="F181" i="25" s="1"/>
  <c r="F182" i="25" s="1"/>
  <c r="F183" i="25" s="1"/>
  <c r="E171" i="25"/>
  <c r="E172" i="25" s="1"/>
  <c r="E173" i="25" s="1"/>
  <c r="E174" i="25" s="1"/>
  <c r="E175" i="25" s="1"/>
  <c r="E176" i="25" s="1"/>
  <c r="E177" i="25" s="1"/>
  <c r="E178" i="25" s="1"/>
  <c r="E179" i="25" s="1"/>
  <c r="E180" i="25" s="1"/>
  <c r="E181" i="25" s="1"/>
  <c r="E182" i="25" s="1"/>
  <c r="E183" i="25" s="1"/>
  <c r="D171" i="25"/>
  <c r="D172" i="25" s="1"/>
  <c r="D173" i="25" s="1"/>
  <c r="D174" i="25" s="1"/>
  <c r="D175" i="25" s="1"/>
  <c r="D176" i="25" s="1"/>
  <c r="D177" i="25" s="1"/>
  <c r="D178" i="25" s="1"/>
  <c r="D179" i="25" s="1"/>
  <c r="D180" i="25" s="1"/>
  <c r="D181" i="25" s="1"/>
  <c r="D182" i="25" s="1"/>
  <c r="D183" i="25" s="1"/>
  <c r="C171" i="25"/>
  <c r="C172" i="25" s="1"/>
  <c r="C173" i="25" s="1"/>
  <c r="C174" i="25" s="1"/>
  <c r="C175" i="25" s="1"/>
  <c r="C176" i="25" s="1"/>
  <c r="C177" i="25" s="1"/>
  <c r="C178" i="25" s="1"/>
  <c r="C179" i="25" s="1"/>
  <c r="C180" i="25" s="1"/>
  <c r="C181" i="25" s="1"/>
  <c r="C182" i="25" s="1"/>
  <c r="C183" i="25" s="1"/>
  <c r="B171" i="25"/>
  <c r="M170" i="25"/>
  <c r="F15" i="25"/>
  <c r="O15" i="25" s="1"/>
  <c r="E15" i="25"/>
  <c r="D15" i="25"/>
  <c r="C15" i="25"/>
  <c r="B15" i="25"/>
  <c r="B16" i="25" s="1"/>
  <c r="B17" i="25" s="1"/>
  <c r="B18" i="25" s="1"/>
  <c r="B19" i="25" s="1"/>
  <c r="B20" i="25" s="1"/>
  <c r="B21" i="25" s="1"/>
  <c r="B22" i="25" s="1"/>
  <c r="Y14" i="25"/>
  <c r="AC14" i="25" s="1"/>
  <c r="U14" i="25"/>
  <c r="T14" i="25"/>
  <c r="S170" i="25" l="1"/>
  <c r="R170" i="25"/>
  <c r="Q170" i="25"/>
  <c r="B172" i="25"/>
  <c r="M172" i="25" s="1"/>
  <c r="M171" i="25"/>
  <c r="AB32" i="25"/>
  <c r="AB136" i="25"/>
  <c r="AB95" i="25"/>
  <c r="AB109" i="25"/>
  <c r="AB112" i="25"/>
  <c r="AB49" i="25"/>
  <c r="D16" i="25"/>
  <c r="P15" i="25"/>
  <c r="C16" i="25"/>
  <c r="Y16" i="25" s="1"/>
  <c r="AC16" i="25" s="1"/>
  <c r="AD16" i="25" s="1"/>
  <c r="AE16" i="25" s="1"/>
  <c r="Y15" i="25"/>
  <c r="AC15" i="25" s="1"/>
  <c r="AD15" i="25" s="1"/>
  <c r="AE15" i="25" s="1"/>
  <c r="E16" i="25"/>
  <c r="N16" i="25" s="1"/>
  <c r="N15" i="25"/>
  <c r="AM15" i="25"/>
  <c r="AH15" i="25"/>
  <c r="C788" i="25"/>
  <c r="C652" i="25"/>
  <c r="C653" i="25" s="1"/>
  <c r="C654" i="25" s="1"/>
  <c r="C655" i="25" s="1"/>
  <c r="C656" i="25" s="1"/>
  <c r="C657" i="25" s="1"/>
  <c r="C658" i="25" s="1"/>
  <c r="C659" i="25" s="1"/>
  <c r="C660" i="25" s="1"/>
  <c r="C661" i="25" s="1"/>
  <c r="C662" i="25" s="1"/>
  <c r="C663" i="25" s="1"/>
  <c r="C664" i="25" s="1"/>
  <c r="C665" i="25" s="1"/>
  <c r="C666" i="25" s="1"/>
  <c r="C667" i="25" s="1"/>
  <c r="C668" i="25" s="1"/>
  <c r="C669" i="25" s="1"/>
  <c r="C670" i="25" s="1"/>
  <c r="C671" i="25" s="1"/>
  <c r="C672" i="25" s="1"/>
  <c r="C673" i="25" s="1"/>
  <c r="C674" i="25" s="1"/>
  <c r="C675" i="25" s="1"/>
  <c r="C676" i="25" s="1"/>
  <c r="C677" i="25" s="1"/>
  <c r="C678" i="25" s="1"/>
  <c r="C679" i="25" s="1"/>
  <c r="C680" i="25" s="1"/>
  <c r="C681" i="25" s="1"/>
  <c r="C682" i="25" s="1"/>
  <c r="C683" i="25" s="1"/>
  <c r="C684" i="25" s="1"/>
  <c r="C685" i="25" s="1"/>
  <c r="C686" i="25" s="1"/>
  <c r="C687" i="25" s="1"/>
  <c r="C688" i="25" s="1"/>
  <c r="C689" i="25" s="1"/>
  <c r="C690" i="25" s="1"/>
  <c r="C691" i="25" s="1"/>
  <c r="C692" i="25" s="1"/>
  <c r="C693" i="25" s="1"/>
  <c r="C694" i="25" s="1"/>
  <c r="C695" i="25" s="1"/>
  <c r="C696" i="25" s="1"/>
  <c r="C697" i="25" s="1"/>
  <c r="C698" i="25" s="1"/>
  <c r="C699" i="25" s="1"/>
  <c r="C700" i="25" s="1"/>
  <c r="C701" i="25" s="1"/>
  <c r="C702" i="25" s="1"/>
  <c r="C703" i="25" s="1"/>
  <c r="C704" i="25" s="1"/>
  <c r="C705" i="25" s="1"/>
  <c r="C706" i="25" s="1"/>
  <c r="C707" i="25" s="1"/>
  <c r="C708" i="25" s="1"/>
  <c r="C709" i="25" s="1"/>
  <c r="C710" i="25" s="1"/>
  <c r="C711" i="25" s="1"/>
  <c r="C712" i="25" s="1"/>
  <c r="C713" i="25" s="1"/>
  <c r="C714" i="25" s="1"/>
  <c r="C715" i="25" s="1"/>
  <c r="C716" i="25" s="1"/>
  <c r="C717" i="25" s="1"/>
  <c r="C718" i="25" s="1"/>
  <c r="C719" i="25" s="1"/>
  <c r="C720" i="25" s="1"/>
  <c r="C721" i="25" s="1"/>
  <c r="C722" i="25" s="1"/>
  <c r="C723" i="25" s="1"/>
  <c r="C724" i="25" s="1"/>
  <c r="C725" i="25" s="1"/>
  <c r="C726" i="25" s="1"/>
  <c r="C727" i="25" s="1"/>
  <c r="C728" i="25" s="1"/>
  <c r="C729" i="25" s="1"/>
  <c r="C730" i="25" s="1"/>
  <c r="C731" i="25" s="1"/>
  <c r="C732" i="25" s="1"/>
  <c r="C733" i="25" s="1"/>
  <c r="C734" i="25" s="1"/>
  <c r="C735" i="25" s="1"/>
  <c r="C736" i="25" s="1"/>
  <c r="C737" i="25" s="1"/>
  <c r="C738" i="25" s="1"/>
  <c r="C739" i="25" s="1"/>
  <c r="C740" i="25" s="1"/>
  <c r="C741" i="25" s="1"/>
  <c r="C742" i="25" s="1"/>
  <c r="C743" i="25" s="1"/>
  <c r="C744" i="25" s="1"/>
  <c r="C745" i="25" s="1"/>
  <c r="C746" i="25" s="1"/>
  <c r="C747" i="25" s="1"/>
  <c r="C748" i="25" s="1"/>
  <c r="C749" i="25" s="1"/>
  <c r="C750" i="25" s="1"/>
  <c r="C751" i="25" s="1"/>
  <c r="C752" i="25" s="1"/>
  <c r="C753" i="25" s="1"/>
  <c r="C754" i="25" s="1"/>
  <c r="C755" i="25" s="1"/>
  <c r="C756" i="25" s="1"/>
  <c r="C757" i="25" s="1"/>
  <c r="C758" i="25" s="1"/>
  <c r="C759" i="25" s="1"/>
  <c r="C760" i="25" s="1"/>
  <c r="C761" i="25" s="1"/>
  <c r="C762" i="25" s="1"/>
  <c r="C763" i="25" s="1"/>
  <c r="C764" i="25" s="1"/>
  <c r="C765" i="25" s="1"/>
  <c r="C766" i="25" s="1"/>
  <c r="C767" i="25" s="1"/>
  <c r="C768" i="25" s="1"/>
  <c r="C769" i="25" s="1"/>
  <c r="C770" i="25" s="1"/>
  <c r="C771" i="25" s="1"/>
  <c r="C772" i="25" s="1"/>
  <c r="C773" i="25" s="1"/>
  <c r="C774" i="25" s="1"/>
  <c r="C775" i="25" s="1"/>
  <c r="C776" i="25" s="1"/>
  <c r="C777" i="25" s="1"/>
  <c r="C778" i="25" s="1"/>
  <c r="C779" i="25" s="1"/>
  <c r="C780" i="25" s="1"/>
  <c r="C781" i="25" s="1"/>
  <c r="C782" i="25" s="1"/>
  <c r="C783" i="25" s="1"/>
  <c r="C784" i="25" s="1"/>
  <c r="C785" i="25" s="1"/>
  <c r="C786" i="25" s="1"/>
  <c r="C787" i="25" s="1"/>
  <c r="D788" i="25"/>
  <c r="D652" i="25"/>
  <c r="D653" i="25" s="1"/>
  <c r="D654" i="25" s="1"/>
  <c r="D655" i="25" s="1"/>
  <c r="D656" i="25" s="1"/>
  <c r="D657" i="25" s="1"/>
  <c r="D658" i="25" s="1"/>
  <c r="D659" i="25" s="1"/>
  <c r="D660" i="25" s="1"/>
  <c r="D661" i="25" s="1"/>
  <c r="D662" i="25" s="1"/>
  <c r="D663" i="25" s="1"/>
  <c r="D664" i="25" s="1"/>
  <c r="D665" i="25" s="1"/>
  <c r="D666" i="25" s="1"/>
  <c r="D667" i="25" s="1"/>
  <c r="D668" i="25" s="1"/>
  <c r="D669" i="25" s="1"/>
  <c r="D670" i="25" s="1"/>
  <c r="D671" i="25" s="1"/>
  <c r="D672" i="25" s="1"/>
  <c r="D673" i="25" s="1"/>
  <c r="D674" i="25" s="1"/>
  <c r="D675" i="25" s="1"/>
  <c r="D676" i="25" s="1"/>
  <c r="D677" i="25" s="1"/>
  <c r="D678" i="25" s="1"/>
  <c r="D679" i="25" s="1"/>
  <c r="D680" i="25" s="1"/>
  <c r="D681" i="25" s="1"/>
  <c r="D682" i="25" s="1"/>
  <c r="D683" i="25" s="1"/>
  <c r="D684" i="25" s="1"/>
  <c r="D685" i="25" s="1"/>
  <c r="D686" i="25" s="1"/>
  <c r="D687" i="25" s="1"/>
  <c r="D688" i="25" s="1"/>
  <c r="D689" i="25" s="1"/>
  <c r="D690" i="25" s="1"/>
  <c r="D691" i="25" s="1"/>
  <c r="D692" i="25" s="1"/>
  <c r="D693" i="25" s="1"/>
  <c r="D694" i="25" s="1"/>
  <c r="D695" i="25" s="1"/>
  <c r="D696" i="25" s="1"/>
  <c r="D697" i="25" s="1"/>
  <c r="D698" i="25" s="1"/>
  <c r="D699" i="25" s="1"/>
  <c r="D700" i="25" s="1"/>
  <c r="D701" i="25" s="1"/>
  <c r="D702" i="25" s="1"/>
  <c r="D703" i="25" s="1"/>
  <c r="D704" i="25" s="1"/>
  <c r="D705" i="25" s="1"/>
  <c r="D706" i="25" s="1"/>
  <c r="D707" i="25" s="1"/>
  <c r="D708" i="25" s="1"/>
  <c r="D709" i="25" s="1"/>
  <c r="D710" i="25" s="1"/>
  <c r="D711" i="25" s="1"/>
  <c r="D712" i="25" s="1"/>
  <c r="D713" i="25" s="1"/>
  <c r="D714" i="25" s="1"/>
  <c r="D715" i="25" s="1"/>
  <c r="D716" i="25" s="1"/>
  <c r="D717" i="25" s="1"/>
  <c r="D718" i="25" s="1"/>
  <c r="D719" i="25" s="1"/>
  <c r="D720" i="25" s="1"/>
  <c r="D721" i="25" s="1"/>
  <c r="D722" i="25" s="1"/>
  <c r="D723" i="25" s="1"/>
  <c r="D724" i="25" s="1"/>
  <c r="D725" i="25" s="1"/>
  <c r="D726" i="25" s="1"/>
  <c r="D727" i="25" s="1"/>
  <c r="D728" i="25" s="1"/>
  <c r="D729" i="25" s="1"/>
  <c r="D730" i="25" s="1"/>
  <c r="D731" i="25" s="1"/>
  <c r="D732" i="25" s="1"/>
  <c r="D733" i="25" s="1"/>
  <c r="D734" i="25" s="1"/>
  <c r="D735" i="25" s="1"/>
  <c r="D736" i="25" s="1"/>
  <c r="D737" i="25" s="1"/>
  <c r="D738" i="25" s="1"/>
  <c r="D739" i="25" s="1"/>
  <c r="D740" i="25" s="1"/>
  <c r="D741" i="25" s="1"/>
  <c r="D742" i="25" s="1"/>
  <c r="D743" i="25" s="1"/>
  <c r="D744" i="25" s="1"/>
  <c r="D745" i="25" s="1"/>
  <c r="D746" i="25" s="1"/>
  <c r="D747" i="25" s="1"/>
  <c r="D748" i="25" s="1"/>
  <c r="D749" i="25" s="1"/>
  <c r="D750" i="25" s="1"/>
  <c r="D751" i="25" s="1"/>
  <c r="D752" i="25" s="1"/>
  <c r="D753" i="25" s="1"/>
  <c r="D754" i="25" s="1"/>
  <c r="D755" i="25" s="1"/>
  <c r="D756" i="25" s="1"/>
  <c r="D757" i="25" s="1"/>
  <c r="D758" i="25" s="1"/>
  <c r="D759" i="25" s="1"/>
  <c r="D760" i="25" s="1"/>
  <c r="D761" i="25" s="1"/>
  <c r="D762" i="25" s="1"/>
  <c r="D763" i="25" s="1"/>
  <c r="D764" i="25" s="1"/>
  <c r="D765" i="25" s="1"/>
  <c r="D766" i="25" s="1"/>
  <c r="D767" i="25" s="1"/>
  <c r="D768" i="25" s="1"/>
  <c r="D769" i="25" s="1"/>
  <c r="D770" i="25" s="1"/>
  <c r="D771" i="25" s="1"/>
  <c r="D772" i="25" s="1"/>
  <c r="D773" i="25" s="1"/>
  <c r="D774" i="25" s="1"/>
  <c r="D775" i="25" s="1"/>
  <c r="D776" i="25" s="1"/>
  <c r="D777" i="25" s="1"/>
  <c r="D778" i="25" s="1"/>
  <c r="D779" i="25" s="1"/>
  <c r="D780" i="25" s="1"/>
  <c r="D781" i="25" s="1"/>
  <c r="D782" i="25" s="1"/>
  <c r="D783" i="25" s="1"/>
  <c r="D784" i="25" s="1"/>
  <c r="D785" i="25" s="1"/>
  <c r="D786" i="25" s="1"/>
  <c r="D787" i="25" s="1"/>
  <c r="E788" i="25"/>
  <c r="E652" i="25"/>
  <c r="E653" i="25" s="1"/>
  <c r="E654" i="25" s="1"/>
  <c r="E655" i="25" s="1"/>
  <c r="E656" i="25" s="1"/>
  <c r="E657" i="25" s="1"/>
  <c r="E658" i="25" s="1"/>
  <c r="E659" i="25" s="1"/>
  <c r="E660" i="25" s="1"/>
  <c r="E661" i="25" s="1"/>
  <c r="E662" i="25" s="1"/>
  <c r="E663" i="25" s="1"/>
  <c r="E664" i="25" s="1"/>
  <c r="E665" i="25" s="1"/>
  <c r="E666" i="25" s="1"/>
  <c r="E667" i="25" s="1"/>
  <c r="E668" i="25" s="1"/>
  <c r="E669" i="25" s="1"/>
  <c r="E670" i="25" s="1"/>
  <c r="E671" i="25" s="1"/>
  <c r="E672" i="25" s="1"/>
  <c r="E673" i="25" s="1"/>
  <c r="E674" i="25" s="1"/>
  <c r="E675" i="25" s="1"/>
  <c r="E676" i="25" s="1"/>
  <c r="E677" i="25" s="1"/>
  <c r="E678" i="25" s="1"/>
  <c r="E679" i="25" s="1"/>
  <c r="E680" i="25" s="1"/>
  <c r="E681" i="25" s="1"/>
  <c r="E682" i="25" s="1"/>
  <c r="E683" i="25" s="1"/>
  <c r="E684" i="25" s="1"/>
  <c r="E685" i="25" s="1"/>
  <c r="E686" i="25" s="1"/>
  <c r="E687" i="25" s="1"/>
  <c r="E688" i="25" s="1"/>
  <c r="E689" i="25" s="1"/>
  <c r="E690" i="25" s="1"/>
  <c r="E691" i="25" s="1"/>
  <c r="E692" i="25" s="1"/>
  <c r="E693" i="25" s="1"/>
  <c r="E694" i="25" s="1"/>
  <c r="E695" i="25" s="1"/>
  <c r="E696" i="25" s="1"/>
  <c r="E697" i="25" s="1"/>
  <c r="E698" i="25" s="1"/>
  <c r="E699" i="25" s="1"/>
  <c r="E700" i="25" s="1"/>
  <c r="E701" i="25" s="1"/>
  <c r="E702" i="25" s="1"/>
  <c r="E703" i="25" s="1"/>
  <c r="E704" i="25" s="1"/>
  <c r="E705" i="25" s="1"/>
  <c r="E706" i="25" s="1"/>
  <c r="E707" i="25" s="1"/>
  <c r="E708" i="25" s="1"/>
  <c r="E709" i="25" s="1"/>
  <c r="E710" i="25" s="1"/>
  <c r="E711" i="25" s="1"/>
  <c r="E712" i="25" s="1"/>
  <c r="E713" i="25" s="1"/>
  <c r="E714" i="25" s="1"/>
  <c r="E715" i="25" s="1"/>
  <c r="E716" i="25" s="1"/>
  <c r="E717" i="25" s="1"/>
  <c r="E718" i="25" s="1"/>
  <c r="E719" i="25" s="1"/>
  <c r="E720" i="25" s="1"/>
  <c r="E721" i="25" s="1"/>
  <c r="E722" i="25" s="1"/>
  <c r="E723" i="25" s="1"/>
  <c r="E724" i="25" s="1"/>
  <c r="E725" i="25" s="1"/>
  <c r="E726" i="25" s="1"/>
  <c r="E727" i="25" s="1"/>
  <c r="E728" i="25" s="1"/>
  <c r="E729" i="25" s="1"/>
  <c r="E730" i="25" s="1"/>
  <c r="E731" i="25" s="1"/>
  <c r="E732" i="25" s="1"/>
  <c r="E733" i="25" s="1"/>
  <c r="E734" i="25" s="1"/>
  <c r="E735" i="25" s="1"/>
  <c r="E736" i="25" s="1"/>
  <c r="E737" i="25" s="1"/>
  <c r="E738" i="25" s="1"/>
  <c r="E739" i="25" s="1"/>
  <c r="E740" i="25" s="1"/>
  <c r="E741" i="25" s="1"/>
  <c r="E742" i="25" s="1"/>
  <c r="E743" i="25" s="1"/>
  <c r="E744" i="25" s="1"/>
  <c r="E745" i="25" s="1"/>
  <c r="E746" i="25" s="1"/>
  <c r="E747" i="25" s="1"/>
  <c r="E748" i="25" s="1"/>
  <c r="E749" i="25" s="1"/>
  <c r="E750" i="25" s="1"/>
  <c r="E751" i="25" s="1"/>
  <c r="E752" i="25" s="1"/>
  <c r="E753" i="25" s="1"/>
  <c r="E754" i="25" s="1"/>
  <c r="E755" i="25" s="1"/>
  <c r="E756" i="25" s="1"/>
  <c r="E757" i="25" s="1"/>
  <c r="E758" i="25" s="1"/>
  <c r="E759" i="25" s="1"/>
  <c r="E760" i="25" s="1"/>
  <c r="E761" i="25" s="1"/>
  <c r="E762" i="25" s="1"/>
  <c r="E763" i="25" s="1"/>
  <c r="E764" i="25" s="1"/>
  <c r="E765" i="25" s="1"/>
  <c r="E766" i="25" s="1"/>
  <c r="E767" i="25" s="1"/>
  <c r="E768" i="25" s="1"/>
  <c r="E769" i="25" s="1"/>
  <c r="E770" i="25" s="1"/>
  <c r="E771" i="25" s="1"/>
  <c r="E772" i="25" s="1"/>
  <c r="E773" i="25" s="1"/>
  <c r="E774" i="25" s="1"/>
  <c r="E775" i="25" s="1"/>
  <c r="E776" i="25" s="1"/>
  <c r="E777" i="25" s="1"/>
  <c r="E778" i="25" s="1"/>
  <c r="E779" i="25" s="1"/>
  <c r="E780" i="25" s="1"/>
  <c r="E781" i="25" s="1"/>
  <c r="E782" i="25" s="1"/>
  <c r="E783" i="25" s="1"/>
  <c r="E784" i="25" s="1"/>
  <c r="E785" i="25" s="1"/>
  <c r="E786" i="25" s="1"/>
  <c r="E787" i="25" s="1"/>
  <c r="F788" i="25"/>
  <c r="F652" i="25"/>
  <c r="F653" i="25" s="1"/>
  <c r="F654" i="25" s="1"/>
  <c r="F655" i="25" s="1"/>
  <c r="F656" i="25" s="1"/>
  <c r="F657" i="25" s="1"/>
  <c r="F658" i="25" s="1"/>
  <c r="F659" i="25" s="1"/>
  <c r="F660" i="25" s="1"/>
  <c r="F661" i="25" s="1"/>
  <c r="F662" i="25" s="1"/>
  <c r="F663" i="25" s="1"/>
  <c r="F664" i="25" s="1"/>
  <c r="F665" i="25" s="1"/>
  <c r="F666" i="25" s="1"/>
  <c r="F667" i="25" s="1"/>
  <c r="F668" i="25" s="1"/>
  <c r="F669" i="25" s="1"/>
  <c r="F670" i="25" s="1"/>
  <c r="F671" i="25" s="1"/>
  <c r="F672" i="25" s="1"/>
  <c r="F673" i="25" s="1"/>
  <c r="F674" i="25" s="1"/>
  <c r="F675" i="25" s="1"/>
  <c r="F676" i="25" s="1"/>
  <c r="F677" i="25" s="1"/>
  <c r="F678" i="25" s="1"/>
  <c r="F679" i="25" s="1"/>
  <c r="F680" i="25" s="1"/>
  <c r="F681" i="25" s="1"/>
  <c r="F682" i="25" s="1"/>
  <c r="F683" i="25" s="1"/>
  <c r="F684" i="25" s="1"/>
  <c r="F685" i="25" s="1"/>
  <c r="F686" i="25" s="1"/>
  <c r="F687" i="25" s="1"/>
  <c r="F688" i="25" s="1"/>
  <c r="F689" i="25" s="1"/>
  <c r="F690" i="25" s="1"/>
  <c r="F691" i="25" s="1"/>
  <c r="F692" i="25" s="1"/>
  <c r="F693" i="25" s="1"/>
  <c r="F694" i="25" s="1"/>
  <c r="F695" i="25" s="1"/>
  <c r="F696" i="25" s="1"/>
  <c r="F697" i="25" s="1"/>
  <c r="F698" i="25" s="1"/>
  <c r="F699" i="25" s="1"/>
  <c r="F700" i="25" s="1"/>
  <c r="F701" i="25" s="1"/>
  <c r="F702" i="25" s="1"/>
  <c r="F703" i="25" s="1"/>
  <c r="F704" i="25" s="1"/>
  <c r="F705" i="25" s="1"/>
  <c r="F706" i="25" s="1"/>
  <c r="F707" i="25" s="1"/>
  <c r="F708" i="25" s="1"/>
  <c r="F709" i="25" s="1"/>
  <c r="F710" i="25" s="1"/>
  <c r="F711" i="25" s="1"/>
  <c r="F712" i="25" s="1"/>
  <c r="F713" i="25" s="1"/>
  <c r="F714" i="25" s="1"/>
  <c r="F715" i="25" s="1"/>
  <c r="F716" i="25" s="1"/>
  <c r="F717" i="25" s="1"/>
  <c r="F718" i="25" s="1"/>
  <c r="F719" i="25" s="1"/>
  <c r="F720" i="25" s="1"/>
  <c r="F721" i="25" s="1"/>
  <c r="F722" i="25" s="1"/>
  <c r="F723" i="25" s="1"/>
  <c r="F724" i="25" s="1"/>
  <c r="F725" i="25" s="1"/>
  <c r="F726" i="25" s="1"/>
  <c r="F727" i="25" s="1"/>
  <c r="F728" i="25" s="1"/>
  <c r="F729" i="25" s="1"/>
  <c r="F730" i="25" s="1"/>
  <c r="F731" i="25" s="1"/>
  <c r="F732" i="25" s="1"/>
  <c r="F733" i="25" s="1"/>
  <c r="F734" i="25" s="1"/>
  <c r="F735" i="25" s="1"/>
  <c r="F736" i="25" s="1"/>
  <c r="F737" i="25" s="1"/>
  <c r="F738" i="25" s="1"/>
  <c r="F739" i="25" s="1"/>
  <c r="F740" i="25" s="1"/>
  <c r="F741" i="25" s="1"/>
  <c r="F742" i="25" s="1"/>
  <c r="F743" i="25" s="1"/>
  <c r="F744" i="25" s="1"/>
  <c r="F745" i="25" s="1"/>
  <c r="F746" i="25" s="1"/>
  <c r="F747" i="25" s="1"/>
  <c r="F748" i="25" s="1"/>
  <c r="F749" i="25" s="1"/>
  <c r="F750" i="25" s="1"/>
  <c r="F751" i="25" s="1"/>
  <c r="F752" i="25" s="1"/>
  <c r="F753" i="25" s="1"/>
  <c r="F754" i="25" s="1"/>
  <c r="F755" i="25" s="1"/>
  <c r="F756" i="25" s="1"/>
  <c r="F757" i="25" s="1"/>
  <c r="F758" i="25" s="1"/>
  <c r="F759" i="25" s="1"/>
  <c r="F760" i="25" s="1"/>
  <c r="F761" i="25" s="1"/>
  <c r="F762" i="25" s="1"/>
  <c r="F763" i="25" s="1"/>
  <c r="F764" i="25" s="1"/>
  <c r="F765" i="25" s="1"/>
  <c r="F766" i="25" s="1"/>
  <c r="F767" i="25" s="1"/>
  <c r="F768" i="25" s="1"/>
  <c r="F769" i="25" s="1"/>
  <c r="F770" i="25" s="1"/>
  <c r="F771" i="25" s="1"/>
  <c r="F772" i="25" s="1"/>
  <c r="F773" i="25" s="1"/>
  <c r="F774" i="25" s="1"/>
  <c r="F775" i="25" s="1"/>
  <c r="F776" i="25" s="1"/>
  <c r="F777" i="25" s="1"/>
  <c r="F778" i="25" s="1"/>
  <c r="F779" i="25" s="1"/>
  <c r="F780" i="25" s="1"/>
  <c r="F781" i="25" s="1"/>
  <c r="F782" i="25" s="1"/>
  <c r="F783" i="25" s="1"/>
  <c r="F784" i="25" s="1"/>
  <c r="F785" i="25" s="1"/>
  <c r="F786" i="25" s="1"/>
  <c r="F787" i="25" s="1"/>
  <c r="E496" i="25"/>
  <c r="E497" i="25" s="1"/>
  <c r="E498" i="25" s="1"/>
  <c r="E499" i="25" s="1"/>
  <c r="E500" i="25" s="1"/>
  <c r="E501" i="25" s="1"/>
  <c r="E502" i="25" s="1"/>
  <c r="E503" i="25" s="1"/>
  <c r="E504" i="25" s="1"/>
  <c r="E505" i="25" s="1"/>
  <c r="E506" i="25" s="1"/>
  <c r="E507" i="25" s="1"/>
  <c r="E508" i="25" s="1"/>
  <c r="E509" i="25" s="1"/>
  <c r="E510" i="25" s="1"/>
  <c r="E511" i="25" s="1"/>
  <c r="E512" i="25" s="1"/>
  <c r="E513" i="25" s="1"/>
  <c r="E514" i="25" s="1"/>
  <c r="E515" i="25" s="1"/>
  <c r="E516" i="25" s="1"/>
  <c r="E517" i="25" s="1"/>
  <c r="E518" i="25" s="1"/>
  <c r="E519" i="25" s="1"/>
  <c r="E520" i="25" s="1"/>
  <c r="E521" i="25" s="1"/>
  <c r="E522" i="25" s="1"/>
  <c r="E523" i="25" s="1"/>
  <c r="E524" i="25" s="1"/>
  <c r="E525" i="25" s="1"/>
  <c r="E526" i="25" s="1"/>
  <c r="E527" i="25" s="1"/>
  <c r="E528" i="25" s="1"/>
  <c r="E529" i="25" s="1"/>
  <c r="E530" i="25" s="1"/>
  <c r="E531" i="25" s="1"/>
  <c r="E532" i="25" s="1"/>
  <c r="E533" i="25" s="1"/>
  <c r="E534" i="25" s="1"/>
  <c r="E535" i="25" s="1"/>
  <c r="E536" i="25" s="1"/>
  <c r="E537" i="25" s="1"/>
  <c r="E538" i="25" s="1"/>
  <c r="E539" i="25" s="1"/>
  <c r="E540" i="25" s="1"/>
  <c r="E541" i="25" s="1"/>
  <c r="E542" i="25" s="1"/>
  <c r="E543" i="25" s="1"/>
  <c r="E544" i="25" s="1"/>
  <c r="E545" i="25" s="1"/>
  <c r="E546" i="25" s="1"/>
  <c r="E547" i="25" s="1"/>
  <c r="E548" i="25" s="1"/>
  <c r="E549" i="25" s="1"/>
  <c r="E550" i="25" s="1"/>
  <c r="E551" i="25" s="1"/>
  <c r="E552" i="25" s="1"/>
  <c r="E553" i="25" s="1"/>
  <c r="E554" i="25" s="1"/>
  <c r="E555" i="25" s="1"/>
  <c r="E556" i="25" s="1"/>
  <c r="E557" i="25" s="1"/>
  <c r="E558" i="25" s="1"/>
  <c r="E559" i="25" s="1"/>
  <c r="E560" i="25" s="1"/>
  <c r="E561" i="25" s="1"/>
  <c r="F496" i="25"/>
  <c r="F497" i="25" s="1"/>
  <c r="F498" i="25" s="1"/>
  <c r="F499" i="25" s="1"/>
  <c r="F500" i="25" s="1"/>
  <c r="F501" i="25" s="1"/>
  <c r="F502" i="25" s="1"/>
  <c r="F503" i="25" s="1"/>
  <c r="F504" i="25" s="1"/>
  <c r="F505" i="25" s="1"/>
  <c r="F506" i="25" s="1"/>
  <c r="F507" i="25" s="1"/>
  <c r="F508" i="25" s="1"/>
  <c r="F509" i="25" s="1"/>
  <c r="F510" i="25" s="1"/>
  <c r="F511" i="25" s="1"/>
  <c r="F512" i="25" s="1"/>
  <c r="F513" i="25" s="1"/>
  <c r="F514" i="25" s="1"/>
  <c r="F515" i="25" s="1"/>
  <c r="F516" i="25" s="1"/>
  <c r="F517" i="25" s="1"/>
  <c r="F518" i="25" s="1"/>
  <c r="F519" i="25" s="1"/>
  <c r="F520" i="25" s="1"/>
  <c r="F521" i="25" s="1"/>
  <c r="F522" i="25" s="1"/>
  <c r="F523" i="25" s="1"/>
  <c r="F524" i="25" s="1"/>
  <c r="F525" i="25" s="1"/>
  <c r="F526" i="25" s="1"/>
  <c r="F527" i="25" s="1"/>
  <c r="F528" i="25" s="1"/>
  <c r="F529" i="25" s="1"/>
  <c r="F530" i="25" s="1"/>
  <c r="F531" i="25" s="1"/>
  <c r="F532" i="25" s="1"/>
  <c r="F533" i="25" s="1"/>
  <c r="F534" i="25" s="1"/>
  <c r="F535" i="25" s="1"/>
  <c r="F536" i="25" s="1"/>
  <c r="F537" i="25" s="1"/>
  <c r="F538" i="25" s="1"/>
  <c r="F539" i="25" s="1"/>
  <c r="F540" i="25" s="1"/>
  <c r="F541" i="25" s="1"/>
  <c r="F542" i="25" s="1"/>
  <c r="F543" i="25" s="1"/>
  <c r="F544" i="25" s="1"/>
  <c r="F545" i="25" s="1"/>
  <c r="F546" i="25" s="1"/>
  <c r="F547" i="25" s="1"/>
  <c r="F548" i="25" s="1"/>
  <c r="F549" i="25" s="1"/>
  <c r="F550" i="25" s="1"/>
  <c r="F551" i="25" s="1"/>
  <c r="F552" i="25" s="1"/>
  <c r="F553" i="25" s="1"/>
  <c r="F554" i="25" s="1"/>
  <c r="F555" i="25" s="1"/>
  <c r="F556" i="25" s="1"/>
  <c r="F557" i="25" s="1"/>
  <c r="F558" i="25" s="1"/>
  <c r="F559" i="25" s="1"/>
  <c r="F560" i="25" s="1"/>
  <c r="F561" i="25" s="1"/>
  <c r="C496" i="25"/>
  <c r="C497" i="25" s="1"/>
  <c r="C498" i="25" s="1"/>
  <c r="C499" i="25" s="1"/>
  <c r="C500" i="25" s="1"/>
  <c r="C501" i="25" s="1"/>
  <c r="C502" i="25" s="1"/>
  <c r="C503" i="25" s="1"/>
  <c r="C504" i="25" s="1"/>
  <c r="C505" i="25" s="1"/>
  <c r="C506" i="25" s="1"/>
  <c r="C507" i="25" s="1"/>
  <c r="C508" i="25" s="1"/>
  <c r="C509" i="25" s="1"/>
  <c r="C510" i="25" s="1"/>
  <c r="C511" i="25" s="1"/>
  <c r="C512" i="25" s="1"/>
  <c r="C513" i="25" s="1"/>
  <c r="C514" i="25" s="1"/>
  <c r="C515" i="25" s="1"/>
  <c r="C516" i="25" s="1"/>
  <c r="C517" i="25" s="1"/>
  <c r="C518" i="25" s="1"/>
  <c r="C519" i="25" s="1"/>
  <c r="C520" i="25" s="1"/>
  <c r="C521" i="25" s="1"/>
  <c r="C522" i="25" s="1"/>
  <c r="C523" i="25" s="1"/>
  <c r="C524" i="25" s="1"/>
  <c r="C525" i="25" s="1"/>
  <c r="C526" i="25" s="1"/>
  <c r="C527" i="25" s="1"/>
  <c r="C528" i="25" s="1"/>
  <c r="C529" i="25" s="1"/>
  <c r="C530" i="25" s="1"/>
  <c r="C531" i="25" s="1"/>
  <c r="C532" i="25" s="1"/>
  <c r="C533" i="25" s="1"/>
  <c r="C534" i="25" s="1"/>
  <c r="C535" i="25" s="1"/>
  <c r="C536" i="25" s="1"/>
  <c r="C537" i="25" s="1"/>
  <c r="C538" i="25" s="1"/>
  <c r="C539" i="25" s="1"/>
  <c r="C540" i="25" s="1"/>
  <c r="C541" i="25" s="1"/>
  <c r="C542" i="25" s="1"/>
  <c r="C543" i="25" s="1"/>
  <c r="C544" i="25" s="1"/>
  <c r="C545" i="25" s="1"/>
  <c r="C546" i="25" s="1"/>
  <c r="C547" i="25" s="1"/>
  <c r="C548" i="25" s="1"/>
  <c r="C549" i="25" s="1"/>
  <c r="C550" i="25" s="1"/>
  <c r="C551" i="25" s="1"/>
  <c r="C552" i="25" s="1"/>
  <c r="C553" i="25" s="1"/>
  <c r="C554" i="25" s="1"/>
  <c r="C555" i="25" s="1"/>
  <c r="C556" i="25" s="1"/>
  <c r="C557" i="25" s="1"/>
  <c r="C558" i="25" s="1"/>
  <c r="C559" i="25" s="1"/>
  <c r="C560" i="25" s="1"/>
  <c r="C561" i="25" s="1"/>
  <c r="D496" i="25"/>
  <c r="D497" i="25" s="1"/>
  <c r="D498" i="25" s="1"/>
  <c r="D499" i="25" s="1"/>
  <c r="D500" i="25" s="1"/>
  <c r="D501" i="25" s="1"/>
  <c r="D502" i="25" s="1"/>
  <c r="D503" i="25" s="1"/>
  <c r="D504" i="25" s="1"/>
  <c r="D505" i="25" s="1"/>
  <c r="D506" i="25" s="1"/>
  <c r="D507" i="25" s="1"/>
  <c r="D508" i="25" s="1"/>
  <c r="D509" i="25" s="1"/>
  <c r="D510" i="25" s="1"/>
  <c r="D511" i="25" s="1"/>
  <c r="D512" i="25" s="1"/>
  <c r="D513" i="25" s="1"/>
  <c r="D514" i="25" s="1"/>
  <c r="D515" i="25" s="1"/>
  <c r="D516" i="25" s="1"/>
  <c r="D517" i="25" s="1"/>
  <c r="D518" i="25" s="1"/>
  <c r="D519" i="25" s="1"/>
  <c r="D520" i="25" s="1"/>
  <c r="D521" i="25" s="1"/>
  <c r="D522" i="25" s="1"/>
  <c r="D523" i="25" s="1"/>
  <c r="D524" i="25" s="1"/>
  <c r="D525" i="25" s="1"/>
  <c r="D526" i="25" s="1"/>
  <c r="D527" i="25" s="1"/>
  <c r="D528" i="25" s="1"/>
  <c r="D529" i="25" s="1"/>
  <c r="D530" i="25" s="1"/>
  <c r="D531" i="25" s="1"/>
  <c r="D532" i="25" s="1"/>
  <c r="D533" i="25" s="1"/>
  <c r="D534" i="25" s="1"/>
  <c r="D535" i="25" s="1"/>
  <c r="D536" i="25" s="1"/>
  <c r="D537" i="25" s="1"/>
  <c r="D538" i="25" s="1"/>
  <c r="D539" i="25" s="1"/>
  <c r="D540" i="25" s="1"/>
  <c r="D541" i="25" s="1"/>
  <c r="D542" i="25" s="1"/>
  <c r="D543" i="25" s="1"/>
  <c r="D544" i="25" s="1"/>
  <c r="D545" i="25" s="1"/>
  <c r="D546" i="25" s="1"/>
  <c r="D547" i="25" s="1"/>
  <c r="D548" i="25" s="1"/>
  <c r="D549" i="25" s="1"/>
  <c r="D550" i="25" s="1"/>
  <c r="D551" i="25" s="1"/>
  <c r="D552" i="25" s="1"/>
  <c r="D553" i="25" s="1"/>
  <c r="D554" i="25" s="1"/>
  <c r="D555" i="25" s="1"/>
  <c r="D556" i="25" s="1"/>
  <c r="D557" i="25" s="1"/>
  <c r="D558" i="25" s="1"/>
  <c r="D559" i="25" s="1"/>
  <c r="D560" i="25" s="1"/>
  <c r="D561" i="25" s="1"/>
  <c r="C340" i="25"/>
  <c r="C341" i="25" s="1"/>
  <c r="C342" i="25" s="1"/>
  <c r="C343" i="25" s="1"/>
  <c r="C344" i="25" s="1"/>
  <c r="C345" i="25" s="1"/>
  <c r="C346" i="25" s="1"/>
  <c r="C347" i="25" s="1"/>
  <c r="C348" i="25" s="1"/>
  <c r="C349" i="25" s="1"/>
  <c r="C350" i="25" s="1"/>
  <c r="C351" i="25" s="1"/>
  <c r="C352" i="25" s="1"/>
  <c r="C353" i="25" s="1"/>
  <c r="C354" i="25" s="1"/>
  <c r="C355" i="25" s="1"/>
  <c r="C356" i="25" s="1"/>
  <c r="C357" i="25" s="1"/>
  <c r="C358" i="25" s="1"/>
  <c r="C359" i="25" s="1"/>
  <c r="C360" i="25" s="1"/>
  <c r="C361" i="25" s="1"/>
  <c r="C362" i="25" s="1"/>
  <c r="C363" i="25" s="1"/>
  <c r="C364" i="25" s="1"/>
  <c r="C365" i="25" s="1"/>
  <c r="C366" i="25" s="1"/>
  <c r="C367" i="25" s="1"/>
  <c r="C368" i="25" s="1"/>
  <c r="C369" i="25" s="1"/>
  <c r="C370" i="25" s="1"/>
  <c r="C371" i="25" s="1"/>
  <c r="C372" i="25" s="1"/>
  <c r="C373" i="25" s="1"/>
  <c r="C374" i="25" s="1"/>
  <c r="C375" i="25" s="1"/>
  <c r="C376" i="25" s="1"/>
  <c r="C377" i="25" s="1"/>
  <c r="C378" i="25" s="1"/>
  <c r="C379" i="25" s="1"/>
  <c r="C380" i="25" s="1"/>
  <c r="C381" i="25" s="1"/>
  <c r="C382" i="25" s="1"/>
  <c r="C383" i="25" s="1"/>
  <c r="C384" i="25" s="1"/>
  <c r="C385" i="25" s="1"/>
  <c r="C386" i="25" s="1"/>
  <c r="C387" i="25" s="1"/>
  <c r="C388" i="25" s="1"/>
  <c r="C389" i="25" s="1"/>
  <c r="C390" i="25" s="1"/>
  <c r="C391" i="25" s="1"/>
  <c r="C392" i="25" s="1"/>
  <c r="C393" i="25" s="1"/>
  <c r="C394" i="25" s="1"/>
  <c r="C395" i="25" s="1"/>
  <c r="C396" i="25" s="1"/>
  <c r="C397" i="25" s="1"/>
  <c r="C398" i="25" s="1"/>
  <c r="C399" i="25" s="1"/>
  <c r="C400" i="25" s="1"/>
  <c r="C401" i="25" s="1"/>
  <c r="C402" i="25" s="1"/>
  <c r="C403" i="25" s="1"/>
  <c r="C404" i="25" s="1"/>
  <c r="C405" i="25" s="1"/>
  <c r="C406" i="25" s="1"/>
  <c r="C407" i="25" s="1"/>
  <c r="C408" i="25" s="1"/>
  <c r="C409" i="25" s="1"/>
  <c r="C410" i="25" s="1"/>
  <c r="C411" i="25" s="1"/>
  <c r="C412" i="25" s="1"/>
  <c r="C413" i="25" s="1"/>
  <c r="C414" i="25" s="1"/>
  <c r="C415" i="25" s="1"/>
  <c r="C416" i="25" s="1"/>
  <c r="C417" i="25" s="1"/>
  <c r="C418" i="25" s="1"/>
  <c r="C419" i="25" s="1"/>
  <c r="C420" i="25" s="1"/>
  <c r="C421" i="25" s="1"/>
  <c r="D340" i="25"/>
  <c r="D341" i="25" s="1"/>
  <c r="D342" i="25" s="1"/>
  <c r="D343" i="25" s="1"/>
  <c r="D344" i="25" s="1"/>
  <c r="D345" i="25" s="1"/>
  <c r="D346" i="25" s="1"/>
  <c r="D347" i="25" s="1"/>
  <c r="D348" i="25" s="1"/>
  <c r="D349" i="25" s="1"/>
  <c r="D350" i="25" s="1"/>
  <c r="D351" i="25" s="1"/>
  <c r="D352" i="25" s="1"/>
  <c r="D353" i="25" s="1"/>
  <c r="D354" i="25" s="1"/>
  <c r="D355" i="25" s="1"/>
  <c r="D356" i="25" s="1"/>
  <c r="D357" i="25" s="1"/>
  <c r="D358" i="25" s="1"/>
  <c r="D359" i="25" s="1"/>
  <c r="D360" i="25" s="1"/>
  <c r="D361" i="25" s="1"/>
  <c r="D362" i="25" s="1"/>
  <c r="D363" i="25" s="1"/>
  <c r="D364" i="25" s="1"/>
  <c r="D365" i="25" s="1"/>
  <c r="D366" i="25" s="1"/>
  <c r="D367" i="25" s="1"/>
  <c r="D368" i="25" s="1"/>
  <c r="D369" i="25" s="1"/>
  <c r="D370" i="25" s="1"/>
  <c r="D371" i="25" s="1"/>
  <c r="D372" i="25" s="1"/>
  <c r="D373" i="25" s="1"/>
  <c r="D374" i="25" s="1"/>
  <c r="D375" i="25" s="1"/>
  <c r="D376" i="25" s="1"/>
  <c r="D377" i="25" s="1"/>
  <c r="D378" i="25" s="1"/>
  <c r="D379" i="25" s="1"/>
  <c r="D380" i="25" s="1"/>
  <c r="D381" i="25" s="1"/>
  <c r="D382" i="25" s="1"/>
  <c r="D383" i="25" s="1"/>
  <c r="D384" i="25" s="1"/>
  <c r="D385" i="25" s="1"/>
  <c r="D386" i="25" s="1"/>
  <c r="D387" i="25" s="1"/>
  <c r="D388" i="25" s="1"/>
  <c r="D389" i="25" s="1"/>
  <c r="D390" i="25" s="1"/>
  <c r="D391" i="25" s="1"/>
  <c r="D392" i="25" s="1"/>
  <c r="D393" i="25" s="1"/>
  <c r="D394" i="25" s="1"/>
  <c r="D395" i="25" s="1"/>
  <c r="D396" i="25" s="1"/>
  <c r="D397" i="25" s="1"/>
  <c r="D398" i="25" s="1"/>
  <c r="D399" i="25" s="1"/>
  <c r="D400" i="25" s="1"/>
  <c r="D401" i="25" s="1"/>
  <c r="D402" i="25" s="1"/>
  <c r="D403" i="25" s="1"/>
  <c r="D404" i="25" s="1"/>
  <c r="D405" i="25" s="1"/>
  <c r="D406" i="25" s="1"/>
  <c r="D407" i="25" s="1"/>
  <c r="D408" i="25" s="1"/>
  <c r="D409" i="25" s="1"/>
  <c r="D410" i="25" s="1"/>
  <c r="D411" i="25" s="1"/>
  <c r="D412" i="25" s="1"/>
  <c r="D413" i="25" s="1"/>
  <c r="D414" i="25" s="1"/>
  <c r="D415" i="25" s="1"/>
  <c r="D416" i="25" s="1"/>
  <c r="D417" i="25" s="1"/>
  <c r="D418" i="25" s="1"/>
  <c r="D419" i="25" s="1"/>
  <c r="D420" i="25" s="1"/>
  <c r="D421" i="25" s="1"/>
  <c r="E340" i="25"/>
  <c r="E341" i="25" s="1"/>
  <c r="E342" i="25" s="1"/>
  <c r="E343" i="25" s="1"/>
  <c r="E344" i="25" s="1"/>
  <c r="E345" i="25" s="1"/>
  <c r="E346" i="25" s="1"/>
  <c r="E347" i="25" s="1"/>
  <c r="E348" i="25" s="1"/>
  <c r="E349" i="25" s="1"/>
  <c r="E350" i="25" s="1"/>
  <c r="E351" i="25" s="1"/>
  <c r="E352" i="25" s="1"/>
  <c r="E353" i="25" s="1"/>
  <c r="E354" i="25" s="1"/>
  <c r="E355" i="25" s="1"/>
  <c r="E356" i="25" s="1"/>
  <c r="E357" i="25" s="1"/>
  <c r="E358" i="25" s="1"/>
  <c r="E359" i="25" s="1"/>
  <c r="E360" i="25" s="1"/>
  <c r="E361" i="25" s="1"/>
  <c r="E362" i="25" s="1"/>
  <c r="E363" i="25" s="1"/>
  <c r="E364" i="25" s="1"/>
  <c r="E365" i="25" s="1"/>
  <c r="E366" i="25" s="1"/>
  <c r="E367" i="25" s="1"/>
  <c r="E368" i="25" s="1"/>
  <c r="E369" i="25" s="1"/>
  <c r="E370" i="25" s="1"/>
  <c r="E371" i="25" s="1"/>
  <c r="E372" i="25" s="1"/>
  <c r="E373" i="25" s="1"/>
  <c r="E374" i="25" s="1"/>
  <c r="E375" i="25" s="1"/>
  <c r="E376" i="25" s="1"/>
  <c r="E377" i="25" s="1"/>
  <c r="E378" i="25" s="1"/>
  <c r="E379" i="25" s="1"/>
  <c r="E380" i="25" s="1"/>
  <c r="E381" i="25" s="1"/>
  <c r="E382" i="25" s="1"/>
  <c r="E383" i="25" s="1"/>
  <c r="E384" i="25" s="1"/>
  <c r="E385" i="25" s="1"/>
  <c r="E386" i="25" s="1"/>
  <c r="E387" i="25" s="1"/>
  <c r="E388" i="25" s="1"/>
  <c r="E389" i="25" s="1"/>
  <c r="E390" i="25" s="1"/>
  <c r="E391" i="25" s="1"/>
  <c r="E392" i="25" s="1"/>
  <c r="E393" i="25" s="1"/>
  <c r="E394" i="25" s="1"/>
  <c r="E395" i="25" s="1"/>
  <c r="E396" i="25" s="1"/>
  <c r="E397" i="25" s="1"/>
  <c r="E398" i="25" s="1"/>
  <c r="E399" i="25" s="1"/>
  <c r="E400" i="25" s="1"/>
  <c r="E401" i="25" s="1"/>
  <c r="E402" i="25" s="1"/>
  <c r="E403" i="25" s="1"/>
  <c r="E404" i="25" s="1"/>
  <c r="E405" i="25" s="1"/>
  <c r="E406" i="25" s="1"/>
  <c r="E407" i="25" s="1"/>
  <c r="E408" i="25" s="1"/>
  <c r="E409" i="25" s="1"/>
  <c r="E410" i="25" s="1"/>
  <c r="E411" i="25" s="1"/>
  <c r="E412" i="25" s="1"/>
  <c r="E413" i="25" s="1"/>
  <c r="E414" i="25" s="1"/>
  <c r="E415" i="25" s="1"/>
  <c r="E416" i="25" s="1"/>
  <c r="E417" i="25" s="1"/>
  <c r="E418" i="25" s="1"/>
  <c r="E419" i="25" s="1"/>
  <c r="E420" i="25" s="1"/>
  <c r="E421" i="25" s="1"/>
  <c r="F340" i="25"/>
  <c r="F341" i="25" s="1"/>
  <c r="F342" i="25" s="1"/>
  <c r="F343" i="25" s="1"/>
  <c r="F344" i="25" s="1"/>
  <c r="F345" i="25" s="1"/>
  <c r="F346" i="25" s="1"/>
  <c r="F347" i="25" s="1"/>
  <c r="F348" i="25" s="1"/>
  <c r="F349" i="25" s="1"/>
  <c r="F350" i="25" s="1"/>
  <c r="F351" i="25" s="1"/>
  <c r="F352" i="25" s="1"/>
  <c r="F353" i="25" s="1"/>
  <c r="F354" i="25" s="1"/>
  <c r="F355" i="25" s="1"/>
  <c r="F356" i="25" s="1"/>
  <c r="F357" i="25" s="1"/>
  <c r="F358" i="25" s="1"/>
  <c r="F359" i="25" s="1"/>
  <c r="F360" i="25" s="1"/>
  <c r="F361" i="25" s="1"/>
  <c r="F362" i="25" s="1"/>
  <c r="F363" i="25" s="1"/>
  <c r="F364" i="25" s="1"/>
  <c r="F365" i="25" s="1"/>
  <c r="F366" i="25" s="1"/>
  <c r="F367" i="25" s="1"/>
  <c r="F368" i="25" s="1"/>
  <c r="F369" i="25" s="1"/>
  <c r="F370" i="25" s="1"/>
  <c r="F371" i="25" s="1"/>
  <c r="F372" i="25" s="1"/>
  <c r="F373" i="25" s="1"/>
  <c r="F374" i="25" s="1"/>
  <c r="F375" i="25" s="1"/>
  <c r="F376" i="25" s="1"/>
  <c r="F377" i="25" s="1"/>
  <c r="F378" i="25" s="1"/>
  <c r="F379" i="25" s="1"/>
  <c r="F380" i="25" s="1"/>
  <c r="F381" i="25" s="1"/>
  <c r="F382" i="25" s="1"/>
  <c r="F383" i="25" s="1"/>
  <c r="F384" i="25" s="1"/>
  <c r="F385" i="25" s="1"/>
  <c r="F386" i="25" s="1"/>
  <c r="F387" i="25" s="1"/>
  <c r="F388" i="25" s="1"/>
  <c r="F389" i="25" s="1"/>
  <c r="F390" i="25" s="1"/>
  <c r="F391" i="25" s="1"/>
  <c r="F392" i="25" s="1"/>
  <c r="F393" i="25" s="1"/>
  <c r="F394" i="25" s="1"/>
  <c r="F395" i="25" s="1"/>
  <c r="F396" i="25" s="1"/>
  <c r="F397" i="25" s="1"/>
  <c r="F398" i="25" s="1"/>
  <c r="F399" i="25" s="1"/>
  <c r="F400" i="25" s="1"/>
  <c r="F401" i="25" s="1"/>
  <c r="F402" i="25" s="1"/>
  <c r="F403" i="25" s="1"/>
  <c r="F404" i="25" s="1"/>
  <c r="F405" i="25" s="1"/>
  <c r="F406" i="25" s="1"/>
  <c r="F407" i="25" s="1"/>
  <c r="F408" i="25" s="1"/>
  <c r="F409" i="25" s="1"/>
  <c r="F410" i="25" s="1"/>
  <c r="F411" i="25" s="1"/>
  <c r="F412" i="25" s="1"/>
  <c r="F413" i="25" s="1"/>
  <c r="F414" i="25" s="1"/>
  <c r="F415" i="25" s="1"/>
  <c r="F416" i="25" s="1"/>
  <c r="F417" i="25" s="1"/>
  <c r="F418" i="25" s="1"/>
  <c r="F419" i="25" s="1"/>
  <c r="F420" i="25" s="1"/>
  <c r="F421" i="25" s="1"/>
  <c r="C319" i="25"/>
  <c r="C184" i="25"/>
  <c r="C185" i="25" s="1"/>
  <c r="C186" i="25" s="1"/>
  <c r="C187" i="25" s="1"/>
  <c r="C188" i="25" s="1"/>
  <c r="C189" i="25" s="1"/>
  <c r="C190" i="25" s="1"/>
  <c r="C191" i="25" s="1"/>
  <c r="C192" i="25" s="1"/>
  <c r="C193" i="25" s="1"/>
  <c r="C194" i="25" s="1"/>
  <c r="C195" i="25" s="1"/>
  <c r="C196" i="25" s="1"/>
  <c r="C197" i="25" s="1"/>
  <c r="C198" i="25" s="1"/>
  <c r="C199" i="25" s="1"/>
  <c r="C200" i="25" s="1"/>
  <c r="C201" i="25" s="1"/>
  <c r="C202" i="25" s="1"/>
  <c r="C203" i="25" s="1"/>
  <c r="C204" i="25" s="1"/>
  <c r="C205" i="25" s="1"/>
  <c r="C206" i="25" s="1"/>
  <c r="C207" i="25" s="1"/>
  <c r="C208" i="25" s="1"/>
  <c r="C209" i="25" s="1"/>
  <c r="C210" i="25" s="1"/>
  <c r="C211" i="25" s="1"/>
  <c r="C212" i="25" s="1"/>
  <c r="C213" i="25" s="1"/>
  <c r="C214" i="25" s="1"/>
  <c r="C215" i="25" s="1"/>
  <c r="C216" i="25" s="1"/>
  <c r="C217" i="25" s="1"/>
  <c r="C218" i="25" s="1"/>
  <c r="C219" i="25" s="1"/>
  <c r="C220" i="25" s="1"/>
  <c r="C221" i="25" s="1"/>
  <c r="C222" i="25" s="1"/>
  <c r="C223" i="25" s="1"/>
  <c r="C224" i="25" s="1"/>
  <c r="C225" i="25" s="1"/>
  <c r="C226" i="25" s="1"/>
  <c r="C227" i="25" s="1"/>
  <c r="C228" i="25" s="1"/>
  <c r="C229" i="25" s="1"/>
  <c r="C230" i="25" s="1"/>
  <c r="C231" i="25" s="1"/>
  <c r="C232" i="25" s="1"/>
  <c r="C233" i="25" s="1"/>
  <c r="C234" i="25" s="1"/>
  <c r="C235" i="25" s="1"/>
  <c r="C236" i="25" s="1"/>
  <c r="C237" i="25" s="1"/>
  <c r="C238" i="25" s="1"/>
  <c r="C239" i="25" s="1"/>
  <c r="C240" i="25" s="1"/>
  <c r="C241" i="25" s="1"/>
  <c r="C242" i="25" s="1"/>
  <c r="C243" i="25" s="1"/>
  <c r="C244" i="25" s="1"/>
  <c r="C245" i="25" s="1"/>
  <c r="C246" i="25" s="1"/>
  <c r="C247" i="25" s="1"/>
  <c r="C248" i="25" s="1"/>
  <c r="C249" i="25" s="1"/>
  <c r="C250" i="25" s="1"/>
  <c r="C251" i="25" s="1"/>
  <c r="C252" i="25" s="1"/>
  <c r="C253" i="25" s="1"/>
  <c r="C254" i="25" s="1"/>
  <c r="C255" i="25" s="1"/>
  <c r="C256" i="25" s="1"/>
  <c r="C257" i="25" s="1"/>
  <c r="C258" i="25" s="1"/>
  <c r="C259" i="25" s="1"/>
  <c r="C260" i="25" s="1"/>
  <c r="C261" i="25" s="1"/>
  <c r="C262" i="25" s="1"/>
  <c r="C263" i="25" s="1"/>
  <c r="C264" i="25" s="1"/>
  <c r="C265" i="25" s="1"/>
  <c r="C266" i="25" s="1"/>
  <c r="C267" i="25" s="1"/>
  <c r="C268" i="25" s="1"/>
  <c r="C269" i="25" s="1"/>
  <c r="C270" i="25" s="1"/>
  <c r="C271" i="25" s="1"/>
  <c r="C272" i="25" s="1"/>
  <c r="C273" i="25" s="1"/>
  <c r="C274" i="25" s="1"/>
  <c r="C275" i="25" s="1"/>
  <c r="C276" i="25" s="1"/>
  <c r="C277" i="25" s="1"/>
  <c r="C278" i="25" s="1"/>
  <c r="C279" i="25" s="1"/>
  <c r="C280" i="25" s="1"/>
  <c r="C281" i="25" s="1"/>
  <c r="C282" i="25" s="1"/>
  <c r="C283" i="25" s="1"/>
  <c r="C284" i="25" s="1"/>
  <c r="C285" i="25" s="1"/>
  <c r="C286" i="25" s="1"/>
  <c r="C287" i="25" s="1"/>
  <c r="C288" i="25" s="1"/>
  <c r="C289" i="25" s="1"/>
  <c r="C290" i="25" s="1"/>
  <c r="C291" i="25" s="1"/>
  <c r="C292" i="25" s="1"/>
  <c r="C293" i="25" s="1"/>
  <c r="C294" i="25" s="1"/>
  <c r="C295" i="25" s="1"/>
  <c r="C296" i="25" s="1"/>
  <c r="C297" i="25" s="1"/>
  <c r="C298" i="25" s="1"/>
  <c r="C299" i="25" s="1"/>
  <c r="C300" i="25" s="1"/>
  <c r="C301" i="25" s="1"/>
  <c r="C302" i="25" s="1"/>
  <c r="C303" i="25" s="1"/>
  <c r="C304" i="25" s="1"/>
  <c r="C305" i="25" s="1"/>
  <c r="C306" i="25" s="1"/>
  <c r="C307" i="25" s="1"/>
  <c r="C308" i="25" s="1"/>
  <c r="C309" i="25" s="1"/>
  <c r="C310" i="25" s="1"/>
  <c r="C311" i="25" s="1"/>
  <c r="C312" i="25" s="1"/>
  <c r="C313" i="25" s="1"/>
  <c r="C314" i="25" s="1"/>
  <c r="C315" i="25" s="1"/>
  <c r="C316" i="25" s="1"/>
  <c r="C317" i="25" s="1"/>
  <c r="C318" i="25" s="1"/>
  <c r="D319" i="25"/>
  <c r="D184" i="25"/>
  <c r="D185" i="25" s="1"/>
  <c r="D186" i="25" s="1"/>
  <c r="D187" i="25" s="1"/>
  <c r="D188" i="25" s="1"/>
  <c r="D189" i="25" s="1"/>
  <c r="D190" i="25" s="1"/>
  <c r="D191" i="25" s="1"/>
  <c r="D192" i="25" s="1"/>
  <c r="D193" i="25" s="1"/>
  <c r="D194" i="25" s="1"/>
  <c r="D195" i="25" s="1"/>
  <c r="D196" i="25" s="1"/>
  <c r="D197" i="25" s="1"/>
  <c r="D198" i="25" s="1"/>
  <c r="D199" i="25" s="1"/>
  <c r="D200" i="25" s="1"/>
  <c r="D201" i="25" s="1"/>
  <c r="D202" i="25" s="1"/>
  <c r="D203" i="25" s="1"/>
  <c r="D204" i="25" s="1"/>
  <c r="D205" i="25" s="1"/>
  <c r="D206" i="25" s="1"/>
  <c r="D207" i="25" s="1"/>
  <c r="D208" i="25" s="1"/>
  <c r="D209" i="25" s="1"/>
  <c r="D210" i="25" s="1"/>
  <c r="D211" i="25" s="1"/>
  <c r="D212" i="25" s="1"/>
  <c r="D213" i="25" s="1"/>
  <c r="D214" i="25" s="1"/>
  <c r="D215" i="25" s="1"/>
  <c r="D216" i="25" s="1"/>
  <c r="D217" i="25" s="1"/>
  <c r="D218" i="25" s="1"/>
  <c r="D219" i="25" s="1"/>
  <c r="D220" i="25" s="1"/>
  <c r="D221" i="25" s="1"/>
  <c r="D222" i="25" s="1"/>
  <c r="D223" i="25" s="1"/>
  <c r="D224" i="25" s="1"/>
  <c r="D225" i="25" s="1"/>
  <c r="D226" i="25" s="1"/>
  <c r="D227" i="25" s="1"/>
  <c r="D228" i="25" s="1"/>
  <c r="D229" i="25" s="1"/>
  <c r="D230" i="25" s="1"/>
  <c r="D231" i="25" s="1"/>
  <c r="D232" i="25" s="1"/>
  <c r="D233" i="25" s="1"/>
  <c r="D234" i="25" s="1"/>
  <c r="D235" i="25" s="1"/>
  <c r="D236" i="25" s="1"/>
  <c r="D237" i="25" s="1"/>
  <c r="D238" i="25" s="1"/>
  <c r="D239" i="25" s="1"/>
  <c r="D240" i="25" s="1"/>
  <c r="D241" i="25" s="1"/>
  <c r="D242" i="25" s="1"/>
  <c r="D243" i="25" s="1"/>
  <c r="D244" i="25" s="1"/>
  <c r="D245" i="25" s="1"/>
  <c r="D246" i="25" s="1"/>
  <c r="D247" i="25" s="1"/>
  <c r="D248" i="25" s="1"/>
  <c r="D249" i="25" s="1"/>
  <c r="D250" i="25" s="1"/>
  <c r="D251" i="25" s="1"/>
  <c r="D252" i="25" s="1"/>
  <c r="D253" i="25" s="1"/>
  <c r="D254" i="25" s="1"/>
  <c r="D255" i="25" s="1"/>
  <c r="D256" i="25" s="1"/>
  <c r="D257" i="25" s="1"/>
  <c r="D258" i="25" s="1"/>
  <c r="D259" i="25" s="1"/>
  <c r="D260" i="25" s="1"/>
  <c r="D261" i="25" s="1"/>
  <c r="D262" i="25" s="1"/>
  <c r="D263" i="25" s="1"/>
  <c r="D264" i="25" s="1"/>
  <c r="D265" i="25" s="1"/>
  <c r="D266" i="25" s="1"/>
  <c r="D267" i="25" s="1"/>
  <c r="D268" i="25" s="1"/>
  <c r="D269" i="25" s="1"/>
  <c r="D270" i="25" s="1"/>
  <c r="D271" i="25" s="1"/>
  <c r="D272" i="25" s="1"/>
  <c r="D273" i="25" s="1"/>
  <c r="D274" i="25" s="1"/>
  <c r="D275" i="25" s="1"/>
  <c r="D276" i="25" s="1"/>
  <c r="D277" i="25" s="1"/>
  <c r="D278" i="25" s="1"/>
  <c r="D279" i="25" s="1"/>
  <c r="D280" i="25" s="1"/>
  <c r="D281" i="25" s="1"/>
  <c r="D282" i="25" s="1"/>
  <c r="D283" i="25" s="1"/>
  <c r="D284" i="25" s="1"/>
  <c r="D285" i="25" s="1"/>
  <c r="D286" i="25" s="1"/>
  <c r="D287" i="25" s="1"/>
  <c r="D288" i="25" s="1"/>
  <c r="D289" i="25" s="1"/>
  <c r="D290" i="25" s="1"/>
  <c r="D291" i="25" s="1"/>
  <c r="D292" i="25" s="1"/>
  <c r="D293" i="25" s="1"/>
  <c r="D294" i="25" s="1"/>
  <c r="D295" i="25" s="1"/>
  <c r="D296" i="25" s="1"/>
  <c r="D297" i="25" s="1"/>
  <c r="D298" i="25" s="1"/>
  <c r="D299" i="25" s="1"/>
  <c r="D300" i="25" s="1"/>
  <c r="D301" i="25" s="1"/>
  <c r="D302" i="25" s="1"/>
  <c r="D303" i="25" s="1"/>
  <c r="D304" i="25" s="1"/>
  <c r="D305" i="25" s="1"/>
  <c r="D306" i="25" s="1"/>
  <c r="D307" i="25" s="1"/>
  <c r="D308" i="25" s="1"/>
  <c r="D309" i="25" s="1"/>
  <c r="D310" i="25" s="1"/>
  <c r="D311" i="25" s="1"/>
  <c r="D312" i="25" s="1"/>
  <c r="D313" i="25" s="1"/>
  <c r="D314" i="25" s="1"/>
  <c r="D315" i="25" s="1"/>
  <c r="D316" i="25" s="1"/>
  <c r="D317" i="25" s="1"/>
  <c r="D318" i="25" s="1"/>
  <c r="E319" i="25"/>
  <c r="E184" i="25"/>
  <c r="E185" i="25" s="1"/>
  <c r="E186" i="25" s="1"/>
  <c r="E187" i="25" s="1"/>
  <c r="E188" i="25" s="1"/>
  <c r="E189" i="25" s="1"/>
  <c r="E190" i="25" s="1"/>
  <c r="E191" i="25" s="1"/>
  <c r="E192" i="25" s="1"/>
  <c r="E193" i="25" s="1"/>
  <c r="E194" i="25" s="1"/>
  <c r="E195" i="25" s="1"/>
  <c r="E196" i="25" s="1"/>
  <c r="E197" i="25" s="1"/>
  <c r="E198" i="25" s="1"/>
  <c r="E199" i="25" s="1"/>
  <c r="E200" i="25" s="1"/>
  <c r="E201" i="25" s="1"/>
  <c r="E202" i="25" s="1"/>
  <c r="E203" i="25" s="1"/>
  <c r="E204" i="25" s="1"/>
  <c r="E205" i="25" s="1"/>
  <c r="E206" i="25" s="1"/>
  <c r="E207" i="25" s="1"/>
  <c r="E208" i="25" s="1"/>
  <c r="E209" i="25" s="1"/>
  <c r="E210" i="25" s="1"/>
  <c r="E211" i="25" s="1"/>
  <c r="E212" i="25" s="1"/>
  <c r="E213" i="25" s="1"/>
  <c r="E214" i="25" s="1"/>
  <c r="E215" i="25" s="1"/>
  <c r="E216" i="25" s="1"/>
  <c r="E217" i="25" s="1"/>
  <c r="E218" i="25" s="1"/>
  <c r="E219" i="25" s="1"/>
  <c r="E220" i="25" s="1"/>
  <c r="E221" i="25" s="1"/>
  <c r="E222" i="25" s="1"/>
  <c r="E223" i="25" s="1"/>
  <c r="E224" i="25" s="1"/>
  <c r="E225" i="25" s="1"/>
  <c r="E226" i="25" s="1"/>
  <c r="E227" i="25" s="1"/>
  <c r="E228" i="25" s="1"/>
  <c r="E229" i="25" s="1"/>
  <c r="E230" i="25" s="1"/>
  <c r="E231" i="25" s="1"/>
  <c r="E232" i="25" s="1"/>
  <c r="E233" i="25" s="1"/>
  <c r="E234" i="25" s="1"/>
  <c r="E235" i="25" s="1"/>
  <c r="E236" i="25" s="1"/>
  <c r="E237" i="25" s="1"/>
  <c r="E238" i="25" s="1"/>
  <c r="E239" i="25" s="1"/>
  <c r="E240" i="25" s="1"/>
  <c r="E241" i="25" s="1"/>
  <c r="E242" i="25" s="1"/>
  <c r="E243" i="25" s="1"/>
  <c r="E244" i="25" s="1"/>
  <c r="E245" i="25" s="1"/>
  <c r="E246" i="25" s="1"/>
  <c r="E247" i="25" s="1"/>
  <c r="E248" i="25" s="1"/>
  <c r="E249" i="25" s="1"/>
  <c r="E250" i="25" s="1"/>
  <c r="E251" i="25" s="1"/>
  <c r="E252" i="25" s="1"/>
  <c r="E253" i="25" s="1"/>
  <c r="E254" i="25" s="1"/>
  <c r="E255" i="25" s="1"/>
  <c r="E256" i="25" s="1"/>
  <c r="E257" i="25" s="1"/>
  <c r="E258" i="25" s="1"/>
  <c r="E259" i="25" s="1"/>
  <c r="E260" i="25" s="1"/>
  <c r="E261" i="25" s="1"/>
  <c r="E262" i="25" s="1"/>
  <c r="E263" i="25" s="1"/>
  <c r="E264" i="25" s="1"/>
  <c r="E265" i="25" s="1"/>
  <c r="E266" i="25" s="1"/>
  <c r="E267" i="25" s="1"/>
  <c r="E268" i="25" s="1"/>
  <c r="E269" i="25" s="1"/>
  <c r="E270" i="25" s="1"/>
  <c r="E271" i="25" s="1"/>
  <c r="E272" i="25" s="1"/>
  <c r="E273" i="25" s="1"/>
  <c r="E274" i="25" s="1"/>
  <c r="E275" i="25" s="1"/>
  <c r="E276" i="25" s="1"/>
  <c r="E277" i="25" s="1"/>
  <c r="E278" i="25" s="1"/>
  <c r="E279" i="25" s="1"/>
  <c r="E280" i="25" s="1"/>
  <c r="E281" i="25" s="1"/>
  <c r="E282" i="25" s="1"/>
  <c r="E283" i="25" s="1"/>
  <c r="E284" i="25" s="1"/>
  <c r="E285" i="25" s="1"/>
  <c r="E286" i="25" s="1"/>
  <c r="E287" i="25" s="1"/>
  <c r="E288" i="25" s="1"/>
  <c r="E289" i="25" s="1"/>
  <c r="E290" i="25" s="1"/>
  <c r="E291" i="25" s="1"/>
  <c r="E292" i="25" s="1"/>
  <c r="E293" i="25" s="1"/>
  <c r="E294" i="25" s="1"/>
  <c r="E295" i="25" s="1"/>
  <c r="E296" i="25" s="1"/>
  <c r="E297" i="25" s="1"/>
  <c r="E298" i="25" s="1"/>
  <c r="E299" i="25" s="1"/>
  <c r="E300" i="25" s="1"/>
  <c r="E301" i="25" s="1"/>
  <c r="E302" i="25" s="1"/>
  <c r="E303" i="25" s="1"/>
  <c r="E304" i="25" s="1"/>
  <c r="E305" i="25" s="1"/>
  <c r="E306" i="25" s="1"/>
  <c r="E307" i="25" s="1"/>
  <c r="E308" i="25" s="1"/>
  <c r="E309" i="25" s="1"/>
  <c r="E310" i="25" s="1"/>
  <c r="E311" i="25" s="1"/>
  <c r="E312" i="25" s="1"/>
  <c r="E313" i="25" s="1"/>
  <c r="E314" i="25" s="1"/>
  <c r="E315" i="25" s="1"/>
  <c r="E316" i="25" s="1"/>
  <c r="E317" i="25" s="1"/>
  <c r="E318" i="25" s="1"/>
  <c r="F319" i="25"/>
  <c r="F184" i="25"/>
  <c r="F185" i="25" s="1"/>
  <c r="F186" i="25" s="1"/>
  <c r="F187" i="25" s="1"/>
  <c r="F188" i="25" s="1"/>
  <c r="F189" i="25" s="1"/>
  <c r="F190" i="25" s="1"/>
  <c r="F191" i="25" s="1"/>
  <c r="F192" i="25" s="1"/>
  <c r="F193" i="25" s="1"/>
  <c r="F194" i="25" s="1"/>
  <c r="F195" i="25" s="1"/>
  <c r="F196" i="25" s="1"/>
  <c r="F197" i="25" s="1"/>
  <c r="F198" i="25" s="1"/>
  <c r="F199" i="25" s="1"/>
  <c r="F200" i="25" s="1"/>
  <c r="F201" i="25" s="1"/>
  <c r="F202" i="25" s="1"/>
  <c r="F203" i="25" s="1"/>
  <c r="F204" i="25" s="1"/>
  <c r="F205" i="25" s="1"/>
  <c r="F206" i="25" s="1"/>
  <c r="F207" i="25" s="1"/>
  <c r="F208" i="25" s="1"/>
  <c r="F209" i="25" s="1"/>
  <c r="F210" i="25" s="1"/>
  <c r="F211" i="25" s="1"/>
  <c r="F212" i="25" s="1"/>
  <c r="F213" i="25" s="1"/>
  <c r="F214" i="25" s="1"/>
  <c r="F215" i="25" s="1"/>
  <c r="F216" i="25" s="1"/>
  <c r="F217" i="25" s="1"/>
  <c r="F218" i="25" s="1"/>
  <c r="F219" i="25" s="1"/>
  <c r="F220" i="25" s="1"/>
  <c r="F221" i="25" s="1"/>
  <c r="F222" i="25" s="1"/>
  <c r="F223" i="25" s="1"/>
  <c r="F224" i="25" s="1"/>
  <c r="F225" i="25" s="1"/>
  <c r="F226" i="25" s="1"/>
  <c r="F227" i="25" s="1"/>
  <c r="F228" i="25" s="1"/>
  <c r="F229" i="25" s="1"/>
  <c r="F230" i="25" s="1"/>
  <c r="F231" i="25" s="1"/>
  <c r="F232" i="25" s="1"/>
  <c r="F233" i="25" s="1"/>
  <c r="F234" i="25" s="1"/>
  <c r="F235" i="25" s="1"/>
  <c r="F236" i="25" s="1"/>
  <c r="F237" i="25" s="1"/>
  <c r="F238" i="25" s="1"/>
  <c r="F239" i="25" s="1"/>
  <c r="F240" i="25" s="1"/>
  <c r="F241" i="25" s="1"/>
  <c r="F242" i="25" s="1"/>
  <c r="F243" i="25" s="1"/>
  <c r="F244" i="25" s="1"/>
  <c r="F245" i="25" s="1"/>
  <c r="F246" i="25" s="1"/>
  <c r="F247" i="25" s="1"/>
  <c r="F248" i="25" s="1"/>
  <c r="F249" i="25" s="1"/>
  <c r="F250" i="25" s="1"/>
  <c r="F251" i="25" s="1"/>
  <c r="F252" i="25" s="1"/>
  <c r="F253" i="25" s="1"/>
  <c r="F254" i="25" s="1"/>
  <c r="F255" i="25" s="1"/>
  <c r="F256" i="25" s="1"/>
  <c r="F257" i="25" s="1"/>
  <c r="F258" i="25" s="1"/>
  <c r="F259" i="25" s="1"/>
  <c r="F260" i="25" s="1"/>
  <c r="F261" i="25" s="1"/>
  <c r="F262" i="25" s="1"/>
  <c r="F263" i="25" s="1"/>
  <c r="F264" i="25" s="1"/>
  <c r="F265" i="25" s="1"/>
  <c r="F266" i="25" s="1"/>
  <c r="F267" i="25" s="1"/>
  <c r="F268" i="25" s="1"/>
  <c r="F269" i="25" s="1"/>
  <c r="F270" i="25" s="1"/>
  <c r="F271" i="25" s="1"/>
  <c r="F272" i="25" s="1"/>
  <c r="F273" i="25" s="1"/>
  <c r="F274" i="25" s="1"/>
  <c r="F275" i="25" s="1"/>
  <c r="F276" i="25" s="1"/>
  <c r="F277" i="25" s="1"/>
  <c r="F278" i="25" s="1"/>
  <c r="F279" i="25" s="1"/>
  <c r="F280" i="25" s="1"/>
  <c r="F281" i="25" s="1"/>
  <c r="F282" i="25" s="1"/>
  <c r="F283" i="25" s="1"/>
  <c r="F284" i="25" s="1"/>
  <c r="F285" i="25" s="1"/>
  <c r="F286" i="25" s="1"/>
  <c r="F287" i="25" s="1"/>
  <c r="F288" i="25" s="1"/>
  <c r="F289" i="25" s="1"/>
  <c r="F290" i="25" s="1"/>
  <c r="F291" i="25" s="1"/>
  <c r="F292" i="25" s="1"/>
  <c r="F293" i="25" s="1"/>
  <c r="F294" i="25" s="1"/>
  <c r="F295" i="25" s="1"/>
  <c r="F296" i="25" s="1"/>
  <c r="F297" i="25" s="1"/>
  <c r="F298" i="25" s="1"/>
  <c r="F299" i="25" s="1"/>
  <c r="F300" i="25" s="1"/>
  <c r="F301" i="25" s="1"/>
  <c r="F302" i="25" s="1"/>
  <c r="F303" i="25" s="1"/>
  <c r="F304" i="25" s="1"/>
  <c r="F305" i="25" s="1"/>
  <c r="F306" i="25" s="1"/>
  <c r="F307" i="25" s="1"/>
  <c r="F308" i="25" s="1"/>
  <c r="F309" i="25" s="1"/>
  <c r="F310" i="25" s="1"/>
  <c r="F311" i="25" s="1"/>
  <c r="F312" i="25" s="1"/>
  <c r="F313" i="25" s="1"/>
  <c r="F314" i="25" s="1"/>
  <c r="F315" i="25" s="1"/>
  <c r="F316" i="25" s="1"/>
  <c r="F317" i="25" s="1"/>
  <c r="F318" i="25" s="1"/>
  <c r="B23" i="25"/>
  <c r="B24" i="25" s="1"/>
  <c r="B25" i="25" s="1"/>
  <c r="B26" i="25" s="1"/>
  <c r="B27" i="25" s="1"/>
  <c r="B28" i="25" s="1"/>
  <c r="B29" i="25" s="1"/>
  <c r="B30" i="25" s="1"/>
  <c r="B31" i="25" s="1"/>
  <c r="B32" i="25" s="1"/>
  <c r="B33" i="25" s="1"/>
  <c r="B34" i="25" s="1"/>
  <c r="B35" i="25" s="1"/>
  <c r="B36" i="25" s="1"/>
  <c r="B37" i="25" s="1"/>
  <c r="B38" i="25" s="1"/>
  <c r="B39" i="25" s="1"/>
  <c r="B40" i="25" s="1"/>
  <c r="B41" i="25" s="1"/>
  <c r="B42" i="25" s="1"/>
  <c r="B43" i="25" s="1"/>
  <c r="B44" i="25" s="1"/>
  <c r="P170" i="25"/>
  <c r="O170" i="25"/>
  <c r="V170" i="25"/>
  <c r="N170" i="25"/>
  <c r="U170" i="25"/>
  <c r="T170" i="25"/>
  <c r="AH14" i="25"/>
  <c r="AJ14" i="25"/>
  <c r="AL14" i="25"/>
  <c r="AM14" i="25"/>
  <c r="AK14" i="25"/>
  <c r="AI14" i="25"/>
  <c r="B640" i="25"/>
  <c r="B641" i="25" s="1"/>
  <c r="F16" i="25"/>
  <c r="B485" i="25"/>
  <c r="X14" i="25"/>
  <c r="AA14" i="25" s="1"/>
  <c r="W14" i="25"/>
  <c r="Z14" i="25" s="1"/>
  <c r="M326" i="25"/>
  <c r="Y170" i="25"/>
  <c r="AC170" i="25" s="1"/>
  <c r="B331" i="25"/>
  <c r="V948" i="25"/>
  <c r="T948" i="25"/>
  <c r="S948" i="25"/>
  <c r="R948" i="25"/>
  <c r="Q948" i="25"/>
  <c r="AB948" i="25"/>
  <c r="U948" i="25"/>
  <c r="E17" i="25" l="1"/>
  <c r="C17" i="25"/>
  <c r="Q171" i="25"/>
  <c r="S171" i="25"/>
  <c r="R171" i="25"/>
  <c r="Q172" i="25"/>
  <c r="S172" i="25"/>
  <c r="R172" i="25"/>
  <c r="Q326" i="25"/>
  <c r="R326" i="25"/>
  <c r="S326" i="25"/>
  <c r="B173" i="25"/>
  <c r="M173" i="25" s="1"/>
  <c r="P173" i="25" s="1"/>
  <c r="T171" i="25"/>
  <c r="U171" i="25"/>
  <c r="Y171" i="25"/>
  <c r="AC171" i="25" s="1"/>
  <c r="V171" i="25"/>
  <c r="P171" i="25"/>
  <c r="O171" i="25"/>
  <c r="N171" i="25"/>
  <c r="V172" i="25"/>
  <c r="Y172" i="25"/>
  <c r="AC172" i="25" s="1"/>
  <c r="P172" i="25"/>
  <c r="T172" i="25"/>
  <c r="X172" i="25" s="1"/>
  <c r="AA172" i="25" s="1"/>
  <c r="O172" i="25"/>
  <c r="U172" i="25"/>
  <c r="N172" i="25"/>
  <c r="E18" i="25"/>
  <c r="N17" i="25"/>
  <c r="C18" i="25"/>
  <c r="Y17" i="25"/>
  <c r="AC17" i="25" s="1"/>
  <c r="AD17" i="25" s="1"/>
  <c r="AE17" i="25" s="1"/>
  <c r="AI15" i="25"/>
  <c r="AK15" i="25"/>
  <c r="AN15" i="25" s="1"/>
  <c r="AQ15" i="25" s="1"/>
  <c r="AL15" i="25"/>
  <c r="AJ15" i="25"/>
  <c r="AP15" i="25" s="1"/>
  <c r="AS15" i="25" s="1"/>
  <c r="D17" i="25"/>
  <c r="P16" i="25"/>
  <c r="F17" i="25"/>
  <c r="O16" i="25"/>
  <c r="AL16" i="25"/>
  <c r="AJ16" i="25"/>
  <c r="D576" i="25"/>
  <c r="D577" i="25" s="1"/>
  <c r="D578" i="25" s="1"/>
  <c r="D579" i="25" s="1"/>
  <c r="D580" i="25" s="1"/>
  <c r="D581" i="25" s="1"/>
  <c r="D582" i="25" s="1"/>
  <c r="D583" i="25" s="1"/>
  <c r="D584" i="25" s="1"/>
  <c r="D585" i="25" s="1"/>
  <c r="D586" i="25" s="1"/>
  <c r="D587" i="25" s="1"/>
  <c r="D588" i="25" s="1"/>
  <c r="D589" i="25" s="1"/>
  <c r="D590" i="25" s="1"/>
  <c r="D591" i="25" s="1"/>
  <c r="D592" i="25" s="1"/>
  <c r="D593" i="25" s="1"/>
  <c r="D594" i="25" s="1"/>
  <c r="D595" i="25" s="1"/>
  <c r="D596" i="25" s="1"/>
  <c r="D597" i="25" s="1"/>
  <c r="D598" i="25" s="1"/>
  <c r="D599" i="25" s="1"/>
  <c r="D600" i="25" s="1"/>
  <c r="D601" i="25" s="1"/>
  <c r="D602" i="25" s="1"/>
  <c r="D603" i="25" s="1"/>
  <c r="D604" i="25" s="1"/>
  <c r="D605" i="25" s="1"/>
  <c r="D606" i="25" s="1"/>
  <c r="D607" i="25" s="1"/>
  <c r="D608" i="25" s="1"/>
  <c r="D609" i="25" s="1"/>
  <c r="D610" i="25" s="1"/>
  <c r="D611" i="25" s="1"/>
  <c r="D612" i="25" s="1"/>
  <c r="D613" i="25" s="1"/>
  <c r="D614" i="25" s="1"/>
  <c r="D615" i="25" s="1"/>
  <c r="D616" i="25" s="1"/>
  <c r="D617" i="25" s="1"/>
  <c r="D618" i="25" s="1"/>
  <c r="D619" i="25" s="1"/>
  <c r="D620" i="25" s="1"/>
  <c r="D621" i="25" s="1"/>
  <c r="D622" i="25" s="1"/>
  <c r="D623" i="25" s="1"/>
  <c r="D624" i="25" s="1"/>
  <c r="D625" i="25" s="1"/>
  <c r="D626" i="25" s="1"/>
  <c r="D627" i="25" s="1"/>
  <c r="D628" i="25" s="1"/>
  <c r="D629" i="25" s="1"/>
  <c r="D630" i="25" s="1"/>
  <c r="D562" i="25"/>
  <c r="D563" i="25" s="1"/>
  <c r="D564" i="25" s="1"/>
  <c r="D565" i="25" s="1"/>
  <c r="D566" i="25" s="1"/>
  <c r="D567" i="25" s="1"/>
  <c r="D568" i="25" s="1"/>
  <c r="D569" i="25" s="1"/>
  <c r="D570" i="25" s="1"/>
  <c r="D571" i="25" s="1"/>
  <c r="D572" i="25" s="1"/>
  <c r="D573" i="25" s="1"/>
  <c r="D574" i="25" s="1"/>
  <c r="D575" i="25" s="1"/>
  <c r="C576" i="25"/>
  <c r="C577" i="25" s="1"/>
  <c r="C578" i="25" s="1"/>
  <c r="C579" i="25" s="1"/>
  <c r="C580" i="25" s="1"/>
  <c r="C581" i="25" s="1"/>
  <c r="C582" i="25" s="1"/>
  <c r="C583" i="25" s="1"/>
  <c r="C584" i="25" s="1"/>
  <c r="C585" i="25" s="1"/>
  <c r="C586" i="25" s="1"/>
  <c r="C587" i="25" s="1"/>
  <c r="C588" i="25" s="1"/>
  <c r="C589" i="25" s="1"/>
  <c r="C590" i="25" s="1"/>
  <c r="C591" i="25" s="1"/>
  <c r="C592" i="25" s="1"/>
  <c r="C593" i="25" s="1"/>
  <c r="C594" i="25" s="1"/>
  <c r="C595" i="25" s="1"/>
  <c r="C596" i="25" s="1"/>
  <c r="C597" i="25" s="1"/>
  <c r="C598" i="25" s="1"/>
  <c r="C599" i="25" s="1"/>
  <c r="C600" i="25" s="1"/>
  <c r="C601" i="25" s="1"/>
  <c r="C602" i="25" s="1"/>
  <c r="C603" i="25" s="1"/>
  <c r="C604" i="25" s="1"/>
  <c r="C605" i="25" s="1"/>
  <c r="C606" i="25" s="1"/>
  <c r="C607" i="25" s="1"/>
  <c r="C608" i="25" s="1"/>
  <c r="C609" i="25" s="1"/>
  <c r="C610" i="25" s="1"/>
  <c r="C611" i="25" s="1"/>
  <c r="C612" i="25" s="1"/>
  <c r="C613" i="25" s="1"/>
  <c r="C614" i="25" s="1"/>
  <c r="C615" i="25" s="1"/>
  <c r="C616" i="25" s="1"/>
  <c r="C617" i="25" s="1"/>
  <c r="C618" i="25" s="1"/>
  <c r="C619" i="25" s="1"/>
  <c r="C620" i="25" s="1"/>
  <c r="C621" i="25" s="1"/>
  <c r="C622" i="25" s="1"/>
  <c r="C623" i="25" s="1"/>
  <c r="C624" i="25" s="1"/>
  <c r="C625" i="25" s="1"/>
  <c r="C626" i="25" s="1"/>
  <c r="C627" i="25" s="1"/>
  <c r="C628" i="25" s="1"/>
  <c r="C629" i="25" s="1"/>
  <c r="C630" i="25" s="1"/>
  <c r="C562" i="25"/>
  <c r="C563" i="25" s="1"/>
  <c r="C564" i="25" s="1"/>
  <c r="C565" i="25" s="1"/>
  <c r="C566" i="25" s="1"/>
  <c r="C567" i="25" s="1"/>
  <c r="C568" i="25" s="1"/>
  <c r="C569" i="25" s="1"/>
  <c r="C570" i="25" s="1"/>
  <c r="C571" i="25" s="1"/>
  <c r="C572" i="25" s="1"/>
  <c r="C573" i="25" s="1"/>
  <c r="C574" i="25" s="1"/>
  <c r="C575" i="25" s="1"/>
  <c r="F576" i="25"/>
  <c r="F577" i="25" s="1"/>
  <c r="F578" i="25" s="1"/>
  <c r="F579" i="25" s="1"/>
  <c r="F580" i="25" s="1"/>
  <c r="F581" i="25" s="1"/>
  <c r="F582" i="25" s="1"/>
  <c r="F583" i="25" s="1"/>
  <c r="F584" i="25" s="1"/>
  <c r="F585" i="25" s="1"/>
  <c r="F586" i="25" s="1"/>
  <c r="F587" i="25" s="1"/>
  <c r="F588" i="25" s="1"/>
  <c r="F589" i="25" s="1"/>
  <c r="F590" i="25" s="1"/>
  <c r="F591" i="25" s="1"/>
  <c r="F592" i="25" s="1"/>
  <c r="F593" i="25" s="1"/>
  <c r="F594" i="25" s="1"/>
  <c r="F595" i="25" s="1"/>
  <c r="F596" i="25" s="1"/>
  <c r="F597" i="25" s="1"/>
  <c r="F598" i="25" s="1"/>
  <c r="F599" i="25" s="1"/>
  <c r="F600" i="25" s="1"/>
  <c r="F601" i="25" s="1"/>
  <c r="F602" i="25" s="1"/>
  <c r="F603" i="25" s="1"/>
  <c r="F604" i="25" s="1"/>
  <c r="F605" i="25" s="1"/>
  <c r="F606" i="25" s="1"/>
  <c r="F607" i="25" s="1"/>
  <c r="F608" i="25" s="1"/>
  <c r="F609" i="25" s="1"/>
  <c r="F610" i="25" s="1"/>
  <c r="F611" i="25" s="1"/>
  <c r="F612" i="25" s="1"/>
  <c r="F613" i="25" s="1"/>
  <c r="F614" i="25" s="1"/>
  <c r="F615" i="25" s="1"/>
  <c r="F616" i="25" s="1"/>
  <c r="F617" i="25" s="1"/>
  <c r="F618" i="25" s="1"/>
  <c r="F619" i="25" s="1"/>
  <c r="F620" i="25" s="1"/>
  <c r="F621" i="25" s="1"/>
  <c r="F622" i="25" s="1"/>
  <c r="F623" i="25" s="1"/>
  <c r="F624" i="25" s="1"/>
  <c r="F625" i="25" s="1"/>
  <c r="F626" i="25" s="1"/>
  <c r="F627" i="25" s="1"/>
  <c r="F628" i="25" s="1"/>
  <c r="F629" i="25" s="1"/>
  <c r="F630" i="25" s="1"/>
  <c r="F562" i="25"/>
  <c r="F563" i="25" s="1"/>
  <c r="F564" i="25" s="1"/>
  <c r="F565" i="25" s="1"/>
  <c r="F566" i="25" s="1"/>
  <c r="F567" i="25" s="1"/>
  <c r="F568" i="25" s="1"/>
  <c r="F569" i="25" s="1"/>
  <c r="F570" i="25" s="1"/>
  <c r="F571" i="25" s="1"/>
  <c r="F572" i="25" s="1"/>
  <c r="F573" i="25" s="1"/>
  <c r="F574" i="25" s="1"/>
  <c r="F575" i="25" s="1"/>
  <c r="E576" i="25"/>
  <c r="E577" i="25" s="1"/>
  <c r="E578" i="25" s="1"/>
  <c r="E579" i="25" s="1"/>
  <c r="E580" i="25" s="1"/>
  <c r="E581" i="25" s="1"/>
  <c r="E582" i="25" s="1"/>
  <c r="E583" i="25" s="1"/>
  <c r="E584" i="25" s="1"/>
  <c r="E585" i="25" s="1"/>
  <c r="E586" i="25" s="1"/>
  <c r="E587" i="25" s="1"/>
  <c r="E588" i="25" s="1"/>
  <c r="E589" i="25" s="1"/>
  <c r="E590" i="25" s="1"/>
  <c r="E591" i="25" s="1"/>
  <c r="E592" i="25" s="1"/>
  <c r="E593" i="25" s="1"/>
  <c r="E594" i="25" s="1"/>
  <c r="E595" i="25" s="1"/>
  <c r="E596" i="25" s="1"/>
  <c r="E597" i="25" s="1"/>
  <c r="E598" i="25" s="1"/>
  <c r="E599" i="25" s="1"/>
  <c r="E600" i="25" s="1"/>
  <c r="E601" i="25" s="1"/>
  <c r="E602" i="25" s="1"/>
  <c r="E603" i="25" s="1"/>
  <c r="E604" i="25" s="1"/>
  <c r="E605" i="25" s="1"/>
  <c r="E606" i="25" s="1"/>
  <c r="E607" i="25" s="1"/>
  <c r="E608" i="25" s="1"/>
  <c r="E609" i="25" s="1"/>
  <c r="E610" i="25" s="1"/>
  <c r="E611" i="25" s="1"/>
  <c r="E612" i="25" s="1"/>
  <c r="E613" i="25" s="1"/>
  <c r="E614" i="25" s="1"/>
  <c r="E615" i="25" s="1"/>
  <c r="E616" i="25" s="1"/>
  <c r="E617" i="25" s="1"/>
  <c r="E618" i="25" s="1"/>
  <c r="E619" i="25" s="1"/>
  <c r="E620" i="25" s="1"/>
  <c r="E621" i="25" s="1"/>
  <c r="E622" i="25" s="1"/>
  <c r="E623" i="25" s="1"/>
  <c r="E624" i="25" s="1"/>
  <c r="E625" i="25" s="1"/>
  <c r="E626" i="25" s="1"/>
  <c r="E627" i="25" s="1"/>
  <c r="E628" i="25" s="1"/>
  <c r="E629" i="25" s="1"/>
  <c r="E630" i="25" s="1"/>
  <c r="E562" i="25"/>
  <c r="E563" i="25" s="1"/>
  <c r="E564" i="25" s="1"/>
  <c r="E565" i="25" s="1"/>
  <c r="E566" i="25" s="1"/>
  <c r="E567" i="25" s="1"/>
  <c r="E568" i="25" s="1"/>
  <c r="E569" i="25" s="1"/>
  <c r="E570" i="25" s="1"/>
  <c r="E571" i="25" s="1"/>
  <c r="E572" i="25" s="1"/>
  <c r="E573" i="25" s="1"/>
  <c r="E574" i="25" s="1"/>
  <c r="E575" i="25" s="1"/>
  <c r="F422" i="25"/>
  <c r="F423" i="25" s="1"/>
  <c r="F424" i="25" s="1"/>
  <c r="F425" i="25" s="1"/>
  <c r="F426" i="25" s="1"/>
  <c r="F427" i="25" s="1"/>
  <c r="F428" i="25" s="1"/>
  <c r="F429" i="25" s="1"/>
  <c r="F430" i="25" s="1"/>
  <c r="F431" i="25" s="1"/>
  <c r="F432" i="25" s="1"/>
  <c r="F433" i="25" s="1"/>
  <c r="F434" i="25" s="1"/>
  <c r="F435" i="25" s="1"/>
  <c r="F436" i="25" s="1"/>
  <c r="F437" i="25" s="1"/>
  <c r="F438" i="25" s="1"/>
  <c r="F439" i="25" s="1"/>
  <c r="F440" i="25" s="1"/>
  <c r="F441" i="25" s="1"/>
  <c r="F442" i="25" s="1"/>
  <c r="F443" i="25" s="1"/>
  <c r="F444" i="25" s="1"/>
  <c r="F445" i="25" s="1"/>
  <c r="F446" i="25" s="1"/>
  <c r="F447" i="25" s="1"/>
  <c r="F448" i="25" s="1"/>
  <c r="F449" i="25" s="1"/>
  <c r="F450" i="25" s="1"/>
  <c r="F451" i="25" s="1"/>
  <c r="F452" i="25" s="1"/>
  <c r="F453" i="25" s="1"/>
  <c r="F454" i="25" s="1"/>
  <c r="F455" i="25" s="1"/>
  <c r="F456" i="25" s="1"/>
  <c r="F457" i="25" s="1"/>
  <c r="F458" i="25" s="1"/>
  <c r="F459" i="25" s="1"/>
  <c r="F460" i="25" s="1"/>
  <c r="F461" i="25" s="1"/>
  <c r="F462" i="25" s="1"/>
  <c r="F463" i="25" s="1"/>
  <c r="F464" i="25" s="1"/>
  <c r="F465" i="25" s="1"/>
  <c r="F466" i="25" s="1"/>
  <c r="F467" i="25" s="1"/>
  <c r="F468" i="25" s="1"/>
  <c r="F469" i="25" s="1"/>
  <c r="F470" i="25" s="1"/>
  <c r="F471" i="25" s="1"/>
  <c r="F472" i="25" s="1"/>
  <c r="F473" i="25" s="1"/>
  <c r="F474" i="25" s="1"/>
  <c r="F475" i="25" s="1"/>
  <c r="E422" i="25"/>
  <c r="E423" i="25" s="1"/>
  <c r="E424" i="25" s="1"/>
  <c r="E425" i="25" s="1"/>
  <c r="E426" i="25" s="1"/>
  <c r="E427" i="25" s="1"/>
  <c r="E428" i="25" s="1"/>
  <c r="E429" i="25" s="1"/>
  <c r="E430" i="25" s="1"/>
  <c r="E431" i="25" s="1"/>
  <c r="E432" i="25" s="1"/>
  <c r="E433" i="25" s="1"/>
  <c r="E434" i="25" s="1"/>
  <c r="E435" i="25" s="1"/>
  <c r="E436" i="25" s="1"/>
  <c r="E437" i="25" s="1"/>
  <c r="E438" i="25" s="1"/>
  <c r="E439" i="25" s="1"/>
  <c r="E440" i="25" s="1"/>
  <c r="E441" i="25" s="1"/>
  <c r="E442" i="25" s="1"/>
  <c r="E443" i="25" s="1"/>
  <c r="E444" i="25" s="1"/>
  <c r="E445" i="25" s="1"/>
  <c r="E446" i="25" s="1"/>
  <c r="E447" i="25" s="1"/>
  <c r="E448" i="25" s="1"/>
  <c r="E449" i="25" s="1"/>
  <c r="E450" i="25" s="1"/>
  <c r="E451" i="25" s="1"/>
  <c r="E452" i="25" s="1"/>
  <c r="E453" i="25" s="1"/>
  <c r="E454" i="25" s="1"/>
  <c r="E455" i="25" s="1"/>
  <c r="E456" i="25" s="1"/>
  <c r="E457" i="25" s="1"/>
  <c r="E458" i="25" s="1"/>
  <c r="E459" i="25" s="1"/>
  <c r="E460" i="25" s="1"/>
  <c r="E461" i="25" s="1"/>
  <c r="E462" i="25" s="1"/>
  <c r="E463" i="25" s="1"/>
  <c r="E464" i="25" s="1"/>
  <c r="E465" i="25" s="1"/>
  <c r="E466" i="25" s="1"/>
  <c r="E467" i="25" s="1"/>
  <c r="E468" i="25" s="1"/>
  <c r="E469" i="25" s="1"/>
  <c r="E470" i="25" s="1"/>
  <c r="E471" i="25" s="1"/>
  <c r="E472" i="25" s="1"/>
  <c r="E473" i="25" s="1"/>
  <c r="E474" i="25" s="1"/>
  <c r="E475" i="25" s="1"/>
  <c r="D422" i="25"/>
  <c r="D423" i="25" s="1"/>
  <c r="D424" i="25" s="1"/>
  <c r="D425" i="25" s="1"/>
  <c r="D426" i="25" s="1"/>
  <c r="D427" i="25" s="1"/>
  <c r="D428" i="25" s="1"/>
  <c r="D429" i="25" s="1"/>
  <c r="D430" i="25" s="1"/>
  <c r="D431" i="25" s="1"/>
  <c r="D432" i="25" s="1"/>
  <c r="D433" i="25" s="1"/>
  <c r="D434" i="25" s="1"/>
  <c r="D435" i="25" s="1"/>
  <c r="D436" i="25" s="1"/>
  <c r="D437" i="25" s="1"/>
  <c r="D438" i="25" s="1"/>
  <c r="D439" i="25" s="1"/>
  <c r="D440" i="25" s="1"/>
  <c r="D441" i="25" s="1"/>
  <c r="D442" i="25" s="1"/>
  <c r="D443" i="25" s="1"/>
  <c r="D444" i="25" s="1"/>
  <c r="D445" i="25" s="1"/>
  <c r="D446" i="25" s="1"/>
  <c r="D447" i="25" s="1"/>
  <c r="D448" i="25" s="1"/>
  <c r="D449" i="25" s="1"/>
  <c r="D450" i="25" s="1"/>
  <c r="D451" i="25" s="1"/>
  <c r="D452" i="25" s="1"/>
  <c r="D453" i="25" s="1"/>
  <c r="D454" i="25" s="1"/>
  <c r="D455" i="25" s="1"/>
  <c r="D456" i="25" s="1"/>
  <c r="D457" i="25" s="1"/>
  <c r="D458" i="25" s="1"/>
  <c r="D459" i="25" s="1"/>
  <c r="D460" i="25" s="1"/>
  <c r="D461" i="25" s="1"/>
  <c r="D462" i="25" s="1"/>
  <c r="D463" i="25" s="1"/>
  <c r="D464" i="25" s="1"/>
  <c r="D465" i="25" s="1"/>
  <c r="D466" i="25" s="1"/>
  <c r="D467" i="25" s="1"/>
  <c r="D468" i="25" s="1"/>
  <c r="D469" i="25" s="1"/>
  <c r="D470" i="25" s="1"/>
  <c r="D471" i="25" s="1"/>
  <c r="D472" i="25" s="1"/>
  <c r="D473" i="25" s="1"/>
  <c r="D474" i="25" s="1"/>
  <c r="D475" i="25" s="1"/>
  <c r="C422" i="25"/>
  <c r="C423" i="25" s="1"/>
  <c r="C424" i="25" s="1"/>
  <c r="C425" i="25" s="1"/>
  <c r="C426" i="25" s="1"/>
  <c r="C427" i="25" s="1"/>
  <c r="C428" i="25" s="1"/>
  <c r="C429" i="25" s="1"/>
  <c r="C430" i="25" s="1"/>
  <c r="C431" i="25" s="1"/>
  <c r="C432" i="25" s="1"/>
  <c r="C433" i="25" s="1"/>
  <c r="C434" i="25" s="1"/>
  <c r="C435" i="25" s="1"/>
  <c r="C436" i="25" s="1"/>
  <c r="C437" i="25" s="1"/>
  <c r="C438" i="25" s="1"/>
  <c r="C439" i="25" s="1"/>
  <c r="C440" i="25" s="1"/>
  <c r="C441" i="25" s="1"/>
  <c r="C442" i="25" s="1"/>
  <c r="C443" i="25" s="1"/>
  <c r="C444" i="25" s="1"/>
  <c r="C445" i="25" s="1"/>
  <c r="C446" i="25" s="1"/>
  <c r="C447" i="25" s="1"/>
  <c r="C448" i="25" s="1"/>
  <c r="C449" i="25" s="1"/>
  <c r="C450" i="25" s="1"/>
  <c r="C451" i="25" s="1"/>
  <c r="C452" i="25" s="1"/>
  <c r="C453" i="25" s="1"/>
  <c r="C454" i="25" s="1"/>
  <c r="C455" i="25" s="1"/>
  <c r="C456" i="25" s="1"/>
  <c r="C457" i="25" s="1"/>
  <c r="C458" i="25" s="1"/>
  <c r="C459" i="25" s="1"/>
  <c r="C460" i="25" s="1"/>
  <c r="C461" i="25" s="1"/>
  <c r="C462" i="25" s="1"/>
  <c r="C463" i="25" s="1"/>
  <c r="C464" i="25" s="1"/>
  <c r="C465" i="25" s="1"/>
  <c r="C466" i="25" s="1"/>
  <c r="C467" i="25" s="1"/>
  <c r="C468" i="25" s="1"/>
  <c r="C469" i="25" s="1"/>
  <c r="C470" i="25" s="1"/>
  <c r="C471" i="25" s="1"/>
  <c r="C472" i="25" s="1"/>
  <c r="C473" i="25" s="1"/>
  <c r="C474" i="25" s="1"/>
  <c r="C475" i="25" s="1"/>
  <c r="B163" i="25"/>
  <c r="B45" i="25"/>
  <c r="B46" i="25" s="1"/>
  <c r="B47" i="25" s="1"/>
  <c r="B48" i="25" s="1"/>
  <c r="B49" i="25" s="1"/>
  <c r="B50" i="25" s="1"/>
  <c r="B51" i="25" s="1"/>
  <c r="B52" i="25" s="1"/>
  <c r="B53" i="25" s="1"/>
  <c r="B54" i="25" s="1"/>
  <c r="B55" i="25" s="1"/>
  <c r="B56" i="25" s="1"/>
  <c r="B57" i="25" s="1"/>
  <c r="B58" i="25" s="1"/>
  <c r="B59" i="25" s="1"/>
  <c r="B60" i="25" s="1"/>
  <c r="B61" i="25" s="1"/>
  <c r="B62" i="25" s="1"/>
  <c r="B63" i="25" s="1"/>
  <c r="B64" i="25" s="1"/>
  <c r="B65" i="25" s="1"/>
  <c r="B66" i="25" s="1"/>
  <c r="B67" i="25" s="1"/>
  <c r="B68" i="25" s="1"/>
  <c r="B69" i="25" s="1"/>
  <c r="B70" i="25" s="1"/>
  <c r="B71" i="25" s="1"/>
  <c r="B72" i="25" s="1"/>
  <c r="B73" i="25" s="1"/>
  <c r="B74" i="25" s="1"/>
  <c r="B75" i="25" s="1"/>
  <c r="B76" i="25" s="1"/>
  <c r="B77" i="25" s="1"/>
  <c r="B78" i="25" s="1"/>
  <c r="B79" i="25" s="1"/>
  <c r="B80" i="25" s="1"/>
  <c r="B81" i="25" s="1"/>
  <c r="B82" i="25" s="1"/>
  <c r="B83" i="25" s="1"/>
  <c r="B84" i="25" s="1"/>
  <c r="B85" i="25" s="1"/>
  <c r="B86" i="25" s="1"/>
  <c r="B87" i="25" s="1"/>
  <c r="B88" i="25" s="1"/>
  <c r="B89" i="25" s="1"/>
  <c r="B90" i="25" s="1"/>
  <c r="B91" i="25" s="1"/>
  <c r="B92" i="25" s="1"/>
  <c r="B93" i="25" s="1"/>
  <c r="B94" i="25" s="1"/>
  <c r="B95" i="25" s="1"/>
  <c r="B96" i="25" s="1"/>
  <c r="B97" i="25" s="1"/>
  <c r="B98" i="25" s="1"/>
  <c r="B99" i="25" s="1"/>
  <c r="B100" i="25" s="1"/>
  <c r="B101" i="25" s="1"/>
  <c r="B102" i="25" s="1"/>
  <c r="B103" i="25" s="1"/>
  <c r="B104" i="25" s="1"/>
  <c r="B105" i="25" s="1"/>
  <c r="B106" i="25" s="1"/>
  <c r="B107" i="25" s="1"/>
  <c r="B108" i="25" s="1"/>
  <c r="B109" i="25" s="1"/>
  <c r="B110" i="25" s="1"/>
  <c r="B111" i="25" s="1"/>
  <c r="B112" i="25" s="1"/>
  <c r="B113" i="25" s="1"/>
  <c r="B114" i="25" s="1"/>
  <c r="B115" i="25" s="1"/>
  <c r="B116" i="25" s="1"/>
  <c r="B117" i="25" s="1"/>
  <c r="B118" i="25" s="1"/>
  <c r="B119" i="25" s="1"/>
  <c r="B120" i="25" s="1"/>
  <c r="B121" i="25" s="1"/>
  <c r="B122" i="25" s="1"/>
  <c r="B123" i="25" s="1"/>
  <c r="B124" i="25" s="1"/>
  <c r="B125" i="25" s="1"/>
  <c r="B126" i="25" s="1"/>
  <c r="B127" i="25" s="1"/>
  <c r="B128" i="25" s="1"/>
  <c r="B129" i="25" s="1"/>
  <c r="B130" i="25" s="1"/>
  <c r="B131" i="25" s="1"/>
  <c r="B132" i="25" s="1"/>
  <c r="B133" i="25" s="1"/>
  <c r="B134" i="25" s="1"/>
  <c r="B135" i="25" s="1"/>
  <c r="B136" i="25" s="1"/>
  <c r="B137" i="25" s="1"/>
  <c r="B138" i="25" s="1"/>
  <c r="B139" i="25" s="1"/>
  <c r="B140" i="25" s="1"/>
  <c r="B141" i="25" s="1"/>
  <c r="B142" i="25" s="1"/>
  <c r="B143" i="25" s="1"/>
  <c r="B144" i="25" s="1"/>
  <c r="B145" i="25" s="1"/>
  <c r="B146" i="25" s="1"/>
  <c r="B147" i="25" s="1"/>
  <c r="B148" i="25" s="1"/>
  <c r="B149" i="25" s="1"/>
  <c r="B150" i="25" s="1"/>
  <c r="B151" i="25" s="1"/>
  <c r="B152" i="25" s="1"/>
  <c r="B153" i="25" s="1"/>
  <c r="B154" i="25" s="1"/>
  <c r="B155" i="25" s="1"/>
  <c r="B156" i="25" s="1"/>
  <c r="B157" i="25" s="1"/>
  <c r="B158" i="25" s="1"/>
  <c r="B159" i="25" s="1"/>
  <c r="B160" i="25" s="1"/>
  <c r="B161" i="25" s="1"/>
  <c r="B162" i="25" s="1"/>
  <c r="AI170" i="25"/>
  <c r="AH170" i="25"/>
  <c r="AM170" i="25"/>
  <c r="AL170" i="25"/>
  <c r="O326" i="25"/>
  <c r="V326" i="25"/>
  <c r="N326" i="25"/>
  <c r="U326" i="25"/>
  <c r="T326" i="25"/>
  <c r="P326" i="25"/>
  <c r="AK170" i="25"/>
  <c r="AJ170" i="25"/>
  <c r="AN14" i="25"/>
  <c r="AQ14" i="25" s="1"/>
  <c r="M327" i="25"/>
  <c r="AO14" i="25"/>
  <c r="AR14" i="25" s="1"/>
  <c r="W170" i="25"/>
  <c r="Z170" i="25" s="1"/>
  <c r="M328" i="25"/>
  <c r="B174" i="25"/>
  <c r="M174" i="25" s="1"/>
  <c r="AP14" i="25"/>
  <c r="AS14" i="25" s="1"/>
  <c r="AB14" i="25"/>
  <c r="AD14" i="25" s="1"/>
  <c r="AE14" i="25" s="1"/>
  <c r="X170" i="25"/>
  <c r="AA170" i="25" s="1"/>
  <c r="B642" i="25"/>
  <c r="M482" i="25"/>
  <c r="Y326" i="25"/>
  <c r="AC326" i="25" s="1"/>
  <c r="B486" i="25"/>
  <c r="B332" i="25"/>
  <c r="T173" i="25" l="1"/>
  <c r="X171" i="25"/>
  <c r="AA171" i="25" s="1"/>
  <c r="W172" i="25"/>
  <c r="Z172" i="25" s="1"/>
  <c r="AB172" i="25" s="1"/>
  <c r="AD172" i="25" s="1"/>
  <c r="AE172" i="25" s="1"/>
  <c r="V173" i="25"/>
  <c r="W171" i="25"/>
  <c r="Z171" i="25" s="1"/>
  <c r="AB171" i="25" s="1"/>
  <c r="AD171" i="25" s="1"/>
  <c r="AE171" i="25" s="1"/>
  <c r="U173" i="25"/>
  <c r="R174" i="25"/>
  <c r="S174" i="25"/>
  <c r="Q174" i="25"/>
  <c r="Q328" i="25"/>
  <c r="R328" i="25"/>
  <c r="S328" i="25"/>
  <c r="R327" i="25"/>
  <c r="S327" i="25"/>
  <c r="Q327" i="25"/>
  <c r="O173" i="25"/>
  <c r="AM173" i="25" s="1"/>
  <c r="S173" i="25"/>
  <c r="R173" i="25"/>
  <c r="Q173" i="25"/>
  <c r="AH173" i="25" s="1"/>
  <c r="M638" i="25"/>
  <c r="P638" i="25" s="1"/>
  <c r="S482" i="25"/>
  <c r="R482" i="25"/>
  <c r="Q482" i="25"/>
  <c r="Y173" i="25"/>
  <c r="AC173" i="25" s="1"/>
  <c r="N173" i="25"/>
  <c r="AL173" i="25" s="1"/>
  <c r="P174" i="25"/>
  <c r="V174" i="25"/>
  <c r="Y174" i="25"/>
  <c r="AC174" i="25" s="1"/>
  <c r="U174" i="25"/>
  <c r="O174" i="25"/>
  <c r="T174" i="25"/>
  <c r="N174" i="25"/>
  <c r="AL171" i="25"/>
  <c r="AM171" i="25"/>
  <c r="AM172" i="25"/>
  <c r="AL172" i="25"/>
  <c r="AK171" i="25"/>
  <c r="AJ171" i="25"/>
  <c r="AI172" i="25"/>
  <c r="AH172" i="25"/>
  <c r="AH171" i="25"/>
  <c r="AI171" i="25"/>
  <c r="AK172" i="25"/>
  <c r="AJ172" i="25"/>
  <c r="U328" i="25"/>
  <c r="O328" i="25"/>
  <c r="P328" i="25"/>
  <c r="Y328" i="25"/>
  <c r="AC328" i="25" s="1"/>
  <c r="T328" i="25"/>
  <c r="V328" i="25"/>
  <c r="N328" i="25"/>
  <c r="P327" i="25"/>
  <c r="N327" i="25"/>
  <c r="V327" i="25"/>
  <c r="O327" i="25"/>
  <c r="T327" i="25"/>
  <c r="U327" i="25"/>
  <c r="Y327" i="25"/>
  <c r="AC327" i="25" s="1"/>
  <c r="C19" i="25"/>
  <c r="Y18" i="25"/>
  <c r="AC18" i="25" s="1"/>
  <c r="AD18" i="25" s="1"/>
  <c r="AE18" i="25" s="1"/>
  <c r="AH16" i="25"/>
  <c r="AP16" i="25" s="1"/>
  <c r="AS16" i="25" s="1"/>
  <c r="AM16" i="25"/>
  <c r="AO15" i="25"/>
  <c r="AR15" i="25" s="1"/>
  <c r="F18" i="25"/>
  <c r="O17" i="25"/>
  <c r="AI16" i="25"/>
  <c r="AO16" i="25" s="1"/>
  <c r="AR16" i="25" s="1"/>
  <c r="AK16" i="25"/>
  <c r="AJ17" i="25"/>
  <c r="AL17" i="25"/>
  <c r="D18" i="25"/>
  <c r="P17" i="25"/>
  <c r="E19" i="25"/>
  <c r="N18" i="25"/>
  <c r="AP170" i="25"/>
  <c r="AS170" i="25" s="1"/>
  <c r="M483" i="25"/>
  <c r="V482" i="25"/>
  <c r="N482" i="25"/>
  <c r="U482" i="25"/>
  <c r="T482" i="25"/>
  <c r="O482" i="25"/>
  <c r="P482" i="25"/>
  <c r="AM326" i="25"/>
  <c r="AL326" i="25"/>
  <c r="AI326" i="25"/>
  <c r="AH326" i="25"/>
  <c r="AK326" i="25"/>
  <c r="AJ326" i="25"/>
  <c r="AN170" i="25"/>
  <c r="AQ170" i="25" s="1"/>
  <c r="M484" i="25"/>
  <c r="AO170" i="25"/>
  <c r="AR170" i="25" s="1"/>
  <c r="AB170" i="25"/>
  <c r="AD170" i="25" s="1"/>
  <c r="AE170" i="25" s="1"/>
  <c r="M329" i="25"/>
  <c r="B175" i="25"/>
  <c r="M175" i="25" s="1"/>
  <c r="X326" i="25"/>
  <c r="AA326" i="25" s="1"/>
  <c r="Y482" i="25"/>
  <c r="AC482" i="25" s="1"/>
  <c r="W326" i="25"/>
  <c r="Z326" i="25" s="1"/>
  <c r="B643" i="25"/>
  <c r="B487" i="25"/>
  <c r="B333" i="25"/>
  <c r="AI173" i="25" l="1"/>
  <c r="AO173" i="25" s="1"/>
  <c r="AR173" i="25" s="1"/>
  <c r="AO172" i="25"/>
  <c r="AR172" i="25" s="1"/>
  <c r="AN172" i="25"/>
  <c r="AQ172" i="25" s="1"/>
  <c r="X328" i="25"/>
  <c r="AA328" i="25" s="1"/>
  <c r="X173" i="25"/>
  <c r="AA173" i="25" s="1"/>
  <c r="W173" i="25"/>
  <c r="Z173" i="25" s="1"/>
  <c r="AB173" i="25" s="1"/>
  <c r="AD173" i="25" s="1"/>
  <c r="AE173" i="25" s="1"/>
  <c r="X174" i="25"/>
  <c r="AA174" i="25" s="1"/>
  <c r="AP172" i="25"/>
  <c r="AS172" i="25" s="1"/>
  <c r="AO171" i="25"/>
  <c r="AR171" i="25" s="1"/>
  <c r="AK173" i="25"/>
  <c r="AN173" i="25" s="1"/>
  <c r="AQ173" i="25" s="1"/>
  <c r="AP171" i="25"/>
  <c r="AS171" i="25" s="1"/>
  <c r="AN171" i="25"/>
  <c r="AQ171" i="25" s="1"/>
  <c r="V638" i="25"/>
  <c r="N638" i="25"/>
  <c r="R175" i="25"/>
  <c r="Q175" i="25"/>
  <c r="S175" i="25"/>
  <c r="Y638" i="25"/>
  <c r="AC638" i="25"/>
  <c r="Q329" i="25"/>
  <c r="W329" i="25" s="1"/>
  <c r="Z329" i="25" s="1"/>
  <c r="R329" i="25"/>
  <c r="S329" i="25"/>
  <c r="Q483" i="25"/>
  <c r="S483" i="25"/>
  <c r="R483" i="25"/>
  <c r="O638" i="25"/>
  <c r="T638" i="25"/>
  <c r="R484" i="25"/>
  <c r="Q484" i="25"/>
  <c r="S484" i="25"/>
  <c r="U638" i="25"/>
  <c r="S638" i="25"/>
  <c r="R638" i="25"/>
  <c r="I798" i="25" s="1"/>
  <c r="R798" i="25" s="1"/>
  <c r="Q638" i="25"/>
  <c r="AI638" i="25" s="1"/>
  <c r="AJ173" i="25"/>
  <c r="AP173" i="25" s="1"/>
  <c r="AS173" i="25" s="1"/>
  <c r="W174" i="25"/>
  <c r="Z174" i="25" s="1"/>
  <c r="AH174" i="25"/>
  <c r="AI174" i="25"/>
  <c r="AJ174" i="25"/>
  <c r="AK174" i="25"/>
  <c r="V175" i="25"/>
  <c r="P175" i="25"/>
  <c r="O175" i="25"/>
  <c r="U175" i="25"/>
  <c r="Y175" i="25"/>
  <c r="AC175" i="25" s="1"/>
  <c r="T175" i="25"/>
  <c r="X175" i="25" s="1"/>
  <c r="AA175" i="25" s="1"/>
  <c r="N175" i="25"/>
  <c r="AL174" i="25"/>
  <c r="AM174" i="25"/>
  <c r="X638" i="25"/>
  <c r="AA638" i="25" s="1"/>
  <c r="W327" i="25"/>
  <c r="Z327" i="25" s="1"/>
  <c r="X327" i="25"/>
  <c r="AA327" i="25" s="1"/>
  <c r="W328" i="25"/>
  <c r="Z328" i="25" s="1"/>
  <c r="AH328" i="25"/>
  <c r="AI328" i="25"/>
  <c r="M640" i="25"/>
  <c r="O484" i="25"/>
  <c r="Y484" i="25"/>
  <c r="AC484" i="25" s="1"/>
  <c r="P484" i="25"/>
  <c r="U484" i="25"/>
  <c r="V484" i="25"/>
  <c r="N484" i="25"/>
  <c r="T484" i="25"/>
  <c r="T483" i="25"/>
  <c r="U483" i="25"/>
  <c r="N483" i="25"/>
  <c r="V483" i="25"/>
  <c r="P483" i="25"/>
  <c r="O483" i="25"/>
  <c r="Y483" i="25"/>
  <c r="AC483" i="25" s="1"/>
  <c r="AH327" i="25"/>
  <c r="AI327" i="25"/>
  <c r="AL328" i="25"/>
  <c r="AM328" i="25"/>
  <c r="AJ327" i="25"/>
  <c r="AK327" i="25"/>
  <c r="T329" i="25"/>
  <c r="U329" i="25"/>
  <c r="P329" i="25"/>
  <c r="Y329" i="25"/>
  <c r="AC329" i="25" s="1"/>
  <c r="N329" i="25"/>
  <c r="O329" i="25"/>
  <c r="V329" i="25"/>
  <c r="AL327" i="25"/>
  <c r="AM327" i="25"/>
  <c r="AJ328" i="25"/>
  <c r="AK328" i="25"/>
  <c r="AN16" i="25"/>
  <c r="AQ16" i="25" s="1"/>
  <c r="W638" i="25"/>
  <c r="Z638" i="25" s="1"/>
  <c r="AB638" i="25" s="1"/>
  <c r="AD638" i="25" s="1"/>
  <c r="AE638" i="25" s="1"/>
  <c r="AJ18" i="25"/>
  <c r="AL18" i="25"/>
  <c r="E20" i="25"/>
  <c r="N19" i="25"/>
  <c r="AI17" i="25"/>
  <c r="AO17" i="25" s="1"/>
  <c r="AR17" i="25" s="1"/>
  <c r="AK17" i="25"/>
  <c r="AH17" i="25"/>
  <c r="AP17" i="25" s="1"/>
  <c r="AS17" i="25" s="1"/>
  <c r="AM17" i="25"/>
  <c r="D19" i="25"/>
  <c r="P18" i="25"/>
  <c r="F19" i="25"/>
  <c r="O18" i="25"/>
  <c r="C20" i="25"/>
  <c r="Y19" i="25"/>
  <c r="AC19" i="25" s="1"/>
  <c r="AD19" i="25" s="1"/>
  <c r="AE19" i="25" s="1"/>
  <c r="M639" i="25"/>
  <c r="AK482" i="25"/>
  <c r="AJ482" i="25"/>
  <c r="AI482" i="25"/>
  <c r="AH482" i="25"/>
  <c r="AM482" i="25"/>
  <c r="AL482" i="25"/>
  <c r="M485" i="25"/>
  <c r="M330" i="25"/>
  <c r="B176" i="25"/>
  <c r="M176" i="25" s="1"/>
  <c r="AN326" i="25"/>
  <c r="AQ326" i="25" s="1"/>
  <c r="AP326" i="25"/>
  <c r="AS326" i="25" s="1"/>
  <c r="AB326" i="25"/>
  <c r="AD326" i="25" s="1"/>
  <c r="AE326" i="25" s="1"/>
  <c r="X482" i="25"/>
  <c r="AA482" i="25" s="1"/>
  <c r="AO326" i="25"/>
  <c r="AR326" i="25" s="1"/>
  <c r="B334" i="25"/>
  <c r="B488" i="25"/>
  <c r="B644" i="25"/>
  <c r="W482" i="25"/>
  <c r="Z482" i="25" s="1"/>
  <c r="AB174" i="25" l="1"/>
  <c r="AD174" i="25" s="1"/>
  <c r="AE174" i="25" s="1"/>
  <c r="W484" i="25"/>
  <c r="Z484" i="25" s="1"/>
  <c r="W175" i="25"/>
  <c r="Z175" i="25" s="1"/>
  <c r="AB175" i="25" s="1"/>
  <c r="AD175" i="25" s="1"/>
  <c r="AE175" i="25" s="1"/>
  <c r="AM638" i="25"/>
  <c r="AK638" i="25"/>
  <c r="AB328" i="25"/>
  <c r="AD328" i="25" s="1"/>
  <c r="AE328" i="25" s="1"/>
  <c r="AO327" i="25"/>
  <c r="AR327" i="25" s="1"/>
  <c r="H798" i="25"/>
  <c r="Q798" i="25" s="1"/>
  <c r="J798" i="25"/>
  <c r="S798" i="25" s="1"/>
  <c r="AO174" i="25"/>
  <c r="AR174" i="25" s="1"/>
  <c r="AN174" i="25"/>
  <c r="AQ174" i="25" s="1"/>
  <c r="AP174" i="25"/>
  <c r="AS174" i="25" s="1"/>
  <c r="AL638" i="25"/>
  <c r="AJ638" i="25"/>
  <c r="AH638" i="25"/>
  <c r="Q330" i="25"/>
  <c r="R330" i="25"/>
  <c r="S330" i="25"/>
  <c r="Q639" i="25"/>
  <c r="H799" i="25" s="1"/>
  <c r="R639" i="25"/>
  <c r="I799" i="25" s="1"/>
  <c r="R799" i="25" s="1"/>
  <c r="S639" i="25"/>
  <c r="J799" i="25" s="1"/>
  <c r="S799" i="25" s="1"/>
  <c r="Q640" i="25"/>
  <c r="H800" i="25" s="1"/>
  <c r="R640" i="25"/>
  <c r="I800" i="25" s="1"/>
  <c r="R800" i="25" s="1"/>
  <c r="S640" i="25"/>
  <c r="J800" i="25" s="1"/>
  <c r="S800" i="25" s="1"/>
  <c r="R176" i="25"/>
  <c r="S176" i="25"/>
  <c r="Q176" i="25"/>
  <c r="S485" i="25"/>
  <c r="Q485" i="25"/>
  <c r="R485" i="25"/>
  <c r="AL175" i="25"/>
  <c r="AM175" i="25"/>
  <c r="AH175" i="25"/>
  <c r="AI175" i="25"/>
  <c r="AK175" i="25"/>
  <c r="AJ175" i="25"/>
  <c r="N176" i="25"/>
  <c r="V176" i="25"/>
  <c r="T176" i="25"/>
  <c r="P176" i="25"/>
  <c r="Y176" i="25"/>
  <c r="AC176" i="25" s="1"/>
  <c r="U176" i="25"/>
  <c r="O176" i="25"/>
  <c r="AN638" i="25"/>
  <c r="AQ638" i="25" s="1"/>
  <c r="AP638" i="25"/>
  <c r="AS638" i="25" s="1"/>
  <c r="AO638" i="25"/>
  <c r="AR638" i="25" s="1"/>
  <c r="AN328" i="25"/>
  <c r="AQ328" i="25" s="1"/>
  <c r="AP327" i="25"/>
  <c r="AS327" i="25" s="1"/>
  <c r="AO328" i="25"/>
  <c r="AR328" i="25" s="1"/>
  <c r="X329" i="25"/>
  <c r="AA329" i="25" s="1"/>
  <c r="AB329" i="25" s="1"/>
  <c r="AD329" i="25" s="1"/>
  <c r="AE329" i="25" s="1"/>
  <c r="AP328" i="25"/>
  <c r="AS328" i="25" s="1"/>
  <c r="AN327" i="25"/>
  <c r="AQ327" i="25" s="1"/>
  <c r="AB327" i="25"/>
  <c r="AD327" i="25" s="1"/>
  <c r="AE327" i="25" s="1"/>
  <c r="X483" i="25"/>
  <c r="AA483" i="25" s="1"/>
  <c r="X484" i="25"/>
  <c r="AA484" i="25" s="1"/>
  <c r="AB484" i="25" s="1"/>
  <c r="AD484" i="25" s="1"/>
  <c r="AE484" i="25" s="1"/>
  <c r="AJ329" i="25"/>
  <c r="AK329" i="25"/>
  <c r="AH329" i="25"/>
  <c r="AI329" i="25"/>
  <c r="AH484" i="25"/>
  <c r="AI484" i="25"/>
  <c r="O330" i="25"/>
  <c r="Y330" i="25"/>
  <c r="AC330" i="25" s="1"/>
  <c r="U330" i="25"/>
  <c r="N330" i="25"/>
  <c r="P330" i="25"/>
  <c r="T330" i="25"/>
  <c r="V330" i="25"/>
  <c r="T639" i="25"/>
  <c r="U639" i="25"/>
  <c r="Y639" i="25"/>
  <c r="V639" i="25"/>
  <c r="AC639" i="25"/>
  <c r="N639" i="25"/>
  <c r="O639" i="25"/>
  <c r="P639" i="25"/>
  <c r="W483" i="25"/>
  <c r="Z483" i="25" s="1"/>
  <c r="AI483" i="25"/>
  <c r="AH483" i="25"/>
  <c r="AL483" i="25"/>
  <c r="AM483" i="25"/>
  <c r="O640" i="25"/>
  <c r="Y640" i="25"/>
  <c r="AC640" i="25" s="1"/>
  <c r="P640" i="25"/>
  <c r="T640" i="25"/>
  <c r="V640" i="25"/>
  <c r="N640" i="25"/>
  <c r="U640" i="25"/>
  <c r="AM484" i="25"/>
  <c r="AL484" i="25"/>
  <c r="AL329" i="25"/>
  <c r="AM329" i="25"/>
  <c r="AJ484" i="25"/>
  <c r="AK484" i="25"/>
  <c r="M641" i="25"/>
  <c r="U485" i="25"/>
  <c r="N485" i="25"/>
  <c r="V485" i="25"/>
  <c r="O485" i="25"/>
  <c r="Y485" i="25"/>
  <c r="AC485" i="25" s="1"/>
  <c r="P485" i="25"/>
  <c r="T485" i="25"/>
  <c r="AK483" i="25"/>
  <c r="AN483" i="25" s="1"/>
  <c r="AQ483" i="25" s="1"/>
  <c r="AJ483" i="25"/>
  <c r="AN17" i="25"/>
  <c r="AQ17" i="25" s="1"/>
  <c r="C21" i="25"/>
  <c r="Y20" i="25"/>
  <c r="AC20" i="25" s="1"/>
  <c r="AD20" i="25" s="1"/>
  <c r="AE20" i="25" s="1"/>
  <c r="AM18" i="25"/>
  <c r="AH18" i="25"/>
  <c r="AP18" i="25" s="1"/>
  <c r="AS18" i="25" s="1"/>
  <c r="F20" i="25"/>
  <c r="O19" i="25"/>
  <c r="AL19" i="25"/>
  <c r="AJ19" i="25"/>
  <c r="AK18" i="25"/>
  <c r="AI18" i="25"/>
  <c r="AO18" i="25" s="1"/>
  <c r="AR18" i="25" s="1"/>
  <c r="D20" i="25"/>
  <c r="P19" i="25"/>
  <c r="E21" i="25"/>
  <c r="N20" i="25"/>
  <c r="M331" i="25"/>
  <c r="B177" i="25"/>
  <c r="M177" i="25" s="1"/>
  <c r="M486" i="25"/>
  <c r="AB482" i="25"/>
  <c r="AD482" i="25" s="1"/>
  <c r="AE482" i="25" s="1"/>
  <c r="AN482" i="25"/>
  <c r="AQ482" i="25" s="1"/>
  <c r="B489" i="25"/>
  <c r="B335" i="25"/>
  <c r="B645" i="25"/>
  <c r="AP482" i="25"/>
  <c r="AS482" i="25" s="1"/>
  <c r="AO482" i="25"/>
  <c r="AR482" i="25" s="1"/>
  <c r="AN484" i="25" l="1"/>
  <c r="AQ484" i="25" s="1"/>
  <c r="AO329" i="25"/>
  <c r="AR329" i="25" s="1"/>
  <c r="AO483" i="25"/>
  <c r="AR483" i="25" s="1"/>
  <c r="AB483" i="25"/>
  <c r="AD483" i="25" s="1"/>
  <c r="AE483" i="25" s="1"/>
  <c r="AO484" i="25"/>
  <c r="AR484" i="25" s="1"/>
  <c r="N798" i="25"/>
  <c r="M798" i="25"/>
  <c r="V798" i="25" s="1"/>
  <c r="X176" i="25"/>
  <c r="AA176" i="25" s="1"/>
  <c r="W176" i="25"/>
  <c r="Z176" i="25" s="1"/>
  <c r="AP175" i="25"/>
  <c r="AS175" i="25" s="1"/>
  <c r="AO175" i="25"/>
  <c r="AR175" i="25" s="1"/>
  <c r="AN175" i="25"/>
  <c r="AQ175" i="25" s="1"/>
  <c r="L798" i="25"/>
  <c r="U798" i="25" s="1"/>
  <c r="R486" i="25"/>
  <c r="Q486" i="25"/>
  <c r="S486" i="25"/>
  <c r="Q177" i="25"/>
  <c r="R177" i="25"/>
  <c r="S177" i="25"/>
  <c r="S331" i="25"/>
  <c r="Q331" i="25"/>
  <c r="R331" i="25"/>
  <c r="S641" i="25"/>
  <c r="Q641" i="25"/>
  <c r="H801" i="25" s="1"/>
  <c r="Q801" i="25" s="1"/>
  <c r="R641" i="25"/>
  <c r="AJ176" i="25"/>
  <c r="AK176" i="25"/>
  <c r="AM176" i="25"/>
  <c r="AL176" i="25"/>
  <c r="O177" i="25"/>
  <c r="V177" i="25"/>
  <c r="Y177" i="25"/>
  <c r="AC177" i="25" s="1"/>
  <c r="T177" i="25"/>
  <c r="U177" i="25"/>
  <c r="P177" i="25"/>
  <c r="N177" i="25"/>
  <c r="AH176" i="25"/>
  <c r="AI176" i="25"/>
  <c r="K798" i="25"/>
  <c r="T798" i="25" s="1"/>
  <c r="N799" i="25"/>
  <c r="Q799" i="25"/>
  <c r="X639" i="25"/>
  <c r="AA639" i="25" s="1"/>
  <c r="AP329" i="25"/>
  <c r="AS329" i="25" s="1"/>
  <c r="N800" i="25"/>
  <c r="Q800" i="25"/>
  <c r="Z800" i="25" s="1"/>
  <c r="AN329" i="25"/>
  <c r="AQ329" i="25" s="1"/>
  <c r="X485" i="25"/>
  <c r="AA485" i="25" s="1"/>
  <c r="X330" i="25"/>
  <c r="AA330" i="25" s="1"/>
  <c r="X640" i="25"/>
  <c r="AA640" i="25" s="1"/>
  <c r="AP483" i="25"/>
  <c r="AS483" i="25" s="1"/>
  <c r="AP484" i="25"/>
  <c r="AS484" i="25" s="1"/>
  <c r="AH640" i="25"/>
  <c r="AP640" i="25" s="1"/>
  <c r="AS640" i="25" s="1"/>
  <c r="AI640" i="25"/>
  <c r="AL639" i="25"/>
  <c r="AM639" i="25"/>
  <c r="AH330" i="25"/>
  <c r="AI330" i="25"/>
  <c r="U331" i="25"/>
  <c r="N331" i="25"/>
  <c r="V331" i="25"/>
  <c r="T331" i="25"/>
  <c r="Y331" i="25"/>
  <c r="AC331" i="25" s="1"/>
  <c r="O331" i="25"/>
  <c r="P331" i="25"/>
  <c r="AJ639" i="25"/>
  <c r="AK639" i="25"/>
  <c r="AN639" i="25" s="1"/>
  <c r="AQ639" i="25" s="1"/>
  <c r="K799" i="25" s="1"/>
  <c r="AJ485" i="25"/>
  <c r="AK485" i="25"/>
  <c r="W639" i="25"/>
  <c r="Z639" i="25" s="1"/>
  <c r="AB639" i="25" s="1"/>
  <c r="AD639" i="25" s="1"/>
  <c r="AE639" i="25" s="1"/>
  <c r="AI639" i="25"/>
  <c r="AO639" i="25" s="1"/>
  <c r="AR639" i="25" s="1"/>
  <c r="AH639" i="25"/>
  <c r="AL330" i="25"/>
  <c r="AM330" i="25"/>
  <c r="M642" i="25"/>
  <c r="T486" i="25"/>
  <c r="U486" i="25"/>
  <c r="N486" i="25"/>
  <c r="V486" i="25"/>
  <c r="O486" i="25"/>
  <c r="Y486" i="25"/>
  <c r="AC486" i="25" s="1"/>
  <c r="P486" i="25"/>
  <c r="AM485" i="25"/>
  <c r="AL485" i="25"/>
  <c r="T641" i="25"/>
  <c r="U641" i="25"/>
  <c r="I801" i="25"/>
  <c r="J801" i="25"/>
  <c r="S801" i="25" s="1"/>
  <c r="Y641" i="25"/>
  <c r="AC641" i="25" s="1"/>
  <c r="P641" i="25"/>
  <c r="V641" i="25"/>
  <c r="N641" i="25"/>
  <c r="O641" i="25"/>
  <c r="W640" i="25"/>
  <c r="Z640" i="25" s="1"/>
  <c r="AB640" i="25" s="1"/>
  <c r="AD640" i="25" s="1"/>
  <c r="AE640" i="25" s="1"/>
  <c r="AL640" i="25"/>
  <c r="AM640" i="25"/>
  <c r="W485" i="25"/>
  <c r="Z485" i="25" s="1"/>
  <c r="AH485" i="25"/>
  <c r="AI485" i="25"/>
  <c r="AJ640" i="25"/>
  <c r="AK640" i="25"/>
  <c r="W330" i="25"/>
  <c r="Z330" i="25" s="1"/>
  <c r="AK330" i="25"/>
  <c r="AJ330" i="25"/>
  <c r="E22" i="25"/>
  <c r="N21" i="25"/>
  <c r="F21" i="25"/>
  <c r="O20" i="25"/>
  <c r="AL20" i="25"/>
  <c r="AJ20" i="25"/>
  <c r="AM19" i="25"/>
  <c r="AH19" i="25"/>
  <c r="AP19" i="25" s="1"/>
  <c r="AS19" i="25" s="1"/>
  <c r="AI19" i="25"/>
  <c r="AO19" i="25" s="1"/>
  <c r="AR19" i="25" s="1"/>
  <c r="AK19" i="25"/>
  <c r="D21" i="25"/>
  <c r="P20" i="25"/>
  <c r="AN18" i="25"/>
  <c r="AQ18" i="25" s="1"/>
  <c r="C22" i="25"/>
  <c r="Y21" i="25"/>
  <c r="AC21" i="25" s="1"/>
  <c r="AD21" i="25" s="1"/>
  <c r="AE21" i="25" s="1"/>
  <c r="B178" i="25"/>
  <c r="M178" i="25" s="1"/>
  <c r="M332" i="25"/>
  <c r="M487" i="25"/>
  <c r="Z798" i="25"/>
  <c r="B490" i="25"/>
  <c r="B646" i="25"/>
  <c r="B336" i="25"/>
  <c r="W486" i="25" l="1"/>
  <c r="Z486" i="25" s="1"/>
  <c r="AB330" i="25"/>
  <c r="AD330" i="25" s="1"/>
  <c r="AE330" i="25" s="1"/>
  <c r="W331" i="25"/>
  <c r="Z331" i="25" s="1"/>
  <c r="X177" i="25"/>
  <c r="AA177" i="25" s="1"/>
  <c r="AB176" i="25"/>
  <c r="AD176" i="25" s="1"/>
  <c r="AE176" i="25" s="1"/>
  <c r="AO485" i="25"/>
  <c r="AR485" i="25" s="1"/>
  <c r="AB485" i="25"/>
  <c r="AD485" i="25" s="1"/>
  <c r="AE485" i="25" s="1"/>
  <c r="L799" i="25"/>
  <c r="U799" i="25" s="1"/>
  <c r="X486" i="25"/>
  <c r="AA486" i="25" s="1"/>
  <c r="AB486" i="25" s="1"/>
  <c r="AD486" i="25" s="1"/>
  <c r="AE486" i="25" s="1"/>
  <c r="M800" i="25"/>
  <c r="V800" i="25" s="1"/>
  <c r="AN330" i="25"/>
  <c r="AQ330" i="25" s="1"/>
  <c r="X331" i="25"/>
  <c r="AA331" i="25" s="1"/>
  <c r="AB331" i="25" s="1"/>
  <c r="AD331" i="25" s="1"/>
  <c r="AE331" i="25" s="1"/>
  <c r="W177" i="25"/>
  <c r="Z177" i="25" s="1"/>
  <c r="AB177" i="25" s="1"/>
  <c r="AD177" i="25" s="1"/>
  <c r="AE177" i="25" s="1"/>
  <c r="O798" i="25"/>
  <c r="AA798" i="25"/>
  <c r="AB798" i="25" s="1"/>
  <c r="AC798" i="25" s="1"/>
  <c r="AD798" i="25" s="1"/>
  <c r="AO176" i="25"/>
  <c r="AR176" i="25" s="1"/>
  <c r="AN176" i="25"/>
  <c r="AQ176" i="25" s="1"/>
  <c r="AP176" i="25"/>
  <c r="AS176" i="25" s="1"/>
  <c r="W798" i="25"/>
  <c r="X798" i="25" s="1"/>
  <c r="AN19" i="25"/>
  <c r="AQ19" i="25" s="1"/>
  <c r="S332" i="25"/>
  <c r="Q332" i="25"/>
  <c r="R332" i="25"/>
  <c r="Q178" i="25"/>
  <c r="W178" i="25" s="1"/>
  <c r="Z178" i="25" s="1"/>
  <c r="S178" i="25"/>
  <c r="R178" i="25"/>
  <c r="Q487" i="25"/>
  <c r="R487" i="25"/>
  <c r="S487" i="25"/>
  <c r="Q642" i="25"/>
  <c r="H802" i="25" s="1"/>
  <c r="R642" i="25"/>
  <c r="I802" i="25" s="1"/>
  <c r="R802" i="25" s="1"/>
  <c r="S642" i="25"/>
  <c r="J802" i="25" s="1"/>
  <c r="S802" i="25" s="1"/>
  <c r="AL177" i="25"/>
  <c r="AM177" i="25"/>
  <c r="AH177" i="25"/>
  <c r="AI177" i="25"/>
  <c r="O178" i="25"/>
  <c r="V178" i="25"/>
  <c r="P178" i="25"/>
  <c r="Y178" i="25"/>
  <c r="AC178" i="25" s="1"/>
  <c r="U178" i="25"/>
  <c r="T178" i="25"/>
  <c r="N178" i="25"/>
  <c r="AK177" i="25"/>
  <c r="AJ177" i="25"/>
  <c r="T799" i="25"/>
  <c r="N801" i="25"/>
  <c r="R801" i="25"/>
  <c r="Z801" i="25" s="1"/>
  <c r="X641" i="25"/>
  <c r="AA641" i="25" s="1"/>
  <c r="AN485" i="25"/>
  <c r="AQ485" i="25" s="1"/>
  <c r="AO640" i="25"/>
  <c r="AR640" i="25" s="1"/>
  <c r="L800" i="25" s="1"/>
  <c r="U800" i="25" s="1"/>
  <c r="Z799" i="25"/>
  <c r="AN640" i="25"/>
  <c r="AQ640" i="25" s="1"/>
  <c r="K800" i="25" s="1"/>
  <c r="AO330" i="25"/>
  <c r="AR330" i="25" s="1"/>
  <c r="AP485" i="25"/>
  <c r="AS485" i="25" s="1"/>
  <c r="AP639" i="25"/>
  <c r="AS639" i="25" s="1"/>
  <c r="M799" i="25" s="1"/>
  <c r="AP330" i="25"/>
  <c r="AS330" i="25" s="1"/>
  <c r="M643" i="25"/>
  <c r="N487" i="25"/>
  <c r="V487" i="25"/>
  <c r="O487" i="25"/>
  <c r="Y487" i="25"/>
  <c r="AC487" i="25" s="1"/>
  <c r="P487" i="25"/>
  <c r="T487" i="25"/>
  <c r="U487" i="25"/>
  <c r="W641" i="25"/>
  <c r="Z641" i="25" s="1"/>
  <c r="AB641" i="25" s="1"/>
  <c r="AD641" i="25" s="1"/>
  <c r="AE641" i="25" s="1"/>
  <c r="AH641" i="25"/>
  <c r="AI641" i="25"/>
  <c r="AO641" i="25" s="1"/>
  <c r="AR641" i="25" s="1"/>
  <c r="L801" i="25" s="1"/>
  <c r="U801" i="25" s="1"/>
  <c r="AL486" i="25"/>
  <c r="AM486" i="25"/>
  <c r="O332" i="25"/>
  <c r="U332" i="25"/>
  <c r="V332" i="25"/>
  <c r="Y332" i="25"/>
  <c r="AC332" i="25" s="1"/>
  <c r="N332" i="25"/>
  <c r="P332" i="25"/>
  <c r="T332" i="25"/>
  <c r="AI486" i="25"/>
  <c r="AH486" i="25"/>
  <c r="T642" i="25"/>
  <c r="X642" i="25" s="1"/>
  <c r="AA642" i="25" s="1"/>
  <c r="U642" i="25"/>
  <c r="W642" i="25"/>
  <c r="Z642" i="25" s="1"/>
  <c r="Y642" i="25"/>
  <c r="AC642" i="25" s="1"/>
  <c r="N642" i="25"/>
  <c r="O642" i="25"/>
  <c r="P642" i="25"/>
  <c r="V642" i="25"/>
  <c r="AL331" i="25"/>
  <c r="AM331" i="25"/>
  <c r="AM641" i="25"/>
  <c r="AL641" i="25"/>
  <c r="AK641" i="25"/>
  <c r="AN641" i="25" s="1"/>
  <c r="AQ641" i="25" s="1"/>
  <c r="AJ641" i="25"/>
  <c r="AJ331" i="25"/>
  <c r="AK331" i="25"/>
  <c r="AJ486" i="25"/>
  <c r="AK486" i="25"/>
  <c r="AH331" i="25"/>
  <c r="AI331" i="25"/>
  <c r="Y22" i="25"/>
  <c r="AC22" i="25" s="1"/>
  <c r="AD22" i="25" s="1"/>
  <c r="AE22" i="25" s="1"/>
  <c r="C23" i="25"/>
  <c r="AI20" i="25"/>
  <c r="AO20" i="25" s="1"/>
  <c r="AR20" i="25" s="1"/>
  <c r="AK20" i="25"/>
  <c r="N22" i="25"/>
  <c r="E23" i="25"/>
  <c r="D22" i="25"/>
  <c r="P21" i="25"/>
  <c r="AH20" i="25"/>
  <c r="AP20" i="25" s="1"/>
  <c r="AS20" i="25" s="1"/>
  <c r="AM20" i="25"/>
  <c r="F22" i="25"/>
  <c r="O21" i="25"/>
  <c r="AJ21" i="25"/>
  <c r="AL21" i="25"/>
  <c r="M488" i="25"/>
  <c r="B179" i="25"/>
  <c r="M179" i="25" s="1"/>
  <c r="M333" i="25"/>
  <c r="B337" i="25"/>
  <c r="B491" i="25"/>
  <c r="B647" i="25"/>
  <c r="AO486" i="25" l="1"/>
  <c r="AR486" i="25" s="1"/>
  <c r="AN486" i="25"/>
  <c r="AQ486" i="25" s="1"/>
  <c r="AP331" i="25"/>
  <c r="AS331" i="25" s="1"/>
  <c r="X332" i="25"/>
  <c r="AA332" i="25" s="1"/>
  <c r="X178" i="25"/>
  <c r="AA178" i="25" s="1"/>
  <c r="AB178" i="25" s="1"/>
  <c r="AD178" i="25" s="1"/>
  <c r="AE178" i="25" s="1"/>
  <c r="AN177" i="25"/>
  <c r="AQ177" i="25" s="1"/>
  <c r="AO177" i="25"/>
  <c r="AR177" i="25" s="1"/>
  <c r="AP177" i="25"/>
  <c r="AS177" i="25" s="1"/>
  <c r="Q643" i="25"/>
  <c r="H803" i="25" s="1"/>
  <c r="Q803" i="25" s="1"/>
  <c r="R643" i="25"/>
  <c r="I803" i="25" s="1"/>
  <c r="S643" i="25"/>
  <c r="J803" i="25" s="1"/>
  <c r="S803" i="25" s="1"/>
  <c r="R488" i="25"/>
  <c r="Q488" i="25"/>
  <c r="S488" i="25"/>
  <c r="Q333" i="25"/>
  <c r="R333" i="25"/>
  <c r="S333" i="25"/>
  <c r="Q179" i="25"/>
  <c r="W179" i="25" s="1"/>
  <c r="Z179" i="25" s="1"/>
  <c r="S179" i="25"/>
  <c r="R179" i="25"/>
  <c r="AM178" i="25"/>
  <c r="AL178" i="25"/>
  <c r="AK178" i="25"/>
  <c r="AJ178" i="25"/>
  <c r="U179" i="25"/>
  <c r="N179" i="25"/>
  <c r="P179" i="25"/>
  <c r="O179" i="25"/>
  <c r="Y179" i="25"/>
  <c r="AC179" i="25" s="1"/>
  <c r="V179" i="25"/>
  <c r="T179" i="25"/>
  <c r="AH178" i="25"/>
  <c r="AI178" i="25"/>
  <c r="V799" i="25"/>
  <c r="W799" i="25" s="1"/>
  <c r="X799" i="25" s="1"/>
  <c r="O799" i="25"/>
  <c r="AB642" i="25"/>
  <c r="AD642" i="25" s="1"/>
  <c r="AE642" i="25" s="1"/>
  <c r="AP486" i="25"/>
  <c r="AS486" i="25" s="1"/>
  <c r="AN331" i="25"/>
  <c r="AQ331" i="25" s="1"/>
  <c r="X487" i="25"/>
  <c r="AA487" i="25" s="1"/>
  <c r="K801" i="25"/>
  <c r="AP641" i="25"/>
  <c r="AS641" i="25" s="1"/>
  <c r="M801" i="25" s="1"/>
  <c r="V801" i="25" s="1"/>
  <c r="AO331" i="25"/>
  <c r="AR331" i="25" s="1"/>
  <c r="Q802" i="25"/>
  <c r="Z802" i="25" s="1"/>
  <c r="N802" i="25"/>
  <c r="O800" i="25"/>
  <c r="T800" i="25"/>
  <c r="AJ332" i="25"/>
  <c r="AK332" i="25"/>
  <c r="W487" i="25"/>
  <c r="Z487" i="25" s="1"/>
  <c r="AK487" i="25"/>
  <c r="AJ487" i="25"/>
  <c r="N643" i="25"/>
  <c r="V643" i="25"/>
  <c r="O643" i="25"/>
  <c r="Y643" i="25"/>
  <c r="U643" i="25"/>
  <c r="X643" i="25" s="1"/>
  <c r="AA643" i="25" s="1"/>
  <c r="P643" i="25"/>
  <c r="T643" i="25"/>
  <c r="AC643" i="25"/>
  <c r="T333" i="25"/>
  <c r="O333" i="25"/>
  <c r="Y333" i="25"/>
  <c r="AC333" i="25" s="1"/>
  <c r="N333" i="25"/>
  <c r="P333" i="25"/>
  <c r="U333" i="25"/>
  <c r="V333" i="25"/>
  <c r="AL642" i="25"/>
  <c r="AM642" i="25"/>
  <c r="W332" i="25"/>
  <c r="Z332" i="25" s="1"/>
  <c r="AB332" i="25" s="1"/>
  <c r="AD332" i="25" s="1"/>
  <c r="AE332" i="25" s="1"/>
  <c r="AH332" i="25"/>
  <c r="AI332" i="25"/>
  <c r="AI487" i="25"/>
  <c r="AH487" i="25"/>
  <c r="AJ642" i="25"/>
  <c r="AK642" i="25"/>
  <c r="AL332" i="25"/>
  <c r="AM332" i="25"/>
  <c r="AH642" i="25"/>
  <c r="AP642" i="25" s="1"/>
  <c r="AS642" i="25" s="1"/>
  <c r="AI642" i="25"/>
  <c r="AO642" i="25" s="1"/>
  <c r="AR642" i="25" s="1"/>
  <c r="L802" i="25" s="1"/>
  <c r="U802" i="25" s="1"/>
  <c r="M644" i="25"/>
  <c r="T488" i="25"/>
  <c r="U488" i="25"/>
  <c r="N488" i="25"/>
  <c r="V488" i="25"/>
  <c r="O488" i="25"/>
  <c r="Y488" i="25"/>
  <c r="AC488" i="25" s="1"/>
  <c r="P488" i="25"/>
  <c r="AL487" i="25"/>
  <c r="AM487" i="25"/>
  <c r="AJ22" i="25"/>
  <c r="AL22" i="25"/>
  <c r="P22" i="25"/>
  <c r="D23" i="25"/>
  <c r="E24" i="25"/>
  <c r="N23" i="25"/>
  <c r="AN20" i="25"/>
  <c r="AQ20" i="25" s="1"/>
  <c r="O22" i="25"/>
  <c r="F23" i="25"/>
  <c r="AH21" i="25"/>
  <c r="AP21" i="25" s="1"/>
  <c r="AS21" i="25" s="1"/>
  <c r="AM21" i="25"/>
  <c r="AI21" i="25"/>
  <c r="AO21" i="25" s="1"/>
  <c r="AR21" i="25" s="1"/>
  <c r="AK21" i="25"/>
  <c r="C24" i="25"/>
  <c r="Y23" i="25"/>
  <c r="AC23" i="25" s="1"/>
  <c r="AD23" i="25" s="1"/>
  <c r="AE23" i="25" s="1"/>
  <c r="M334" i="25"/>
  <c r="M489" i="25"/>
  <c r="B180" i="25"/>
  <c r="M180" i="25" s="1"/>
  <c r="B492" i="25"/>
  <c r="B648" i="25"/>
  <c r="B338" i="25"/>
  <c r="W333" i="25" l="1"/>
  <c r="Z333" i="25" s="1"/>
  <c r="AO178" i="25"/>
  <c r="AR178" i="25" s="1"/>
  <c r="AB487" i="25"/>
  <c r="AD487" i="25" s="1"/>
  <c r="AE487" i="25" s="1"/>
  <c r="AP487" i="25"/>
  <c r="AS487" i="25" s="1"/>
  <c r="AA799" i="25"/>
  <c r="AB799" i="25" s="1"/>
  <c r="AC799" i="25" s="1"/>
  <c r="AD799" i="25" s="1"/>
  <c r="AO487" i="25"/>
  <c r="AR487" i="25" s="1"/>
  <c r="AN487" i="25"/>
  <c r="AQ487" i="25" s="1"/>
  <c r="AP332" i="25"/>
  <c r="AS332" i="25" s="1"/>
  <c r="X333" i="25"/>
  <c r="AA333" i="25" s="1"/>
  <c r="AB333" i="25" s="1"/>
  <c r="AD333" i="25" s="1"/>
  <c r="AE333" i="25" s="1"/>
  <c r="X179" i="25"/>
  <c r="AA179" i="25" s="1"/>
  <c r="AB179" i="25"/>
  <c r="AD179" i="25" s="1"/>
  <c r="AE179" i="25" s="1"/>
  <c r="AP178" i="25"/>
  <c r="AS178" i="25" s="1"/>
  <c r="AN178" i="25"/>
  <c r="AQ178" i="25" s="1"/>
  <c r="M802" i="25"/>
  <c r="V802" i="25" s="1"/>
  <c r="Q180" i="25"/>
  <c r="S180" i="25"/>
  <c r="R180" i="25"/>
  <c r="Q489" i="25"/>
  <c r="S489" i="25"/>
  <c r="R489" i="25"/>
  <c r="R334" i="25"/>
  <c r="S334" i="25"/>
  <c r="Q334" i="25"/>
  <c r="R644" i="25"/>
  <c r="I804" i="25" s="1"/>
  <c r="R804" i="25" s="1"/>
  <c r="S644" i="25"/>
  <c r="J804" i="25" s="1"/>
  <c r="S804" i="25" s="1"/>
  <c r="Q644" i="25"/>
  <c r="H804" i="25" s="1"/>
  <c r="AH179" i="25"/>
  <c r="AI179" i="25"/>
  <c r="T180" i="25"/>
  <c r="P180" i="25"/>
  <c r="N180" i="25"/>
  <c r="O180" i="25"/>
  <c r="V180" i="25"/>
  <c r="Y180" i="25"/>
  <c r="AC180" i="25" s="1"/>
  <c r="U180" i="25"/>
  <c r="AK179" i="25"/>
  <c r="AJ179" i="25"/>
  <c r="AL179" i="25"/>
  <c r="AM179" i="25"/>
  <c r="AN332" i="25"/>
  <c r="AQ332" i="25" s="1"/>
  <c r="X488" i="25"/>
  <c r="AA488" i="25" s="1"/>
  <c r="AO332" i="25"/>
  <c r="AR332" i="25" s="1"/>
  <c r="AA800" i="25"/>
  <c r="AB800" i="25" s="1"/>
  <c r="AC800" i="25" s="1"/>
  <c r="AD800" i="25" s="1"/>
  <c r="W800" i="25"/>
  <c r="X800" i="25" s="1"/>
  <c r="O801" i="25"/>
  <c r="T801" i="25"/>
  <c r="AN642" i="25"/>
  <c r="AQ642" i="25" s="1"/>
  <c r="K802" i="25" s="1"/>
  <c r="N803" i="25"/>
  <c r="R803" i="25"/>
  <c r="AJ488" i="25"/>
  <c r="AK488" i="25"/>
  <c r="AM488" i="25"/>
  <c r="AL488" i="25"/>
  <c r="W488" i="25"/>
  <c r="Z488" i="25" s="1"/>
  <c r="AH488" i="25"/>
  <c r="AI488" i="25"/>
  <c r="T644" i="25"/>
  <c r="V644" i="25"/>
  <c r="P644" i="25"/>
  <c r="U644" i="25"/>
  <c r="Y644" i="25"/>
  <c r="AC644" i="25" s="1"/>
  <c r="N644" i="25"/>
  <c r="O644" i="25"/>
  <c r="AL333" i="25"/>
  <c r="AM333" i="25"/>
  <c r="AJ643" i="25"/>
  <c r="AK643" i="25"/>
  <c r="AJ333" i="25"/>
  <c r="AK333" i="25"/>
  <c r="W643" i="25"/>
  <c r="Z643" i="25" s="1"/>
  <c r="AB643" i="25" s="1"/>
  <c r="AD643" i="25" s="1"/>
  <c r="AE643" i="25" s="1"/>
  <c r="AH643" i="25"/>
  <c r="AI643" i="25"/>
  <c r="AO643" i="25" s="1"/>
  <c r="AR643" i="25" s="1"/>
  <c r="L803" i="25" s="1"/>
  <c r="U803" i="25" s="1"/>
  <c r="M645" i="25"/>
  <c r="T489" i="25"/>
  <c r="U489" i="25"/>
  <c r="O489" i="25"/>
  <c r="Y489" i="25"/>
  <c r="AC489" i="25" s="1"/>
  <c r="N489" i="25"/>
  <c r="P489" i="25"/>
  <c r="V489" i="25"/>
  <c r="O334" i="25"/>
  <c r="V334" i="25"/>
  <c r="Y334" i="25"/>
  <c r="AC334" i="25" s="1"/>
  <c r="N334" i="25"/>
  <c r="P334" i="25"/>
  <c r="T334" i="25"/>
  <c r="U334" i="25"/>
  <c r="AI333" i="25"/>
  <c r="AH333" i="25"/>
  <c r="AL643" i="25"/>
  <c r="AM643" i="25"/>
  <c r="AL23" i="25"/>
  <c r="AJ23" i="25"/>
  <c r="E25" i="25"/>
  <c r="N24" i="25"/>
  <c r="AN21" i="25"/>
  <c r="AQ21" i="25" s="1"/>
  <c r="D24" i="25"/>
  <c r="P23" i="25"/>
  <c r="AK22" i="25"/>
  <c r="AI22" i="25"/>
  <c r="AO22" i="25" s="1"/>
  <c r="AR22" i="25" s="1"/>
  <c r="F24" i="25"/>
  <c r="O23" i="25"/>
  <c r="C25" i="25"/>
  <c r="Y24" i="25"/>
  <c r="AC24" i="25" s="1"/>
  <c r="AD24" i="25" s="1"/>
  <c r="AE24" i="25" s="1"/>
  <c r="AM22" i="25"/>
  <c r="AH22" i="25"/>
  <c r="AP22" i="25" s="1"/>
  <c r="AS22" i="25" s="1"/>
  <c r="M335" i="25"/>
  <c r="B181" i="25"/>
  <c r="M181" i="25" s="1"/>
  <c r="M490" i="25"/>
  <c r="B339" i="25"/>
  <c r="B340" i="25" s="1"/>
  <c r="B649" i="25"/>
  <c r="B493" i="25"/>
  <c r="AO333" i="25" l="1"/>
  <c r="AR333" i="25" s="1"/>
  <c r="AP488" i="25"/>
  <c r="AS488" i="25" s="1"/>
  <c r="W180" i="25"/>
  <c r="Z180" i="25" s="1"/>
  <c r="X180" i="25"/>
  <c r="AA180" i="25" s="1"/>
  <c r="AO179" i="25"/>
  <c r="AR179" i="25" s="1"/>
  <c r="AP179" i="25"/>
  <c r="AS179" i="25" s="1"/>
  <c r="AN179" i="25"/>
  <c r="AQ179" i="25" s="1"/>
  <c r="Q490" i="25"/>
  <c r="R490" i="25"/>
  <c r="S490" i="25"/>
  <c r="S181" i="25"/>
  <c r="Q181" i="25"/>
  <c r="R181" i="25"/>
  <c r="R335" i="25"/>
  <c r="S335" i="25"/>
  <c r="Q335" i="25"/>
  <c r="W335" i="25" s="1"/>
  <c r="Z335" i="25" s="1"/>
  <c r="Q645" i="25"/>
  <c r="H805" i="25" s="1"/>
  <c r="R645" i="25"/>
  <c r="I805" i="25" s="1"/>
  <c r="R805" i="25" s="1"/>
  <c r="S645" i="25"/>
  <c r="AM180" i="25"/>
  <c r="AL180" i="25"/>
  <c r="AJ180" i="25"/>
  <c r="AK180" i="25"/>
  <c r="AH180" i="25"/>
  <c r="AI180" i="25"/>
  <c r="Y181" i="25"/>
  <c r="AC181" i="25" s="1"/>
  <c r="V181" i="25"/>
  <c r="P181" i="25"/>
  <c r="T181" i="25"/>
  <c r="U181" i="25"/>
  <c r="N181" i="25"/>
  <c r="O181" i="25"/>
  <c r="W181" i="25"/>
  <c r="Z181" i="25" s="1"/>
  <c r="N804" i="25"/>
  <c r="Q804" i="25"/>
  <c r="Z804" i="25" s="1"/>
  <c r="AN333" i="25"/>
  <c r="AQ333" i="25" s="1"/>
  <c r="W801" i="25"/>
  <c r="X801" i="25" s="1"/>
  <c r="AA801" i="25"/>
  <c r="AB801" i="25" s="1"/>
  <c r="AC801" i="25" s="1"/>
  <c r="AD801" i="25" s="1"/>
  <c r="AN488" i="25"/>
  <c r="AQ488" i="25" s="1"/>
  <c r="AN643" i="25"/>
  <c r="AQ643" i="25" s="1"/>
  <c r="K803" i="25" s="1"/>
  <c r="X644" i="25"/>
  <c r="AA644" i="25" s="1"/>
  <c r="Z803" i="25"/>
  <c r="AO488" i="25"/>
  <c r="AR488" i="25" s="1"/>
  <c r="X334" i="25"/>
  <c r="AA334" i="25" s="1"/>
  <c r="O802" i="25"/>
  <c r="T802" i="25"/>
  <c r="AP333" i="25"/>
  <c r="AS333" i="25" s="1"/>
  <c r="AP643" i="25"/>
  <c r="AS643" i="25" s="1"/>
  <c r="M803" i="25" s="1"/>
  <c r="V803" i="25" s="1"/>
  <c r="AB488" i="25"/>
  <c r="AD488" i="25" s="1"/>
  <c r="AE488" i="25" s="1"/>
  <c r="X489" i="25"/>
  <c r="AA489" i="25" s="1"/>
  <c r="AJ489" i="25"/>
  <c r="AK489" i="25"/>
  <c r="W489" i="25"/>
  <c r="Z489" i="25" s="1"/>
  <c r="AH489" i="25"/>
  <c r="AP489" i="25" s="1"/>
  <c r="AS489" i="25" s="1"/>
  <c r="AI489" i="25"/>
  <c r="W644" i="25"/>
  <c r="Z644" i="25" s="1"/>
  <c r="AB644" i="25" s="1"/>
  <c r="AD644" i="25" s="1"/>
  <c r="AE644" i="25" s="1"/>
  <c r="AL644" i="25"/>
  <c r="AM644" i="25"/>
  <c r="P645" i="25"/>
  <c r="J805" i="25"/>
  <c r="S805" i="25" s="1"/>
  <c r="U645" i="25"/>
  <c r="Y645" i="25"/>
  <c r="AC645" i="25" s="1"/>
  <c r="N645" i="25"/>
  <c r="O645" i="25"/>
  <c r="T645" i="25"/>
  <c r="X645" i="25" s="1"/>
  <c r="AA645" i="25" s="1"/>
  <c r="V645" i="25"/>
  <c r="AL334" i="25"/>
  <c r="AM334" i="25"/>
  <c r="W334" i="25"/>
  <c r="Z334" i="25" s="1"/>
  <c r="AJ334" i="25"/>
  <c r="AK334" i="25"/>
  <c r="AL489" i="25"/>
  <c r="AM489" i="25"/>
  <c r="AI644" i="25"/>
  <c r="AO644" i="25" s="1"/>
  <c r="AR644" i="25" s="1"/>
  <c r="AH644" i="25"/>
  <c r="T335" i="25"/>
  <c r="U335" i="25"/>
  <c r="N335" i="25"/>
  <c r="V335" i="25"/>
  <c r="O335" i="25"/>
  <c r="P335" i="25"/>
  <c r="Y335" i="25"/>
  <c r="AC335" i="25" s="1"/>
  <c r="AH334" i="25"/>
  <c r="AI334" i="25"/>
  <c r="M646" i="25"/>
  <c r="O490" i="25"/>
  <c r="P490" i="25"/>
  <c r="Y490" i="25"/>
  <c r="AC490" i="25" s="1"/>
  <c r="U490" i="25"/>
  <c r="V490" i="25"/>
  <c r="N490" i="25"/>
  <c r="T490" i="25"/>
  <c r="AK644" i="25"/>
  <c r="AJ644" i="25"/>
  <c r="D25" i="25"/>
  <c r="P24" i="25"/>
  <c r="AI23" i="25"/>
  <c r="AO23" i="25" s="1"/>
  <c r="AR23" i="25" s="1"/>
  <c r="AK23" i="25"/>
  <c r="AN22" i="25"/>
  <c r="AQ22" i="25" s="1"/>
  <c r="AL24" i="25"/>
  <c r="AJ24" i="25"/>
  <c r="C26" i="25"/>
  <c r="Y25" i="25"/>
  <c r="AC25" i="25" s="1"/>
  <c r="AD25" i="25" s="1"/>
  <c r="AE25" i="25" s="1"/>
  <c r="AM23" i="25"/>
  <c r="AH23" i="25"/>
  <c r="AP23" i="25" s="1"/>
  <c r="AS23" i="25" s="1"/>
  <c r="E26" i="25"/>
  <c r="N25" i="25"/>
  <c r="F25" i="25"/>
  <c r="O24" i="25"/>
  <c r="B341" i="25"/>
  <c r="M336" i="25"/>
  <c r="B182" i="25"/>
  <c r="M182" i="25" s="1"/>
  <c r="M491" i="25"/>
  <c r="B650" i="25"/>
  <c r="B494" i="25"/>
  <c r="X181" i="25" l="1"/>
  <c r="AA181" i="25" s="1"/>
  <c r="AB181" i="25" s="1"/>
  <c r="AD181" i="25" s="1"/>
  <c r="AE181" i="25" s="1"/>
  <c r="AO180" i="25"/>
  <c r="AR180" i="25" s="1"/>
  <c r="X490" i="25"/>
  <c r="AA490" i="25" s="1"/>
  <c r="AP334" i="25"/>
  <c r="AS334" i="25" s="1"/>
  <c r="AO334" i="25"/>
  <c r="AR334" i="25" s="1"/>
  <c r="X335" i="25"/>
  <c r="AA335" i="25" s="1"/>
  <c r="AB334" i="25"/>
  <c r="AD334" i="25" s="1"/>
  <c r="AE334" i="25" s="1"/>
  <c r="AB180" i="25"/>
  <c r="AD180" i="25" s="1"/>
  <c r="AE180" i="25" s="1"/>
  <c r="L804" i="25"/>
  <c r="U804" i="25" s="1"/>
  <c r="AP180" i="25"/>
  <c r="AS180" i="25" s="1"/>
  <c r="AN180" i="25"/>
  <c r="AQ180" i="25" s="1"/>
  <c r="R182" i="25"/>
  <c r="S182" i="25"/>
  <c r="Q182" i="25"/>
  <c r="Q646" i="25"/>
  <c r="H806" i="25" s="1"/>
  <c r="Q806" i="25" s="1"/>
  <c r="R646" i="25"/>
  <c r="I806" i="25" s="1"/>
  <c r="S646" i="25"/>
  <c r="J806" i="25" s="1"/>
  <c r="S806" i="25" s="1"/>
  <c r="Q491" i="25"/>
  <c r="S491" i="25"/>
  <c r="R491" i="25"/>
  <c r="Q336" i="25"/>
  <c r="R336" i="25"/>
  <c r="S336" i="25"/>
  <c r="AK181" i="25"/>
  <c r="AJ181" i="25"/>
  <c r="AM181" i="25"/>
  <c r="AL181" i="25"/>
  <c r="Y182" i="25"/>
  <c r="AC182" i="25" s="1"/>
  <c r="T182" i="25"/>
  <c r="O182" i="25"/>
  <c r="V182" i="25"/>
  <c r="U182" i="25"/>
  <c r="P182" i="25"/>
  <c r="N182" i="25"/>
  <c r="AI181" i="25"/>
  <c r="AO181" i="25" s="1"/>
  <c r="AR181" i="25" s="1"/>
  <c r="AH181" i="25"/>
  <c r="AB335" i="25"/>
  <c r="AD335" i="25" s="1"/>
  <c r="AE335" i="25" s="1"/>
  <c r="W490" i="25"/>
  <c r="Z490" i="25" s="1"/>
  <c r="AB490" i="25" s="1"/>
  <c r="AD490" i="25" s="1"/>
  <c r="AE490" i="25" s="1"/>
  <c r="AN644" i="25"/>
  <c r="AQ644" i="25" s="1"/>
  <c r="K804" i="25" s="1"/>
  <c r="AN334" i="25"/>
  <c r="AQ334" i="25" s="1"/>
  <c r="AB489" i="25"/>
  <c r="AD489" i="25" s="1"/>
  <c r="AE489" i="25" s="1"/>
  <c r="AN489" i="25"/>
  <c r="AQ489" i="25" s="1"/>
  <c r="AA802" i="25"/>
  <c r="AB802" i="25" s="1"/>
  <c r="AC802" i="25" s="1"/>
  <c r="AD802" i="25" s="1"/>
  <c r="W802" i="25"/>
  <c r="X802" i="25" s="1"/>
  <c r="Q805" i="25"/>
  <c r="Z805" i="25" s="1"/>
  <c r="N805" i="25"/>
  <c r="AP644" i="25"/>
  <c r="AS644" i="25" s="1"/>
  <c r="M804" i="25" s="1"/>
  <c r="V804" i="25" s="1"/>
  <c r="T803" i="25"/>
  <c r="O803" i="25"/>
  <c r="AO489" i="25"/>
  <c r="AR489" i="25" s="1"/>
  <c r="AJ490" i="25"/>
  <c r="AK490" i="25"/>
  <c r="AL335" i="25"/>
  <c r="AM335" i="25"/>
  <c r="AJ335" i="25"/>
  <c r="AK335" i="25"/>
  <c r="AI490" i="25"/>
  <c r="AH490" i="25"/>
  <c r="N646" i="25"/>
  <c r="V646" i="25"/>
  <c r="O646" i="25"/>
  <c r="W646" i="25"/>
  <c r="Z646" i="25" s="1"/>
  <c r="AB646" i="25" s="1"/>
  <c r="AD646" i="25" s="1"/>
  <c r="AE646" i="25" s="1"/>
  <c r="U646" i="25"/>
  <c r="P646" i="25"/>
  <c r="T646" i="25"/>
  <c r="X646" i="25"/>
  <c r="AA646" i="25" s="1"/>
  <c r="Y646" i="25"/>
  <c r="AC646" i="25" s="1"/>
  <c r="AH335" i="25"/>
  <c r="AI335" i="25"/>
  <c r="W645" i="25"/>
  <c r="Z645" i="25" s="1"/>
  <c r="AB645" i="25" s="1"/>
  <c r="AD645" i="25" s="1"/>
  <c r="AE645" i="25" s="1"/>
  <c r="AH645" i="25"/>
  <c r="AI645" i="25"/>
  <c r="AL645" i="25"/>
  <c r="AM645" i="25"/>
  <c r="N336" i="25"/>
  <c r="V336" i="25"/>
  <c r="O336" i="25"/>
  <c r="P336" i="25"/>
  <c r="Y336" i="25"/>
  <c r="AC336" i="25" s="1"/>
  <c r="T336" i="25"/>
  <c r="U336" i="25"/>
  <c r="M647" i="25"/>
  <c r="T491" i="25"/>
  <c r="U491" i="25"/>
  <c r="N491" i="25"/>
  <c r="V491" i="25"/>
  <c r="P491" i="25"/>
  <c r="O491" i="25"/>
  <c r="Y491" i="25"/>
  <c r="AC491" i="25" s="1"/>
  <c r="AL490" i="25"/>
  <c r="AM490" i="25"/>
  <c r="AJ645" i="25"/>
  <c r="AK645" i="25"/>
  <c r="AI24" i="25"/>
  <c r="AO24" i="25" s="1"/>
  <c r="AR24" i="25" s="1"/>
  <c r="AK24" i="25"/>
  <c r="AJ25" i="25"/>
  <c r="AL25" i="25"/>
  <c r="D26" i="25"/>
  <c r="P25" i="25"/>
  <c r="C27" i="25"/>
  <c r="Y26" i="25"/>
  <c r="AC26" i="25" s="1"/>
  <c r="AD26" i="25" s="1"/>
  <c r="AE26" i="25" s="1"/>
  <c r="AN23" i="25"/>
  <c r="AQ23" i="25" s="1"/>
  <c r="E27" i="25"/>
  <c r="N26" i="25"/>
  <c r="AH24" i="25"/>
  <c r="AP24" i="25" s="1"/>
  <c r="AS24" i="25" s="1"/>
  <c r="AM24" i="25"/>
  <c r="F26" i="25"/>
  <c r="O25" i="25"/>
  <c r="B342" i="25"/>
  <c r="M492" i="25"/>
  <c r="B183" i="25"/>
  <c r="M337" i="25"/>
  <c r="B495" i="25"/>
  <c r="B651" i="25"/>
  <c r="B652" i="25" s="1"/>
  <c r="X182" i="25" l="1"/>
  <c r="AA182" i="25" s="1"/>
  <c r="X336" i="25"/>
  <c r="AA336" i="25" s="1"/>
  <c r="AP335" i="25"/>
  <c r="AS335" i="25" s="1"/>
  <c r="AO490" i="25"/>
  <c r="AR490" i="25" s="1"/>
  <c r="AP490" i="25"/>
  <c r="AS490" i="25" s="1"/>
  <c r="X491" i="25"/>
  <c r="AA491" i="25" s="1"/>
  <c r="AN181" i="25"/>
  <c r="AQ181" i="25" s="1"/>
  <c r="AP181" i="25"/>
  <c r="AS181" i="25" s="1"/>
  <c r="R492" i="25"/>
  <c r="S492" i="25"/>
  <c r="Q492" i="25"/>
  <c r="Q647" i="25"/>
  <c r="R647" i="25"/>
  <c r="I807" i="25" s="1"/>
  <c r="R807" i="25" s="1"/>
  <c r="S647" i="25"/>
  <c r="J807" i="25" s="1"/>
  <c r="S807" i="25" s="1"/>
  <c r="Q337" i="25"/>
  <c r="R337" i="25"/>
  <c r="S337" i="25"/>
  <c r="AM182" i="25"/>
  <c r="AL182" i="25"/>
  <c r="B184" i="25"/>
  <c r="M184" i="25" s="1"/>
  <c r="M183" i="25"/>
  <c r="AK182" i="25"/>
  <c r="AJ182" i="25"/>
  <c r="W182" i="25"/>
  <c r="Z182" i="25" s="1"/>
  <c r="AB182" i="25" s="1"/>
  <c r="AD182" i="25" s="1"/>
  <c r="AE182" i="25" s="1"/>
  <c r="AI182" i="25"/>
  <c r="AH182" i="25"/>
  <c r="N806" i="25"/>
  <c r="R806" i="25"/>
  <c r="Z806" i="25" s="1"/>
  <c r="AN335" i="25"/>
  <c r="AQ335" i="25" s="1"/>
  <c r="AO645" i="25"/>
  <c r="AR645" i="25" s="1"/>
  <c r="L805" i="25" s="1"/>
  <c r="U805" i="25" s="1"/>
  <c r="AA803" i="25"/>
  <c r="AB803" i="25" s="1"/>
  <c r="AC803" i="25" s="1"/>
  <c r="AD803" i="25" s="1"/>
  <c r="W803" i="25"/>
  <c r="X803" i="25" s="1"/>
  <c r="AN490" i="25"/>
  <c r="AQ490" i="25" s="1"/>
  <c r="AP645" i="25"/>
  <c r="AS645" i="25" s="1"/>
  <c r="M805" i="25" s="1"/>
  <c r="V805" i="25" s="1"/>
  <c r="AO335" i="25"/>
  <c r="AR335" i="25" s="1"/>
  <c r="AN645" i="25"/>
  <c r="AQ645" i="25" s="1"/>
  <c r="K805" i="25" s="1"/>
  <c r="T804" i="25"/>
  <c r="O804" i="25"/>
  <c r="T337" i="25"/>
  <c r="U337" i="25"/>
  <c r="N337" i="25"/>
  <c r="V337" i="25"/>
  <c r="O337" i="25"/>
  <c r="P337" i="25"/>
  <c r="Y337" i="25"/>
  <c r="AC337" i="25" s="1"/>
  <c r="AK491" i="25"/>
  <c r="AJ491" i="25"/>
  <c r="AL336" i="25"/>
  <c r="AM336" i="25"/>
  <c r="P647" i="25"/>
  <c r="H807" i="25"/>
  <c r="U647" i="25"/>
  <c r="T647" i="25"/>
  <c r="V647" i="25"/>
  <c r="Y647" i="25"/>
  <c r="AC647" i="25" s="1"/>
  <c r="N647" i="25"/>
  <c r="O647" i="25"/>
  <c r="AJ336" i="25"/>
  <c r="AK336" i="25"/>
  <c r="M648" i="25"/>
  <c r="O492" i="25"/>
  <c r="Y492" i="25"/>
  <c r="AC492" i="25" s="1"/>
  <c r="P492" i="25"/>
  <c r="U492" i="25"/>
  <c r="N492" i="25"/>
  <c r="V492" i="25"/>
  <c r="T492" i="25"/>
  <c r="W491" i="25"/>
  <c r="Z491" i="25" s="1"/>
  <c r="AH491" i="25"/>
  <c r="AI491" i="25"/>
  <c r="AL491" i="25"/>
  <c r="AM491" i="25"/>
  <c r="AH646" i="25"/>
  <c r="AI646" i="25"/>
  <c r="AO646" i="25" s="1"/>
  <c r="AR646" i="25" s="1"/>
  <c r="L806" i="25" s="1"/>
  <c r="U806" i="25" s="1"/>
  <c r="W336" i="25"/>
  <c r="Z336" i="25" s="1"/>
  <c r="AB336" i="25" s="1"/>
  <c r="AD336" i="25" s="1"/>
  <c r="AE336" i="25" s="1"/>
  <c r="AH336" i="25"/>
  <c r="AI336" i="25"/>
  <c r="AL646" i="25"/>
  <c r="AM646" i="25"/>
  <c r="AJ646" i="25"/>
  <c r="AK646" i="25"/>
  <c r="E28" i="25"/>
  <c r="N27" i="25"/>
  <c r="D27" i="25"/>
  <c r="P26" i="25"/>
  <c r="AN24" i="25"/>
  <c r="AQ24" i="25" s="1"/>
  <c r="AJ26" i="25"/>
  <c r="AL26" i="25"/>
  <c r="AH25" i="25"/>
  <c r="AP25" i="25" s="1"/>
  <c r="AS25" i="25" s="1"/>
  <c r="AM25" i="25"/>
  <c r="C28" i="25"/>
  <c r="Y27" i="25"/>
  <c r="AC27" i="25" s="1"/>
  <c r="AD27" i="25" s="1"/>
  <c r="AE27" i="25" s="1"/>
  <c r="F27" i="25"/>
  <c r="O26" i="25"/>
  <c r="AI25" i="25"/>
  <c r="AO25" i="25" s="1"/>
  <c r="AR25" i="25" s="1"/>
  <c r="AK25" i="25"/>
  <c r="B653" i="25"/>
  <c r="B496" i="25"/>
  <c r="B631" i="25"/>
  <c r="B343" i="25"/>
  <c r="M493" i="25"/>
  <c r="M338" i="25"/>
  <c r="B319" i="25"/>
  <c r="M319" i="25" s="1"/>
  <c r="B788" i="25"/>
  <c r="W337" i="25" l="1"/>
  <c r="Z337" i="25" s="1"/>
  <c r="AB491" i="25"/>
  <c r="AD491" i="25" s="1"/>
  <c r="AE491" i="25" s="1"/>
  <c r="X492" i="25"/>
  <c r="AA492" i="25" s="1"/>
  <c r="AP491" i="25"/>
  <c r="AS491" i="25" s="1"/>
  <c r="AN182" i="25"/>
  <c r="AQ182" i="25" s="1"/>
  <c r="AP182" i="25"/>
  <c r="AS182" i="25" s="1"/>
  <c r="AO182" i="25"/>
  <c r="AR182" i="25" s="1"/>
  <c r="S493" i="25"/>
  <c r="R493" i="25"/>
  <c r="Q493" i="25"/>
  <c r="Q648" i="25"/>
  <c r="R648" i="25"/>
  <c r="I808" i="25" s="1"/>
  <c r="R808" i="25" s="1"/>
  <c r="S648" i="25"/>
  <c r="J808" i="25" s="1"/>
  <c r="S808" i="25" s="1"/>
  <c r="R183" i="25"/>
  <c r="Q183" i="25"/>
  <c r="S183" i="25"/>
  <c r="W183" i="25" s="1"/>
  <c r="Z183" i="25" s="1"/>
  <c r="M340" i="25"/>
  <c r="V340" i="25" s="1"/>
  <c r="R184" i="25"/>
  <c r="Q184" i="25"/>
  <c r="S184" i="25"/>
  <c r="Q319" i="25"/>
  <c r="S319" i="25"/>
  <c r="R319" i="25"/>
  <c r="Q338" i="25"/>
  <c r="R338" i="25"/>
  <c r="S338" i="25"/>
  <c r="B185" i="25"/>
  <c r="M185" i="25" s="1"/>
  <c r="N185" i="25" s="1"/>
  <c r="P183" i="25"/>
  <c r="N183" i="25"/>
  <c r="T183" i="25"/>
  <c r="X183" i="25" s="1"/>
  <c r="AA183" i="25" s="1"/>
  <c r="O183" i="25"/>
  <c r="Y183" i="25"/>
  <c r="AC183" i="25" s="1"/>
  <c r="U183" i="25"/>
  <c r="V183" i="25"/>
  <c r="U319" i="25"/>
  <c r="Y319" i="25"/>
  <c r="AC319" i="25" s="1"/>
  <c r="O319" i="25"/>
  <c r="V319" i="25"/>
  <c r="T319" i="25"/>
  <c r="N319" i="25"/>
  <c r="P319" i="25"/>
  <c r="W319" i="25"/>
  <c r="Z319" i="25" s="1"/>
  <c r="X319" i="25"/>
  <c r="AA319" i="25" s="1"/>
  <c r="AB319" i="25" s="1"/>
  <c r="AD319" i="25" s="1"/>
  <c r="AE319" i="25" s="1"/>
  <c r="AO319" i="25"/>
  <c r="AR319" i="25" s="1"/>
  <c r="N184" i="25"/>
  <c r="P184" i="25"/>
  <c r="O184" i="25"/>
  <c r="Y184" i="25"/>
  <c r="AC184" i="25" s="1"/>
  <c r="V184" i="25"/>
  <c r="T184" i="25"/>
  <c r="U184" i="25"/>
  <c r="AN25" i="25"/>
  <c r="AQ25" i="25" s="1"/>
  <c r="T805" i="25"/>
  <c r="O805" i="25"/>
  <c r="X647" i="25"/>
  <c r="AA647" i="25" s="1"/>
  <c r="N807" i="25"/>
  <c r="Q807" i="25"/>
  <c r="Z807" i="25" s="1"/>
  <c r="AO491" i="25"/>
  <c r="AR491" i="25" s="1"/>
  <c r="AO336" i="25"/>
  <c r="AR336" i="25" s="1"/>
  <c r="AN336" i="25"/>
  <c r="AQ336" i="25" s="1"/>
  <c r="AP336" i="25"/>
  <c r="AS336" i="25" s="1"/>
  <c r="X337" i="25"/>
  <c r="AA337" i="25" s="1"/>
  <c r="AB337" i="25" s="1"/>
  <c r="AD337" i="25" s="1"/>
  <c r="AE337" i="25" s="1"/>
  <c r="AA804" i="25"/>
  <c r="AB804" i="25" s="1"/>
  <c r="AC804" i="25" s="1"/>
  <c r="AD804" i="25" s="1"/>
  <c r="W804" i="25"/>
  <c r="X804" i="25" s="1"/>
  <c r="AN646" i="25"/>
  <c r="AQ646" i="25" s="1"/>
  <c r="K806" i="25" s="1"/>
  <c r="AP646" i="25"/>
  <c r="AS646" i="25" s="1"/>
  <c r="M806" i="25" s="1"/>
  <c r="V806" i="25" s="1"/>
  <c r="W492" i="25"/>
  <c r="Z492" i="25" s="1"/>
  <c r="AB492" i="25" s="1"/>
  <c r="AD492" i="25" s="1"/>
  <c r="AE492" i="25" s="1"/>
  <c r="AN491" i="25"/>
  <c r="AQ491" i="25" s="1"/>
  <c r="AJ492" i="25"/>
  <c r="AK492" i="25"/>
  <c r="AL337" i="25"/>
  <c r="AM337" i="25"/>
  <c r="W647" i="25"/>
  <c r="Z647" i="25" s="1"/>
  <c r="AH647" i="25"/>
  <c r="AP647" i="25" s="1"/>
  <c r="AS647" i="25" s="1"/>
  <c r="M807" i="25" s="1"/>
  <c r="V807" i="25" s="1"/>
  <c r="AI647" i="25"/>
  <c r="AL647" i="25"/>
  <c r="AM647" i="25"/>
  <c r="P338" i="25"/>
  <c r="AC338" i="25"/>
  <c r="T338" i="25"/>
  <c r="U338" i="25"/>
  <c r="N338" i="25"/>
  <c r="V338" i="25"/>
  <c r="O338" i="25"/>
  <c r="Y338" i="25"/>
  <c r="O648" i="25"/>
  <c r="Y648" i="25"/>
  <c r="AC648" i="25" s="1"/>
  <c r="P648" i="25"/>
  <c r="H808" i="25"/>
  <c r="T648" i="25"/>
  <c r="N648" i="25"/>
  <c r="U648" i="25"/>
  <c r="V648" i="25"/>
  <c r="AJ647" i="25"/>
  <c r="AK647" i="25"/>
  <c r="AN647" i="25" s="1"/>
  <c r="AQ647" i="25" s="1"/>
  <c r="AH337" i="25"/>
  <c r="AI337" i="25"/>
  <c r="AH492" i="25"/>
  <c r="AP492" i="25" s="1"/>
  <c r="AS492" i="25" s="1"/>
  <c r="AI492" i="25"/>
  <c r="M649" i="25"/>
  <c r="T493" i="25"/>
  <c r="U493" i="25"/>
  <c r="N493" i="25"/>
  <c r="V493" i="25"/>
  <c r="O493" i="25"/>
  <c r="Y493" i="25"/>
  <c r="AC493" i="25" s="1"/>
  <c r="P493" i="25"/>
  <c r="AM492" i="25"/>
  <c r="AL492" i="25"/>
  <c r="AJ337" i="25"/>
  <c r="AK337" i="25"/>
  <c r="AM26" i="25"/>
  <c r="AH26" i="25"/>
  <c r="AP26" i="25" s="1"/>
  <c r="AS26" i="25" s="1"/>
  <c r="AK26" i="25"/>
  <c r="AI26" i="25"/>
  <c r="AO26" i="25" s="1"/>
  <c r="AR26" i="25" s="1"/>
  <c r="D28" i="25"/>
  <c r="P27" i="25"/>
  <c r="F28" i="25"/>
  <c r="O27" i="25"/>
  <c r="C29" i="25"/>
  <c r="Y28" i="25"/>
  <c r="AC28" i="25" s="1"/>
  <c r="AD28" i="25" s="1"/>
  <c r="AE28" i="25" s="1"/>
  <c r="AL27" i="25"/>
  <c r="AJ27" i="25"/>
  <c r="E29" i="25"/>
  <c r="N28" i="25"/>
  <c r="B654" i="25"/>
  <c r="B497" i="25"/>
  <c r="B344" i="25"/>
  <c r="M341" i="25"/>
  <c r="B186" i="25"/>
  <c r="M186" i="25" s="1"/>
  <c r="M494" i="25"/>
  <c r="M339" i="25"/>
  <c r="M496" i="25" l="1"/>
  <c r="AO492" i="25"/>
  <c r="AR492" i="25" s="1"/>
  <c r="X493" i="25"/>
  <c r="AA493" i="25" s="1"/>
  <c r="X338" i="25"/>
  <c r="AA338" i="25" s="1"/>
  <c r="AO337" i="25"/>
  <c r="AR337" i="25" s="1"/>
  <c r="AB183" i="25"/>
  <c r="AD183" i="25" s="1"/>
  <c r="AE183" i="25" s="1"/>
  <c r="W184" i="25"/>
  <c r="Z184" i="25" s="1"/>
  <c r="T340" i="25"/>
  <c r="N340" i="25"/>
  <c r="U340" i="25"/>
  <c r="X184" i="25"/>
  <c r="AA184" i="25" s="1"/>
  <c r="P340" i="25"/>
  <c r="K807" i="25"/>
  <c r="T807" i="25" s="1"/>
  <c r="Y340" i="25"/>
  <c r="AC340" i="25" s="1"/>
  <c r="Y185" i="25"/>
  <c r="AC185" i="25" s="1"/>
  <c r="S649" i="25"/>
  <c r="Q649" i="25"/>
  <c r="H809" i="25" s="1"/>
  <c r="R649" i="25"/>
  <c r="I809" i="25" s="1"/>
  <c r="R809" i="25" s="1"/>
  <c r="Q186" i="25"/>
  <c r="R186" i="25"/>
  <c r="S186" i="25"/>
  <c r="Q341" i="25"/>
  <c r="R341" i="25"/>
  <c r="S341" i="25"/>
  <c r="V185" i="25"/>
  <c r="O340" i="25"/>
  <c r="P185" i="25"/>
  <c r="R494" i="25"/>
  <c r="Q494" i="25"/>
  <c r="S494" i="25"/>
  <c r="R496" i="25"/>
  <c r="S496" i="25"/>
  <c r="Q496" i="25"/>
  <c r="Q185" i="25"/>
  <c r="R185" i="25"/>
  <c r="AJ185" i="25" s="1"/>
  <c r="S185" i="25"/>
  <c r="S339" i="25"/>
  <c r="Q339" i="25"/>
  <c r="R339" i="25"/>
  <c r="S340" i="25"/>
  <c r="Q340" i="25"/>
  <c r="R340" i="25"/>
  <c r="U185" i="25"/>
  <c r="T185" i="25"/>
  <c r="O185" i="25"/>
  <c r="AJ319" i="25"/>
  <c r="AK319" i="25"/>
  <c r="AN319" i="25" s="1"/>
  <c r="AQ319" i="25" s="1"/>
  <c r="AJ183" i="25"/>
  <c r="AK183" i="25"/>
  <c r="AL319" i="25"/>
  <c r="AM319" i="25"/>
  <c r="O186" i="25"/>
  <c r="P186" i="25"/>
  <c r="Y186" i="25"/>
  <c r="AC186" i="25" s="1"/>
  <c r="U186" i="25"/>
  <c r="N186" i="25"/>
  <c r="T186" i="25"/>
  <c r="V186" i="25"/>
  <c r="AI184" i="25"/>
  <c r="AH184" i="25"/>
  <c r="AH319" i="25"/>
  <c r="AP319" i="25" s="1"/>
  <c r="AS319" i="25" s="1"/>
  <c r="AI319" i="25"/>
  <c r="AM184" i="25"/>
  <c r="AL184" i="25"/>
  <c r="AL183" i="25"/>
  <c r="AM183" i="25"/>
  <c r="AJ184" i="25"/>
  <c r="AK184" i="25"/>
  <c r="AI183" i="25"/>
  <c r="AH183" i="25"/>
  <c r="AN26" i="25"/>
  <c r="AQ26" i="25" s="1"/>
  <c r="T806" i="25"/>
  <c r="O806" i="25"/>
  <c r="AN492" i="25"/>
  <c r="AQ492" i="25" s="1"/>
  <c r="AP337" i="25"/>
  <c r="AS337" i="25" s="1"/>
  <c r="AA805" i="25"/>
  <c r="AB805" i="25" s="1"/>
  <c r="AC805" i="25" s="1"/>
  <c r="AD805" i="25" s="1"/>
  <c r="W805" i="25"/>
  <c r="X805" i="25" s="1"/>
  <c r="AO647" i="25"/>
  <c r="AR647" i="25" s="1"/>
  <c r="L807" i="25" s="1"/>
  <c r="U807" i="25" s="1"/>
  <c r="X648" i="25"/>
  <c r="AA648" i="25" s="1"/>
  <c r="AN337" i="25"/>
  <c r="AQ337" i="25" s="1"/>
  <c r="AB647" i="25"/>
  <c r="AD647" i="25" s="1"/>
  <c r="AE647" i="25" s="1"/>
  <c r="N808" i="25"/>
  <c r="Q808" i="25"/>
  <c r="Z808" i="25" s="1"/>
  <c r="O341" i="25"/>
  <c r="P341" i="25"/>
  <c r="Y341" i="25"/>
  <c r="AC341" i="25" s="1"/>
  <c r="T341" i="25"/>
  <c r="N341" i="25"/>
  <c r="U341" i="25"/>
  <c r="V341" i="25"/>
  <c r="W493" i="25"/>
  <c r="Z493" i="25" s="1"/>
  <c r="AB493" i="25" s="1"/>
  <c r="AD493" i="25" s="1"/>
  <c r="AE493" i="25" s="1"/>
  <c r="AH493" i="25"/>
  <c r="AI493" i="25"/>
  <c r="W648" i="25"/>
  <c r="Z648" i="25" s="1"/>
  <c r="AB648" i="25" s="1"/>
  <c r="AD648" i="25" s="1"/>
  <c r="AE648" i="25" s="1"/>
  <c r="AL648" i="25"/>
  <c r="AM648" i="25"/>
  <c r="AM493" i="25"/>
  <c r="AL493" i="25"/>
  <c r="AJ493" i="25"/>
  <c r="AK493" i="25"/>
  <c r="T649" i="25"/>
  <c r="U649" i="25"/>
  <c r="P649" i="25"/>
  <c r="J809" i="25"/>
  <c r="S809" i="25" s="1"/>
  <c r="N649" i="25"/>
  <c r="O649" i="25"/>
  <c r="V649" i="25"/>
  <c r="Y649" i="25"/>
  <c r="AC649" i="25" s="1"/>
  <c r="AJ648" i="25"/>
  <c r="AK648" i="25"/>
  <c r="AN648" i="25" s="1"/>
  <c r="AQ648" i="25" s="1"/>
  <c r="AL338" i="25"/>
  <c r="AM338" i="25"/>
  <c r="AH648" i="25"/>
  <c r="AI648" i="25"/>
  <c r="AO648" i="25" s="1"/>
  <c r="AR648" i="25" s="1"/>
  <c r="L808" i="25" s="1"/>
  <c r="U808" i="25" s="1"/>
  <c r="W338" i="25"/>
  <c r="Z338" i="25" s="1"/>
  <c r="AJ338" i="25"/>
  <c r="AK338" i="25"/>
  <c r="AH338" i="25"/>
  <c r="AI338" i="25"/>
  <c r="AO338" i="25" s="1"/>
  <c r="AR338" i="25" s="1"/>
  <c r="M650" i="25"/>
  <c r="T494" i="25"/>
  <c r="U494" i="25"/>
  <c r="N494" i="25"/>
  <c r="V494" i="25"/>
  <c r="P494" i="25"/>
  <c r="O494" i="25"/>
  <c r="W494" i="25"/>
  <c r="Z494" i="25" s="1"/>
  <c r="Y494" i="25"/>
  <c r="AC494" i="25" s="1"/>
  <c r="T496" i="25"/>
  <c r="U496" i="25"/>
  <c r="N496" i="25"/>
  <c r="V496" i="25"/>
  <c r="P496" i="25"/>
  <c r="Y496" i="25"/>
  <c r="AC496" i="25" s="1"/>
  <c r="O496" i="25"/>
  <c r="N339" i="25"/>
  <c r="V339" i="25"/>
  <c r="O339" i="25"/>
  <c r="P339" i="25"/>
  <c r="T339" i="25"/>
  <c r="U339" i="25"/>
  <c r="Y339" i="25"/>
  <c r="AC339" i="25" s="1"/>
  <c r="C30" i="25"/>
  <c r="Y29" i="25"/>
  <c r="AC29" i="25" s="1"/>
  <c r="AD29" i="25" s="1"/>
  <c r="AE29" i="25" s="1"/>
  <c r="AM27" i="25"/>
  <c r="AH27" i="25"/>
  <c r="AP27" i="25" s="1"/>
  <c r="AS27" i="25" s="1"/>
  <c r="AL28" i="25"/>
  <c r="AJ28" i="25"/>
  <c r="E30" i="25"/>
  <c r="N29" i="25"/>
  <c r="F29" i="25"/>
  <c r="O28" i="25"/>
  <c r="AI27" i="25"/>
  <c r="AO27" i="25" s="1"/>
  <c r="AR27" i="25" s="1"/>
  <c r="AK27" i="25"/>
  <c r="D29" i="25"/>
  <c r="P28" i="25"/>
  <c r="M652" i="25"/>
  <c r="B655" i="25"/>
  <c r="M497" i="25"/>
  <c r="B498" i="25"/>
  <c r="B499" i="25" s="1"/>
  <c r="B345" i="25"/>
  <c r="B187" i="25"/>
  <c r="M187" i="25" s="1"/>
  <c r="M342" i="25"/>
  <c r="M495" i="25"/>
  <c r="W341" i="25" l="1"/>
  <c r="Z341" i="25" s="1"/>
  <c r="X339" i="25"/>
  <c r="AA339" i="25" s="1"/>
  <c r="AB338" i="25"/>
  <c r="AD338" i="25" s="1"/>
  <c r="AE338" i="25" s="1"/>
  <c r="AB184" i="25"/>
  <c r="AD184" i="25" s="1"/>
  <c r="AE184" i="25" s="1"/>
  <c r="AN184" i="25"/>
  <c r="AQ184" i="25" s="1"/>
  <c r="AO493" i="25"/>
  <c r="AR493" i="25" s="1"/>
  <c r="X496" i="25"/>
  <c r="AA496" i="25" s="1"/>
  <c r="X494" i="25"/>
  <c r="AA494" i="25" s="1"/>
  <c r="AB494" i="25" s="1"/>
  <c r="AD494" i="25" s="1"/>
  <c r="AE494" i="25" s="1"/>
  <c r="W340" i="25"/>
  <c r="Z340" i="25" s="1"/>
  <c r="X340" i="25"/>
  <c r="AA340" i="25" s="1"/>
  <c r="AI340" i="25"/>
  <c r="AH340" i="25"/>
  <c r="X341" i="25"/>
  <c r="AA341" i="25" s="1"/>
  <c r="W185" i="25"/>
  <c r="Z185" i="25" s="1"/>
  <c r="W186" i="25"/>
  <c r="Z186" i="25" s="1"/>
  <c r="AO183" i="25"/>
  <c r="AR183" i="25" s="1"/>
  <c r="AN183" i="25"/>
  <c r="AQ183" i="25" s="1"/>
  <c r="AP183" i="25"/>
  <c r="AS183" i="25" s="1"/>
  <c r="X185" i="25"/>
  <c r="AA185" i="25" s="1"/>
  <c r="X186" i="25"/>
  <c r="AA186" i="25" s="1"/>
  <c r="AK340" i="25"/>
  <c r="AP184" i="25"/>
  <c r="AS184" i="25" s="1"/>
  <c r="AO184" i="25"/>
  <c r="AR184" i="25" s="1"/>
  <c r="AM340" i="25"/>
  <c r="AJ340" i="25"/>
  <c r="AL340" i="25"/>
  <c r="AH185" i="25"/>
  <c r="AP185" i="25" s="1"/>
  <c r="AS185" i="25" s="1"/>
  <c r="K808" i="25"/>
  <c r="T808" i="25" s="1"/>
  <c r="AI185" i="25"/>
  <c r="AK185" i="25"/>
  <c r="AM185" i="25"/>
  <c r="Q497" i="25"/>
  <c r="S497" i="25"/>
  <c r="R497" i="25"/>
  <c r="R652" i="25"/>
  <c r="S652" i="25"/>
  <c r="J812" i="25" s="1"/>
  <c r="S812" i="25" s="1"/>
  <c r="Q652" i="25"/>
  <c r="H812" i="25" s="1"/>
  <c r="Q187" i="25"/>
  <c r="S187" i="25"/>
  <c r="R187" i="25"/>
  <c r="Q650" i="25"/>
  <c r="H810" i="25" s="1"/>
  <c r="Q810" i="25" s="1"/>
  <c r="R650" i="25"/>
  <c r="I810" i="25" s="1"/>
  <c r="R810" i="25" s="1"/>
  <c r="S650" i="25"/>
  <c r="Q495" i="25"/>
  <c r="R495" i="25"/>
  <c r="S495" i="25"/>
  <c r="R342" i="25"/>
  <c r="Q342" i="25"/>
  <c r="S342" i="25"/>
  <c r="AL185" i="25"/>
  <c r="P187" i="25"/>
  <c r="Y187" i="25"/>
  <c r="AC187" i="25" s="1"/>
  <c r="N187" i="25"/>
  <c r="V187" i="25"/>
  <c r="O187" i="25"/>
  <c r="T187" i="25"/>
  <c r="U187" i="25"/>
  <c r="AL186" i="25"/>
  <c r="AM186" i="25"/>
  <c r="AJ186" i="25"/>
  <c r="AK186" i="25"/>
  <c r="AI186" i="25"/>
  <c r="AH186" i="25"/>
  <c r="N809" i="25"/>
  <c r="Q809" i="25"/>
  <c r="AB341" i="25"/>
  <c r="AD341" i="25" s="1"/>
  <c r="AE341" i="25" s="1"/>
  <c r="AN493" i="25"/>
  <c r="AQ493" i="25" s="1"/>
  <c r="AP493" i="25"/>
  <c r="AS493" i="25" s="1"/>
  <c r="AN338" i="25"/>
  <c r="AQ338" i="25" s="1"/>
  <c r="AA807" i="25"/>
  <c r="AB807" i="25" s="1"/>
  <c r="AC807" i="25" s="1"/>
  <c r="AD807" i="25" s="1"/>
  <c r="W807" i="25"/>
  <c r="X807" i="25" s="1"/>
  <c r="O807" i="25"/>
  <c r="W339" i="25"/>
  <c r="Z339" i="25" s="1"/>
  <c r="AB339" i="25" s="1"/>
  <c r="AD339" i="25" s="1"/>
  <c r="AE339" i="25" s="1"/>
  <c r="AP338" i="25"/>
  <c r="AS338" i="25" s="1"/>
  <c r="AP648" i="25"/>
  <c r="AS648" i="25" s="1"/>
  <c r="M808" i="25" s="1"/>
  <c r="V808" i="25" s="1"/>
  <c r="AA806" i="25"/>
  <c r="AB806" i="25" s="1"/>
  <c r="AC806" i="25" s="1"/>
  <c r="AD806" i="25" s="1"/>
  <c r="W806" i="25"/>
  <c r="X806" i="25" s="1"/>
  <c r="X649" i="25"/>
  <c r="AA649" i="25" s="1"/>
  <c r="AL339" i="25"/>
  <c r="AM339" i="25"/>
  <c r="AL649" i="25"/>
  <c r="AO649" i="25" s="1"/>
  <c r="AR649" i="25" s="1"/>
  <c r="AM649" i="25"/>
  <c r="J810" i="25"/>
  <c r="P650" i="25"/>
  <c r="U650" i="25"/>
  <c r="V650" i="25"/>
  <c r="X650" i="25" s="1"/>
  <c r="AA650" i="25" s="1"/>
  <c r="W650" i="25"/>
  <c r="Z650" i="25" s="1"/>
  <c r="Y650" i="25"/>
  <c r="AC650" i="25" s="1"/>
  <c r="N650" i="25"/>
  <c r="O650" i="25"/>
  <c r="T650" i="25"/>
  <c r="M653" i="25"/>
  <c r="O497" i="25"/>
  <c r="Y497" i="25"/>
  <c r="AC497" i="25" s="1"/>
  <c r="P497" i="25"/>
  <c r="U497" i="25"/>
  <c r="N497" i="25"/>
  <c r="T497" i="25"/>
  <c r="V497" i="25"/>
  <c r="AJ339" i="25"/>
  <c r="AK339" i="25"/>
  <c r="W649" i="25"/>
  <c r="Z649" i="25" s="1"/>
  <c r="AB649" i="25" s="1"/>
  <c r="AD649" i="25" s="1"/>
  <c r="AE649" i="25" s="1"/>
  <c r="AH649" i="25"/>
  <c r="AI649" i="25"/>
  <c r="AM341" i="25"/>
  <c r="AL341" i="25"/>
  <c r="W496" i="25"/>
  <c r="Z496" i="25" s="1"/>
  <c r="AH496" i="25"/>
  <c r="AI496" i="25"/>
  <c r="AJ494" i="25"/>
  <c r="AK494" i="25"/>
  <c r="AJ649" i="25"/>
  <c r="AK649" i="25"/>
  <c r="AN649" i="25" s="1"/>
  <c r="AQ649" i="25" s="1"/>
  <c r="AJ496" i="25"/>
  <c r="AK496" i="25"/>
  <c r="T652" i="25"/>
  <c r="P652" i="25"/>
  <c r="I812" i="25"/>
  <c r="R812" i="25" s="1"/>
  <c r="N652" i="25"/>
  <c r="O652" i="25"/>
  <c r="U652" i="25"/>
  <c r="V652" i="25"/>
  <c r="Y652" i="25"/>
  <c r="AC652" i="25" s="1"/>
  <c r="AJ341" i="25"/>
  <c r="AK341" i="25"/>
  <c r="M651" i="25"/>
  <c r="U495" i="25"/>
  <c r="N495" i="25"/>
  <c r="V495" i="25"/>
  <c r="O495" i="25"/>
  <c r="Y495" i="25"/>
  <c r="AC495" i="25" s="1"/>
  <c r="P495" i="25"/>
  <c r="T495" i="25"/>
  <c r="AH339" i="25"/>
  <c r="AI339" i="25"/>
  <c r="AO339" i="25" s="1"/>
  <c r="AR339" i="25" s="1"/>
  <c r="T342" i="25"/>
  <c r="U342" i="25"/>
  <c r="O342" i="25"/>
  <c r="Y342" i="25"/>
  <c r="AC342" i="25" s="1"/>
  <c r="P342" i="25"/>
  <c r="V342" i="25"/>
  <c r="N342" i="25"/>
  <c r="AI494" i="25"/>
  <c r="AH494" i="25"/>
  <c r="AL494" i="25"/>
  <c r="AM494" i="25"/>
  <c r="AM496" i="25"/>
  <c r="AL496" i="25"/>
  <c r="AH341" i="25"/>
  <c r="AI341" i="25"/>
  <c r="AN27" i="25"/>
  <c r="AQ27" i="25" s="1"/>
  <c r="AH28" i="25"/>
  <c r="AP28" i="25" s="1"/>
  <c r="AS28" i="25" s="1"/>
  <c r="AM28" i="25"/>
  <c r="AJ29" i="25"/>
  <c r="AL29" i="25"/>
  <c r="C31" i="25"/>
  <c r="Y30" i="25"/>
  <c r="AC30" i="25" s="1"/>
  <c r="AD30" i="25" s="1"/>
  <c r="AE30" i="25" s="1"/>
  <c r="AI28" i="25"/>
  <c r="AO28" i="25" s="1"/>
  <c r="AR28" i="25" s="1"/>
  <c r="AK28" i="25"/>
  <c r="D30" i="25"/>
  <c r="P29" i="25"/>
  <c r="E31" i="25"/>
  <c r="N30" i="25"/>
  <c r="F30" i="25"/>
  <c r="O29" i="25"/>
  <c r="M498" i="25"/>
  <c r="B656" i="25"/>
  <c r="B500" i="25"/>
  <c r="B346" i="25"/>
  <c r="M343" i="25"/>
  <c r="B188" i="25"/>
  <c r="M188" i="25" s="1"/>
  <c r="AP496" i="25" l="1"/>
  <c r="AS496" i="25" s="1"/>
  <c r="AB340" i="25"/>
  <c r="AD340" i="25" s="1"/>
  <c r="AE340" i="25" s="1"/>
  <c r="AB186" i="25"/>
  <c r="AD186" i="25" s="1"/>
  <c r="AE186" i="25" s="1"/>
  <c r="W187" i="25"/>
  <c r="Z187" i="25" s="1"/>
  <c r="AB496" i="25"/>
  <c r="AD496" i="25" s="1"/>
  <c r="AE496" i="25" s="1"/>
  <c r="AB185" i="25"/>
  <c r="AD185" i="25" s="1"/>
  <c r="AE185" i="25" s="1"/>
  <c r="AP339" i="25"/>
  <c r="AS339" i="25" s="1"/>
  <c r="X495" i="25"/>
  <c r="AA495" i="25" s="1"/>
  <c r="AO494" i="25"/>
  <c r="AR494" i="25" s="1"/>
  <c r="L809" i="25"/>
  <c r="U809" i="25" s="1"/>
  <c r="AP494" i="25"/>
  <c r="AS494" i="25" s="1"/>
  <c r="K809" i="25"/>
  <c r="T809" i="25" s="1"/>
  <c r="AO341" i="25"/>
  <c r="AR341" i="25" s="1"/>
  <c r="AP341" i="25"/>
  <c r="AS341" i="25" s="1"/>
  <c r="AN339" i="25"/>
  <c r="AQ339" i="25" s="1"/>
  <c r="AP340" i="25"/>
  <c r="AS340" i="25" s="1"/>
  <c r="AN341" i="25"/>
  <c r="AQ341" i="25" s="1"/>
  <c r="AN340" i="25"/>
  <c r="AQ340" i="25" s="1"/>
  <c r="AO340" i="25"/>
  <c r="AR340" i="25" s="1"/>
  <c r="AO185" i="25"/>
  <c r="AR185" i="25" s="1"/>
  <c r="AP186" i="25"/>
  <c r="AS186" i="25" s="1"/>
  <c r="AO186" i="25"/>
  <c r="AR186" i="25" s="1"/>
  <c r="AN185" i="25"/>
  <c r="AQ185" i="25" s="1"/>
  <c r="X187" i="25"/>
  <c r="AA187" i="25" s="1"/>
  <c r="AB187" i="25" s="1"/>
  <c r="AD187" i="25" s="1"/>
  <c r="AE187" i="25" s="1"/>
  <c r="AN186" i="25"/>
  <c r="AQ186" i="25" s="1"/>
  <c r="R343" i="25"/>
  <c r="S343" i="25"/>
  <c r="Q343" i="25"/>
  <c r="Q653" i="25"/>
  <c r="R653" i="25"/>
  <c r="I813" i="25" s="1"/>
  <c r="R813" i="25" s="1"/>
  <c r="S653" i="25"/>
  <c r="J813" i="25" s="1"/>
  <c r="S813" i="25" s="1"/>
  <c r="Q498" i="25"/>
  <c r="R498" i="25"/>
  <c r="S498" i="25"/>
  <c r="Q188" i="25"/>
  <c r="S188" i="25"/>
  <c r="R188" i="25"/>
  <c r="Q651" i="25"/>
  <c r="H811" i="25" s="1"/>
  <c r="Q811" i="25" s="1"/>
  <c r="R651" i="25"/>
  <c r="I811" i="25" s="1"/>
  <c r="S651" i="25"/>
  <c r="J811" i="25" s="1"/>
  <c r="S811" i="25" s="1"/>
  <c r="AI187" i="25"/>
  <c r="AH187" i="25"/>
  <c r="P188" i="25"/>
  <c r="N188" i="25"/>
  <c r="V188" i="25"/>
  <c r="Y188" i="25"/>
  <c r="AC188" i="25" s="1"/>
  <c r="O188" i="25"/>
  <c r="T188" i="25"/>
  <c r="U188" i="25"/>
  <c r="X188" i="25"/>
  <c r="AA188" i="25" s="1"/>
  <c r="AJ187" i="25"/>
  <c r="AK187" i="25"/>
  <c r="AL187" i="25"/>
  <c r="AM187" i="25"/>
  <c r="O808" i="25"/>
  <c r="N810" i="25"/>
  <c r="S810" i="25"/>
  <c r="Z810" i="25" s="1"/>
  <c r="H813" i="25"/>
  <c r="N812" i="25"/>
  <c r="Q812" i="25"/>
  <c r="Z812" i="25" s="1"/>
  <c r="X652" i="25"/>
  <c r="AA652" i="25" s="1"/>
  <c r="AO496" i="25"/>
  <c r="AR496" i="25" s="1"/>
  <c r="AB650" i="25"/>
  <c r="AD650" i="25" s="1"/>
  <c r="AE650" i="25" s="1"/>
  <c r="AN496" i="25"/>
  <c r="AQ496" i="25" s="1"/>
  <c r="AA808" i="25"/>
  <c r="AB808" i="25" s="1"/>
  <c r="AC808" i="25" s="1"/>
  <c r="AD808" i="25" s="1"/>
  <c r="W808" i="25"/>
  <c r="X808" i="25" s="1"/>
  <c r="AN494" i="25"/>
  <c r="AQ494" i="25" s="1"/>
  <c r="AP649" i="25"/>
  <c r="AS649" i="25" s="1"/>
  <c r="M809" i="25" s="1"/>
  <c r="X497" i="25"/>
  <c r="AA497" i="25" s="1"/>
  <c r="X342" i="25"/>
  <c r="AA342" i="25" s="1"/>
  <c r="Z809" i="25"/>
  <c r="AH650" i="25"/>
  <c r="AP650" i="25" s="1"/>
  <c r="AS650" i="25" s="1"/>
  <c r="AI650" i="25"/>
  <c r="W342" i="25"/>
  <c r="Z342" i="25" s="1"/>
  <c r="AJ342" i="25"/>
  <c r="AK342" i="25"/>
  <c r="M654" i="25"/>
  <c r="U498" i="25"/>
  <c r="N498" i="25"/>
  <c r="V498" i="25"/>
  <c r="O498" i="25"/>
  <c r="P498" i="25"/>
  <c r="Y498" i="25"/>
  <c r="T498" i="25"/>
  <c r="AC498" i="25"/>
  <c r="AL650" i="25"/>
  <c r="AM650" i="25"/>
  <c r="AK495" i="25"/>
  <c r="AJ495" i="25"/>
  <c r="P653" i="25"/>
  <c r="T653" i="25"/>
  <c r="O653" i="25"/>
  <c r="U653" i="25"/>
  <c r="V653" i="25"/>
  <c r="Y653" i="25"/>
  <c r="AC653" i="25" s="1"/>
  <c r="N653" i="25"/>
  <c r="AJ650" i="25"/>
  <c r="AK650" i="25"/>
  <c r="AN650" i="25" s="1"/>
  <c r="AQ650" i="25" s="1"/>
  <c r="M499" i="25"/>
  <c r="T343" i="25"/>
  <c r="U343" i="25"/>
  <c r="N343" i="25"/>
  <c r="V343" i="25"/>
  <c r="O343" i="25"/>
  <c r="P343" i="25"/>
  <c r="Y343" i="25"/>
  <c r="AC343" i="25" s="1"/>
  <c r="AL342" i="25"/>
  <c r="AM342" i="25"/>
  <c r="AJ652" i="25"/>
  <c r="AK652" i="25"/>
  <c r="AI342" i="25"/>
  <c r="AH342" i="25"/>
  <c r="AL495" i="25"/>
  <c r="AM495" i="25"/>
  <c r="W652" i="25"/>
  <c r="Z652" i="25" s="1"/>
  <c r="AB652" i="25" s="1"/>
  <c r="AD652" i="25" s="1"/>
  <c r="AE652" i="25" s="1"/>
  <c r="AL652" i="25"/>
  <c r="AM652" i="25"/>
  <c r="AL497" i="25"/>
  <c r="AM497" i="25"/>
  <c r="W495" i="25"/>
  <c r="Z495" i="25" s="1"/>
  <c r="AB495" i="25" s="1"/>
  <c r="AD495" i="25" s="1"/>
  <c r="AE495" i="25" s="1"/>
  <c r="AI495" i="25"/>
  <c r="AO495" i="25" s="1"/>
  <c r="AR495" i="25" s="1"/>
  <c r="AH495" i="25"/>
  <c r="N651" i="25"/>
  <c r="V651" i="25"/>
  <c r="O651" i="25"/>
  <c r="Y651" i="25"/>
  <c r="AC651" i="25"/>
  <c r="P651" i="25"/>
  <c r="T651" i="25"/>
  <c r="U651" i="25"/>
  <c r="X651" i="25" s="1"/>
  <c r="AA651" i="25" s="1"/>
  <c r="AJ497" i="25"/>
  <c r="AK497" i="25"/>
  <c r="AH652" i="25"/>
  <c r="AP652" i="25" s="1"/>
  <c r="AS652" i="25" s="1"/>
  <c r="AI652" i="25"/>
  <c r="AO652" i="25" s="1"/>
  <c r="AR652" i="25" s="1"/>
  <c r="W497" i="25"/>
  <c r="Z497" i="25" s="1"/>
  <c r="AH497" i="25"/>
  <c r="AI497" i="25"/>
  <c r="AH29" i="25"/>
  <c r="AP29" i="25" s="1"/>
  <c r="AS29" i="25" s="1"/>
  <c r="AM29" i="25"/>
  <c r="F31" i="25"/>
  <c r="O30" i="25"/>
  <c r="C32" i="25"/>
  <c r="Y31" i="25"/>
  <c r="AC31" i="25" s="1"/>
  <c r="AD31" i="25" s="1"/>
  <c r="AE31" i="25" s="1"/>
  <c r="AJ30" i="25"/>
  <c r="AL30" i="25"/>
  <c r="E32" i="25"/>
  <c r="N31" i="25"/>
  <c r="AI29" i="25"/>
  <c r="AO29" i="25" s="1"/>
  <c r="AR29" i="25" s="1"/>
  <c r="AK29" i="25"/>
  <c r="D31" i="25"/>
  <c r="P30" i="25"/>
  <c r="AN28" i="25"/>
  <c r="AQ28" i="25" s="1"/>
  <c r="B657" i="25"/>
  <c r="B501" i="25"/>
  <c r="B347" i="25"/>
  <c r="B189" i="25"/>
  <c r="M189" i="25" s="1"/>
  <c r="M344" i="25"/>
  <c r="X498" i="25" l="1"/>
  <c r="AA498" i="25" s="1"/>
  <c r="AN497" i="25"/>
  <c r="AQ497" i="25" s="1"/>
  <c r="M810" i="25"/>
  <c r="V810" i="25" s="1"/>
  <c r="AO497" i="25"/>
  <c r="AR497" i="25" s="1"/>
  <c r="AB497" i="25"/>
  <c r="AD497" i="25" s="1"/>
  <c r="AE497" i="25" s="1"/>
  <c r="M812" i="25"/>
  <c r="V812" i="25" s="1"/>
  <c r="X343" i="25"/>
  <c r="AA343" i="25" s="1"/>
  <c r="AP342" i="25"/>
  <c r="AS342" i="25" s="1"/>
  <c r="AN342" i="25"/>
  <c r="AQ342" i="25" s="1"/>
  <c r="W188" i="25"/>
  <c r="Z188" i="25" s="1"/>
  <c r="AB188" i="25" s="1"/>
  <c r="AD188" i="25" s="1"/>
  <c r="AE188" i="25" s="1"/>
  <c r="AO187" i="25"/>
  <c r="AR187" i="25" s="1"/>
  <c r="AP187" i="25"/>
  <c r="AS187" i="25" s="1"/>
  <c r="AN187" i="25"/>
  <c r="AQ187" i="25" s="1"/>
  <c r="L812" i="25"/>
  <c r="U812" i="25" s="1"/>
  <c r="K810" i="25"/>
  <c r="T810" i="25" s="1"/>
  <c r="Q344" i="25"/>
  <c r="R344" i="25"/>
  <c r="S344" i="25"/>
  <c r="S189" i="25"/>
  <c r="R189" i="25"/>
  <c r="Q189" i="25"/>
  <c r="Q499" i="25"/>
  <c r="S499" i="25"/>
  <c r="R499" i="25"/>
  <c r="Q654" i="25"/>
  <c r="R654" i="25"/>
  <c r="I814" i="25" s="1"/>
  <c r="R814" i="25" s="1"/>
  <c r="S654" i="25"/>
  <c r="J814" i="25" s="1"/>
  <c r="AJ188" i="25"/>
  <c r="U189" i="25"/>
  <c r="O189" i="25"/>
  <c r="P189" i="25"/>
  <c r="V189" i="25"/>
  <c r="T189" i="25"/>
  <c r="Y189" i="25"/>
  <c r="AC189" i="25" s="1"/>
  <c r="N189" i="25"/>
  <c r="AH188" i="25"/>
  <c r="AI188" i="25"/>
  <c r="AK188" i="25"/>
  <c r="AL188" i="25"/>
  <c r="AM188" i="25"/>
  <c r="V809" i="25"/>
  <c r="W809" i="25" s="1"/>
  <c r="X809" i="25" s="1"/>
  <c r="O809" i="25"/>
  <c r="N811" i="25"/>
  <c r="R811" i="25"/>
  <c r="Z811" i="25" s="1"/>
  <c r="W498" i="25"/>
  <c r="Z498" i="25" s="1"/>
  <c r="AB498" i="25" s="1"/>
  <c r="AD498" i="25" s="1"/>
  <c r="AE498" i="25" s="1"/>
  <c r="AP495" i="25"/>
  <c r="AS495" i="25" s="1"/>
  <c r="AN495" i="25"/>
  <c r="AQ495" i="25" s="1"/>
  <c r="AO650" i="25"/>
  <c r="AR650" i="25" s="1"/>
  <c r="L810" i="25" s="1"/>
  <c r="U810" i="25" s="1"/>
  <c r="W343" i="25"/>
  <c r="Z343" i="25" s="1"/>
  <c r="AO342" i="25"/>
  <c r="AR342" i="25" s="1"/>
  <c r="X653" i="25"/>
  <c r="AA653" i="25" s="1"/>
  <c r="N813" i="25"/>
  <c r="Q813" i="25"/>
  <c r="Z813" i="25" s="1"/>
  <c r="AP497" i="25"/>
  <c r="AS497" i="25" s="1"/>
  <c r="AN652" i="25"/>
  <c r="AQ652" i="25" s="1"/>
  <c r="K812" i="25" s="1"/>
  <c r="AB342" i="25"/>
  <c r="AD342" i="25" s="1"/>
  <c r="AE342" i="25" s="1"/>
  <c r="AJ651" i="25"/>
  <c r="AK651" i="25"/>
  <c r="AN651" i="25" s="1"/>
  <c r="AQ651" i="25" s="1"/>
  <c r="AL498" i="25"/>
  <c r="AM498" i="25"/>
  <c r="W651" i="25"/>
  <c r="Z651" i="25" s="1"/>
  <c r="AB651" i="25" s="1"/>
  <c r="AD651" i="25" s="1"/>
  <c r="AE651" i="25" s="1"/>
  <c r="AH651" i="25"/>
  <c r="AP651" i="25" s="1"/>
  <c r="AS651" i="25" s="1"/>
  <c r="AI651" i="25"/>
  <c r="O654" i="25"/>
  <c r="P654" i="25"/>
  <c r="X654" i="25"/>
  <c r="AA654" i="25" s="1"/>
  <c r="T654" i="25"/>
  <c r="U654" i="25"/>
  <c r="V654" i="25"/>
  <c r="Y654" i="25"/>
  <c r="AC654" i="25" s="1"/>
  <c r="N654" i="25"/>
  <c r="W654" i="25"/>
  <c r="Z654" i="25" s="1"/>
  <c r="AB654" i="25" s="1"/>
  <c r="AD654" i="25" s="1"/>
  <c r="AE654" i="25" s="1"/>
  <c r="AK343" i="25"/>
  <c r="AJ343" i="25"/>
  <c r="AJ653" i="25"/>
  <c r="AK653" i="25"/>
  <c r="AL651" i="25"/>
  <c r="AM651" i="25"/>
  <c r="AI498" i="25"/>
  <c r="AH498" i="25"/>
  <c r="M500" i="25"/>
  <c r="U344" i="25"/>
  <c r="N344" i="25"/>
  <c r="V344" i="25"/>
  <c r="P344" i="25"/>
  <c r="Y344" i="25"/>
  <c r="AC344" i="25" s="1"/>
  <c r="T344" i="25"/>
  <c r="O344" i="25"/>
  <c r="AL343" i="25"/>
  <c r="AM343" i="25"/>
  <c r="W653" i="25"/>
  <c r="Z653" i="25" s="1"/>
  <c r="AB653" i="25" s="1"/>
  <c r="AD653" i="25" s="1"/>
  <c r="AE653" i="25" s="1"/>
  <c r="AH653" i="25"/>
  <c r="AP653" i="25" s="1"/>
  <c r="AS653" i="25" s="1"/>
  <c r="AI653" i="25"/>
  <c r="AI343" i="25"/>
  <c r="AH343" i="25"/>
  <c r="AJ498" i="25"/>
  <c r="AK498" i="25"/>
  <c r="M655" i="25"/>
  <c r="P499" i="25"/>
  <c r="T499" i="25"/>
  <c r="N499" i="25"/>
  <c r="V499" i="25"/>
  <c r="O499" i="25"/>
  <c r="U499" i="25"/>
  <c r="Y499" i="25"/>
  <c r="AC499" i="25" s="1"/>
  <c r="AL653" i="25"/>
  <c r="AM653" i="25"/>
  <c r="AL31" i="25"/>
  <c r="AJ31" i="25"/>
  <c r="D32" i="25"/>
  <c r="P31" i="25"/>
  <c r="C33" i="25"/>
  <c r="Y32" i="25"/>
  <c r="AC32" i="25" s="1"/>
  <c r="AD32" i="25" s="1"/>
  <c r="AE32" i="25" s="1"/>
  <c r="E33" i="25"/>
  <c r="N32" i="25"/>
  <c r="AN29" i="25"/>
  <c r="AQ29" i="25" s="1"/>
  <c r="AM30" i="25"/>
  <c r="AH30" i="25"/>
  <c r="AP30" i="25" s="1"/>
  <c r="AS30" i="25" s="1"/>
  <c r="AK30" i="25"/>
  <c r="AI30" i="25"/>
  <c r="AO30" i="25" s="1"/>
  <c r="AR30" i="25" s="1"/>
  <c r="F32" i="25"/>
  <c r="O31" i="25"/>
  <c r="B658" i="25"/>
  <c r="B502" i="25"/>
  <c r="B348" i="25"/>
  <c r="M345" i="25"/>
  <c r="B190" i="25"/>
  <c r="M190" i="25" s="1"/>
  <c r="X499" i="25" l="1"/>
  <c r="AA499" i="25" s="1"/>
  <c r="AB343" i="25"/>
  <c r="AD343" i="25" s="1"/>
  <c r="AE343" i="25" s="1"/>
  <c r="X189" i="25"/>
  <c r="AA189" i="25" s="1"/>
  <c r="AN498" i="25"/>
  <c r="AQ498" i="25" s="1"/>
  <c r="AP343" i="25"/>
  <c r="AS343" i="25" s="1"/>
  <c r="M813" i="25"/>
  <c r="V813" i="25" s="1"/>
  <c r="X344" i="25"/>
  <c r="AA344" i="25" s="1"/>
  <c r="AN343" i="25"/>
  <c r="AQ343" i="25" s="1"/>
  <c r="W189" i="25"/>
  <c r="Z189" i="25" s="1"/>
  <c r="AB189" i="25" s="1"/>
  <c r="AD189" i="25" s="1"/>
  <c r="AE189" i="25" s="1"/>
  <c r="AO188" i="25"/>
  <c r="AR188" i="25" s="1"/>
  <c r="AN188" i="25"/>
  <c r="AQ188" i="25" s="1"/>
  <c r="AP188" i="25"/>
  <c r="AS188" i="25" s="1"/>
  <c r="O812" i="25"/>
  <c r="T812" i="25"/>
  <c r="AA812" i="25" s="1"/>
  <c r="AB812" i="25" s="1"/>
  <c r="AC812" i="25" s="1"/>
  <c r="AD812" i="25" s="1"/>
  <c r="R500" i="25"/>
  <c r="Q500" i="25"/>
  <c r="S500" i="25"/>
  <c r="Q345" i="25"/>
  <c r="R345" i="25"/>
  <c r="S345" i="25"/>
  <c r="Q655" i="25"/>
  <c r="H815" i="25" s="1"/>
  <c r="R655" i="25"/>
  <c r="I815" i="25" s="1"/>
  <c r="R815" i="25" s="1"/>
  <c r="S655" i="25"/>
  <c r="J815" i="25" s="1"/>
  <c r="S815" i="25" s="1"/>
  <c r="R190" i="25"/>
  <c r="S190" i="25"/>
  <c r="Q190" i="25"/>
  <c r="AH189" i="25"/>
  <c r="AI189" i="25"/>
  <c r="O190" i="25"/>
  <c r="P190" i="25"/>
  <c r="N190" i="25"/>
  <c r="T190" i="25"/>
  <c r="X190" i="25" s="1"/>
  <c r="AA190" i="25" s="1"/>
  <c r="V190" i="25"/>
  <c r="U190" i="25"/>
  <c r="Y190" i="25"/>
  <c r="AC190" i="25" s="1"/>
  <c r="AB190" i="25"/>
  <c r="AD190" i="25" s="1"/>
  <c r="AE190" i="25" s="1"/>
  <c r="AL189" i="25"/>
  <c r="AM189" i="25"/>
  <c r="AK189" i="25"/>
  <c r="AJ189" i="25"/>
  <c r="O810" i="25"/>
  <c r="S814" i="25"/>
  <c r="H814" i="25"/>
  <c r="Q814" i="25" s="1"/>
  <c r="M811" i="25"/>
  <c r="V811" i="25" s="1"/>
  <c r="W810" i="25"/>
  <c r="X810" i="25" s="1"/>
  <c r="AA810" i="25"/>
  <c r="AB810" i="25" s="1"/>
  <c r="AC810" i="25" s="1"/>
  <c r="AD810" i="25" s="1"/>
  <c r="K811" i="25"/>
  <c r="AO653" i="25"/>
  <c r="AR653" i="25" s="1"/>
  <c r="L813" i="25" s="1"/>
  <c r="U813" i="25" s="1"/>
  <c r="AO651" i="25"/>
  <c r="AR651" i="25" s="1"/>
  <c r="L811" i="25" s="1"/>
  <c r="U811" i="25" s="1"/>
  <c r="AN653" i="25"/>
  <c r="AQ653" i="25" s="1"/>
  <c r="K813" i="25" s="1"/>
  <c r="T813" i="25" s="1"/>
  <c r="AP498" i="25"/>
  <c r="AS498" i="25" s="1"/>
  <c r="AO498" i="25"/>
  <c r="AR498" i="25" s="1"/>
  <c r="AO343" i="25"/>
  <c r="AR343" i="25" s="1"/>
  <c r="AA809" i="25"/>
  <c r="AB809" i="25" s="1"/>
  <c r="AC809" i="25" s="1"/>
  <c r="AD809" i="25" s="1"/>
  <c r="AL654" i="25"/>
  <c r="AM654" i="25"/>
  <c r="M501" i="25"/>
  <c r="U345" i="25"/>
  <c r="N345" i="25"/>
  <c r="V345" i="25"/>
  <c r="O345" i="25"/>
  <c r="P345" i="25"/>
  <c r="T345" i="25"/>
  <c r="Y345" i="25"/>
  <c r="AC345" i="25" s="1"/>
  <c r="O655" i="25"/>
  <c r="Y655" i="25"/>
  <c r="AC655" i="25" s="1"/>
  <c r="T655" i="25"/>
  <c r="U655" i="25"/>
  <c r="V655" i="25"/>
  <c r="N655" i="25"/>
  <c r="P655" i="25"/>
  <c r="AM344" i="25"/>
  <c r="AL344" i="25"/>
  <c r="M656" i="25"/>
  <c r="U500" i="25"/>
  <c r="N500" i="25"/>
  <c r="V500" i="25"/>
  <c r="O500" i="25"/>
  <c r="Y500" i="25"/>
  <c r="AC500" i="25" s="1"/>
  <c r="P500" i="25"/>
  <c r="T500" i="25"/>
  <c r="AH654" i="25"/>
  <c r="AP654" i="25" s="1"/>
  <c r="AS654" i="25" s="1"/>
  <c r="AI654" i="25"/>
  <c r="AO654" i="25" s="1"/>
  <c r="AR654" i="25" s="1"/>
  <c r="AK344" i="25"/>
  <c r="AJ344" i="25"/>
  <c r="AL499" i="25"/>
  <c r="AM499" i="25"/>
  <c r="W344" i="25"/>
  <c r="Z344" i="25" s="1"/>
  <c r="AH344" i="25"/>
  <c r="AI344" i="25"/>
  <c r="AJ654" i="25"/>
  <c r="AK654" i="25"/>
  <c r="AN654" i="25" s="1"/>
  <c r="AQ654" i="25" s="1"/>
  <c r="W499" i="25"/>
  <c r="Z499" i="25" s="1"/>
  <c r="AB499" i="25" s="1"/>
  <c r="AD499" i="25" s="1"/>
  <c r="AE499" i="25" s="1"/>
  <c r="AK499" i="25"/>
  <c r="AJ499" i="25"/>
  <c r="AI499" i="25"/>
  <c r="AH499" i="25"/>
  <c r="F33" i="25"/>
  <c r="O32" i="25"/>
  <c r="AN30" i="25"/>
  <c r="AQ30" i="25" s="1"/>
  <c r="AI31" i="25"/>
  <c r="AO31" i="25" s="1"/>
  <c r="AR31" i="25" s="1"/>
  <c r="AK31" i="25"/>
  <c r="D33" i="25"/>
  <c r="P32" i="25"/>
  <c r="C34" i="25"/>
  <c r="Y33" i="25"/>
  <c r="AC33" i="25" s="1"/>
  <c r="AD33" i="25" s="1"/>
  <c r="AE33" i="25" s="1"/>
  <c r="AL32" i="25"/>
  <c r="AJ32" i="25"/>
  <c r="AM31" i="25"/>
  <c r="AH31" i="25"/>
  <c r="AP31" i="25" s="1"/>
  <c r="AS31" i="25" s="1"/>
  <c r="E34" i="25"/>
  <c r="N33" i="25"/>
  <c r="B659" i="25"/>
  <c r="B503" i="25"/>
  <c r="B349" i="25"/>
  <c r="M346" i="25"/>
  <c r="B191" i="25"/>
  <c r="M191" i="25" s="1"/>
  <c r="W812" i="25" l="1"/>
  <c r="X812" i="25" s="1"/>
  <c r="W500" i="25"/>
  <c r="Z500" i="25" s="1"/>
  <c r="AB344" i="25"/>
  <c r="AD344" i="25" s="1"/>
  <c r="AE344" i="25" s="1"/>
  <c r="AN189" i="25"/>
  <c r="AQ189" i="25" s="1"/>
  <c r="AN499" i="25"/>
  <c r="AQ499" i="25" s="1"/>
  <c r="M814" i="25"/>
  <c r="V814" i="25" s="1"/>
  <c r="X500" i="25"/>
  <c r="AA500" i="25" s="1"/>
  <c r="AB500" i="25" s="1"/>
  <c r="AD500" i="25" s="1"/>
  <c r="AE500" i="25" s="1"/>
  <c r="X345" i="25"/>
  <c r="AA345" i="25" s="1"/>
  <c r="AN344" i="25"/>
  <c r="AQ344" i="25" s="1"/>
  <c r="AO344" i="25"/>
  <c r="AR344" i="25" s="1"/>
  <c r="AO189" i="25"/>
  <c r="AR189" i="25" s="1"/>
  <c r="AP189" i="25"/>
  <c r="AS189" i="25" s="1"/>
  <c r="K814" i="25"/>
  <c r="L814" i="25"/>
  <c r="U814" i="25" s="1"/>
  <c r="R191" i="25"/>
  <c r="Q191" i="25"/>
  <c r="S191" i="25"/>
  <c r="Q346" i="25"/>
  <c r="R346" i="25"/>
  <c r="S346" i="25"/>
  <c r="S501" i="25"/>
  <c r="Q501" i="25"/>
  <c r="R501" i="25"/>
  <c r="Q656" i="25"/>
  <c r="H816" i="25" s="1"/>
  <c r="R656" i="25"/>
  <c r="I816" i="25" s="1"/>
  <c r="R816" i="25" s="1"/>
  <c r="S656" i="25"/>
  <c r="J816" i="25" s="1"/>
  <c r="S816" i="25" s="1"/>
  <c r="AL190" i="25"/>
  <c r="AM190" i="25"/>
  <c r="T191" i="25"/>
  <c r="U191" i="25"/>
  <c r="Y191" i="25"/>
  <c r="AC191" i="25" s="1"/>
  <c r="N191" i="25"/>
  <c r="V191" i="25"/>
  <c r="P191" i="25"/>
  <c r="O191" i="25"/>
  <c r="X191" i="25"/>
  <c r="AA191" i="25" s="1"/>
  <c r="W191" i="25"/>
  <c r="Z191" i="25" s="1"/>
  <c r="AB191" i="25" s="1"/>
  <c r="AD191" i="25" s="1"/>
  <c r="AE191" i="25" s="1"/>
  <c r="AK190" i="25"/>
  <c r="AN190" i="25" s="1"/>
  <c r="AQ190" i="25" s="1"/>
  <c r="AJ190" i="25"/>
  <c r="W190" i="25"/>
  <c r="Z190" i="25" s="1"/>
  <c r="AI190" i="25"/>
  <c r="AO190" i="25" s="1"/>
  <c r="AR190" i="25" s="1"/>
  <c r="AH190" i="25"/>
  <c r="AP190" i="25" s="1"/>
  <c r="AS190" i="25" s="1"/>
  <c r="O813" i="25"/>
  <c r="N815" i="25"/>
  <c r="Q815" i="25"/>
  <c r="Z815" i="25" s="1"/>
  <c r="X655" i="25"/>
  <c r="AA655" i="25" s="1"/>
  <c r="Z814" i="25"/>
  <c r="N814" i="25"/>
  <c r="O811" i="25"/>
  <c r="T811" i="25"/>
  <c r="AP499" i="25"/>
  <c r="AS499" i="25" s="1"/>
  <c r="AP344" i="25"/>
  <c r="AS344" i="25" s="1"/>
  <c r="AO499" i="25"/>
  <c r="AR499" i="25" s="1"/>
  <c r="W345" i="25"/>
  <c r="Z345" i="25" s="1"/>
  <c r="AK500" i="25"/>
  <c r="AJ500" i="25"/>
  <c r="AL655" i="25"/>
  <c r="AM655" i="25"/>
  <c r="W655" i="25"/>
  <c r="Z655" i="25" s="1"/>
  <c r="AH655" i="25"/>
  <c r="AI655" i="25"/>
  <c r="AM500" i="25"/>
  <c r="AL500" i="25"/>
  <c r="AJ655" i="25"/>
  <c r="AK655" i="25"/>
  <c r="AN655" i="25" s="1"/>
  <c r="AQ655" i="25" s="1"/>
  <c r="AM345" i="25"/>
  <c r="AL345" i="25"/>
  <c r="AH500" i="25"/>
  <c r="AI500" i="25"/>
  <c r="T656" i="25"/>
  <c r="N656" i="25"/>
  <c r="V656" i="25"/>
  <c r="U656" i="25"/>
  <c r="Y656" i="25"/>
  <c r="AC656" i="25" s="1"/>
  <c r="O656" i="25"/>
  <c r="P656" i="25"/>
  <c r="AH345" i="25"/>
  <c r="AI345" i="25"/>
  <c r="AO345" i="25" s="1"/>
  <c r="AR345" i="25" s="1"/>
  <c r="AJ345" i="25"/>
  <c r="AK345" i="25"/>
  <c r="T501" i="25"/>
  <c r="U501" i="25"/>
  <c r="N501" i="25"/>
  <c r="V501" i="25"/>
  <c r="P501" i="25"/>
  <c r="Y501" i="25"/>
  <c r="AC501" i="25" s="1"/>
  <c r="O501" i="25"/>
  <c r="M657" i="25"/>
  <c r="M502" i="25"/>
  <c r="O346" i="25"/>
  <c r="Y346" i="25"/>
  <c r="P346" i="25"/>
  <c r="AC346" i="25"/>
  <c r="T346" i="25"/>
  <c r="X346" i="25" s="1"/>
  <c r="AA346" i="25" s="1"/>
  <c r="U346" i="25"/>
  <c r="V346" i="25"/>
  <c r="N346" i="25"/>
  <c r="F34" i="25"/>
  <c r="O33" i="25"/>
  <c r="AI32" i="25"/>
  <c r="AO32" i="25" s="1"/>
  <c r="AR32" i="25" s="1"/>
  <c r="AK32" i="25"/>
  <c r="AA813" i="25"/>
  <c r="AB813" i="25" s="1"/>
  <c r="AC813" i="25" s="1"/>
  <c r="AD813" i="25" s="1"/>
  <c r="W813" i="25"/>
  <c r="X813" i="25" s="1"/>
  <c r="D34" i="25"/>
  <c r="P33" i="25"/>
  <c r="AN31" i="25"/>
  <c r="AQ31" i="25" s="1"/>
  <c r="C35" i="25"/>
  <c r="Y34" i="25"/>
  <c r="AC34" i="25" s="1"/>
  <c r="AD34" i="25" s="1"/>
  <c r="AE34" i="25" s="1"/>
  <c r="T814" i="25"/>
  <c r="AJ33" i="25"/>
  <c r="AL33" i="25"/>
  <c r="E35" i="25"/>
  <c r="N34" i="25"/>
  <c r="AH32" i="25"/>
  <c r="AP32" i="25" s="1"/>
  <c r="AS32" i="25" s="1"/>
  <c r="AM32" i="25"/>
  <c r="B660" i="25"/>
  <c r="B504" i="25"/>
  <c r="B350" i="25"/>
  <c r="M347" i="25"/>
  <c r="B192" i="25"/>
  <c r="M192" i="25" s="1"/>
  <c r="AB345" i="25" l="1"/>
  <c r="AD345" i="25" s="1"/>
  <c r="AE345" i="25" s="1"/>
  <c r="O814" i="25"/>
  <c r="AO500" i="25"/>
  <c r="AR500" i="25" s="1"/>
  <c r="AN345" i="25"/>
  <c r="AQ345" i="25" s="1"/>
  <c r="S347" i="25"/>
  <c r="Q347" i="25"/>
  <c r="R347" i="25"/>
  <c r="R192" i="25"/>
  <c r="Q192" i="25"/>
  <c r="S192" i="25"/>
  <c r="R502" i="25"/>
  <c r="Q502" i="25"/>
  <c r="S502" i="25"/>
  <c r="S657" i="25"/>
  <c r="J817" i="25" s="1"/>
  <c r="S817" i="25" s="1"/>
  <c r="Q657" i="25"/>
  <c r="H817" i="25" s="1"/>
  <c r="R657" i="25"/>
  <c r="I817" i="25" s="1"/>
  <c r="R817" i="25" s="1"/>
  <c r="Y192" i="25"/>
  <c r="V192" i="25"/>
  <c r="AC192" i="25"/>
  <c r="N192" i="25"/>
  <c r="P192" i="25"/>
  <c r="T192" i="25"/>
  <c r="O192" i="25"/>
  <c r="U192" i="25"/>
  <c r="W192" i="25"/>
  <c r="Z192" i="25" s="1"/>
  <c r="AB192" i="25" s="1"/>
  <c r="AD192" i="25" s="1"/>
  <c r="AE192" i="25" s="1"/>
  <c r="X192" i="25"/>
  <c r="AA192" i="25" s="1"/>
  <c r="AP192" i="25"/>
  <c r="AS192" i="25" s="1"/>
  <c r="AO192" i="25"/>
  <c r="AR192" i="25" s="1"/>
  <c r="AJ191" i="25"/>
  <c r="AK191" i="25"/>
  <c r="AN191" i="25" s="1"/>
  <c r="AQ191" i="25" s="1"/>
  <c r="AI191" i="25"/>
  <c r="AO191" i="25" s="1"/>
  <c r="AR191" i="25" s="1"/>
  <c r="AH191" i="25"/>
  <c r="AP191" i="25" s="1"/>
  <c r="AS191" i="25" s="1"/>
  <c r="AL191" i="25"/>
  <c r="AM191" i="25"/>
  <c r="X501" i="25"/>
  <c r="AA501" i="25" s="1"/>
  <c r="N816" i="25"/>
  <c r="Q816" i="25"/>
  <c r="Z816" i="25" s="1"/>
  <c r="AN500" i="25"/>
  <c r="AQ500" i="25" s="1"/>
  <c r="X656" i="25"/>
  <c r="AA656" i="25" s="1"/>
  <c r="W811" i="25"/>
  <c r="X811" i="25" s="1"/>
  <c r="AA811" i="25"/>
  <c r="AB811" i="25" s="1"/>
  <c r="AC811" i="25" s="1"/>
  <c r="AD811" i="25" s="1"/>
  <c r="AP345" i="25"/>
  <c r="AS345" i="25" s="1"/>
  <c r="AP500" i="25"/>
  <c r="AS500" i="25" s="1"/>
  <c r="AP655" i="25"/>
  <c r="AS655" i="25" s="1"/>
  <c r="M815" i="25" s="1"/>
  <c r="V815" i="25" s="1"/>
  <c r="K815" i="25"/>
  <c r="T815" i="25" s="1"/>
  <c r="AO655" i="25"/>
  <c r="AR655" i="25" s="1"/>
  <c r="L815" i="25" s="1"/>
  <c r="AB655" i="25"/>
  <c r="AD655" i="25" s="1"/>
  <c r="AE655" i="25" s="1"/>
  <c r="M658" i="25"/>
  <c r="P502" i="25"/>
  <c r="Y502" i="25"/>
  <c r="AC502" i="25"/>
  <c r="T502" i="25"/>
  <c r="N502" i="25"/>
  <c r="V502" i="25"/>
  <c r="O502" i="25"/>
  <c r="U502" i="25"/>
  <c r="X502" i="25" s="1"/>
  <c r="AA502" i="25" s="1"/>
  <c r="M503" i="25"/>
  <c r="T347" i="25"/>
  <c r="U347" i="25"/>
  <c r="X347" i="25" s="1"/>
  <c r="AA347" i="25" s="1"/>
  <c r="O347" i="25"/>
  <c r="P347" i="25"/>
  <c r="Y347" i="25"/>
  <c r="AC347" i="25" s="1"/>
  <c r="N347" i="25"/>
  <c r="V347" i="25"/>
  <c r="T657" i="25"/>
  <c r="X657" i="25" s="1"/>
  <c r="AA657" i="25" s="1"/>
  <c r="U657" i="25"/>
  <c r="V657" i="25"/>
  <c r="Y657" i="25"/>
  <c r="AC657" i="25" s="1"/>
  <c r="N657" i="25"/>
  <c r="O657" i="25"/>
  <c r="P657" i="25"/>
  <c r="AL346" i="25"/>
  <c r="AM346" i="25"/>
  <c r="AI346" i="25"/>
  <c r="AO346" i="25" s="1"/>
  <c r="AR346" i="25" s="1"/>
  <c r="AH346" i="25"/>
  <c r="AH656" i="25"/>
  <c r="AI656" i="25"/>
  <c r="W346" i="25"/>
  <c r="Z346" i="25" s="1"/>
  <c r="AB346" i="25" s="1"/>
  <c r="AD346" i="25" s="1"/>
  <c r="AE346" i="25" s="1"/>
  <c r="AJ346" i="25"/>
  <c r="AK346" i="25"/>
  <c r="AN346" i="25" s="1"/>
  <c r="AQ346" i="25" s="1"/>
  <c r="AL501" i="25"/>
  <c r="AM501" i="25"/>
  <c r="AL656" i="25"/>
  <c r="AM656" i="25"/>
  <c r="AJ501" i="25"/>
  <c r="AK501" i="25"/>
  <c r="W501" i="25"/>
  <c r="Z501" i="25" s="1"/>
  <c r="AB501" i="25" s="1"/>
  <c r="AD501" i="25" s="1"/>
  <c r="AE501" i="25" s="1"/>
  <c r="AH501" i="25"/>
  <c r="AI501" i="25"/>
  <c r="AO501" i="25" s="1"/>
  <c r="AR501" i="25" s="1"/>
  <c r="W656" i="25"/>
  <c r="Z656" i="25" s="1"/>
  <c r="AB656" i="25" s="1"/>
  <c r="AD656" i="25" s="1"/>
  <c r="AE656" i="25" s="1"/>
  <c r="AJ656" i="25"/>
  <c r="AK656" i="25"/>
  <c r="AN656" i="25" s="1"/>
  <c r="AQ656" i="25" s="1"/>
  <c r="AN32" i="25"/>
  <c r="AQ32" i="25" s="1"/>
  <c r="C36" i="25"/>
  <c r="Y35" i="25"/>
  <c r="AC35" i="25" s="1"/>
  <c r="AD35" i="25" s="1"/>
  <c r="AE35" i="25" s="1"/>
  <c r="AJ34" i="25"/>
  <c r="AL34" i="25"/>
  <c r="F35" i="25"/>
  <c r="O34" i="25"/>
  <c r="E36" i="25"/>
  <c r="N35" i="25"/>
  <c r="AI33" i="25"/>
  <c r="AO33" i="25" s="1"/>
  <c r="AR33" i="25" s="1"/>
  <c r="AK33" i="25"/>
  <c r="AH33" i="25"/>
  <c r="AP33" i="25" s="1"/>
  <c r="AS33" i="25" s="1"/>
  <c r="AM33" i="25"/>
  <c r="D35" i="25"/>
  <c r="P34" i="25"/>
  <c r="AA814" i="25"/>
  <c r="AB814" i="25" s="1"/>
  <c r="AC814" i="25" s="1"/>
  <c r="AD814" i="25" s="1"/>
  <c r="W814" i="25"/>
  <c r="X814" i="25" s="1"/>
  <c r="B661" i="25"/>
  <c r="B505" i="25"/>
  <c r="B351" i="25"/>
  <c r="B193" i="25"/>
  <c r="M193" i="25" s="1"/>
  <c r="M348" i="25"/>
  <c r="AN501" i="25" l="1"/>
  <c r="AQ501" i="25" s="1"/>
  <c r="K816" i="25"/>
  <c r="T816" i="25" s="1"/>
  <c r="Q193" i="25"/>
  <c r="R193" i="25"/>
  <c r="S193" i="25"/>
  <c r="Q503" i="25"/>
  <c r="R503" i="25"/>
  <c r="S503" i="25"/>
  <c r="Q658" i="25"/>
  <c r="R658" i="25"/>
  <c r="S658" i="25"/>
  <c r="S348" i="25"/>
  <c r="Q348" i="25"/>
  <c r="R348" i="25"/>
  <c r="N193" i="25"/>
  <c r="Y193" i="25"/>
  <c r="AC193" i="25" s="1"/>
  <c r="U193" i="25"/>
  <c r="T193" i="25"/>
  <c r="O193" i="25"/>
  <c r="P193" i="25"/>
  <c r="V193" i="25"/>
  <c r="X193" i="25"/>
  <c r="AA193" i="25" s="1"/>
  <c r="W193" i="25"/>
  <c r="Z193" i="25" s="1"/>
  <c r="AB193" i="25" s="1"/>
  <c r="AD193" i="25" s="1"/>
  <c r="AE193" i="25" s="1"/>
  <c r="AM192" i="25"/>
  <c r="AL192" i="25"/>
  <c r="AK192" i="25"/>
  <c r="AN192" i="25" s="1"/>
  <c r="AQ192" i="25" s="1"/>
  <c r="AJ192" i="25"/>
  <c r="AI192" i="25"/>
  <c r="AH192" i="25"/>
  <c r="U815" i="25"/>
  <c r="AA815" i="25" s="1"/>
  <c r="AB815" i="25" s="1"/>
  <c r="AC815" i="25" s="1"/>
  <c r="AD815" i="25" s="1"/>
  <c r="O815" i="25"/>
  <c r="N817" i="25"/>
  <c r="Q817" i="25"/>
  <c r="Z817" i="25" s="1"/>
  <c r="AO656" i="25"/>
  <c r="AR656" i="25" s="1"/>
  <c r="L816" i="25" s="1"/>
  <c r="U816" i="25" s="1"/>
  <c r="W502" i="25"/>
  <c r="Z502" i="25" s="1"/>
  <c r="AB502" i="25" s="1"/>
  <c r="AD502" i="25" s="1"/>
  <c r="AE502" i="25" s="1"/>
  <c r="AP656" i="25"/>
  <c r="AS656" i="25" s="1"/>
  <c r="M816" i="25" s="1"/>
  <c r="V816" i="25" s="1"/>
  <c r="AP346" i="25"/>
  <c r="AS346" i="25" s="1"/>
  <c r="AP501" i="25"/>
  <c r="AS501" i="25" s="1"/>
  <c r="AL502" i="25"/>
  <c r="AM502" i="25"/>
  <c r="AJ502" i="25"/>
  <c r="AK502" i="25"/>
  <c r="AN502" i="25" s="1"/>
  <c r="AQ502" i="25" s="1"/>
  <c r="M504" i="25"/>
  <c r="O348" i="25"/>
  <c r="P348" i="25"/>
  <c r="Y348" i="25"/>
  <c r="AC348" i="25" s="1"/>
  <c r="T348" i="25"/>
  <c r="X348" i="25" s="1"/>
  <c r="AA348" i="25" s="1"/>
  <c r="N348" i="25"/>
  <c r="U348" i="25"/>
  <c r="V348" i="25"/>
  <c r="AL347" i="25"/>
  <c r="AM347" i="25"/>
  <c r="AL657" i="25"/>
  <c r="AM657" i="25"/>
  <c r="AK347" i="25"/>
  <c r="AJ347" i="25"/>
  <c r="AI502" i="25"/>
  <c r="AO502" i="25" s="1"/>
  <c r="AR502" i="25" s="1"/>
  <c r="AH502" i="25"/>
  <c r="AP502" i="25" s="1"/>
  <c r="AS502" i="25" s="1"/>
  <c r="W657" i="25"/>
  <c r="Z657" i="25" s="1"/>
  <c r="AB657" i="25" s="1"/>
  <c r="AD657" i="25" s="1"/>
  <c r="AE657" i="25" s="1"/>
  <c r="AH657" i="25"/>
  <c r="AP657" i="25" s="1"/>
  <c r="AS657" i="25" s="1"/>
  <c r="AI657" i="25"/>
  <c r="AO657" i="25" s="1"/>
  <c r="AR657" i="25" s="1"/>
  <c r="L817" i="25" s="1"/>
  <c r="U817" i="25" s="1"/>
  <c r="AJ657" i="25"/>
  <c r="AK657" i="25"/>
  <c r="T503" i="25"/>
  <c r="U503" i="25"/>
  <c r="N503" i="25"/>
  <c r="V503" i="25"/>
  <c r="O503" i="25"/>
  <c r="Y503" i="25"/>
  <c r="P503" i="25"/>
  <c r="AC503" i="25"/>
  <c r="X503" i="25"/>
  <c r="AA503" i="25" s="1"/>
  <c r="M659" i="25"/>
  <c r="W347" i="25"/>
  <c r="Z347" i="25" s="1"/>
  <c r="AB347" i="25" s="1"/>
  <c r="AD347" i="25" s="1"/>
  <c r="AE347" i="25" s="1"/>
  <c r="AI347" i="25"/>
  <c r="AO347" i="25" s="1"/>
  <c r="AR347" i="25" s="1"/>
  <c r="AH347" i="25"/>
  <c r="AP347" i="25" s="1"/>
  <c r="AS347" i="25" s="1"/>
  <c r="P658" i="25"/>
  <c r="X658" i="25"/>
  <c r="AA658" i="25" s="1"/>
  <c r="I818" i="25"/>
  <c r="R818" i="25" s="1"/>
  <c r="U658" i="25"/>
  <c r="V658" i="25"/>
  <c r="N658" i="25"/>
  <c r="Y658" i="25"/>
  <c r="AC658" i="25" s="1"/>
  <c r="O658" i="25"/>
  <c r="H818" i="25"/>
  <c r="Q818" i="25" s="1"/>
  <c r="J818" i="25"/>
  <c r="T658" i="25"/>
  <c r="AN33" i="25"/>
  <c r="AQ33" i="25" s="1"/>
  <c r="D36" i="25"/>
  <c r="P35" i="25"/>
  <c r="F36" i="25"/>
  <c r="O35" i="25"/>
  <c r="AK34" i="25"/>
  <c r="AI34" i="25"/>
  <c r="AO34" i="25" s="1"/>
  <c r="AR34" i="25" s="1"/>
  <c r="AL35" i="25"/>
  <c r="AJ35" i="25"/>
  <c r="E37" i="25"/>
  <c r="N36" i="25"/>
  <c r="C37" i="25"/>
  <c r="Y36" i="25"/>
  <c r="AC36" i="25" s="1"/>
  <c r="AD36" i="25" s="1"/>
  <c r="AE36" i="25" s="1"/>
  <c r="AM34" i="25"/>
  <c r="AH34" i="25"/>
  <c r="AP34" i="25" s="1"/>
  <c r="AS34" i="25" s="1"/>
  <c r="B662" i="25"/>
  <c r="B506" i="25"/>
  <c r="B352" i="25"/>
  <c r="B353" i="25" s="1"/>
  <c r="M349" i="25"/>
  <c r="B194" i="25"/>
  <c r="M194" i="25" s="1"/>
  <c r="M817" i="25" l="1"/>
  <c r="V817" i="25" s="1"/>
  <c r="Q349" i="25"/>
  <c r="R349" i="25"/>
  <c r="S349" i="25"/>
  <c r="Q659" i="25"/>
  <c r="R659" i="25"/>
  <c r="S659" i="25"/>
  <c r="Q194" i="25"/>
  <c r="S194" i="25"/>
  <c r="R194" i="25"/>
  <c r="R504" i="25"/>
  <c r="Q504" i="25"/>
  <c r="S504" i="25"/>
  <c r="AJ193" i="25"/>
  <c r="AK193" i="25"/>
  <c r="AN193" i="25" s="1"/>
  <c r="AQ193" i="25" s="1"/>
  <c r="AH193" i="25"/>
  <c r="AP193" i="25" s="1"/>
  <c r="AS193" i="25" s="1"/>
  <c r="AI193" i="25"/>
  <c r="AO193" i="25" s="1"/>
  <c r="AR193" i="25" s="1"/>
  <c r="O194" i="25"/>
  <c r="P194" i="25"/>
  <c r="U194" i="25"/>
  <c r="N194" i="25"/>
  <c r="V194" i="25"/>
  <c r="T194" i="25"/>
  <c r="X194" i="25" s="1"/>
  <c r="AA194" i="25" s="1"/>
  <c r="AB194" i="25"/>
  <c r="AD194" i="25" s="1"/>
  <c r="AE194" i="25" s="1"/>
  <c r="Y194" i="25"/>
  <c r="AC194" i="25" s="1"/>
  <c r="AO194" i="25"/>
  <c r="AR194" i="25" s="1"/>
  <c r="AP194" i="25"/>
  <c r="AS194" i="25" s="1"/>
  <c r="AN194" i="25"/>
  <c r="AQ194" i="25" s="1"/>
  <c r="AL193" i="25"/>
  <c r="AM193" i="25"/>
  <c r="W815" i="25"/>
  <c r="X815" i="25" s="1"/>
  <c r="O816" i="25"/>
  <c r="N818" i="25"/>
  <c r="S818" i="25"/>
  <c r="Z818" i="25"/>
  <c r="W658" i="25"/>
  <c r="Z658" i="25" s="1"/>
  <c r="AB658" i="25" s="1"/>
  <c r="AD658" i="25" s="1"/>
  <c r="AE658" i="25" s="1"/>
  <c r="AN657" i="25"/>
  <c r="AQ657" i="25" s="1"/>
  <c r="K817" i="25" s="1"/>
  <c r="AN347" i="25"/>
  <c r="AQ347" i="25" s="1"/>
  <c r="AL658" i="25"/>
  <c r="AM658" i="25"/>
  <c r="AJ658" i="25"/>
  <c r="AK658" i="25"/>
  <c r="AN658" i="25" s="1"/>
  <c r="AQ658" i="25" s="1"/>
  <c r="W503" i="25"/>
  <c r="Z503" i="25" s="1"/>
  <c r="AB503" i="25" s="1"/>
  <c r="AD503" i="25" s="1"/>
  <c r="AE503" i="25" s="1"/>
  <c r="AK503" i="25"/>
  <c r="AJ503" i="25"/>
  <c r="AM348" i="25"/>
  <c r="AL348" i="25"/>
  <c r="AH658" i="25"/>
  <c r="AI658" i="25"/>
  <c r="W348" i="25"/>
  <c r="Z348" i="25" s="1"/>
  <c r="AB348" i="25" s="1"/>
  <c r="AD348" i="25" s="1"/>
  <c r="AE348" i="25" s="1"/>
  <c r="AH348" i="25"/>
  <c r="AP348" i="25" s="1"/>
  <c r="AS348" i="25" s="1"/>
  <c r="AI348" i="25"/>
  <c r="M660" i="25"/>
  <c r="P504" i="25"/>
  <c r="T504" i="25"/>
  <c r="X504" i="25" s="1"/>
  <c r="AA504" i="25" s="1"/>
  <c r="N504" i="25"/>
  <c r="V504" i="25"/>
  <c r="Y504" i="25"/>
  <c r="AC504" i="25" s="1"/>
  <c r="O504" i="25"/>
  <c r="U504" i="25"/>
  <c r="M505" i="25"/>
  <c r="T349" i="25"/>
  <c r="U349" i="25"/>
  <c r="O349" i="25"/>
  <c r="P349" i="25"/>
  <c r="Y349" i="25"/>
  <c r="AC349" i="25" s="1"/>
  <c r="N349" i="25"/>
  <c r="V349" i="25"/>
  <c r="AL503" i="25"/>
  <c r="AM503" i="25"/>
  <c r="AK348" i="25"/>
  <c r="AN348" i="25" s="1"/>
  <c r="AQ348" i="25" s="1"/>
  <c r="AJ348" i="25"/>
  <c r="T659" i="25"/>
  <c r="N659" i="25"/>
  <c r="V659" i="25"/>
  <c r="J819" i="25"/>
  <c r="S819" i="25" s="1"/>
  <c r="U659" i="25"/>
  <c r="X659" i="25" s="1"/>
  <c r="AA659" i="25" s="1"/>
  <c r="Y659" i="25"/>
  <c r="AC659" i="25"/>
  <c r="O659" i="25"/>
  <c r="P659" i="25"/>
  <c r="H819" i="25"/>
  <c r="Q819" i="25" s="1"/>
  <c r="I819" i="25"/>
  <c r="AH503" i="25"/>
  <c r="AP503" i="25" s="1"/>
  <c r="AS503" i="25" s="1"/>
  <c r="AI503" i="25"/>
  <c r="AL36" i="25"/>
  <c r="AJ36" i="25"/>
  <c r="AI35" i="25"/>
  <c r="AO35" i="25" s="1"/>
  <c r="AR35" i="25" s="1"/>
  <c r="AK35" i="25"/>
  <c r="AM35" i="25"/>
  <c r="AH35" i="25"/>
  <c r="AP35" i="25" s="1"/>
  <c r="AS35" i="25" s="1"/>
  <c r="C38" i="25"/>
  <c r="Y37" i="25"/>
  <c r="AC37" i="25" s="1"/>
  <c r="AD37" i="25" s="1"/>
  <c r="AE37" i="25" s="1"/>
  <c r="E38" i="25"/>
  <c r="N37" i="25"/>
  <c r="D37" i="25"/>
  <c r="P36" i="25"/>
  <c r="F37" i="25"/>
  <c r="O36" i="25"/>
  <c r="AA816" i="25"/>
  <c r="AB816" i="25" s="1"/>
  <c r="AC816" i="25" s="1"/>
  <c r="AD816" i="25" s="1"/>
  <c r="W816" i="25"/>
  <c r="X816" i="25" s="1"/>
  <c r="AN34" i="25"/>
  <c r="AQ34" i="25" s="1"/>
  <c r="K818" i="25" s="1"/>
  <c r="B663" i="25"/>
  <c r="B507" i="25"/>
  <c r="B354" i="25"/>
  <c r="B195" i="25"/>
  <c r="M195" i="25" s="1"/>
  <c r="M350" i="25"/>
  <c r="R350" i="25" l="1"/>
  <c r="S350" i="25"/>
  <c r="Q350" i="25"/>
  <c r="Q505" i="25"/>
  <c r="S505" i="25"/>
  <c r="R505" i="25"/>
  <c r="R660" i="25"/>
  <c r="S660" i="25"/>
  <c r="Q660" i="25"/>
  <c r="Q195" i="25"/>
  <c r="S195" i="25"/>
  <c r="R195" i="25"/>
  <c r="AH194" i="25"/>
  <c r="AI194" i="25"/>
  <c r="W194" i="25"/>
  <c r="Z194" i="25" s="1"/>
  <c r="AL194" i="25"/>
  <c r="AM194" i="25"/>
  <c r="N195" i="25"/>
  <c r="P195" i="25"/>
  <c r="V195" i="25"/>
  <c r="T195" i="25"/>
  <c r="Y195" i="25"/>
  <c r="AC195" i="25" s="1"/>
  <c r="O195" i="25"/>
  <c r="U195" i="25"/>
  <c r="X195" i="25" s="1"/>
  <c r="AA195" i="25" s="1"/>
  <c r="W195" i="25"/>
  <c r="Z195" i="25" s="1"/>
  <c r="AB195" i="25" s="1"/>
  <c r="AD195" i="25" s="1"/>
  <c r="AE195" i="25" s="1"/>
  <c r="AP195" i="25"/>
  <c r="AS195" i="25" s="1"/>
  <c r="AK194" i="25"/>
  <c r="AJ194" i="25"/>
  <c r="T817" i="25"/>
  <c r="AA817" i="25" s="1"/>
  <c r="AB817" i="25" s="1"/>
  <c r="AC817" i="25" s="1"/>
  <c r="AD817" i="25" s="1"/>
  <c r="O817" i="25"/>
  <c r="N819" i="25"/>
  <c r="R819" i="25"/>
  <c r="Z819" i="25" s="1"/>
  <c r="AO503" i="25"/>
  <c r="AR503" i="25" s="1"/>
  <c r="X349" i="25"/>
  <c r="AA349" i="25" s="1"/>
  <c r="AO348" i="25"/>
  <c r="AR348" i="25" s="1"/>
  <c r="AN503" i="25"/>
  <c r="AQ503" i="25" s="1"/>
  <c r="AO658" i="25"/>
  <c r="AR658" i="25" s="1"/>
  <c r="L818" i="25" s="1"/>
  <c r="U818" i="25" s="1"/>
  <c r="W349" i="25"/>
  <c r="Z349" i="25" s="1"/>
  <c r="AP658" i="25"/>
  <c r="AS658" i="25" s="1"/>
  <c r="M818" i="25" s="1"/>
  <c r="V818" i="25" s="1"/>
  <c r="H820" i="25"/>
  <c r="J820" i="25"/>
  <c r="S820" i="25" s="1"/>
  <c r="T660" i="25"/>
  <c r="U660" i="25"/>
  <c r="V660" i="25"/>
  <c r="Y660" i="25"/>
  <c r="AC660" i="25" s="1"/>
  <c r="N660" i="25"/>
  <c r="O660" i="25"/>
  <c r="P660" i="25"/>
  <c r="I820" i="25"/>
  <c r="R820" i="25" s="1"/>
  <c r="M661" i="25"/>
  <c r="N505" i="25"/>
  <c r="V505" i="25"/>
  <c r="O505" i="25"/>
  <c r="Y505" i="25"/>
  <c r="AC505" i="25" s="1"/>
  <c r="P505" i="25"/>
  <c r="T505" i="25"/>
  <c r="U505" i="25"/>
  <c r="AJ349" i="25"/>
  <c r="AK349" i="25"/>
  <c r="AH349" i="25"/>
  <c r="AI349" i="25"/>
  <c r="AL659" i="25"/>
  <c r="AM659" i="25"/>
  <c r="AM504" i="25"/>
  <c r="AL504" i="25"/>
  <c r="W659" i="25"/>
  <c r="Z659" i="25" s="1"/>
  <c r="AB659" i="25" s="1"/>
  <c r="AD659" i="25" s="1"/>
  <c r="AE659" i="25" s="1"/>
  <c r="AH659" i="25"/>
  <c r="AI659" i="25"/>
  <c r="AK504" i="25"/>
  <c r="AJ504" i="25"/>
  <c r="AJ659" i="25"/>
  <c r="AK659" i="25"/>
  <c r="M506" i="25"/>
  <c r="P350" i="25"/>
  <c r="AC350" i="25"/>
  <c r="T350" i="25"/>
  <c r="U350" i="25"/>
  <c r="N350" i="25"/>
  <c r="O350" i="25"/>
  <c r="V350" i="25"/>
  <c r="Y350" i="25"/>
  <c r="AM349" i="25"/>
  <c r="AL349" i="25"/>
  <c r="W504" i="25"/>
  <c r="Z504" i="25" s="1"/>
  <c r="AB504" i="25" s="1"/>
  <c r="AD504" i="25" s="1"/>
  <c r="AE504" i="25" s="1"/>
  <c r="AH504" i="25"/>
  <c r="AI504" i="25"/>
  <c r="AO504" i="25" s="1"/>
  <c r="AR504" i="25" s="1"/>
  <c r="C39" i="25"/>
  <c r="Y38" i="25"/>
  <c r="AC38" i="25" s="1"/>
  <c r="AD38" i="25" s="1"/>
  <c r="AE38" i="25" s="1"/>
  <c r="F38" i="25"/>
  <c r="O37" i="25"/>
  <c r="AI36" i="25"/>
  <c r="AO36" i="25" s="1"/>
  <c r="AR36" i="25" s="1"/>
  <c r="AK36" i="25"/>
  <c r="AN35" i="25"/>
  <c r="AQ35" i="25" s="1"/>
  <c r="T818" i="25"/>
  <c r="O818" i="25"/>
  <c r="D38" i="25"/>
  <c r="P37" i="25"/>
  <c r="AH36" i="25"/>
  <c r="AP36" i="25" s="1"/>
  <c r="AS36" i="25" s="1"/>
  <c r="AM36" i="25"/>
  <c r="AJ37" i="25"/>
  <c r="AL37" i="25"/>
  <c r="E39" i="25"/>
  <c r="N38" i="25"/>
  <c r="B664" i="25"/>
  <c r="B508" i="25"/>
  <c r="B509" i="25" s="1"/>
  <c r="B355" i="25"/>
  <c r="M351" i="25"/>
  <c r="B196" i="25"/>
  <c r="M196" i="25" s="1"/>
  <c r="W817" i="25" l="1"/>
  <c r="X817" i="25" s="1"/>
  <c r="Q196" i="25"/>
  <c r="S196" i="25"/>
  <c r="R196" i="25"/>
  <c r="R351" i="25"/>
  <c r="S351" i="25"/>
  <c r="Q351" i="25"/>
  <c r="Q661" i="25"/>
  <c r="R661" i="25"/>
  <c r="S661" i="25"/>
  <c r="R506" i="25"/>
  <c r="S506" i="25"/>
  <c r="Q506" i="25"/>
  <c r="AJ195" i="25"/>
  <c r="AK195" i="25"/>
  <c r="AN195" i="25" s="1"/>
  <c r="AQ195" i="25" s="1"/>
  <c r="N196" i="25"/>
  <c r="O196" i="25"/>
  <c r="Y196" i="25"/>
  <c r="AC196" i="25"/>
  <c r="V196" i="25"/>
  <c r="U196" i="25"/>
  <c r="P196" i="25"/>
  <c r="T196" i="25"/>
  <c r="X196" i="25" s="1"/>
  <c r="AA196" i="25" s="1"/>
  <c r="W196" i="25"/>
  <c r="Z196" i="25" s="1"/>
  <c r="AB196" i="25" s="1"/>
  <c r="AD196" i="25" s="1"/>
  <c r="AE196" i="25" s="1"/>
  <c r="AP196" i="25"/>
  <c r="AS196" i="25" s="1"/>
  <c r="AO196" i="25"/>
  <c r="AR196" i="25" s="1"/>
  <c r="AH195" i="25"/>
  <c r="AI195" i="25"/>
  <c r="AO195" i="25" s="1"/>
  <c r="AR195" i="25" s="1"/>
  <c r="AM195" i="25"/>
  <c r="AL195" i="25"/>
  <c r="Q820" i="25"/>
  <c r="Z820" i="25" s="1"/>
  <c r="N820" i="25"/>
  <c r="AP504" i="25"/>
  <c r="AS504" i="25" s="1"/>
  <c r="AP659" i="25"/>
  <c r="AS659" i="25" s="1"/>
  <c r="M819" i="25" s="1"/>
  <c r="V819" i="25" s="1"/>
  <c r="AN349" i="25"/>
  <c r="AQ349" i="25" s="1"/>
  <c r="AN659" i="25"/>
  <c r="AQ659" i="25" s="1"/>
  <c r="K819" i="25" s="1"/>
  <c r="X660" i="25"/>
  <c r="AA660" i="25" s="1"/>
  <c r="AN504" i="25"/>
  <c r="AQ504" i="25" s="1"/>
  <c r="AO349" i="25"/>
  <c r="AR349" i="25" s="1"/>
  <c r="X350" i="25"/>
  <c r="AA350" i="25" s="1"/>
  <c r="AO659" i="25"/>
  <c r="AR659" i="25" s="1"/>
  <c r="L819" i="25" s="1"/>
  <c r="U819" i="25" s="1"/>
  <c r="AP349" i="25"/>
  <c r="AS349" i="25" s="1"/>
  <c r="X505" i="25"/>
  <c r="AA505" i="25" s="1"/>
  <c r="AB349" i="25"/>
  <c r="AD349" i="25" s="1"/>
  <c r="AE349" i="25" s="1"/>
  <c r="AM505" i="25"/>
  <c r="AL505" i="25"/>
  <c r="AI350" i="25"/>
  <c r="AH350" i="25"/>
  <c r="O661" i="25"/>
  <c r="Y661" i="25"/>
  <c r="AC661" i="25" s="1"/>
  <c r="H821" i="25"/>
  <c r="T661" i="25"/>
  <c r="U661" i="25"/>
  <c r="V661" i="25"/>
  <c r="N661" i="25"/>
  <c r="P661" i="25"/>
  <c r="I821" i="25"/>
  <c r="R821" i="25" s="1"/>
  <c r="J821" i="25"/>
  <c r="S821" i="25" s="1"/>
  <c r="W350" i="25"/>
  <c r="Z350" i="25" s="1"/>
  <c r="AB350" i="25" s="1"/>
  <c r="AD350" i="25" s="1"/>
  <c r="AE350" i="25" s="1"/>
  <c r="AJ350" i="25"/>
  <c r="AK350" i="25"/>
  <c r="W505" i="25"/>
  <c r="Z505" i="25" s="1"/>
  <c r="AB505" i="25" s="1"/>
  <c r="AD505" i="25" s="1"/>
  <c r="AE505" i="25" s="1"/>
  <c r="AH505" i="25"/>
  <c r="AI505" i="25"/>
  <c r="AO505" i="25" s="1"/>
  <c r="AR505" i="25" s="1"/>
  <c r="AJ505" i="25"/>
  <c r="AK505" i="25"/>
  <c r="AN505" i="25" s="1"/>
  <c r="AQ505" i="25" s="1"/>
  <c r="M662" i="25"/>
  <c r="T506" i="25"/>
  <c r="X506" i="25" s="1"/>
  <c r="AA506" i="25" s="1"/>
  <c r="U506" i="25"/>
  <c r="N506" i="25"/>
  <c r="V506" i="25"/>
  <c r="O506" i="25"/>
  <c r="P506" i="25"/>
  <c r="AC506" i="25"/>
  <c r="Y506" i="25"/>
  <c r="M507" i="25"/>
  <c r="U351" i="25"/>
  <c r="N351" i="25"/>
  <c r="V351" i="25"/>
  <c r="P351" i="25"/>
  <c r="Y351" i="25"/>
  <c r="AC351" i="25" s="1"/>
  <c r="X351" i="25"/>
  <c r="AA351" i="25" s="1"/>
  <c r="O351" i="25"/>
  <c r="T351" i="25"/>
  <c r="W351" i="25"/>
  <c r="Z351" i="25" s="1"/>
  <c r="AL350" i="25"/>
  <c r="AM350" i="25"/>
  <c r="W660" i="25"/>
  <c r="Z660" i="25" s="1"/>
  <c r="AJ660" i="25"/>
  <c r="AK660" i="25"/>
  <c r="AN660" i="25" s="1"/>
  <c r="AQ660" i="25" s="1"/>
  <c r="AL660" i="25"/>
  <c r="AM660" i="25"/>
  <c r="AH660" i="25"/>
  <c r="AI660" i="25"/>
  <c r="AO660" i="25" s="1"/>
  <c r="AR660" i="25" s="1"/>
  <c r="L820" i="25" s="1"/>
  <c r="U820" i="25" s="1"/>
  <c r="AA818" i="25"/>
  <c r="AB818" i="25" s="1"/>
  <c r="AC818" i="25" s="1"/>
  <c r="AD818" i="25" s="1"/>
  <c r="W818" i="25"/>
  <c r="X818" i="25" s="1"/>
  <c r="E40" i="25"/>
  <c r="N39" i="25"/>
  <c r="AI37" i="25"/>
  <c r="AO37" i="25" s="1"/>
  <c r="AR37" i="25" s="1"/>
  <c r="AK37" i="25"/>
  <c r="F39" i="25"/>
  <c r="O38" i="25"/>
  <c r="AN36" i="25"/>
  <c r="AQ36" i="25" s="1"/>
  <c r="K820" i="25" s="1"/>
  <c r="AH37" i="25"/>
  <c r="AP37" i="25" s="1"/>
  <c r="AS37" i="25" s="1"/>
  <c r="AM37" i="25"/>
  <c r="D39" i="25"/>
  <c r="P38" i="25"/>
  <c r="AJ38" i="25"/>
  <c r="AL38" i="25"/>
  <c r="C40" i="25"/>
  <c r="Y39" i="25"/>
  <c r="AC39" i="25" s="1"/>
  <c r="AD39" i="25" s="1"/>
  <c r="AE39" i="25" s="1"/>
  <c r="B665" i="25"/>
  <c r="B510" i="25"/>
  <c r="B356" i="25"/>
  <c r="B197" i="25"/>
  <c r="M197" i="25" s="1"/>
  <c r="Q507" i="25" l="1"/>
  <c r="S507" i="25"/>
  <c r="R507" i="25"/>
  <c r="Q662" i="25"/>
  <c r="R662" i="25"/>
  <c r="S662" i="25"/>
  <c r="S197" i="25"/>
  <c r="Q197" i="25"/>
  <c r="R197" i="25"/>
  <c r="Y197" i="25"/>
  <c r="AC197" i="25" s="1"/>
  <c r="U197" i="25"/>
  <c r="V197" i="25"/>
  <c r="O197" i="25"/>
  <c r="N197" i="25"/>
  <c r="P197" i="25"/>
  <c r="T197" i="25"/>
  <c r="X197" i="25"/>
  <c r="AA197" i="25" s="1"/>
  <c r="W197" i="25"/>
  <c r="Z197" i="25" s="1"/>
  <c r="AB197" i="25" s="1"/>
  <c r="AD197" i="25" s="1"/>
  <c r="AE197" i="25" s="1"/>
  <c r="AP197" i="25"/>
  <c r="AS197" i="25" s="1"/>
  <c r="AN197" i="25"/>
  <c r="AQ197" i="25" s="1"/>
  <c r="AL196" i="25"/>
  <c r="AM196" i="25"/>
  <c r="AJ196" i="25"/>
  <c r="AK196" i="25"/>
  <c r="AN196" i="25" s="1"/>
  <c r="AQ196" i="25" s="1"/>
  <c r="AI196" i="25"/>
  <c r="AH196" i="25"/>
  <c r="T819" i="25"/>
  <c r="AA819" i="25" s="1"/>
  <c r="AB819" i="25" s="1"/>
  <c r="AC819" i="25" s="1"/>
  <c r="AD819" i="25" s="1"/>
  <c r="O819" i="25"/>
  <c r="M820" i="25"/>
  <c r="V820" i="25" s="1"/>
  <c r="AB351" i="25"/>
  <c r="AD351" i="25" s="1"/>
  <c r="AE351" i="25" s="1"/>
  <c r="W506" i="25"/>
  <c r="Z506" i="25" s="1"/>
  <c r="AB506" i="25" s="1"/>
  <c r="AD506" i="25" s="1"/>
  <c r="AE506" i="25" s="1"/>
  <c r="X661" i="25"/>
  <c r="AA661" i="25" s="1"/>
  <c r="AB660" i="25"/>
  <c r="AD660" i="25" s="1"/>
  <c r="AE660" i="25" s="1"/>
  <c r="AP505" i="25"/>
  <c r="AS505" i="25" s="1"/>
  <c r="N821" i="25"/>
  <c r="Q821" i="25"/>
  <c r="Z821" i="25" s="1"/>
  <c r="AN350" i="25"/>
  <c r="AQ350" i="25" s="1"/>
  <c r="AP660" i="25"/>
  <c r="AS660" i="25" s="1"/>
  <c r="AP350" i="25"/>
  <c r="AS350" i="25" s="1"/>
  <c r="AN37" i="25"/>
  <c r="AQ37" i="25" s="1"/>
  <c r="AO350" i="25"/>
  <c r="AR350" i="25" s="1"/>
  <c r="AL351" i="25"/>
  <c r="AM351" i="25"/>
  <c r="AL506" i="25"/>
  <c r="AM506" i="25"/>
  <c r="W661" i="25"/>
  <c r="Z661" i="25" s="1"/>
  <c r="AB661" i="25" s="1"/>
  <c r="AD661" i="25" s="1"/>
  <c r="AE661" i="25" s="1"/>
  <c r="AH661" i="25"/>
  <c r="AI661" i="25"/>
  <c r="AI351" i="25"/>
  <c r="AH351" i="25"/>
  <c r="AI506" i="25"/>
  <c r="AH506" i="25"/>
  <c r="AL661" i="25"/>
  <c r="AM661" i="25"/>
  <c r="AJ661" i="25"/>
  <c r="AK661" i="25"/>
  <c r="AK351" i="25"/>
  <c r="AN351" i="25" s="1"/>
  <c r="AQ351" i="25" s="1"/>
  <c r="AJ351" i="25"/>
  <c r="M663" i="25"/>
  <c r="O507" i="25"/>
  <c r="Y507" i="25"/>
  <c r="AC507" i="25" s="1"/>
  <c r="P507" i="25"/>
  <c r="U507" i="25"/>
  <c r="V507" i="25"/>
  <c r="N507" i="25"/>
  <c r="T507" i="25"/>
  <c r="X507" i="25" s="1"/>
  <c r="AA507" i="25" s="1"/>
  <c r="AJ506" i="25"/>
  <c r="AK506" i="25"/>
  <c r="U662" i="25"/>
  <c r="X662" i="25" s="1"/>
  <c r="AA662" i="25" s="1"/>
  <c r="O662" i="25"/>
  <c r="T662" i="25"/>
  <c r="V662" i="25"/>
  <c r="N662" i="25"/>
  <c r="Y662" i="25"/>
  <c r="AC662" i="25" s="1"/>
  <c r="P662" i="25"/>
  <c r="H822" i="25"/>
  <c r="Q822" i="25" s="1"/>
  <c r="I822" i="25"/>
  <c r="R822" i="25" s="1"/>
  <c r="J822" i="25"/>
  <c r="AM38" i="25"/>
  <c r="AH38" i="25"/>
  <c r="AP38" i="25" s="1"/>
  <c r="AS38" i="25" s="1"/>
  <c r="AK38" i="25"/>
  <c r="AI38" i="25"/>
  <c r="AO38" i="25" s="1"/>
  <c r="AR38" i="25" s="1"/>
  <c r="F40" i="25"/>
  <c r="O39" i="25"/>
  <c r="D40" i="25"/>
  <c r="P39" i="25"/>
  <c r="C41" i="25"/>
  <c r="Y40" i="25"/>
  <c r="AC40" i="25" s="1"/>
  <c r="AD40" i="25" s="1"/>
  <c r="AE40" i="25" s="1"/>
  <c r="E41" i="25"/>
  <c r="N40" i="25"/>
  <c r="AL39" i="25"/>
  <c r="AJ39" i="25"/>
  <c r="T820" i="25"/>
  <c r="W819" i="25"/>
  <c r="X819" i="25" s="1"/>
  <c r="B666" i="25"/>
  <c r="B511" i="25"/>
  <c r="B357" i="25"/>
  <c r="M352" i="25"/>
  <c r="M353" i="25"/>
  <c r="B198" i="25"/>
  <c r="M198" i="25" s="1"/>
  <c r="Q352" i="25" l="1"/>
  <c r="R352" i="25"/>
  <c r="S352" i="25"/>
  <c r="R198" i="25"/>
  <c r="S198" i="25"/>
  <c r="Q198" i="25"/>
  <c r="Q353" i="25"/>
  <c r="R353" i="25"/>
  <c r="S353" i="25"/>
  <c r="Q663" i="25"/>
  <c r="R663" i="25"/>
  <c r="S663" i="25"/>
  <c r="AM197" i="25"/>
  <c r="AL197" i="25"/>
  <c r="AK197" i="25"/>
  <c r="AJ197" i="25"/>
  <c r="P198" i="25"/>
  <c r="T198" i="25"/>
  <c r="X198" i="25" s="1"/>
  <c r="AA198" i="25" s="1"/>
  <c r="U198" i="25"/>
  <c r="W198" i="25"/>
  <c r="Z198" i="25" s="1"/>
  <c r="N198" i="25"/>
  <c r="Y198" i="25"/>
  <c r="AC198" i="25" s="1"/>
  <c r="O198" i="25"/>
  <c r="V198" i="25"/>
  <c r="AB198" i="25"/>
  <c r="AD198" i="25" s="1"/>
  <c r="AE198" i="25" s="1"/>
  <c r="AH197" i="25"/>
  <c r="AI197" i="25"/>
  <c r="AO197" i="25" s="1"/>
  <c r="AR197" i="25" s="1"/>
  <c r="AN38" i="25"/>
  <c r="AQ38" i="25" s="1"/>
  <c r="N822" i="25"/>
  <c r="S822" i="25"/>
  <c r="Z822" i="25"/>
  <c r="AB507" i="25"/>
  <c r="AD507" i="25" s="1"/>
  <c r="AE507" i="25" s="1"/>
  <c r="AP351" i="25"/>
  <c r="AS351" i="25" s="1"/>
  <c r="AO351" i="25"/>
  <c r="AR351" i="25" s="1"/>
  <c r="AN661" i="25"/>
  <c r="AQ661" i="25" s="1"/>
  <c r="AO661" i="25"/>
  <c r="AR661" i="25" s="1"/>
  <c r="L821" i="25" s="1"/>
  <c r="U821" i="25" s="1"/>
  <c r="K821" i="25"/>
  <c r="W662" i="25"/>
  <c r="Z662" i="25" s="1"/>
  <c r="AB662" i="25" s="1"/>
  <c r="AD662" i="25" s="1"/>
  <c r="AE662" i="25" s="1"/>
  <c r="AP661" i="25"/>
  <c r="AS661" i="25" s="1"/>
  <c r="M821" i="25" s="1"/>
  <c r="V821" i="25" s="1"/>
  <c r="AN506" i="25"/>
  <c r="AQ506" i="25" s="1"/>
  <c r="AP506" i="25"/>
  <c r="AS506" i="25" s="1"/>
  <c r="O820" i="25"/>
  <c r="AO506" i="25"/>
  <c r="AR506" i="25" s="1"/>
  <c r="L822" i="25" s="1"/>
  <c r="U822" i="25" s="1"/>
  <c r="M508" i="25"/>
  <c r="T352" i="25"/>
  <c r="U352" i="25"/>
  <c r="N352" i="25"/>
  <c r="V352" i="25"/>
  <c r="O352" i="25"/>
  <c r="P352" i="25"/>
  <c r="X352" i="25"/>
  <c r="AA352" i="25" s="1"/>
  <c r="Y352" i="25"/>
  <c r="AC352" i="25" s="1"/>
  <c r="AK507" i="25"/>
  <c r="AN507" i="25" s="1"/>
  <c r="AQ507" i="25" s="1"/>
  <c r="AJ507" i="25"/>
  <c r="AL662" i="25"/>
  <c r="AM662" i="25"/>
  <c r="W507" i="25"/>
  <c r="Z507" i="25" s="1"/>
  <c r="AH507" i="25"/>
  <c r="AI507" i="25"/>
  <c r="M509" i="25"/>
  <c r="N353" i="25"/>
  <c r="V353" i="25"/>
  <c r="O353" i="25"/>
  <c r="W353" i="25"/>
  <c r="Z353" i="25" s="1"/>
  <c r="U353" i="25"/>
  <c r="Y353" i="25"/>
  <c r="AC353" i="25" s="1"/>
  <c r="P353" i="25"/>
  <c r="T353" i="25"/>
  <c r="X353" i="25" s="1"/>
  <c r="AA353" i="25" s="1"/>
  <c r="AJ662" i="25"/>
  <c r="AK662" i="25"/>
  <c r="AN662" i="25" s="1"/>
  <c r="AQ662" i="25" s="1"/>
  <c r="AH662" i="25"/>
  <c r="AP662" i="25" s="1"/>
  <c r="AS662" i="25" s="1"/>
  <c r="M822" i="25" s="1"/>
  <c r="V822" i="25" s="1"/>
  <c r="AI662" i="25"/>
  <c r="AO662" i="25" s="1"/>
  <c r="AR662" i="25" s="1"/>
  <c r="H823" i="25"/>
  <c r="Q823" i="25" s="1"/>
  <c r="J823" i="25"/>
  <c r="S823" i="25" s="1"/>
  <c r="T663" i="25"/>
  <c r="U663" i="25"/>
  <c r="V663" i="25"/>
  <c r="Y663" i="25"/>
  <c r="N663" i="25"/>
  <c r="AC663" i="25"/>
  <c r="O663" i="25"/>
  <c r="P663" i="25"/>
  <c r="I823" i="25"/>
  <c r="AL507" i="25"/>
  <c r="AM507" i="25"/>
  <c r="AA820" i="25"/>
  <c r="AB820" i="25" s="1"/>
  <c r="AC820" i="25" s="1"/>
  <c r="AD820" i="25" s="1"/>
  <c r="W820" i="25"/>
  <c r="X820" i="25" s="1"/>
  <c r="AI39" i="25"/>
  <c r="AO39" i="25" s="1"/>
  <c r="AR39" i="25" s="1"/>
  <c r="AK39" i="25"/>
  <c r="D41" i="25"/>
  <c r="P40" i="25"/>
  <c r="AL40" i="25"/>
  <c r="AJ40" i="25"/>
  <c r="AM39" i="25"/>
  <c r="AH39" i="25"/>
  <c r="AP39" i="25" s="1"/>
  <c r="AS39" i="25" s="1"/>
  <c r="E42" i="25"/>
  <c r="N41" i="25"/>
  <c r="F41" i="25"/>
  <c r="O40" i="25"/>
  <c r="C42" i="25"/>
  <c r="Y41" i="25"/>
  <c r="AC41" i="25" s="1"/>
  <c r="AD41" i="25" s="1"/>
  <c r="AE41" i="25" s="1"/>
  <c r="B667" i="25"/>
  <c r="B512" i="25"/>
  <c r="B358" i="25"/>
  <c r="M354" i="25"/>
  <c r="B199" i="25"/>
  <c r="M199" i="25" s="1"/>
  <c r="S509" i="25" l="1"/>
  <c r="R509" i="25"/>
  <c r="Q509" i="25"/>
  <c r="R508" i="25"/>
  <c r="Q508" i="25"/>
  <c r="S508" i="25"/>
  <c r="R199" i="25"/>
  <c r="Q199" i="25"/>
  <c r="S199" i="25"/>
  <c r="Q354" i="25"/>
  <c r="R354" i="25"/>
  <c r="S354" i="25"/>
  <c r="T199" i="25"/>
  <c r="U199" i="25"/>
  <c r="X199" i="25" s="1"/>
  <c r="AA199" i="25" s="1"/>
  <c r="N199" i="25"/>
  <c r="V199" i="25"/>
  <c r="Y199" i="25"/>
  <c r="AC199" i="25" s="1"/>
  <c r="O199" i="25"/>
  <c r="P199" i="25"/>
  <c r="W199" i="25"/>
  <c r="Z199" i="25" s="1"/>
  <c r="AB199" i="25" s="1"/>
  <c r="AD199" i="25" s="1"/>
  <c r="AE199" i="25" s="1"/>
  <c r="AO199" i="25"/>
  <c r="AR199" i="25" s="1"/>
  <c r="AP199" i="25"/>
  <c r="AS199" i="25" s="1"/>
  <c r="AK198" i="25"/>
  <c r="AN198" i="25" s="1"/>
  <c r="AQ198" i="25" s="1"/>
  <c r="AJ198" i="25"/>
  <c r="AH198" i="25"/>
  <c r="AP198" i="25" s="1"/>
  <c r="AS198" i="25" s="1"/>
  <c r="AI198" i="25"/>
  <c r="AO198" i="25" s="1"/>
  <c r="AR198" i="25" s="1"/>
  <c r="AL198" i="25"/>
  <c r="AM198" i="25"/>
  <c r="K822" i="25"/>
  <c r="T822" i="25" s="1"/>
  <c r="AB353" i="25"/>
  <c r="AD353" i="25" s="1"/>
  <c r="AE353" i="25" s="1"/>
  <c r="O822" i="25"/>
  <c r="X663" i="25"/>
  <c r="AA663" i="25" s="1"/>
  <c r="N823" i="25"/>
  <c r="R823" i="25"/>
  <c r="Z823" i="25" s="1"/>
  <c r="AO507" i="25"/>
  <c r="AR507" i="25" s="1"/>
  <c r="L823" i="25" s="1"/>
  <c r="U823" i="25" s="1"/>
  <c r="O821" i="25"/>
  <c r="T821" i="25"/>
  <c r="AP507" i="25"/>
  <c r="AS507" i="25" s="1"/>
  <c r="M823" i="25" s="1"/>
  <c r="V823" i="25" s="1"/>
  <c r="W352" i="25"/>
  <c r="Z352" i="25" s="1"/>
  <c r="AB352" i="25" s="1"/>
  <c r="AD352" i="25" s="1"/>
  <c r="AE352" i="25" s="1"/>
  <c r="AH352" i="25"/>
  <c r="AI352" i="25"/>
  <c r="AM353" i="25"/>
  <c r="AL353" i="25"/>
  <c r="M665" i="25"/>
  <c r="T509" i="25"/>
  <c r="U509" i="25"/>
  <c r="N509" i="25"/>
  <c r="V509" i="25"/>
  <c r="P509" i="25"/>
  <c r="O509" i="25"/>
  <c r="Y509" i="25"/>
  <c r="AC509" i="25" s="1"/>
  <c r="AJ663" i="25"/>
  <c r="AK663" i="25"/>
  <c r="AN663" i="25" s="1"/>
  <c r="AQ663" i="25" s="1"/>
  <c r="AJ353" i="25"/>
  <c r="AK353" i="25"/>
  <c r="AN353" i="25" s="1"/>
  <c r="AQ353" i="25" s="1"/>
  <c r="AM352" i="25"/>
  <c r="AL352" i="25"/>
  <c r="M510" i="25"/>
  <c r="U354" i="25"/>
  <c r="N354" i="25"/>
  <c r="V354" i="25"/>
  <c r="O354" i="25"/>
  <c r="Y354" i="25"/>
  <c r="P354" i="25"/>
  <c r="T354" i="25"/>
  <c r="X354" i="25" s="1"/>
  <c r="AA354" i="25" s="1"/>
  <c r="AC354" i="25"/>
  <c r="AL663" i="25"/>
  <c r="AM663" i="25"/>
  <c r="W663" i="25"/>
  <c r="Z663" i="25" s="1"/>
  <c r="AB663" i="25" s="1"/>
  <c r="AD663" i="25" s="1"/>
  <c r="AE663" i="25" s="1"/>
  <c r="AH663" i="25"/>
  <c r="AP663" i="25" s="1"/>
  <c r="AS663" i="25" s="1"/>
  <c r="AI663" i="25"/>
  <c r="AO663" i="25" s="1"/>
  <c r="AR663" i="25" s="1"/>
  <c r="AH353" i="25"/>
  <c r="AP353" i="25" s="1"/>
  <c r="AS353" i="25" s="1"/>
  <c r="AI353" i="25"/>
  <c r="AO353" i="25" s="1"/>
  <c r="AR353" i="25" s="1"/>
  <c r="AK352" i="25"/>
  <c r="AN352" i="25" s="1"/>
  <c r="AQ352" i="25" s="1"/>
  <c r="AJ352" i="25"/>
  <c r="M664" i="25"/>
  <c r="T508" i="25"/>
  <c r="U508" i="25"/>
  <c r="N508" i="25"/>
  <c r="V508" i="25"/>
  <c r="O508" i="25"/>
  <c r="Y508" i="25"/>
  <c r="AC508" i="25" s="1"/>
  <c r="P508" i="25"/>
  <c r="W508" i="25"/>
  <c r="Z508" i="25" s="1"/>
  <c r="C43" i="25"/>
  <c r="Y42" i="25"/>
  <c r="AC42" i="25" s="1"/>
  <c r="AD42" i="25" s="1"/>
  <c r="AE42" i="25" s="1"/>
  <c r="AH40" i="25"/>
  <c r="AP40" i="25" s="1"/>
  <c r="AS40" i="25" s="1"/>
  <c r="AM40" i="25"/>
  <c r="F42" i="25"/>
  <c r="O41" i="25"/>
  <c r="E43" i="25"/>
  <c r="N42" i="25"/>
  <c r="AJ41" i="25"/>
  <c r="AL41" i="25"/>
  <c r="AI40" i="25"/>
  <c r="AO40" i="25" s="1"/>
  <c r="AR40" i="25" s="1"/>
  <c r="AK40" i="25"/>
  <c r="D42" i="25"/>
  <c r="P41" i="25"/>
  <c r="AN39" i="25"/>
  <c r="AQ39" i="25" s="1"/>
  <c r="K823" i="25" s="1"/>
  <c r="B668" i="25"/>
  <c r="B513" i="25"/>
  <c r="B359" i="25"/>
  <c r="M355" i="25"/>
  <c r="B200" i="25"/>
  <c r="M200" i="25" s="1"/>
  <c r="S355" i="25" l="1"/>
  <c r="Q355" i="25"/>
  <c r="R355" i="25"/>
  <c r="R200" i="25"/>
  <c r="Q200" i="25"/>
  <c r="S200" i="25"/>
  <c r="Q664" i="25"/>
  <c r="R664" i="25"/>
  <c r="S664" i="25"/>
  <c r="S665" i="25"/>
  <c r="Q665" i="25"/>
  <c r="R665" i="25"/>
  <c r="R510" i="25"/>
  <c r="S510" i="25"/>
  <c r="Q510" i="25"/>
  <c r="AK199" i="25"/>
  <c r="AN199" i="25" s="1"/>
  <c r="AQ199" i="25" s="1"/>
  <c r="AJ199" i="25"/>
  <c r="Y200" i="25"/>
  <c r="AC200" i="25"/>
  <c r="O200" i="25"/>
  <c r="T200" i="25"/>
  <c r="U200" i="25"/>
  <c r="P200" i="25"/>
  <c r="V200" i="25"/>
  <c r="N200" i="25"/>
  <c r="X200" i="25"/>
  <c r="AA200" i="25" s="1"/>
  <c r="W200" i="25"/>
  <c r="Z200" i="25" s="1"/>
  <c r="AB200" i="25" s="1"/>
  <c r="AD200" i="25" s="1"/>
  <c r="AE200" i="25" s="1"/>
  <c r="AI199" i="25"/>
  <c r="AH199" i="25"/>
  <c r="AL199" i="25"/>
  <c r="AM199" i="25"/>
  <c r="AA822" i="25"/>
  <c r="AB822" i="25" s="1"/>
  <c r="AC822" i="25" s="1"/>
  <c r="AD822" i="25" s="1"/>
  <c r="W822" i="25"/>
  <c r="X822" i="25" s="1"/>
  <c r="X508" i="25"/>
  <c r="AA508" i="25" s="1"/>
  <c r="AB508" i="25" s="1"/>
  <c r="AD508" i="25" s="1"/>
  <c r="AE508" i="25" s="1"/>
  <c r="AO352" i="25"/>
  <c r="AR352" i="25" s="1"/>
  <c r="AP352" i="25"/>
  <c r="AS352" i="25" s="1"/>
  <c r="X509" i="25"/>
  <c r="AA509" i="25" s="1"/>
  <c r="AN40" i="25"/>
  <c r="AQ40" i="25" s="1"/>
  <c r="AA821" i="25"/>
  <c r="AB821" i="25" s="1"/>
  <c r="AC821" i="25" s="1"/>
  <c r="AD821" i="25" s="1"/>
  <c r="W821" i="25"/>
  <c r="X821" i="25" s="1"/>
  <c r="AL509" i="25"/>
  <c r="AM509" i="25"/>
  <c r="W509" i="25"/>
  <c r="Z509" i="25" s="1"/>
  <c r="AB509" i="25" s="1"/>
  <c r="AD509" i="25" s="1"/>
  <c r="AE509" i="25" s="1"/>
  <c r="AI509" i="25"/>
  <c r="AO509" i="25" s="1"/>
  <c r="AR509" i="25" s="1"/>
  <c r="AH509" i="25"/>
  <c r="AK509" i="25"/>
  <c r="AJ509" i="25"/>
  <c r="T665" i="25"/>
  <c r="N665" i="25"/>
  <c r="V665" i="25"/>
  <c r="J825" i="25"/>
  <c r="S825" i="25" s="1"/>
  <c r="U665" i="25"/>
  <c r="Y665" i="25"/>
  <c r="AC665" i="25" s="1"/>
  <c r="O665" i="25"/>
  <c r="P665" i="25"/>
  <c r="H825" i="25"/>
  <c r="I825" i="25"/>
  <c r="R825" i="25" s="1"/>
  <c r="AL354" i="25"/>
  <c r="AM354" i="25"/>
  <c r="AJ354" i="25"/>
  <c r="AK354" i="25"/>
  <c r="AN354" i="25" s="1"/>
  <c r="AQ354" i="25" s="1"/>
  <c r="AL508" i="25"/>
  <c r="AM508" i="25"/>
  <c r="AH508" i="25"/>
  <c r="AI508" i="25"/>
  <c r="AO508" i="25" s="1"/>
  <c r="AR508" i="25" s="1"/>
  <c r="W354" i="25"/>
  <c r="Z354" i="25" s="1"/>
  <c r="AB354" i="25" s="1"/>
  <c r="AD354" i="25" s="1"/>
  <c r="AE354" i="25" s="1"/>
  <c r="AI354" i="25"/>
  <c r="AO354" i="25" s="1"/>
  <c r="AR354" i="25" s="1"/>
  <c r="AH354" i="25"/>
  <c r="AP354" i="25" s="1"/>
  <c r="AS354" i="25" s="1"/>
  <c r="AJ508" i="25"/>
  <c r="AK508" i="25"/>
  <c r="AN508" i="25" s="1"/>
  <c r="AQ508" i="25" s="1"/>
  <c r="N664" i="25"/>
  <c r="V664" i="25"/>
  <c r="P664" i="25"/>
  <c r="J824" i="25"/>
  <c r="S824" i="25" s="1"/>
  <c r="T664" i="25"/>
  <c r="U664" i="25"/>
  <c r="Y664" i="25"/>
  <c r="AC664" i="25" s="1"/>
  <c r="O664" i="25"/>
  <c r="H824" i="25"/>
  <c r="I824" i="25"/>
  <c r="R824" i="25" s="1"/>
  <c r="P510" i="25"/>
  <c r="Y510" i="25"/>
  <c r="AC510" i="25" s="1"/>
  <c r="T510" i="25"/>
  <c r="X510" i="25" s="1"/>
  <c r="AA510" i="25" s="1"/>
  <c r="N510" i="25"/>
  <c r="V510" i="25"/>
  <c r="W510" i="25"/>
  <c r="Z510" i="25" s="1"/>
  <c r="O510" i="25"/>
  <c r="U510" i="25"/>
  <c r="M666" i="25"/>
  <c r="M511" i="25"/>
  <c r="O355" i="25"/>
  <c r="P355" i="25"/>
  <c r="Y355" i="25"/>
  <c r="AC355" i="25" s="1"/>
  <c r="T355" i="25"/>
  <c r="X355" i="25" s="1"/>
  <c r="AA355" i="25" s="1"/>
  <c r="U355" i="25"/>
  <c r="V355" i="25"/>
  <c r="N355" i="25"/>
  <c r="W355" i="25"/>
  <c r="Z355" i="25" s="1"/>
  <c r="O823" i="25"/>
  <c r="T823" i="25"/>
  <c r="C44" i="25"/>
  <c r="Y43" i="25"/>
  <c r="AC43" i="25" s="1"/>
  <c r="AD43" i="25" s="1"/>
  <c r="AE43" i="25" s="1"/>
  <c r="D43" i="25"/>
  <c r="P42" i="25"/>
  <c r="AI41" i="25"/>
  <c r="AO41" i="25" s="1"/>
  <c r="AR41" i="25" s="1"/>
  <c r="AK41" i="25"/>
  <c r="AH41" i="25"/>
  <c r="AP41" i="25" s="1"/>
  <c r="AS41" i="25" s="1"/>
  <c r="AM41" i="25"/>
  <c r="F43" i="25"/>
  <c r="O42" i="25"/>
  <c r="AJ42" i="25"/>
  <c r="AL42" i="25"/>
  <c r="E44" i="25"/>
  <c r="N43" i="25"/>
  <c r="B669" i="25"/>
  <c r="B514" i="25"/>
  <c r="B360" i="25"/>
  <c r="M356" i="25"/>
  <c r="B201" i="25"/>
  <c r="M201" i="25" s="1"/>
  <c r="S356" i="25" l="1"/>
  <c r="Q356" i="25"/>
  <c r="R356" i="25"/>
  <c r="Q201" i="25"/>
  <c r="R201" i="25"/>
  <c r="S201" i="25"/>
  <c r="Q511" i="25"/>
  <c r="R511" i="25"/>
  <c r="S511" i="25"/>
  <c r="Q666" i="25"/>
  <c r="R666" i="25"/>
  <c r="S666" i="25"/>
  <c r="AM200" i="25"/>
  <c r="AL200" i="25"/>
  <c r="AK200" i="25"/>
  <c r="AN200" i="25" s="1"/>
  <c r="AQ200" i="25" s="1"/>
  <c r="AJ200" i="25"/>
  <c r="AI200" i="25"/>
  <c r="AO200" i="25" s="1"/>
  <c r="AR200" i="25" s="1"/>
  <c r="AH200" i="25"/>
  <c r="AP200" i="25" s="1"/>
  <c r="AS200" i="25" s="1"/>
  <c r="N201" i="25"/>
  <c r="V201" i="25"/>
  <c r="O201" i="25"/>
  <c r="Y201" i="25"/>
  <c r="AC201" i="25" s="1"/>
  <c r="P201" i="25"/>
  <c r="T201" i="25"/>
  <c r="U201" i="25"/>
  <c r="X201" i="25"/>
  <c r="AA201" i="25" s="1"/>
  <c r="W201" i="25"/>
  <c r="Z201" i="25" s="1"/>
  <c r="AB201" i="25" s="1"/>
  <c r="AD201" i="25" s="1"/>
  <c r="AE201" i="25" s="1"/>
  <c r="AP201" i="25"/>
  <c r="AS201" i="25" s="1"/>
  <c r="Q824" i="25"/>
  <c r="Z824" i="25" s="1"/>
  <c r="N824" i="25"/>
  <c r="N825" i="25"/>
  <c r="Q825" i="25"/>
  <c r="Z825" i="25" s="1"/>
  <c r="AP508" i="25"/>
  <c r="AS508" i="25" s="1"/>
  <c r="AB510" i="25"/>
  <c r="AD510" i="25" s="1"/>
  <c r="AE510" i="25" s="1"/>
  <c r="AN41" i="25"/>
  <c r="AQ41" i="25" s="1"/>
  <c r="AB355" i="25"/>
  <c r="AD355" i="25" s="1"/>
  <c r="AE355" i="25" s="1"/>
  <c r="X665" i="25"/>
  <c r="AA665" i="25" s="1"/>
  <c r="X664" i="25"/>
  <c r="AA664" i="25" s="1"/>
  <c r="AN509" i="25"/>
  <c r="AQ509" i="25" s="1"/>
  <c r="AP509" i="25"/>
  <c r="AS509" i="25" s="1"/>
  <c r="W665" i="25"/>
  <c r="Z665" i="25" s="1"/>
  <c r="AH665" i="25"/>
  <c r="AI665" i="25"/>
  <c r="M512" i="25"/>
  <c r="T356" i="25"/>
  <c r="X356" i="25" s="1"/>
  <c r="AA356" i="25" s="1"/>
  <c r="N356" i="25"/>
  <c r="V356" i="25"/>
  <c r="O356" i="25"/>
  <c r="P356" i="25"/>
  <c r="Y356" i="25"/>
  <c r="AC356" i="25" s="1"/>
  <c r="U356" i="25"/>
  <c r="AL355" i="25"/>
  <c r="AM355" i="25"/>
  <c r="AK355" i="25"/>
  <c r="AJ355" i="25"/>
  <c r="AM510" i="25"/>
  <c r="AL510" i="25"/>
  <c r="AJ665" i="25"/>
  <c r="AK665" i="25"/>
  <c r="AK510" i="25"/>
  <c r="AJ510" i="25"/>
  <c r="M667" i="25"/>
  <c r="T511" i="25"/>
  <c r="X511" i="25" s="1"/>
  <c r="AA511" i="25" s="1"/>
  <c r="U511" i="25"/>
  <c r="N511" i="25"/>
  <c r="V511" i="25"/>
  <c r="O511" i="25"/>
  <c r="Y511" i="25"/>
  <c r="AC511" i="25" s="1"/>
  <c r="P511" i="25"/>
  <c r="AI355" i="25"/>
  <c r="AO355" i="25" s="1"/>
  <c r="AR355" i="25" s="1"/>
  <c r="AH355" i="25"/>
  <c r="AP355" i="25" s="1"/>
  <c r="AS355" i="25" s="1"/>
  <c r="W664" i="25"/>
  <c r="Z664" i="25" s="1"/>
  <c r="AB664" i="25" s="1"/>
  <c r="AD664" i="25" s="1"/>
  <c r="AE664" i="25" s="1"/>
  <c r="AJ664" i="25"/>
  <c r="AK664" i="25"/>
  <c r="AL665" i="25"/>
  <c r="AM665" i="25"/>
  <c r="I826" i="25"/>
  <c r="R826" i="25" s="1"/>
  <c r="T666" i="25"/>
  <c r="X666" i="25" s="1"/>
  <c r="AA666" i="25" s="1"/>
  <c r="U666" i="25"/>
  <c r="V666" i="25"/>
  <c r="N666" i="25"/>
  <c r="O666" i="25"/>
  <c r="Y666" i="25"/>
  <c r="AC666" i="25" s="1"/>
  <c r="P666" i="25"/>
  <c r="H826" i="25"/>
  <c r="J826" i="25"/>
  <c r="S826" i="25" s="1"/>
  <c r="AL664" i="25"/>
  <c r="AM664" i="25"/>
  <c r="AH510" i="25"/>
  <c r="AP510" i="25" s="1"/>
  <c r="AS510" i="25" s="1"/>
  <c r="AI510" i="25"/>
  <c r="AO510" i="25" s="1"/>
  <c r="AR510" i="25" s="1"/>
  <c r="AH664" i="25"/>
  <c r="AP664" i="25" s="1"/>
  <c r="AS664" i="25" s="1"/>
  <c r="M824" i="25" s="1"/>
  <c r="V824" i="25" s="1"/>
  <c r="AI664" i="25"/>
  <c r="AO664" i="25" s="1"/>
  <c r="AR664" i="25" s="1"/>
  <c r="L824" i="25" s="1"/>
  <c r="U824" i="25" s="1"/>
  <c r="N44" i="25"/>
  <c r="E45" i="25"/>
  <c r="E163" i="25"/>
  <c r="N163" i="25" s="1"/>
  <c r="AK42" i="25"/>
  <c r="AI42" i="25"/>
  <c r="AO42" i="25" s="1"/>
  <c r="AR42" i="25" s="1"/>
  <c r="D44" i="25"/>
  <c r="P43" i="25"/>
  <c r="AM42" i="25"/>
  <c r="AH42" i="25"/>
  <c r="AP42" i="25" s="1"/>
  <c r="AS42" i="25" s="1"/>
  <c r="Y44" i="25"/>
  <c r="AC44" i="25" s="1"/>
  <c r="AD44" i="25" s="1"/>
  <c r="AE44" i="25" s="1"/>
  <c r="C45" i="25"/>
  <c r="C163" i="25"/>
  <c r="Y163" i="25" s="1"/>
  <c r="AC163" i="25" s="1"/>
  <c r="AD163" i="25" s="1"/>
  <c r="AE163" i="25" s="1"/>
  <c r="F44" i="25"/>
  <c r="O43" i="25"/>
  <c r="AL43" i="25"/>
  <c r="AJ43" i="25"/>
  <c r="AA823" i="25"/>
  <c r="AB823" i="25" s="1"/>
  <c r="AC823" i="25" s="1"/>
  <c r="AD823" i="25" s="1"/>
  <c r="W823" i="25"/>
  <c r="X823" i="25" s="1"/>
  <c r="B670" i="25"/>
  <c r="B515" i="25"/>
  <c r="B361" i="25"/>
  <c r="M357" i="25"/>
  <c r="B202" i="25"/>
  <c r="M202" i="25" s="1"/>
  <c r="Q357" i="25" l="1"/>
  <c r="R357" i="25"/>
  <c r="S357" i="25"/>
  <c r="Q667" i="25"/>
  <c r="R667" i="25"/>
  <c r="S667" i="25"/>
  <c r="R512" i="25"/>
  <c r="Q512" i="25"/>
  <c r="S512" i="25"/>
  <c r="Q202" i="25"/>
  <c r="R202" i="25"/>
  <c r="S202" i="25"/>
  <c r="Y202" i="25"/>
  <c r="AC202" i="25" s="1"/>
  <c r="P202" i="25"/>
  <c r="T202" i="25"/>
  <c r="U202" i="25"/>
  <c r="X202" i="25" s="1"/>
  <c r="AA202" i="25" s="1"/>
  <c r="N202" i="25"/>
  <c r="O202" i="25"/>
  <c r="AH202" i="25" s="1"/>
  <c r="V202" i="25"/>
  <c r="W202" i="25"/>
  <c r="Z202" i="25" s="1"/>
  <c r="AB202" i="25" s="1"/>
  <c r="AD202" i="25" s="1"/>
  <c r="AE202" i="25" s="1"/>
  <c r="AI201" i="25"/>
  <c r="AO201" i="25" s="1"/>
  <c r="AR201" i="25" s="1"/>
  <c r="AH201" i="25"/>
  <c r="AJ201" i="25"/>
  <c r="AK201" i="25"/>
  <c r="AN201" i="25" s="1"/>
  <c r="AQ201" i="25" s="1"/>
  <c r="AL201" i="25"/>
  <c r="AM201" i="25"/>
  <c r="Q826" i="25"/>
  <c r="Z826" i="25" s="1"/>
  <c r="N826" i="25"/>
  <c r="M825" i="25"/>
  <c r="V825" i="25" s="1"/>
  <c r="W666" i="25"/>
  <c r="Z666" i="25" s="1"/>
  <c r="AB666" i="25" s="1"/>
  <c r="AD666" i="25" s="1"/>
  <c r="AE666" i="25" s="1"/>
  <c r="AB665" i="25"/>
  <c r="AD665" i="25" s="1"/>
  <c r="AE665" i="25" s="1"/>
  <c r="AN355" i="25"/>
  <c r="AQ355" i="25" s="1"/>
  <c r="K825" i="25"/>
  <c r="AN510" i="25"/>
  <c r="AQ510" i="25" s="1"/>
  <c r="AN665" i="25"/>
  <c r="AQ665" i="25" s="1"/>
  <c r="AO665" i="25"/>
  <c r="AR665" i="25" s="1"/>
  <c r="L825" i="25" s="1"/>
  <c r="U825" i="25" s="1"/>
  <c r="AN664" i="25"/>
  <c r="AQ664" i="25" s="1"/>
  <c r="K824" i="25" s="1"/>
  <c r="AP665" i="25"/>
  <c r="AS665" i="25" s="1"/>
  <c r="AL666" i="25"/>
  <c r="AM666" i="25"/>
  <c r="AJ511" i="25"/>
  <c r="AK511" i="25"/>
  <c r="AH666" i="25"/>
  <c r="AI666" i="25"/>
  <c r="W511" i="25"/>
  <c r="Z511" i="25" s="1"/>
  <c r="AB511" i="25" s="1"/>
  <c r="AD511" i="25" s="1"/>
  <c r="AE511" i="25" s="1"/>
  <c r="AH511" i="25"/>
  <c r="AI511" i="25"/>
  <c r="N667" i="25"/>
  <c r="V667" i="25"/>
  <c r="P667" i="25"/>
  <c r="J827" i="25"/>
  <c r="S827" i="25" s="1"/>
  <c r="T667" i="25"/>
  <c r="U667" i="25"/>
  <c r="Y667" i="25"/>
  <c r="AC667" i="25" s="1"/>
  <c r="O667" i="25"/>
  <c r="H827" i="25"/>
  <c r="Q827" i="25" s="1"/>
  <c r="I827" i="25"/>
  <c r="AK356" i="25"/>
  <c r="AJ356" i="25"/>
  <c r="AM511" i="25"/>
  <c r="AL511" i="25"/>
  <c r="AJ666" i="25"/>
  <c r="AK666" i="25"/>
  <c r="AN666" i="25" s="1"/>
  <c r="AQ666" i="25" s="1"/>
  <c r="W356" i="25"/>
  <c r="Z356" i="25" s="1"/>
  <c r="AB356" i="25" s="1"/>
  <c r="AD356" i="25" s="1"/>
  <c r="AE356" i="25" s="1"/>
  <c r="AH356" i="25"/>
  <c r="AI356" i="25"/>
  <c r="AM356" i="25"/>
  <c r="AL356" i="25"/>
  <c r="M668" i="25"/>
  <c r="P512" i="25"/>
  <c r="T512" i="25"/>
  <c r="X512" i="25" s="1"/>
  <c r="AA512" i="25" s="1"/>
  <c r="N512" i="25"/>
  <c r="V512" i="25"/>
  <c r="O512" i="25"/>
  <c r="Y512" i="25"/>
  <c r="AC512" i="25" s="1"/>
  <c r="U512" i="25"/>
  <c r="M513" i="25"/>
  <c r="P357" i="25"/>
  <c r="Y357" i="25"/>
  <c r="AC357" i="25" s="1"/>
  <c r="T357" i="25"/>
  <c r="U357" i="25"/>
  <c r="V357" i="25"/>
  <c r="N357" i="25"/>
  <c r="O357" i="25"/>
  <c r="AJ163" i="25"/>
  <c r="AL163" i="25"/>
  <c r="AN42" i="25"/>
  <c r="AQ42" i="25" s="1"/>
  <c r="K826" i="25" s="1"/>
  <c r="C46" i="25"/>
  <c r="Y45" i="25"/>
  <c r="AC45" i="25" s="1"/>
  <c r="AD45" i="25" s="1"/>
  <c r="AE45" i="25" s="1"/>
  <c r="AI43" i="25"/>
  <c r="AO43" i="25" s="1"/>
  <c r="AR43" i="25" s="1"/>
  <c r="AK43" i="25"/>
  <c r="AM43" i="25"/>
  <c r="AH43" i="25"/>
  <c r="AP43" i="25" s="1"/>
  <c r="AS43" i="25" s="1"/>
  <c r="P44" i="25"/>
  <c r="D45" i="25"/>
  <c r="D163" i="25"/>
  <c r="P163" i="25" s="1"/>
  <c r="E46" i="25"/>
  <c r="N45" i="25"/>
  <c r="O44" i="25"/>
  <c r="F163" i="25"/>
  <c r="O163" i="25" s="1"/>
  <c r="F45" i="25"/>
  <c r="AL44" i="25"/>
  <c r="AJ44" i="25"/>
  <c r="B671" i="25"/>
  <c r="B516" i="25"/>
  <c r="B362" i="25"/>
  <c r="M358" i="25"/>
  <c r="B203" i="25"/>
  <c r="M203" i="25" s="1"/>
  <c r="R668" i="25" l="1"/>
  <c r="S668" i="25"/>
  <c r="Q668" i="25"/>
  <c r="Q513" i="25"/>
  <c r="S513" i="25"/>
  <c r="R513" i="25"/>
  <c r="Q203" i="25"/>
  <c r="S203" i="25"/>
  <c r="R203" i="25"/>
  <c r="R358" i="25"/>
  <c r="Q358" i="25"/>
  <c r="S358" i="25"/>
  <c r="AI202" i="25"/>
  <c r="AL202" i="25"/>
  <c r="AO202" i="25" s="1"/>
  <c r="AR202" i="25" s="1"/>
  <c r="AM202" i="25"/>
  <c r="AK202" i="25"/>
  <c r="AN202" i="25" s="1"/>
  <c r="AQ202" i="25" s="1"/>
  <c r="AJ202" i="25"/>
  <c r="AP202" i="25" s="1"/>
  <c r="AS202" i="25" s="1"/>
  <c r="T203" i="25"/>
  <c r="V203" i="25"/>
  <c r="P203" i="25"/>
  <c r="U203" i="25"/>
  <c r="N203" i="25"/>
  <c r="O203" i="25"/>
  <c r="AC203" i="25"/>
  <c r="Y203" i="25"/>
  <c r="W203" i="25"/>
  <c r="Z203" i="25" s="1"/>
  <c r="X203" i="25"/>
  <c r="AA203" i="25" s="1"/>
  <c r="AN203" i="25"/>
  <c r="AQ203" i="25" s="1"/>
  <c r="AO203" i="25"/>
  <c r="AR203" i="25" s="1"/>
  <c r="AB203" i="25"/>
  <c r="AD203" i="25" s="1"/>
  <c r="AE203" i="25" s="1"/>
  <c r="N827" i="25"/>
  <c r="R827" i="25"/>
  <c r="Z827" i="25"/>
  <c r="X357" i="25"/>
  <c r="AA357" i="25" s="1"/>
  <c r="AO356" i="25"/>
  <c r="AR356" i="25" s="1"/>
  <c r="AN356" i="25"/>
  <c r="AQ356" i="25" s="1"/>
  <c r="AO511" i="25"/>
  <c r="AR511" i="25" s="1"/>
  <c r="L827" i="25" s="1"/>
  <c r="U827" i="25" s="1"/>
  <c r="AP356" i="25"/>
  <c r="AS356" i="25" s="1"/>
  <c r="X667" i="25"/>
  <c r="AA667" i="25" s="1"/>
  <c r="AP511" i="25"/>
  <c r="AS511" i="25" s="1"/>
  <c r="T824" i="25"/>
  <c r="O824" i="25"/>
  <c r="T825" i="25"/>
  <c r="O825" i="25"/>
  <c r="W357" i="25"/>
  <c r="Z357" i="25" s="1"/>
  <c r="AO666" i="25"/>
  <c r="AR666" i="25" s="1"/>
  <c r="L826" i="25" s="1"/>
  <c r="U826" i="25" s="1"/>
  <c r="AN43" i="25"/>
  <c r="AQ43" i="25" s="1"/>
  <c r="AP666" i="25"/>
  <c r="AS666" i="25" s="1"/>
  <c r="M826" i="25" s="1"/>
  <c r="V826" i="25" s="1"/>
  <c r="AN511" i="25"/>
  <c r="AQ511" i="25" s="1"/>
  <c r="AJ512" i="25"/>
  <c r="AK512" i="25"/>
  <c r="AH357" i="25"/>
  <c r="AI357" i="25"/>
  <c r="W512" i="25"/>
  <c r="Z512" i="25" s="1"/>
  <c r="AB512" i="25" s="1"/>
  <c r="AD512" i="25" s="1"/>
  <c r="AE512" i="25" s="1"/>
  <c r="AI512" i="25"/>
  <c r="AH512" i="25"/>
  <c r="AL667" i="25"/>
  <c r="AM667" i="25"/>
  <c r="AJ357" i="25"/>
  <c r="AK357" i="25"/>
  <c r="M669" i="25"/>
  <c r="U513" i="25"/>
  <c r="N513" i="25"/>
  <c r="V513" i="25"/>
  <c r="O513" i="25"/>
  <c r="Y513" i="25"/>
  <c r="AC513" i="25" s="1"/>
  <c r="P513" i="25"/>
  <c r="T513" i="25"/>
  <c r="J828" i="25"/>
  <c r="S828" i="25" s="1"/>
  <c r="U668" i="25"/>
  <c r="I828" i="25"/>
  <c r="R828" i="25" s="1"/>
  <c r="T668" i="25"/>
  <c r="V668" i="25"/>
  <c r="Y668" i="25"/>
  <c r="AC668" i="25" s="1"/>
  <c r="N668" i="25"/>
  <c r="O668" i="25"/>
  <c r="P668" i="25"/>
  <c r="H828" i="25"/>
  <c r="AJ667" i="25"/>
  <c r="AK667" i="25"/>
  <c r="AN667" i="25" s="1"/>
  <c r="AQ667" i="25" s="1"/>
  <c r="M514" i="25"/>
  <c r="T358" i="25"/>
  <c r="U358" i="25"/>
  <c r="O358" i="25"/>
  <c r="Y358" i="25"/>
  <c r="P358" i="25"/>
  <c r="AC358" i="25"/>
  <c r="N358" i="25"/>
  <c r="V358" i="25"/>
  <c r="X358" i="25"/>
  <c r="AA358" i="25" s="1"/>
  <c r="W667" i="25"/>
  <c r="Z667" i="25" s="1"/>
  <c r="AB667" i="25" s="1"/>
  <c r="AD667" i="25" s="1"/>
  <c r="AE667" i="25" s="1"/>
  <c r="AH667" i="25"/>
  <c r="AP667" i="25" s="1"/>
  <c r="AS667" i="25" s="1"/>
  <c r="M827" i="25" s="1"/>
  <c r="V827" i="25" s="1"/>
  <c r="AI667" i="25"/>
  <c r="AO667" i="25" s="1"/>
  <c r="AR667" i="25" s="1"/>
  <c r="AM357" i="25"/>
  <c r="AL357" i="25"/>
  <c r="AL512" i="25"/>
  <c r="AM512" i="25"/>
  <c r="C47" i="25"/>
  <c r="Y46" i="25"/>
  <c r="AC46" i="25" s="1"/>
  <c r="AD46" i="25" s="1"/>
  <c r="AE46" i="25" s="1"/>
  <c r="E47" i="25"/>
  <c r="N46" i="25"/>
  <c r="AI163" i="25"/>
  <c r="AO163" i="25" s="1"/>
  <c r="AR163" i="25" s="1"/>
  <c r="AK163" i="25"/>
  <c r="D46" i="25"/>
  <c r="P45" i="25"/>
  <c r="T826" i="25"/>
  <c r="O826" i="25"/>
  <c r="AJ45" i="25"/>
  <c r="AL45" i="25"/>
  <c r="F46" i="25"/>
  <c r="O45" i="25"/>
  <c r="AH44" i="25"/>
  <c r="AP44" i="25" s="1"/>
  <c r="AS44" i="25" s="1"/>
  <c r="AM44" i="25"/>
  <c r="AI44" i="25"/>
  <c r="AO44" i="25" s="1"/>
  <c r="AR44" i="25" s="1"/>
  <c r="AK44" i="25"/>
  <c r="AH163" i="25"/>
  <c r="AP163" i="25" s="1"/>
  <c r="AS163" i="25" s="1"/>
  <c r="AM163" i="25"/>
  <c r="AN163" i="25" s="1"/>
  <c r="AQ163" i="25" s="1"/>
  <c r="B672" i="25"/>
  <c r="B517" i="25"/>
  <c r="B363" i="25"/>
  <c r="M359" i="25"/>
  <c r="B204" i="25"/>
  <c r="M204" i="25" s="1"/>
  <c r="Q669" i="25" l="1"/>
  <c r="R669" i="25"/>
  <c r="S669" i="25"/>
  <c r="R359" i="25"/>
  <c r="S359" i="25"/>
  <c r="Q359" i="25"/>
  <c r="Q204" i="25"/>
  <c r="S204" i="25"/>
  <c r="R204" i="25"/>
  <c r="S514" i="25"/>
  <c r="Q514" i="25"/>
  <c r="R514" i="25"/>
  <c r="AH203" i="25"/>
  <c r="AP203" i="25" s="1"/>
  <c r="AS203" i="25" s="1"/>
  <c r="AI203" i="25"/>
  <c r="AK203" i="25"/>
  <c r="AJ203" i="25"/>
  <c r="U204" i="25"/>
  <c r="V204" i="25"/>
  <c r="O204" i="25"/>
  <c r="P204" i="25"/>
  <c r="T204" i="25"/>
  <c r="N204" i="25"/>
  <c r="Y204" i="25"/>
  <c r="AC204" i="25"/>
  <c r="X204" i="25"/>
  <c r="AA204" i="25" s="1"/>
  <c r="W204" i="25"/>
  <c r="Z204" i="25" s="1"/>
  <c r="AB204" i="25" s="1"/>
  <c r="AD204" i="25" s="1"/>
  <c r="AE204" i="25" s="1"/>
  <c r="AM203" i="25"/>
  <c r="AL203" i="25"/>
  <c r="N828" i="25"/>
  <c r="Q828" i="25"/>
  <c r="Z828" i="25" s="1"/>
  <c r="AO357" i="25"/>
  <c r="AR357" i="25" s="1"/>
  <c r="K827" i="25"/>
  <c r="AN357" i="25"/>
  <c r="AQ357" i="25" s="1"/>
  <c r="AP357" i="25"/>
  <c r="AS357" i="25" s="1"/>
  <c r="AN512" i="25"/>
  <c r="AQ512" i="25" s="1"/>
  <c r="AB357" i="25"/>
  <c r="AD357" i="25" s="1"/>
  <c r="AE357" i="25" s="1"/>
  <c r="AA825" i="25"/>
  <c r="AB825" i="25" s="1"/>
  <c r="AC825" i="25" s="1"/>
  <c r="AD825" i="25" s="1"/>
  <c r="W825" i="25"/>
  <c r="X825" i="25" s="1"/>
  <c r="X513" i="25"/>
  <c r="AA513" i="25" s="1"/>
  <c r="AP512" i="25"/>
  <c r="AS512" i="25" s="1"/>
  <c r="X668" i="25"/>
  <c r="AA668" i="25" s="1"/>
  <c r="AO512" i="25"/>
  <c r="AR512" i="25" s="1"/>
  <c r="AA824" i="25"/>
  <c r="AB824" i="25" s="1"/>
  <c r="AC824" i="25" s="1"/>
  <c r="AD824" i="25" s="1"/>
  <c r="W824" i="25"/>
  <c r="X824" i="25" s="1"/>
  <c r="AL358" i="25"/>
  <c r="AM358" i="25"/>
  <c r="AK513" i="25"/>
  <c r="AJ513" i="25"/>
  <c r="AJ358" i="25"/>
  <c r="AK358" i="25"/>
  <c r="M515" i="25"/>
  <c r="T359" i="25"/>
  <c r="X359" i="25" s="1"/>
  <c r="AA359" i="25" s="1"/>
  <c r="U359" i="25"/>
  <c r="N359" i="25"/>
  <c r="V359" i="25"/>
  <c r="P359" i="25"/>
  <c r="Y359" i="25"/>
  <c r="AC359" i="25" s="1"/>
  <c r="O359" i="25"/>
  <c r="M670" i="25"/>
  <c r="T514" i="25"/>
  <c r="U514" i="25"/>
  <c r="X514" i="25" s="1"/>
  <c r="AA514" i="25" s="1"/>
  <c r="N514" i="25"/>
  <c r="V514" i="25"/>
  <c r="O514" i="25"/>
  <c r="Y514" i="25"/>
  <c r="AC514" i="25" s="1"/>
  <c r="P514" i="25"/>
  <c r="AL513" i="25"/>
  <c r="AM513" i="25"/>
  <c r="P669" i="25"/>
  <c r="I829" i="25"/>
  <c r="R829" i="25" s="1"/>
  <c r="J829" i="25"/>
  <c r="S829" i="25" s="1"/>
  <c r="T669" i="25"/>
  <c r="U669" i="25"/>
  <c r="V669" i="25"/>
  <c r="Y669" i="25"/>
  <c r="AC669" i="25" s="1"/>
  <c r="N669" i="25"/>
  <c r="O669" i="25"/>
  <c r="H829" i="25"/>
  <c r="AH668" i="25"/>
  <c r="AP668" i="25" s="1"/>
  <c r="AS668" i="25" s="1"/>
  <c r="M828" i="25" s="1"/>
  <c r="V828" i="25" s="1"/>
  <c r="AI668" i="25"/>
  <c r="AO668" i="25" s="1"/>
  <c r="AR668" i="25" s="1"/>
  <c r="L828" i="25" s="1"/>
  <c r="U828" i="25" s="1"/>
  <c r="W358" i="25"/>
  <c r="Z358" i="25" s="1"/>
  <c r="AB358" i="25" s="1"/>
  <c r="AD358" i="25" s="1"/>
  <c r="AE358" i="25" s="1"/>
  <c r="AI358" i="25"/>
  <c r="AO358" i="25" s="1"/>
  <c r="AR358" i="25" s="1"/>
  <c r="AH358" i="25"/>
  <c r="AP358" i="25" s="1"/>
  <c r="AS358" i="25" s="1"/>
  <c r="AL668" i="25"/>
  <c r="AM668" i="25"/>
  <c r="W513" i="25"/>
  <c r="Z513" i="25" s="1"/>
  <c r="AB513" i="25" s="1"/>
  <c r="AD513" i="25" s="1"/>
  <c r="AE513" i="25" s="1"/>
  <c r="AI513" i="25"/>
  <c r="AO513" i="25" s="1"/>
  <c r="AR513" i="25" s="1"/>
  <c r="AH513" i="25"/>
  <c r="AP513" i="25" s="1"/>
  <c r="AS513" i="25" s="1"/>
  <c r="W668" i="25"/>
  <c r="Z668" i="25" s="1"/>
  <c r="AB668" i="25" s="1"/>
  <c r="AD668" i="25" s="1"/>
  <c r="AE668" i="25" s="1"/>
  <c r="AJ668" i="25"/>
  <c r="AK668" i="25"/>
  <c r="AA826" i="25"/>
  <c r="AB826" i="25" s="1"/>
  <c r="AC826" i="25" s="1"/>
  <c r="AD826" i="25" s="1"/>
  <c r="W826" i="25"/>
  <c r="X826" i="25" s="1"/>
  <c r="AH45" i="25"/>
  <c r="AP45" i="25" s="1"/>
  <c r="AS45" i="25" s="1"/>
  <c r="AM45" i="25"/>
  <c r="AI45" i="25"/>
  <c r="AO45" i="25" s="1"/>
  <c r="AR45" i="25" s="1"/>
  <c r="AK45" i="25"/>
  <c r="F47" i="25"/>
  <c r="O46" i="25"/>
  <c r="D47" i="25"/>
  <c r="P46" i="25"/>
  <c r="AN44" i="25"/>
  <c r="AQ44" i="25" s="1"/>
  <c r="AJ46" i="25"/>
  <c r="AL46" i="25"/>
  <c r="E48" i="25"/>
  <c r="N47" i="25"/>
  <c r="C48" i="25"/>
  <c r="Y47" i="25"/>
  <c r="AC47" i="25" s="1"/>
  <c r="AD47" i="25" s="1"/>
  <c r="AE47" i="25" s="1"/>
  <c r="B673" i="25"/>
  <c r="B518" i="25"/>
  <c r="B364" i="25"/>
  <c r="M360" i="25"/>
  <c r="B205" i="25"/>
  <c r="M205" i="25" s="1"/>
  <c r="AH204" i="25" l="1"/>
  <c r="Q360" i="25"/>
  <c r="R360" i="25"/>
  <c r="S360" i="25"/>
  <c r="Q670" i="25"/>
  <c r="R670" i="25"/>
  <c r="S670" i="25"/>
  <c r="Q515" i="25"/>
  <c r="S515" i="25"/>
  <c r="R515" i="25"/>
  <c r="S205" i="25"/>
  <c r="R205" i="25"/>
  <c r="Q205" i="25"/>
  <c r="AI204" i="25"/>
  <c r="AL204" i="25"/>
  <c r="AO204" i="25" s="1"/>
  <c r="AR204" i="25" s="1"/>
  <c r="AM204" i="25"/>
  <c r="N205" i="25"/>
  <c r="U205" i="25"/>
  <c r="Y205" i="25"/>
  <c r="AC205" i="25" s="1"/>
  <c r="P205" i="25"/>
  <c r="O205" i="25"/>
  <c r="V205" i="25"/>
  <c r="T205" i="25"/>
  <c r="X205" i="25" s="1"/>
  <c r="AA205" i="25" s="1"/>
  <c r="W205" i="25"/>
  <c r="Z205" i="25" s="1"/>
  <c r="AB205" i="25" s="1"/>
  <c r="AD205" i="25" s="1"/>
  <c r="AE205" i="25" s="1"/>
  <c r="AO205" i="25"/>
  <c r="AR205" i="25" s="1"/>
  <c r="AP205" i="25"/>
  <c r="AS205" i="25" s="1"/>
  <c r="AK204" i="25"/>
  <c r="AN204" i="25" s="1"/>
  <c r="AQ204" i="25" s="1"/>
  <c r="AJ204" i="25"/>
  <c r="AP204" i="25" s="1"/>
  <c r="AS204" i="25" s="1"/>
  <c r="N829" i="25"/>
  <c r="Q829" i="25"/>
  <c r="Z829" i="25" s="1"/>
  <c r="AN513" i="25"/>
  <c r="AQ513" i="25" s="1"/>
  <c r="X669" i="25"/>
  <c r="AA669" i="25" s="1"/>
  <c r="W514" i="25"/>
  <c r="Z514" i="25" s="1"/>
  <c r="AB514" i="25" s="1"/>
  <c r="AD514" i="25" s="1"/>
  <c r="AE514" i="25" s="1"/>
  <c r="AN668" i="25"/>
  <c r="AQ668" i="25" s="1"/>
  <c r="K828" i="25" s="1"/>
  <c r="AN358" i="25"/>
  <c r="AQ358" i="25" s="1"/>
  <c r="O827" i="25"/>
  <c r="T827" i="25"/>
  <c r="M516" i="25"/>
  <c r="T360" i="25"/>
  <c r="U360" i="25"/>
  <c r="O360" i="25"/>
  <c r="P360" i="25"/>
  <c r="Y360" i="25"/>
  <c r="AC360" i="25" s="1"/>
  <c r="N360" i="25"/>
  <c r="V360" i="25"/>
  <c r="X360" i="25" s="1"/>
  <c r="AA360" i="25" s="1"/>
  <c r="AH514" i="25"/>
  <c r="AI514" i="25"/>
  <c r="W359" i="25"/>
  <c r="Z359" i="25" s="1"/>
  <c r="AB359" i="25" s="1"/>
  <c r="AD359" i="25" s="1"/>
  <c r="AE359" i="25" s="1"/>
  <c r="AI359" i="25"/>
  <c r="AH359" i="25"/>
  <c r="M671" i="25"/>
  <c r="N515" i="25"/>
  <c r="V515" i="25"/>
  <c r="O515" i="25"/>
  <c r="Y515" i="25"/>
  <c r="P515" i="25"/>
  <c r="AC515" i="25"/>
  <c r="T515" i="25"/>
  <c r="U515" i="25"/>
  <c r="X515" i="25"/>
  <c r="AA515" i="25" s="1"/>
  <c r="AL669" i="25"/>
  <c r="AM669" i="25"/>
  <c r="N670" i="25"/>
  <c r="V670" i="25"/>
  <c r="P670" i="25"/>
  <c r="J830" i="25"/>
  <c r="T670" i="25"/>
  <c r="X670" i="25" s="1"/>
  <c r="AA670" i="25" s="1"/>
  <c r="U670" i="25"/>
  <c r="Y670" i="25"/>
  <c r="O670" i="25"/>
  <c r="AC670" i="25"/>
  <c r="H830" i="25"/>
  <c r="Q830" i="25" s="1"/>
  <c r="I830" i="25"/>
  <c r="R830" i="25" s="1"/>
  <c r="W669" i="25"/>
  <c r="Z669" i="25" s="1"/>
  <c r="AB669" i="25" s="1"/>
  <c r="AD669" i="25" s="1"/>
  <c r="AE669" i="25" s="1"/>
  <c r="AH669" i="25"/>
  <c r="AI669" i="25"/>
  <c r="AO669" i="25" s="1"/>
  <c r="AR669" i="25" s="1"/>
  <c r="L829" i="25" s="1"/>
  <c r="U829" i="25" s="1"/>
  <c r="AJ669" i="25"/>
  <c r="AK669" i="25"/>
  <c r="AN669" i="25" s="1"/>
  <c r="AQ669" i="25" s="1"/>
  <c r="AK514" i="25"/>
  <c r="AN514" i="25" s="1"/>
  <c r="AQ514" i="25" s="1"/>
  <c r="AJ514" i="25"/>
  <c r="AK359" i="25"/>
  <c r="AJ359" i="25"/>
  <c r="AM514" i="25"/>
  <c r="AL514" i="25"/>
  <c r="AL359" i="25"/>
  <c r="AM359" i="25"/>
  <c r="D48" i="25"/>
  <c r="P47" i="25"/>
  <c r="AM46" i="25"/>
  <c r="AH46" i="25"/>
  <c r="AP46" i="25" s="1"/>
  <c r="AS46" i="25" s="1"/>
  <c r="F48" i="25"/>
  <c r="O47" i="25"/>
  <c r="AN45" i="25"/>
  <c r="AQ45" i="25" s="1"/>
  <c r="K829" i="25" s="1"/>
  <c r="E49" i="25"/>
  <c r="N48" i="25"/>
  <c r="C49" i="25"/>
  <c r="Y48" i="25"/>
  <c r="AC48" i="25" s="1"/>
  <c r="AD48" i="25" s="1"/>
  <c r="AE48" i="25" s="1"/>
  <c r="AL47" i="25"/>
  <c r="AJ47" i="25"/>
  <c r="AK46" i="25"/>
  <c r="AI46" i="25"/>
  <c r="AO46" i="25" s="1"/>
  <c r="AR46" i="25" s="1"/>
  <c r="B674" i="25"/>
  <c r="B519" i="25"/>
  <c r="B365" i="25"/>
  <c r="B206" i="25"/>
  <c r="M206" i="25" s="1"/>
  <c r="M361" i="25"/>
  <c r="R206" i="25" l="1"/>
  <c r="S206" i="25"/>
  <c r="Q206" i="25"/>
  <c r="R516" i="25"/>
  <c r="Q516" i="25"/>
  <c r="S516" i="25"/>
  <c r="Q671" i="25"/>
  <c r="R671" i="25"/>
  <c r="S671" i="25"/>
  <c r="Q361" i="25"/>
  <c r="R361" i="25"/>
  <c r="S361" i="25"/>
  <c r="AK205" i="25"/>
  <c r="AN205" i="25" s="1"/>
  <c r="AQ205" i="25" s="1"/>
  <c r="AJ205" i="25"/>
  <c r="T206" i="25"/>
  <c r="N206" i="25"/>
  <c r="V206" i="25"/>
  <c r="O206" i="25"/>
  <c r="W206" i="25"/>
  <c r="Z206" i="25" s="1"/>
  <c r="P206" i="25"/>
  <c r="Y206" i="25"/>
  <c r="AC206" i="25" s="1"/>
  <c r="U206" i="25"/>
  <c r="X206" i="25" s="1"/>
  <c r="AA206" i="25" s="1"/>
  <c r="AB206" i="25"/>
  <c r="AD206" i="25" s="1"/>
  <c r="AE206" i="25" s="1"/>
  <c r="AP206" i="25"/>
  <c r="AS206" i="25" s="1"/>
  <c r="AL205" i="25"/>
  <c r="AM205" i="25"/>
  <c r="AH205" i="25"/>
  <c r="AI205" i="25"/>
  <c r="T828" i="25"/>
  <c r="O828" i="25"/>
  <c r="N830" i="25"/>
  <c r="S830" i="25"/>
  <c r="Z830" i="25"/>
  <c r="W670" i="25"/>
  <c r="Z670" i="25" s="1"/>
  <c r="AB670" i="25" s="1"/>
  <c r="AD670" i="25" s="1"/>
  <c r="AE670" i="25" s="1"/>
  <c r="AP359" i="25"/>
  <c r="AS359" i="25" s="1"/>
  <c r="AO359" i="25"/>
  <c r="AR359" i="25" s="1"/>
  <c r="AP669" i="25"/>
  <c r="AS669" i="25" s="1"/>
  <c r="M829" i="25" s="1"/>
  <c r="V829" i="25" s="1"/>
  <c r="AO514" i="25"/>
  <c r="AR514" i="25" s="1"/>
  <c r="AP514" i="25"/>
  <c r="AS514" i="25" s="1"/>
  <c r="AA827" i="25"/>
  <c r="AB827" i="25" s="1"/>
  <c r="AC827" i="25" s="1"/>
  <c r="AD827" i="25" s="1"/>
  <c r="W827" i="25"/>
  <c r="X827" i="25" s="1"/>
  <c r="AN359" i="25"/>
  <c r="AQ359" i="25" s="1"/>
  <c r="AM515" i="25"/>
  <c r="AL515" i="25"/>
  <c r="W360" i="25"/>
  <c r="Z360" i="25" s="1"/>
  <c r="AB360" i="25" s="1"/>
  <c r="AD360" i="25" s="1"/>
  <c r="AE360" i="25" s="1"/>
  <c r="AH360" i="25"/>
  <c r="AI360" i="25"/>
  <c r="AJ515" i="25"/>
  <c r="AK515" i="25"/>
  <c r="H831" i="25"/>
  <c r="J831" i="25"/>
  <c r="S831" i="25" s="1"/>
  <c r="P671" i="25"/>
  <c r="I831" i="25"/>
  <c r="R831" i="25" s="1"/>
  <c r="T671" i="25"/>
  <c r="U671" i="25"/>
  <c r="V671" i="25"/>
  <c r="Y671" i="25"/>
  <c r="N671" i="25"/>
  <c r="AC671" i="25"/>
  <c r="O671" i="25"/>
  <c r="W515" i="25"/>
  <c r="Z515" i="25" s="1"/>
  <c r="AB515" i="25" s="1"/>
  <c r="AD515" i="25" s="1"/>
  <c r="AE515" i="25" s="1"/>
  <c r="AH515" i="25"/>
  <c r="AP515" i="25" s="1"/>
  <c r="AS515" i="25" s="1"/>
  <c r="AI515" i="25"/>
  <c r="AO515" i="25" s="1"/>
  <c r="AR515" i="25" s="1"/>
  <c r="AJ670" i="25"/>
  <c r="AK670" i="25"/>
  <c r="AM360" i="25"/>
  <c r="AL360" i="25"/>
  <c r="AH670" i="25"/>
  <c r="AP670" i="25" s="1"/>
  <c r="AS670" i="25" s="1"/>
  <c r="M830" i="25" s="1"/>
  <c r="V830" i="25" s="1"/>
  <c r="AI670" i="25"/>
  <c r="AK360" i="25"/>
  <c r="AN360" i="25" s="1"/>
  <c r="AQ360" i="25" s="1"/>
  <c r="AJ360" i="25"/>
  <c r="AL670" i="25"/>
  <c r="AM670" i="25"/>
  <c r="M517" i="25"/>
  <c r="T361" i="25"/>
  <c r="U361" i="25"/>
  <c r="N361" i="25"/>
  <c r="V361" i="25"/>
  <c r="O361" i="25"/>
  <c r="P361" i="25"/>
  <c r="W361" i="25"/>
  <c r="Z361" i="25" s="1"/>
  <c r="Y361" i="25"/>
  <c r="AC361" i="25" s="1"/>
  <c r="X361" i="25"/>
  <c r="AA361" i="25" s="1"/>
  <c r="M672" i="25"/>
  <c r="T516" i="25"/>
  <c r="U516" i="25"/>
  <c r="N516" i="25"/>
  <c r="V516" i="25"/>
  <c r="O516" i="25"/>
  <c r="Y516" i="25"/>
  <c r="AC516" i="25" s="1"/>
  <c r="P516" i="25"/>
  <c r="AI47" i="25"/>
  <c r="AO47" i="25" s="1"/>
  <c r="AR47" i="25" s="1"/>
  <c r="AK47" i="25"/>
  <c r="T829" i="25"/>
  <c r="D49" i="25"/>
  <c r="P48" i="25"/>
  <c r="AN46" i="25"/>
  <c r="AQ46" i="25" s="1"/>
  <c r="AM47" i="25"/>
  <c r="AH47" i="25"/>
  <c r="AP47" i="25" s="1"/>
  <c r="AS47" i="25" s="1"/>
  <c r="F49" i="25"/>
  <c r="O48" i="25"/>
  <c r="E50" i="25"/>
  <c r="N49" i="25"/>
  <c r="AL48" i="25"/>
  <c r="AJ48" i="25"/>
  <c r="AA828" i="25"/>
  <c r="AB828" i="25" s="1"/>
  <c r="AC828" i="25" s="1"/>
  <c r="AD828" i="25" s="1"/>
  <c r="W828" i="25"/>
  <c r="X828" i="25" s="1"/>
  <c r="C50" i="25"/>
  <c r="Y49" i="25"/>
  <c r="AC49" i="25" s="1"/>
  <c r="AD49" i="25" s="1"/>
  <c r="AE49" i="25" s="1"/>
  <c r="B675" i="25"/>
  <c r="B520" i="25"/>
  <c r="B366" i="25"/>
  <c r="B207" i="25"/>
  <c r="M207" i="25" s="1"/>
  <c r="M362" i="25"/>
  <c r="R207" i="25" l="1"/>
  <c r="Q207" i="25"/>
  <c r="S207" i="25"/>
  <c r="Q672" i="25"/>
  <c r="R672" i="25"/>
  <c r="S672" i="25"/>
  <c r="S517" i="25"/>
  <c r="Q517" i="25"/>
  <c r="R517" i="25"/>
  <c r="Q362" i="25"/>
  <c r="R362" i="25"/>
  <c r="S362" i="25"/>
  <c r="AI206" i="25"/>
  <c r="AO206" i="25" s="1"/>
  <c r="AR206" i="25" s="1"/>
  <c r="AH206" i="25"/>
  <c r="AL206" i="25"/>
  <c r="AM206" i="25"/>
  <c r="AJ206" i="25"/>
  <c r="AK206" i="25"/>
  <c r="AN206" i="25" s="1"/>
  <c r="AQ206" i="25" s="1"/>
  <c r="T207" i="25"/>
  <c r="U207" i="25"/>
  <c r="N207" i="25"/>
  <c r="O207" i="25"/>
  <c r="V207" i="25"/>
  <c r="AC207" i="25"/>
  <c r="P207" i="25"/>
  <c r="Y207" i="25"/>
  <c r="X207" i="25"/>
  <c r="AA207" i="25" s="1"/>
  <c r="W207" i="25"/>
  <c r="Z207" i="25" s="1"/>
  <c r="AB207" i="25" s="1"/>
  <c r="AD207" i="25" s="1"/>
  <c r="AE207" i="25" s="1"/>
  <c r="AN207" i="25"/>
  <c r="AQ207" i="25" s="1"/>
  <c r="O829" i="25"/>
  <c r="Q831" i="25"/>
  <c r="Z831" i="25" s="1"/>
  <c r="N831" i="25"/>
  <c r="L830" i="25"/>
  <c r="U830" i="25" s="1"/>
  <c r="AB361" i="25"/>
  <c r="AD361" i="25" s="1"/>
  <c r="AE361" i="25" s="1"/>
  <c r="X516" i="25"/>
  <c r="AA516" i="25" s="1"/>
  <c r="AO670" i="25"/>
  <c r="AR670" i="25" s="1"/>
  <c r="AN515" i="25"/>
  <c r="AQ515" i="25" s="1"/>
  <c r="AO360" i="25"/>
  <c r="AR360" i="25" s="1"/>
  <c r="W516" i="25"/>
  <c r="Z516" i="25" s="1"/>
  <c r="X671" i="25"/>
  <c r="AA671" i="25" s="1"/>
  <c r="AP360" i="25"/>
  <c r="AS360" i="25" s="1"/>
  <c r="AN670" i="25"/>
  <c r="AQ670" i="25" s="1"/>
  <c r="K830" i="25" s="1"/>
  <c r="AJ361" i="25"/>
  <c r="AK361" i="25"/>
  <c r="AN361" i="25" s="1"/>
  <c r="AQ361" i="25" s="1"/>
  <c r="AJ671" i="25"/>
  <c r="AK671" i="25"/>
  <c r="W671" i="25"/>
  <c r="Z671" i="25" s="1"/>
  <c r="AB671" i="25" s="1"/>
  <c r="AD671" i="25" s="1"/>
  <c r="AE671" i="25" s="1"/>
  <c r="AH671" i="25"/>
  <c r="AI671" i="25"/>
  <c r="AJ516" i="25"/>
  <c r="AK516" i="25"/>
  <c r="AL516" i="25"/>
  <c r="AM516" i="25"/>
  <c r="AM361" i="25"/>
  <c r="AL361" i="25"/>
  <c r="AI516" i="25"/>
  <c r="AH516" i="25"/>
  <c r="AP516" i="25" s="1"/>
  <c r="AS516" i="25" s="1"/>
  <c r="N672" i="25"/>
  <c r="V672" i="25"/>
  <c r="P672" i="25"/>
  <c r="H832" i="25"/>
  <c r="I832" i="25"/>
  <c r="R832" i="25" s="1"/>
  <c r="J832" i="25"/>
  <c r="S832" i="25" s="1"/>
  <c r="T672" i="25"/>
  <c r="U672" i="25"/>
  <c r="Y672" i="25"/>
  <c r="AC672" i="25" s="1"/>
  <c r="O672" i="25"/>
  <c r="AH361" i="25"/>
  <c r="AP361" i="25" s="1"/>
  <c r="AS361" i="25" s="1"/>
  <c r="AI361" i="25"/>
  <c r="AO361" i="25" s="1"/>
  <c r="AR361" i="25" s="1"/>
  <c r="M518" i="25"/>
  <c r="U362" i="25"/>
  <c r="N362" i="25"/>
  <c r="V362" i="25"/>
  <c r="P362" i="25"/>
  <c r="Y362" i="25"/>
  <c r="AC362" i="25" s="1"/>
  <c r="O362" i="25"/>
  <c r="T362" i="25"/>
  <c r="X362" i="25" s="1"/>
  <c r="AA362" i="25" s="1"/>
  <c r="M673" i="25"/>
  <c r="P517" i="25"/>
  <c r="Y517" i="25"/>
  <c r="AC517" i="25" s="1"/>
  <c r="T517" i="25"/>
  <c r="N517" i="25"/>
  <c r="V517" i="25"/>
  <c r="O517" i="25"/>
  <c r="U517" i="25"/>
  <c r="X517" i="25"/>
  <c r="AA517" i="25" s="1"/>
  <c r="AL671" i="25"/>
  <c r="AM671" i="25"/>
  <c r="AI48" i="25"/>
  <c r="AO48" i="25" s="1"/>
  <c r="AR48" i="25" s="1"/>
  <c r="AK48" i="25"/>
  <c r="AJ49" i="25"/>
  <c r="AL49" i="25"/>
  <c r="D50" i="25"/>
  <c r="P49" i="25"/>
  <c r="E51" i="25"/>
  <c r="N50" i="25"/>
  <c r="AH48" i="25"/>
  <c r="AP48" i="25" s="1"/>
  <c r="AS48" i="25" s="1"/>
  <c r="AM48" i="25"/>
  <c r="AA829" i="25"/>
  <c r="AB829" i="25" s="1"/>
  <c r="AC829" i="25" s="1"/>
  <c r="AD829" i="25" s="1"/>
  <c r="W829" i="25"/>
  <c r="X829" i="25" s="1"/>
  <c r="C51" i="25"/>
  <c r="Y50" i="25"/>
  <c r="AC50" i="25" s="1"/>
  <c r="AD50" i="25" s="1"/>
  <c r="AE50" i="25" s="1"/>
  <c r="F50" i="25"/>
  <c r="O49" i="25"/>
  <c r="AN47" i="25"/>
  <c r="AQ47" i="25" s="1"/>
  <c r="B676" i="25"/>
  <c r="B521" i="25"/>
  <c r="B522" i="25" s="1"/>
  <c r="B367" i="25"/>
  <c r="M363" i="25"/>
  <c r="B208" i="25"/>
  <c r="M208" i="25" s="1"/>
  <c r="S673" i="25" l="1"/>
  <c r="Q673" i="25"/>
  <c r="R673" i="25"/>
  <c r="S363" i="25"/>
  <c r="Q363" i="25"/>
  <c r="R363" i="25"/>
  <c r="R208" i="25"/>
  <c r="S208" i="25"/>
  <c r="Q208" i="25"/>
  <c r="R518" i="25"/>
  <c r="Q518" i="25"/>
  <c r="S518" i="25"/>
  <c r="AM207" i="25"/>
  <c r="AL207" i="25"/>
  <c r="AJ207" i="25"/>
  <c r="AK207" i="25"/>
  <c r="AH207" i="25"/>
  <c r="AP207" i="25" s="1"/>
  <c r="AS207" i="25" s="1"/>
  <c r="AI207" i="25"/>
  <c r="AO207" i="25" s="1"/>
  <c r="AR207" i="25" s="1"/>
  <c r="P208" i="25"/>
  <c r="AC208" i="25"/>
  <c r="N208" i="25"/>
  <c r="O208" i="25"/>
  <c r="Y208" i="25"/>
  <c r="U208" i="25"/>
  <c r="T208" i="25"/>
  <c r="V208" i="25"/>
  <c r="X208" i="25"/>
  <c r="AA208" i="25" s="1"/>
  <c r="W208" i="25"/>
  <c r="Z208" i="25" s="1"/>
  <c r="AB208" i="25" s="1"/>
  <c r="AD208" i="25" s="1"/>
  <c r="AE208" i="25" s="1"/>
  <c r="AP208" i="25"/>
  <c r="AS208" i="25" s="1"/>
  <c r="AN208" i="25"/>
  <c r="AQ208" i="25" s="1"/>
  <c r="AN48" i="25"/>
  <c r="AQ48" i="25" s="1"/>
  <c r="T830" i="25"/>
  <c r="W830" i="25" s="1"/>
  <c r="X830" i="25" s="1"/>
  <c r="O830" i="25"/>
  <c r="N832" i="25"/>
  <c r="Q832" i="25"/>
  <c r="Z832" i="25" s="1"/>
  <c r="AN516" i="25"/>
  <c r="AQ516" i="25" s="1"/>
  <c r="AO671" i="25"/>
  <c r="AR671" i="25" s="1"/>
  <c r="L831" i="25" s="1"/>
  <c r="U831" i="25" s="1"/>
  <c r="X672" i="25"/>
  <c r="AA672" i="25" s="1"/>
  <c r="AO516" i="25"/>
  <c r="AR516" i="25" s="1"/>
  <c r="AP671" i="25"/>
  <c r="AS671" i="25" s="1"/>
  <c r="M831" i="25" s="1"/>
  <c r="V831" i="25" s="1"/>
  <c r="AN671" i="25"/>
  <c r="AQ671" i="25" s="1"/>
  <c r="K831" i="25" s="1"/>
  <c r="AB516" i="25"/>
  <c r="AD516" i="25" s="1"/>
  <c r="AE516" i="25" s="1"/>
  <c r="AJ362" i="25"/>
  <c r="AK362" i="25"/>
  <c r="M674" i="25"/>
  <c r="U518" i="25"/>
  <c r="N518" i="25"/>
  <c r="V518" i="25"/>
  <c r="O518" i="25"/>
  <c r="W518" i="25"/>
  <c r="Z518" i="25" s="1"/>
  <c r="AB518" i="25" s="1"/>
  <c r="AD518" i="25" s="1"/>
  <c r="AE518" i="25" s="1"/>
  <c r="P518" i="25"/>
  <c r="X518" i="25"/>
  <c r="AA518" i="25" s="1"/>
  <c r="Y518" i="25"/>
  <c r="T518" i="25"/>
  <c r="AC518" i="25"/>
  <c r="M519" i="25"/>
  <c r="U363" i="25"/>
  <c r="N363" i="25"/>
  <c r="V363" i="25"/>
  <c r="O363" i="25"/>
  <c r="P363" i="25"/>
  <c r="T363" i="25"/>
  <c r="X363" i="25" s="1"/>
  <c r="AA363" i="25" s="1"/>
  <c r="Y363" i="25"/>
  <c r="AC363" i="25" s="1"/>
  <c r="T673" i="25"/>
  <c r="N673" i="25"/>
  <c r="V673" i="25"/>
  <c r="H833" i="25"/>
  <c r="Q833" i="25" s="1"/>
  <c r="I833" i="25"/>
  <c r="R833" i="25" s="1"/>
  <c r="J833" i="25"/>
  <c r="U673" i="25"/>
  <c r="Y673" i="25"/>
  <c r="AC673" i="25" s="1"/>
  <c r="O673" i="25"/>
  <c r="P673" i="25"/>
  <c r="W362" i="25"/>
  <c r="Z362" i="25" s="1"/>
  <c r="AB362" i="25" s="1"/>
  <c r="AD362" i="25" s="1"/>
  <c r="AE362" i="25" s="1"/>
  <c r="AI362" i="25"/>
  <c r="AH362" i="25"/>
  <c r="AL672" i="25"/>
  <c r="AM672" i="25"/>
  <c r="AL517" i="25"/>
  <c r="AM517" i="25"/>
  <c r="W672" i="25"/>
  <c r="Z672" i="25" s="1"/>
  <c r="AB672" i="25" s="1"/>
  <c r="AD672" i="25" s="1"/>
  <c r="AE672" i="25" s="1"/>
  <c r="AJ672" i="25"/>
  <c r="AK672" i="25"/>
  <c r="AH672" i="25"/>
  <c r="AP672" i="25" s="1"/>
  <c r="AS672" i="25" s="1"/>
  <c r="M832" i="25" s="1"/>
  <c r="V832" i="25" s="1"/>
  <c r="AI672" i="25"/>
  <c r="AO672" i="25" s="1"/>
  <c r="AR672" i="25" s="1"/>
  <c r="L832" i="25" s="1"/>
  <c r="U832" i="25" s="1"/>
  <c r="W517" i="25"/>
  <c r="Z517" i="25" s="1"/>
  <c r="AB517" i="25" s="1"/>
  <c r="AD517" i="25" s="1"/>
  <c r="AE517" i="25" s="1"/>
  <c r="AI517" i="25"/>
  <c r="AH517" i="25"/>
  <c r="AL362" i="25"/>
  <c r="AM362" i="25"/>
  <c r="AK517" i="25"/>
  <c r="AN517" i="25" s="1"/>
  <c r="AQ517" i="25" s="1"/>
  <c r="AJ517" i="25"/>
  <c r="AH49" i="25"/>
  <c r="AP49" i="25" s="1"/>
  <c r="AS49" i="25" s="1"/>
  <c r="AM49" i="25"/>
  <c r="AI49" i="25"/>
  <c r="AO49" i="25" s="1"/>
  <c r="AR49" i="25" s="1"/>
  <c r="AK49" i="25"/>
  <c r="C52" i="25"/>
  <c r="Y51" i="25"/>
  <c r="AC51" i="25" s="1"/>
  <c r="AD51" i="25" s="1"/>
  <c r="AE51" i="25" s="1"/>
  <c r="D51" i="25"/>
  <c r="P50" i="25"/>
  <c r="AJ50" i="25"/>
  <c r="AL50" i="25"/>
  <c r="F51" i="25"/>
  <c r="O50" i="25"/>
  <c r="E52" i="25"/>
  <c r="N51" i="25"/>
  <c r="B677" i="25"/>
  <c r="B523" i="25"/>
  <c r="B368" i="25"/>
  <c r="M364" i="25"/>
  <c r="B209" i="25"/>
  <c r="M209" i="25" s="1"/>
  <c r="Q519" i="25" l="1"/>
  <c r="R519" i="25"/>
  <c r="S519" i="25"/>
  <c r="Q209" i="25"/>
  <c r="R209" i="25"/>
  <c r="S209" i="25"/>
  <c r="Q674" i="25"/>
  <c r="R674" i="25"/>
  <c r="S674" i="25"/>
  <c r="S364" i="25"/>
  <c r="Q364" i="25"/>
  <c r="R364" i="25"/>
  <c r="U209" i="25"/>
  <c r="N209" i="25"/>
  <c r="V209" i="25"/>
  <c r="O209" i="25"/>
  <c r="Y209" i="25"/>
  <c r="AC209" i="25" s="1"/>
  <c r="T209" i="25"/>
  <c r="P209" i="25"/>
  <c r="X209" i="25"/>
  <c r="AA209" i="25" s="1"/>
  <c r="W209" i="25"/>
  <c r="Z209" i="25" s="1"/>
  <c r="AB209" i="25" s="1"/>
  <c r="AD209" i="25" s="1"/>
  <c r="AE209" i="25" s="1"/>
  <c r="AP209" i="25"/>
  <c r="AS209" i="25" s="1"/>
  <c r="AO209" i="25"/>
  <c r="AR209" i="25" s="1"/>
  <c r="AM208" i="25"/>
  <c r="AL208" i="25"/>
  <c r="AJ208" i="25"/>
  <c r="AK208" i="25"/>
  <c r="AH208" i="25"/>
  <c r="AI208" i="25"/>
  <c r="AO208" i="25" s="1"/>
  <c r="AR208" i="25" s="1"/>
  <c r="AA830" i="25"/>
  <c r="AB830" i="25" s="1"/>
  <c r="AC830" i="25" s="1"/>
  <c r="AD830" i="25" s="1"/>
  <c r="N833" i="25"/>
  <c r="S833" i="25"/>
  <c r="T831" i="25"/>
  <c r="O831" i="25"/>
  <c r="Z833" i="25"/>
  <c r="AP517" i="25"/>
  <c r="AS517" i="25" s="1"/>
  <c r="AN362" i="25"/>
  <c r="AQ362" i="25" s="1"/>
  <c r="AP362" i="25"/>
  <c r="AS362" i="25" s="1"/>
  <c r="AO517" i="25"/>
  <c r="AR517" i="25" s="1"/>
  <c r="L833" i="25" s="1"/>
  <c r="U833" i="25" s="1"/>
  <c r="X673" i="25"/>
  <c r="AA673" i="25" s="1"/>
  <c r="AN672" i="25"/>
  <c r="AQ672" i="25" s="1"/>
  <c r="K832" i="25" s="1"/>
  <c r="AO362" i="25"/>
  <c r="AR362" i="25" s="1"/>
  <c r="W363" i="25"/>
  <c r="Z363" i="25" s="1"/>
  <c r="AB363" i="25" s="1"/>
  <c r="AD363" i="25" s="1"/>
  <c r="AE363" i="25" s="1"/>
  <c r="AI363" i="25"/>
  <c r="AO363" i="25" s="1"/>
  <c r="AR363" i="25" s="1"/>
  <c r="AH363" i="25"/>
  <c r="AK518" i="25"/>
  <c r="AN518" i="25" s="1"/>
  <c r="AQ518" i="25" s="1"/>
  <c r="AJ518" i="25"/>
  <c r="AL363" i="25"/>
  <c r="AM363" i="25"/>
  <c r="M520" i="25"/>
  <c r="U364" i="25"/>
  <c r="N364" i="25"/>
  <c r="V364" i="25"/>
  <c r="X364" i="25" s="1"/>
  <c r="AA364" i="25" s="1"/>
  <c r="P364" i="25"/>
  <c r="Y364" i="25"/>
  <c r="AC364" i="25" s="1"/>
  <c r="T364" i="25"/>
  <c r="O364" i="25"/>
  <c r="AK363" i="25"/>
  <c r="AN363" i="25" s="1"/>
  <c r="AQ363" i="25" s="1"/>
  <c r="AJ363" i="25"/>
  <c r="AH518" i="25"/>
  <c r="AP518" i="25" s="1"/>
  <c r="AS518" i="25" s="1"/>
  <c r="AI518" i="25"/>
  <c r="AO518" i="25" s="1"/>
  <c r="AR518" i="25" s="1"/>
  <c r="AJ673" i="25"/>
  <c r="AK673" i="25"/>
  <c r="AN673" i="25" s="1"/>
  <c r="AQ673" i="25" s="1"/>
  <c r="M675" i="25"/>
  <c r="P519" i="25"/>
  <c r="T519" i="25"/>
  <c r="X519" i="25" s="1"/>
  <c r="AA519" i="25" s="1"/>
  <c r="N519" i="25"/>
  <c r="V519" i="25"/>
  <c r="O519" i="25"/>
  <c r="U519" i="25"/>
  <c r="Y519" i="25"/>
  <c r="AC519" i="25" s="1"/>
  <c r="AM518" i="25"/>
  <c r="AL518" i="25"/>
  <c r="AL673" i="25"/>
  <c r="AM673" i="25"/>
  <c r="I834" i="25"/>
  <c r="R834" i="25" s="1"/>
  <c r="T674" i="25"/>
  <c r="X674" i="25" s="1"/>
  <c r="AA674" i="25" s="1"/>
  <c r="H834" i="25"/>
  <c r="Q834" i="25" s="1"/>
  <c r="J834" i="25"/>
  <c r="U674" i="25"/>
  <c r="V674" i="25"/>
  <c r="N674" i="25"/>
  <c r="O674" i="25"/>
  <c r="Y674" i="25"/>
  <c r="AC674" i="25" s="1"/>
  <c r="P674" i="25"/>
  <c r="W673" i="25"/>
  <c r="Z673" i="25" s="1"/>
  <c r="AB673" i="25" s="1"/>
  <c r="AD673" i="25" s="1"/>
  <c r="AE673" i="25" s="1"/>
  <c r="AH673" i="25"/>
  <c r="AP673" i="25" s="1"/>
  <c r="AS673" i="25" s="1"/>
  <c r="M833" i="25" s="1"/>
  <c r="V833" i="25" s="1"/>
  <c r="AI673" i="25"/>
  <c r="AO673" i="25" s="1"/>
  <c r="AR673" i="25" s="1"/>
  <c r="F52" i="25"/>
  <c r="O51" i="25"/>
  <c r="AK50" i="25"/>
  <c r="AI50" i="25"/>
  <c r="AO50" i="25" s="1"/>
  <c r="AR50" i="25" s="1"/>
  <c r="D52" i="25"/>
  <c r="P51" i="25"/>
  <c r="E53" i="25"/>
  <c r="N52" i="25"/>
  <c r="AM50" i="25"/>
  <c r="AH50" i="25"/>
  <c r="AP50" i="25" s="1"/>
  <c r="AS50" i="25" s="1"/>
  <c r="AN49" i="25"/>
  <c r="AQ49" i="25" s="1"/>
  <c r="K833" i="25" s="1"/>
  <c r="C53" i="25"/>
  <c r="Y52" i="25"/>
  <c r="AC52" i="25" s="1"/>
  <c r="AD52" i="25" s="1"/>
  <c r="AE52" i="25" s="1"/>
  <c r="AL51" i="25"/>
  <c r="AJ51" i="25"/>
  <c r="W831" i="25"/>
  <c r="X831" i="25" s="1"/>
  <c r="AA831" i="25"/>
  <c r="AB831" i="25" s="1"/>
  <c r="AC831" i="25" s="1"/>
  <c r="AD831" i="25" s="1"/>
  <c r="B678" i="25"/>
  <c r="B524" i="25"/>
  <c r="B369" i="25"/>
  <c r="M365" i="25"/>
  <c r="B210" i="25"/>
  <c r="M210" i="25" s="1"/>
  <c r="Q210" i="25" l="1"/>
  <c r="S210" i="25"/>
  <c r="R210" i="25"/>
  <c r="Q675" i="25"/>
  <c r="R675" i="25"/>
  <c r="S675" i="25"/>
  <c r="Q365" i="25"/>
  <c r="R365" i="25"/>
  <c r="S365" i="25"/>
  <c r="R520" i="25"/>
  <c r="Q520" i="25"/>
  <c r="S520" i="25"/>
  <c r="AH209" i="25"/>
  <c r="AI209" i="25"/>
  <c r="AL209" i="25"/>
  <c r="AM209" i="25"/>
  <c r="P210" i="25"/>
  <c r="T210" i="25"/>
  <c r="U210" i="25"/>
  <c r="N210" i="25"/>
  <c r="O210" i="25"/>
  <c r="Y210" i="25"/>
  <c r="AC210" i="25" s="1"/>
  <c r="W210" i="25"/>
  <c r="Z210" i="25" s="1"/>
  <c r="V210" i="25"/>
  <c r="X210" i="25"/>
  <c r="AA210" i="25" s="1"/>
  <c r="AB210" i="25" s="1"/>
  <c r="AD210" i="25" s="1"/>
  <c r="AE210" i="25" s="1"/>
  <c r="AP210" i="25"/>
  <c r="AS210" i="25" s="1"/>
  <c r="AK209" i="25"/>
  <c r="AN209" i="25" s="1"/>
  <c r="AQ209" i="25" s="1"/>
  <c r="AJ209" i="25"/>
  <c r="N834" i="25"/>
  <c r="S834" i="25"/>
  <c r="Z834" i="25" s="1"/>
  <c r="AP363" i="25"/>
  <c r="AS363" i="25" s="1"/>
  <c r="W674" i="25"/>
  <c r="Z674" i="25" s="1"/>
  <c r="AB674" i="25" s="1"/>
  <c r="AD674" i="25" s="1"/>
  <c r="AE674" i="25" s="1"/>
  <c r="AN50" i="25"/>
  <c r="AQ50" i="25" s="1"/>
  <c r="T832" i="25"/>
  <c r="O832" i="25"/>
  <c r="W519" i="25"/>
  <c r="Z519" i="25" s="1"/>
  <c r="AB519" i="25" s="1"/>
  <c r="AD519" i="25" s="1"/>
  <c r="AE519" i="25" s="1"/>
  <c r="AH519" i="25"/>
  <c r="AI519" i="25"/>
  <c r="M676" i="25"/>
  <c r="U520" i="25"/>
  <c r="N520" i="25"/>
  <c r="V520" i="25"/>
  <c r="O520" i="25"/>
  <c r="Y520" i="25"/>
  <c r="AC520" i="25" s="1"/>
  <c r="P520" i="25"/>
  <c r="T520" i="25"/>
  <c r="W520" i="25"/>
  <c r="Z520" i="25" s="1"/>
  <c r="AK364" i="25"/>
  <c r="AN364" i="25" s="1"/>
  <c r="AQ364" i="25" s="1"/>
  <c r="AJ364" i="25"/>
  <c r="W364" i="25"/>
  <c r="Z364" i="25" s="1"/>
  <c r="AB364" i="25" s="1"/>
  <c r="AD364" i="25" s="1"/>
  <c r="AE364" i="25" s="1"/>
  <c r="AH364" i="25"/>
  <c r="AP364" i="25" s="1"/>
  <c r="AS364" i="25" s="1"/>
  <c r="AI364" i="25"/>
  <c r="AL674" i="25"/>
  <c r="AM674" i="25"/>
  <c r="U675" i="25"/>
  <c r="O675" i="25"/>
  <c r="P675" i="25"/>
  <c r="H835" i="25"/>
  <c r="Q835" i="25" s="1"/>
  <c r="I835" i="25"/>
  <c r="J835" i="25"/>
  <c r="S835" i="25" s="1"/>
  <c r="T675" i="25"/>
  <c r="Y675" i="25"/>
  <c r="N675" i="25"/>
  <c r="V675" i="25"/>
  <c r="AC675" i="25"/>
  <c r="AH674" i="25"/>
  <c r="AI674" i="25"/>
  <c r="AO674" i="25" s="1"/>
  <c r="AR674" i="25" s="1"/>
  <c r="L834" i="25" s="1"/>
  <c r="U834" i="25" s="1"/>
  <c r="AM364" i="25"/>
  <c r="AL364" i="25"/>
  <c r="AM519" i="25"/>
  <c r="AL519" i="25"/>
  <c r="M521" i="25"/>
  <c r="U365" i="25"/>
  <c r="N365" i="25"/>
  <c r="V365" i="25"/>
  <c r="O365" i="25"/>
  <c r="P365" i="25"/>
  <c r="T365" i="25"/>
  <c r="X365" i="25" s="1"/>
  <c r="AA365" i="25" s="1"/>
  <c r="Y365" i="25"/>
  <c r="AC365" i="25" s="1"/>
  <c r="AJ674" i="25"/>
  <c r="AK674" i="25"/>
  <c r="AN674" i="25" s="1"/>
  <c r="AQ674" i="25" s="1"/>
  <c r="AJ519" i="25"/>
  <c r="AK519" i="25"/>
  <c r="AN519" i="25" s="1"/>
  <c r="AQ519" i="25" s="1"/>
  <c r="T833" i="25"/>
  <c r="O833" i="25"/>
  <c r="AM51" i="25"/>
  <c r="AH51" i="25"/>
  <c r="AP51" i="25" s="1"/>
  <c r="AS51" i="25" s="1"/>
  <c r="AL52" i="25"/>
  <c r="AJ52" i="25"/>
  <c r="E54" i="25"/>
  <c r="N53" i="25"/>
  <c r="AI51" i="25"/>
  <c r="AO51" i="25" s="1"/>
  <c r="AR51" i="25" s="1"/>
  <c r="AK51" i="25"/>
  <c r="F53" i="25"/>
  <c r="O52" i="25"/>
  <c r="D53" i="25"/>
  <c r="P52" i="25"/>
  <c r="C54" i="25"/>
  <c r="Y53" i="25"/>
  <c r="AC53" i="25" s="1"/>
  <c r="AD53" i="25" s="1"/>
  <c r="AE53" i="25" s="1"/>
  <c r="B679" i="25"/>
  <c r="B525" i="25"/>
  <c r="B370" i="25"/>
  <c r="B211" i="25"/>
  <c r="M211" i="25" s="1"/>
  <c r="M366" i="25"/>
  <c r="R676" i="25" l="1"/>
  <c r="S676" i="25"/>
  <c r="Q676" i="25"/>
  <c r="R366" i="25"/>
  <c r="S366" i="25"/>
  <c r="Q366" i="25"/>
  <c r="Q521" i="25"/>
  <c r="S521" i="25"/>
  <c r="R521" i="25"/>
  <c r="Q211" i="25"/>
  <c r="S211" i="25"/>
  <c r="R211" i="25"/>
  <c r="AL210" i="25"/>
  <c r="AM210" i="25"/>
  <c r="AK210" i="25"/>
  <c r="AN210" i="25" s="1"/>
  <c r="AQ210" i="25" s="1"/>
  <c r="AJ210" i="25"/>
  <c r="T211" i="25"/>
  <c r="Y211" i="25"/>
  <c r="O211" i="25"/>
  <c r="U211" i="25"/>
  <c r="X211" i="25" s="1"/>
  <c r="AA211" i="25" s="1"/>
  <c r="N211" i="25"/>
  <c r="P211" i="25"/>
  <c r="V211" i="25"/>
  <c r="AC211" i="25"/>
  <c r="W211" i="25"/>
  <c r="Z211" i="25" s="1"/>
  <c r="AB211" i="25" s="1"/>
  <c r="AD211" i="25" s="1"/>
  <c r="AE211" i="25" s="1"/>
  <c r="AP211" i="25"/>
  <c r="AS211" i="25" s="1"/>
  <c r="AI210" i="25"/>
  <c r="AO210" i="25" s="1"/>
  <c r="AR210" i="25" s="1"/>
  <c r="AH210" i="25"/>
  <c r="N835" i="25"/>
  <c r="R835" i="25"/>
  <c r="Z835" i="25"/>
  <c r="AP674" i="25"/>
  <c r="AS674" i="25" s="1"/>
  <c r="M834" i="25" s="1"/>
  <c r="V834" i="25" s="1"/>
  <c r="X675" i="25"/>
  <c r="AA675" i="25" s="1"/>
  <c r="AO364" i="25"/>
  <c r="AR364" i="25" s="1"/>
  <c r="X520" i="25"/>
  <c r="AA520" i="25" s="1"/>
  <c r="AB520" i="25" s="1"/>
  <c r="AD520" i="25" s="1"/>
  <c r="AE520" i="25" s="1"/>
  <c r="W832" i="25"/>
  <c r="X832" i="25" s="1"/>
  <c r="AA832" i="25"/>
  <c r="AB832" i="25" s="1"/>
  <c r="AC832" i="25" s="1"/>
  <c r="AD832" i="25" s="1"/>
  <c r="W365" i="25"/>
  <c r="Z365" i="25" s="1"/>
  <c r="AB365" i="25" s="1"/>
  <c r="AD365" i="25" s="1"/>
  <c r="AE365" i="25" s="1"/>
  <c r="K834" i="25"/>
  <c r="AO519" i="25"/>
  <c r="AR519" i="25" s="1"/>
  <c r="L835" i="25" s="1"/>
  <c r="U835" i="25" s="1"/>
  <c r="AP519" i="25"/>
  <c r="AS519" i="25" s="1"/>
  <c r="M835" i="25" s="1"/>
  <c r="V835" i="25" s="1"/>
  <c r="M522" i="25"/>
  <c r="N366" i="25"/>
  <c r="V366" i="25"/>
  <c r="O366" i="25"/>
  <c r="Y366" i="25"/>
  <c r="AC366" i="25" s="1"/>
  <c r="T366" i="25"/>
  <c r="X366" i="25" s="1"/>
  <c r="AA366" i="25" s="1"/>
  <c r="U366" i="25"/>
  <c r="P366" i="25"/>
  <c r="AM365" i="25"/>
  <c r="AL365" i="25"/>
  <c r="AJ365" i="25"/>
  <c r="AK365" i="25"/>
  <c r="AL675" i="25"/>
  <c r="AM675" i="25"/>
  <c r="M677" i="25"/>
  <c r="T521" i="25"/>
  <c r="X521" i="25" s="1"/>
  <c r="AA521" i="25" s="1"/>
  <c r="U521" i="25"/>
  <c r="N521" i="25"/>
  <c r="V521" i="25"/>
  <c r="O521" i="25"/>
  <c r="Y521" i="25"/>
  <c r="AC521" i="25" s="1"/>
  <c r="P521" i="25"/>
  <c r="AJ675" i="25"/>
  <c r="AK675" i="25"/>
  <c r="AN675" i="25" s="1"/>
  <c r="AQ675" i="25" s="1"/>
  <c r="AI365" i="25"/>
  <c r="AO365" i="25" s="1"/>
  <c r="AR365" i="25" s="1"/>
  <c r="AH365" i="25"/>
  <c r="AP365" i="25" s="1"/>
  <c r="AS365" i="25" s="1"/>
  <c r="W675" i="25"/>
  <c r="Z675" i="25" s="1"/>
  <c r="AB675" i="25" s="1"/>
  <c r="AD675" i="25" s="1"/>
  <c r="AE675" i="25" s="1"/>
  <c r="AH675" i="25"/>
  <c r="AP675" i="25" s="1"/>
  <c r="AS675" i="25" s="1"/>
  <c r="AI675" i="25"/>
  <c r="AO675" i="25" s="1"/>
  <c r="AR675" i="25" s="1"/>
  <c r="AJ520" i="25"/>
  <c r="AK520" i="25"/>
  <c r="AL520" i="25"/>
  <c r="AM520" i="25"/>
  <c r="I836" i="25"/>
  <c r="R836" i="25" s="1"/>
  <c r="O676" i="25"/>
  <c r="P676" i="25"/>
  <c r="H836" i="25"/>
  <c r="J836" i="25"/>
  <c r="S836" i="25" s="1"/>
  <c r="U676" i="25"/>
  <c r="T676" i="25"/>
  <c r="V676" i="25"/>
  <c r="Y676" i="25"/>
  <c r="AC676" i="25" s="1"/>
  <c r="N676" i="25"/>
  <c r="AI520" i="25"/>
  <c r="AO520" i="25" s="1"/>
  <c r="AR520" i="25" s="1"/>
  <c r="AH520" i="25"/>
  <c r="AP520" i="25" s="1"/>
  <c r="AS520" i="25" s="1"/>
  <c r="AJ53" i="25"/>
  <c r="AL53" i="25"/>
  <c r="D54" i="25"/>
  <c r="P53" i="25"/>
  <c r="E55" i="25"/>
  <c r="N54" i="25"/>
  <c r="AN51" i="25"/>
  <c r="AQ51" i="25" s="1"/>
  <c r="K835" i="25" s="1"/>
  <c r="AI52" i="25"/>
  <c r="AO52" i="25" s="1"/>
  <c r="AR52" i="25" s="1"/>
  <c r="AK52" i="25"/>
  <c r="AH52" i="25"/>
  <c r="AP52" i="25" s="1"/>
  <c r="AS52" i="25" s="1"/>
  <c r="AM52" i="25"/>
  <c r="F54" i="25"/>
  <c r="O53" i="25"/>
  <c r="C55" i="25"/>
  <c r="Y54" i="25"/>
  <c r="AC54" i="25" s="1"/>
  <c r="AD54" i="25" s="1"/>
  <c r="AE54" i="25" s="1"/>
  <c r="AA833" i="25"/>
  <c r="AB833" i="25" s="1"/>
  <c r="AC833" i="25" s="1"/>
  <c r="AD833" i="25" s="1"/>
  <c r="W833" i="25"/>
  <c r="X833" i="25" s="1"/>
  <c r="B680" i="25"/>
  <c r="B526" i="25"/>
  <c r="B371" i="25"/>
  <c r="M367" i="25"/>
  <c r="B212" i="25"/>
  <c r="M212" i="25" s="1"/>
  <c r="Q677" i="25" l="1"/>
  <c r="R677" i="25"/>
  <c r="S677" i="25"/>
  <c r="Q212" i="25"/>
  <c r="S212" i="25"/>
  <c r="R212" i="25"/>
  <c r="R367" i="25"/>
  <c r="S367" i="25"/>
  <c r="Q367" i="25"/>
  <c r="R522" i="25"/>
  <c r="Q522" i="25"/>
  <c r="S522" i="25"/>
  <c r="AH211" i="25"/>
  <c r="AI211" i="25"/>
  <c r="AO211" i="25" s="1"/>
  <c r="AR211" i="25" s="1"/>
  <c r="AL211" i="25"/>
  <c r="AM211" i="25"/>
  <c r="N212" i="25"/>
  <c r="O212" i="25"/>
  <c r="Y212" i="25"/>
  <c r="V212" i="25"/>
  <c r="P212" i="25"/>
  <c r="AC212" i="25"/>
  <c r="T212" i="25"/>
  <c r="X212" i="25" s="1"/>
  <c r="AA212" i="25" s="1"/>
  <c r="U212" i="25"/>
  <c r="W212" i="25"/>
  <c r="Z212" i="25" s="1"/>
  <c r="AB212" i="25" s="1"/>
  <c r="AD212" i="25" s="1"/>
  <c r="AE212" i="25" s="1"/>
  <c r="AN212" i="25"/>
  <c r="AQ212" i="25" s="1"/>
  <c r="AK211" i="25"/>
  <c r="AN211" i="25" s="1"/>
  <c r="AQ211" i="25" s="1"/>
  <c r="AJ211" i="25"/>
  <c r="Q836" i="25"/>
  <c r="Z836" i="25" s="1"/>
  <c r="N836" i="25"/>
  <c r="W676" i="25"/>
  <c r="Z676" i="25" s="1"/>
  <c r="AB676" i="25" s="1"/>
  <c r="AD676" i="25" s="1"/>
  <c r="AE676" i="25" s="1"/>
  <c r="AN520" i="25"/>
  <c r="AQ520" i="25" s="1"/>
  <c r="X676" i="25"/>
  <c r="AA676" i="25" s="1"/>
  <c r="T834" i="25"/>
  <c r="O834" i="25"/>
  <c r="AN365" i="25"/>
  <c r="AQ365" i="25" s="1"/>
  <c r="AK521" i="25"/>
  <c r="AJ521" i="25"/>
  <c r="AL521" i="25"/>
  <c r="AM521" i="25"/>
  <c r="AL366" i="25"/>
  <c r="AM366" i="25"/>
  <c r="W521" i="25"/>
  <c r="Z521" i="25" s="1"/>
  <c r="AB521" i="25" s="1"/>
  <c r="AD521" i="25" s="1"/>
  <c r="AE521" i="25" s="1"/>
  <c r="AI521" i="25"/>
  <c r="AO521" i="25" s="1"/>
  <c r="AR521" i="25" s="1"/>
  <c r="AH521" i="25"/>
  <c r="AP521" i="25" s="1"/>
  <c r="AS521" i="25" s="1"/>
  <c r="P677" i="25"/>
  <c r="N677" i="25"/>
  <c r="Y677" i="25"/>
  <c r="AC677" i="25" s="1"/>
  <c r="O677" i="25"/>
  <c r="H837" i="25"/>
  <c r="Q837" i="25" s="1"/>
  <c r="I837" i="25"/>
  <c r="T677" i="25"/>
  <c r="X677" i="25" s="1"/>
  <c r="AA677" i="25" s="1"/>
  <c r="J837" i="25"/>
  <c r="S837" i="25" s="1"/>
  <c r="U677" i="25"/>
  <c r="V677" i="25"/>
  <c r="W366" i="25"/>
  <c r="Z366" i="25" s="1"/>
  <c r="AB366" i="25" s="1"/>
  <c r="AD366" i="25" s="1"/>
  <c r="AE366" i="25" s="1"/>
  <c r="AK366" i="25"/>
  <c r="AN366" i="25" s="1"/>
  <c r="AQ366" i="25" s="1"/>
  <c r="AJ366" i="25"/>
  <c r="M523" i="25"/>
  <c r="T367" i="25"/>
  <c r="N367" i="25"/>
  <c r="V367" i="25"/>
  <c r="O367" i="25"/>
  <c r="X367" i="25"/>
  <c r="AA367" i="25" s="1"/>
  <c r="P367" i="25"/>
  <c r="Y367" i="25"/>
  <c r="AC367" i="25" s="1"/>
  <c r="U367" i="25"/>
  <c r="W367" i="25"/>
  <c r="Z367" i="25" s="1"/>
  <c r="AL676" i="25"/>
  <c r="AM676" i="25"/>
  <c r="AI366" i="25"/>
  <c r="AO366" i="25" s="1"/>
  <c r="AR366" i="25" s="1"/>
  <c r="AH366" i="25"/>
  <c r="AH676" i="25"/>
  <c r="AI676" i="25"/>
  <c r="AO676" i="25" s="1"/>
  <c r="AR676" i="25" s="1"/>
  <c r="L836" i="25" s="1"/>
  <c r="U836" i="25" s="1"/>
  <c r="AJ676" i="25"/>
  <c r="AK676" i="25"/>
  <c r="M678" i="25"/>
  <c r="P522" i="25"/>
  <c r="Y522" i="25"/>
  <c r="AC522" i="25"/>
  <c r="T522" i="25"/>
  <c r="N522" i="25"/>
  <c r="V522" i="25"/>
  <c r="O522" i="25"/>
  <c r="U522" i="25"/>
  <c r="W522" i="25"/>
  <c r="Z522" i="25" s="1"/>
  <c r="AB522" i="25" s="1"/>
  <c r="AD522" i="25" s="1"/>
  <c r="AE522" i="25" s="1"/>
  <c r="X522" i="25"/>
  <c r="AA522" i="25" s="1"/>
  <c r="T835" i="25"/>
  <c r="O835" i="25"/>
  <c r="AN52" i="25"/>
  <c r="AQ52" i="25" s="1"/>
  <c r="AJ54" i="25"/>
  <c r="AL54" i="25"/>
  <c r="AH53" i="25"/>
  <c r="AP53" i="25" s="1"/>
  <c r="AS53" i="25" s="1"/>
  <c r="AM53" i="25"/>
  <c r="E56" i="25"/>
  <c r="N55" i="25"/>
  <c r="C56" i="25"/>
  <c r="Y55" i="25"/>
  <c r="AC55" i="25" s="1"/>
  <c r="AD55" i="25" s="1"/>
  <c r="AE55" i="25" s="1"/>
  <c r="F55" i="25"/>
  <c r="O54" i="25"/>
  <c r="AI53" i="25"/>
  <c r="AO53" i="25" s="1"/>
  <c r="AR53" i="25" s="1"/>
  <c r="AK53" i="25"/>
  <c r="D55" i="25"/>
  <c r="P54" i="25"/>
  <c r="B681" i="25"/>
  <c r="B527" i="25"/>
  <c r="B372" i="25"/>
  <c r="M368" i="25"/>
  <c r="B213" i="25"/>
  <c r="M213" i="25" s="1"/>
  <c r="S213" i="25" l="1"/>
  <c r="Q213" i="25"/>
  <c r="R213" i="25"/>
  <c r="Q678" i="25"/>
  <c r="R678" i="25"/>
  <c r="S678" i="25"/>
  <c r="Q523" i="25"/>
  <c r="S523" i="25"/>
  <c r="R523" i="25"/>
  <c r="Q368" i="25"/>
  <c r="R368" i="25"/>
  <c r="S368" i="25"/>
  <c r="AJ212" i="25"/>
  <c r="AK212" i="25"/>
  <c r="AM212" i="25"/>
  <c r="AL212" i="25"/>
  <c r="U213" i="25"/>
  <c r="V213" i="25"/>
  <c r="T213" i="25"/>
  <c r="X213" i="25" s="1"/>
  <c r="AA213" i="25" s="1"/>
  <c r="N213" i="25"/>
  <c r="O213" i="25"/>
  <c r="Y213" i="25"/>
  <c r="AC213" i="25" s="1"/>
  <c r="P213" i="25"/>
  <c r="W213" i="25"/>
  <c r="Z213" i="25" s="1"/>
  <c r="AB213" i="25" s="1"/>
  <c r="AD213" i="25" s="1"/>
  <c r="AE213" i="25" s="1"/>
  <c r="AP213" i="25"/>
  <c r="AS213" i="25" s="1"/>
  <c r="AO213" i="25"/>
  <c r="AR213" i="25" s="1"/>
  <c r="AH212" i="25"/>
  <c r="AP212" i="25" s="1"/>
  <c r="AS212" i="25" s="1"/>
  <c r="AI212" i="25"/>
  <c r="AO212" i="25" s="1"/>
  <c r="AR212" i="25" s="1"/>
  <c r="N837" i="25"/>
  <c r="R837" i="25"/>
  <c r="Z837" i="25" s="1"/>
  <c r="K836" i="25"/>
  <c r="T836" i="25" s="1"/>
  <c r="AP676" i="25"/>
  <c r="AS676" i="25" s="1"/>
  <c r="M836" i="25" s="1"/>
  <c r="V836" i="25" s="1"/>
  <c r="AB367" i="25"/>
  <c r="AD367" i="25" s="1"/>
  <c r="AE367" i="25" s="1"/>
  <c r="AP366" i="25"/>
  <c r="AS366" i="25" s="1"/>
  <c r="AA834" i="25"/>
  <c r="AB834" i="25" s="1"/>
  <c r="AC834" i="25" s="1"/>
  <c r="AD834" i="25" s="1"/>
  <c r="W834" i="25"/>
  <c r="X834" i="25" s="1"/>
  <c r="AN676" i="25"/>
  <c r="AQ676" i="25" s="1"/>
  <c r="AN521" i="25"/>
  <c r="AQ521" i="25" s="1"/>
  <c r="M524" i="25"/>
  <c r="O368" i="25"/>
  <c r="P368" i="25"/>
  <c r="Y368" i="25"/>
  <c r="AC368" i="25" s="1"/>
  <c r="T368" i="25"/>
  <c r="X368" i="25" s="1"/>
  <c r="AA368" i="25" s="1"/>
  <c r="U368" i="25"/>
  <c r="V368" i="25"/>
  <c r="N368" i="25"/>
  <c r="AM522" i="25"/>
  <c r="AL522" i="25"/>
  <c r="W677" i="25"/>
  <c r="Z677" i="25" s="1"/>
  <c r="AB677" i="25" s="1"/>
  <c r="AD677" i="25" s="1"/>
  <c r="AE677" i="25" s="1"/>
  <c r="AH677" i="25"/>
  <c r="AP677" i="25" s="1"/>
  <c r="AS677" i="25" s="1"/>
  <c r="M837" i="25" s="1"/>
  <c r="V837" i="25" s="1"/>
  <c r="AI677" i="25"/>
  <c r="AK522" i="25"/>
  <c r="AN522" i="25" s="1"/>
  <c r="AQ522" i="25" s="1"/>
  <c r="AJ522" i="25"/>
  <c r="AJ677" i="25"/>
  <c r="AK677" i="25"/>
  <c r="AH522" i="25"/>
  <c r="AP522" i="25" s="1"/>
  <c r="AS522" i="25" s="1"/>
  <c r="AI522" i="25"/>
  <c r="U678" i="25"/>
  <c r="N678" i="25"/>
  <c r="V678" i="25"/>
  <c r="O678" i="25"/>
  <c r="P678" i="25"/>
  <c r="I838" i="25"/>
  <c r="R838" i="25" s="1"/>
  <c r="T678" i="25"/>
  <c r="X678" i="25" s="1"/>
  <c r="AA678" i="25" s="1"/>
  <c r="Y678" i="25"/>
  <c r="AC678" i="25" s="1"/>
  <c r="H838" i="25"/>
  <c r="Q838" i="25" s="1"/>
  <c r="J838" i="25"/>
  <c r="AI367" i="25"/>
  <c r="AO367" i="25" s="1"/>
  <c r="AR367" i="25" s="1"/>
  <c r="AH367" i="25"/>
  <c r="AM367" i="25"/>
  <c r="AL367" i="25"/>
  <c r="AK367" i="25"/>
  <c r="AJ367" i="25"/>
  <c r="M679" i="25"/>
  <c r="U523" i="25"/>
  <c r="N523" i="25"/>
  <c r="V523" i="25"/>
  <c r="X523" i="25" s="1"/>
  <c r="AA523" i="25" s="1"/>
  <c r="P523" i="25"/>
  <c r="Y523" i="25"/>
  <c r="AC523" i="25" s="1"/>
  <c r="O523" i="25"/>
  <c r="T523" i="25"/>
  <c r="AL677" i="25"/>
  <c r="AM677" i="25"/>
  <c r="E57" i="25"/>
  <c r="N56" i="25"/>
  <c r="AN53" i="25"/>
  <c r="AQ53" i="25" s="1"/>
  <c r="AM54" i="25"/>
  <c r="AH54" i="25"/>
  <c r="AP54" i="25" s="1"/>
  <c r="AS54" i="25" s="1"/>
  <c r="F56" i="25"/>
  <c r="O55" i="25"/>
  <c r="C57" i="25"/>
  <c r="Y56" i="25"/>
  <c r="AC56" i="25" s="1"/>
  <c r="AD56" i="25" s="1"/>
  <c r="AE56" i="25" s="1"/>
  <c r="D56" i="25"/>
  <c r="P55" i="25"/>
  <c r="AK54" i="25"/>
  <c r="AI54" i="25"/>
  <c r="AO54" i="25" s="1"/>
  <c r="AR54" i="25" s="1"/>
  <c r="AL55" i="25"/>
  <c r="AJ55" i="25"/>
  <c r="AA835" i="25"/>
  <c r="AB835" i="25" s="1"/>
  <c r="AC835" i="25" s="1"/>
  <c r="AD835" i="25" s="1"/>
  <c r="W835" i="25"/>
  <c r="X835" i="25" s="1"/>
  <c r="B682" i="25"/>
  <c r="B528" i="25"/>
  <c r="B373" i="25"/>
  <c r="M369" i="25"/>
  <c r="B214" i="25"/>
  <c r="M214" i="25" s="1"/>
  <c r="R524" i="25" l="1"/>
  <c r="Q524" i="25"/>
  <c r="S524" i="25"/>
  <c r="Q679" i="25"/>
  <c r="R679" i="25"/>
  <c r="S679" i="25"/>
  <c r="Q369" i="25"/>
  <c r="R369" i="25"/>
  <c r="S369" i="25"/>
  <c r="R214" i="25"/>
  <c r="S214" i="25"/>
  <c r="Q214" i="25"/>
  <c r="AL213" i="25"/>
  <c r="AM213" i="25"/>
  <c r="N214" i="25"/>
  <c r="U214" i="25"/>
  <c r="O214" i="25"/>
  <c r="P214" i="25"/>
  <c r="Y214" i="25"/>
  <c r="AC214" i="25" s="1"/>
  <c r="V214" i="25"/>
  <c r="AB214" i="25"/>
  <c r="AD214" i="25" s="1"/>
  <c r="AE214" i="25" s="1"/>
  <c r="T214" i="25"/>
  <c r="X214" i="25" s="1"/>
  <c r="AA214" i="25" s="1"/>
  <c r="AJ213" i="25"/>
  <c r="AK213" i="25"/>
  <c r="AN213" i="25" s="1"/>
  <c r="AQ213" i="25" s="1"/>
  <c r="AH213" i="25"/>
  <c r="AI213" i="25"/>
  <c r="O836" i="25"/>
  <c r="N838" i="25"/>
  <c r="S838" i="25"/>
  <c r="Z838" i="25"/>
  <c r="AP367" i="25"/>
  <c r="AS367" i="25" s="1"/>
  <c r="AO677" i="25"/>
  <c r="AR677" i="25" s="1"/>
  <c r="L837" i="25" s="1"/>
  <c r="U837" i="25" s="1"/>
  <c r="AO522" i="25"/>
  <c r="AR522" i="25" s="1"/>
  <c r="AN677" i="25"/>
  <c r="AQ677" i="25" s="1"/>
  <c r="K837" i="25" s="1"/>
  <c r="AN367" i="25"/>
  <c r="AQ367" i="25" s="1"/>
  <c r="W678" i="25"/>
  <c r="Z678" i="25" s="1"/>
  <c r="AB678" i="25" s="1"/>
  <c r="AD678" i="25" s="1"/>
  <c r="AE678" i="25" s="1"/>
  <c r="M525" i="25"/>
  <c r="T369" i="25"/>
  <c r="U369" i="25"/>
  <c r="O369" i="25"/>
  <c r="W369" i="25"/>
  <c r="Z369" i="25" s="1"/>
  <c r="P369" i="25"/>
  <c r="Y369" i="25"/>
  <c r="AC369" i="25"/>
  <c r="N369" i="25"/>
  <c r="V369" i="25"/>
  <c r="X369" i="25" s="1"/>
  <c r="AA369" i="25" s="1"/>
  <c r="AB369" i="25" s="1"/>
  <c r="AD369" i="25" s="1"/>
  <c r="AE369" i="25" s="1"/>
  <c r="AL678" i="25"/>
  <c r="AM678" i="25"/>
  <c r="AM368" i="25"/>
  <c r="AL368" i="25"/>
  <c r="AH678" i="25"/>
  <c r="AI678" i="25"/>
  <c r="AK368" i="25"/>
  <c r="AJ368" i="25"/>
  <c r="W523" i="25"/>
  <c r="Z523" i="25" s="1"/>
  <c r="AB523" i="25" s="1"/>
  <c r="AD523" i="25" s="1"/>
  <c r="AE523" i="25" s="1"/>
  <c r="AH523" i="25"/>
  <c r="AI523" i="25"/>
  <c r="AO523" i="25" s="1"/>
  <c r="AR523" i="25" s="1"/>
  <c r="AJ523" i="25"/>
  <c r="AK523" i="25"/>
  <c r="AN523" i="25" s="1"/>
  <c r="AQ523" i="25" s="1"/>
  <c r="AM523" i="25"/>
  <c r="AL523" i="25"/>
  <c r="AJ678" i="25"/>
  <c r="AK678" i="25"/>
  <c r="AN678" i="25" s="1"/>
  <c r="AQ678" i="25" s="1"/>
  <c r="P679" i="25"/>
  <c r="H839" i="25"/>
  <c r="Q839" i="25" s="1"/>
  <c r="I839" i="25"/>
  <c r="J839" i="25"/>
  <c r="S839" i="25" s="1"/>
  <c r="U679" i="25"/>
  <c r="N679" i="25"/>
  <c r="O679" i="25"/>
  <c r="T679" i="25"/>
  <c r="V679" i="25"/>
  <c r="Y679" i="25"/>
  <c r="AC679" i="25" s="1"/>
  <c r="W368" i="25"/>
  <c r="Z368" i="25" s="1"/>
  <c r="AB368" i="25" s="1"/>
  <c r="AD368" i="25" s="1"/>
  <c r="AE368" i="25" s="1"/>
  <c r="AH368" i="25"/>
  <c r="AP368" i="25" s="1"/>
  <c r="AS368" i="25" s="1"/>
  <c r="AI368" i="25"/>
  <c r="AO368" i="25" s="1"/>
  <c r="AR368" i="25" s="1"/>
  <c r="M680" i="25"/>
  <c r="P524" i="25"/>
  <c r="U524" i="25"/>
  <c r="N524" i="25"/>
  <c r="O524" i="25"/>
  <c r="T524" i="25"/>
  <c r="X524" i="25" s="1"/>
  <c r="AA524" i="25" s="1"/>
  <c r="Y524" i="25"/>
  <c r="AC524" i="25" s="1"/>
  <c r="V524" i="25"/>
  <c r="C58" i="25"/>
  <c r="Y57" i="25"/>
  <c r="AC57" i="25" s="1"/>
  <c r="AD57" i="25" s="1"/>
  <c r="AE57" i="25" s="1"/>
  <c r="AL56" i="25"/>
  <c r="AJ56" i="25"/>
  <c r="AM55" i="25"/>
  <c r="AH55" i="25"/>
  <c r="AP55" i="25" s="1"/>
  <c r="AS55" i="25" s="1"/>
  <c r="F57" i="25"/>
  <c r="O56" i="25"/>
  <c r="AN54" i="25"/>
  <c r="AQ54" i="25" s="1"/>
  <c r="K838" i="25" s="1"/>
  <c r="AI55" i="25"/>
  <c r="AO55" i="25" s="1"/>
  <c r="AR55" i="25" s="1"/>
  <c r="AK55" i="25"/>
  <c r="D57" i="25"/>
  <c r="P56" i="25"/>
  <c r="AA836" i="25"/>
  <c r="AB836" i="25" s="1"/>
  <c r="AC836" i="25" s="1"/>
  <c r="AD836" i="25" s="1"/>
  <c r="W836" i="25"/>
  <c r="X836" i="25" s="1"/>
  <c r="E58" i="25"/>
  <c r="N57" i="25"/>
  <c r="B683" i="25"/>
  <c r="B529" i="25"/>
  <c r="B374" i="25"/>
  <c r="B215" i="25"/>
  <c r="M215" i="25" s="1"/>
  <c r="M370" i="25"/>
  <c r="Q680" i="25" l="1"/>
  <c r="R680" i="25"/>
  <c r="S680" i="25"/>
  <c r="S525" i="25"/>
  <c r="Q525" i="25"/>
  <c r="R525" i="25"/>
  <c r="Q370" i="25"/>
  <c r="R370" i="25"/>
  <c r="S370" i="25"/>
  <c r="R215" i="25"/>
  <c r="Q215" i="25"/>
  <c r="S215" i="25"/>
  <c r="AL214" i="25"/>
  <c r="AM214" i="25"/>
  <c r="W214" i="25"/>
  <c r="Z214" i="25" s="1"/>
  <c r="AI214" i="25"/>
  <c r="AO214" i="25" s="1"/>
  <c r="AR214" i="25" s="1"/>
  <c r="AH214" i="25"/>
  <c r="AP214" i="25" s="1"/>
  <c r="AS214" i="25" s="1"/>
  <c r="Y215" i="25"/>
  <c r="AC215" i="25" s="1"/>
  <c r="T215" i="25"/>
  <c r="U215" i="25"/>
  <c r="V215" i="25"/>
  <c r="P215" i="25"/>
  <c r="O215" i="25"/>
  <c r="N215" i="25"/>
  <c r="X215" i="25"/>
  <c r="AA215" i="25" s="1"/>
  <c r="W215" i="25"/>
  <c r="Z215" i="25" s="1"/>
  <c r="AB215" i="25" s="1"/>
  <c r="AD215" i="25" s="1"/>
  <c r="AE215" i="25" s="1"/>
  <c r="AP215" i="25"/>
  <c r="AS215" i="25" s="1"/>
  <c r="AN215" i="25"/>
  <c r="AQ215" i="25" s="1"/>
  <c r="AO215" i="25"/>
  <c r="AR215" i="25" s="1"/>
  <c r="AJ214" i="25"/>
  <c r="AK214" i="25"/>
  <c r="AN214" i="25" s="1"/>
  <c r="AQ214" i="25" s="1"/>
  <c r="O837" i="25"/>
  <c r="T837" i="25"/>
  <c r="AA837" i="25" s="1"/>
  <c r="AB837" i="25" s="1"/>
  <c r="AC837" i="25" s="1"/>
  <c r="AD837" i="25" s="1"/>
  <c r="N839" i="25"/>
  <c r="R839" i="25"/>
  <c r="Z839" i="25" s="1"/>
  <c r="AP678" i="25"/>
  <c r="AS678" i="25" s="1"/>
  <c r="M838" i="25" s="1"/>
  <c r="V838" i="25" s="1"/>
  <c r="X679" i="25"/>
  <c r="AA679" i="25" s="1"/>
  <c r="AP523" i="25"/>
  <c r="AS523" i="25" s="1"/>
  <c r="AN368" i="25"/>
  <c r="AQ368" i="25" s="1"/>
  <c r="AO678" i="25"/>
  <c r="AR678" i="25" s="1"/>
  <c r="L838" i="25" s="1"/>
  <c r="U838" i="25" s="1"/>
  <c r="AL524" i="25"/>
  <c r="AM524" i="25"/>
  <c r="AI369" i="25"/>
  <c r="AH369" i="25"/>
  <c r="AJ524" i="25"/>
  <c r="AK524" i="25"/>
  <c r="AN524" i="25" s="1"/>
  <c r="AQ524" i="25" s="1"/>
  <c r="AL679" i="25"/>
  <c r="AM679" i="25"/>
  <c r="AJ679" i="25"/>
  <c r="AK679" i="25"/>
  <c r="AN679" i="25" s="1"/>
  <c r="AQ679" i="25" s="1"/>
  <c r="U680" i="25"/>
  <c r="N680" i="25"/>
  <c r="V680" i="25"/>
  <c r="O680" i="25"/>
  <c r="Y680" i="25"/>
  <c r="AC680" i="25" s="1"/>
  <c r="P680" i="25"/>
  <c r="I840" i="25"/>
  <c r="R840" i="25" s="1"/>
  <c r="J840" i="25"/>
  <c r="T680" i="25"/>
  <c r="W680" i="25"/>
  <c r="Z680" i="25" s="1"/>
  <c r="W679" i="25"/>
  <c r="Z679" i="25" s="1"/>
  <c r="AB679" i="25" s="1"/>
  <c r="AD679" i="25" s="1"/>
  <c r="AE679" i="25" s="1"/>
  <c r="AH679" i="25"/>
  <c r="AP679" i="25" s="1"/>
  <c r="AS679" i="25" s="1"/>
  <c r="M839" i="25" s="1"/>
  <c r="V839" i="25" s="1"/>
  <c r="AI679" i="25"/>
  <c r="AO679" i="25" s="1"/>
  <c r="AR679" i="25" s="1"/>
  <c r="L839" i="25" s="1"/>
  <c r="U839" i="25" s="1"/>
  <c r="AM369" i="25"/>
  <c r="AL369" i="25"/>
  <c r="AJ369" i="25"/>
  <c r="AK369" i="25"/>
  <c r="W524" i="25"/>
  <c r="Z524" i="25" s="1"/>
  <c r="AB524" i="25" s="1"/>
  <c r="AD524" i="25" s="1"/>
  <c r="AE524" i="25" s="1"/>
  <c r="AI524" i="25"/>
  <c r="AO524" i="25" s="1"/>
  <c r="AR524" i="25" s="1"/>
  <c r="AH524" i="25"/>
  <c r="AP524" i="25" s="1"/>
  <c r="AS524" i="25" s="1"/>
  <c r="M526" i="25"/>
  <c r="P370" i="25"/>
  <c r="T370" i="25"/>
  <c r="U370" i="25"/>
  <c r="O370" i="25"/>
  <c r="V370" i="25"/>
  <c r="Y370" i="25"/>
  <c r="AC370" i="25" s="1"/>
  <c r="N370" i="25"/>
  <c r="M681" i="25"/>
  <c r="N525" i="25"/>
  <c r="V525" i="25"/>
  <c r="P525" i="25"/>
  <c r="Y525" i="25"/>
  <c r="AC525" i="25" s="1"/>
  <c r="T525" i="25"/>
  <c r="U525" i="25"/>
  <c r="X525" i="25"/>
  <c r="AA525" i="25" s="1"/>
  <c r="O525" i="25"/>
  <c r="T838" i="25"/>
  <c r="AI56" i="25"/>
  <c r="AO56" i="25" s="1"/>
  <c r="AR56" i="25" s="1"/>
  <c r="AK56" i="25"/>
  <c r="D58" i="25"/>
  <c r="P57" i="25"/>
  <c r="E59" i="25"/>
  <c r="N58" i="25"/>
  <c r="AH56" i="25"/>
  <c r="AP56" i="25" s="1"/>
  <c r="AS56" i="25" s="1"/>
  <c r="AM56" i="25"/>
  <c r="F58" i="25"/>
  <c r="O57" i="25"/>
  <c r="AJ57" i="25"/>
  <c r="AL57" i="25"/>
  <c r="AN55" i="25"/>
  <c r="AQ55" i="25" s="1"/>
  <c r="K839" i="25" s="1"/>
  <c r="C59" i="25"/>
  <c r="Y58" i="25"/>
  <c r="AC58" i="25" s="1"/>
  <c r="AD58" i="25" s="1"/>
  <c r="AE58" i="25" s="1"/>
  <c r="B684" i="25"/>
  <c r="B530" i="25"/>
  <c r="B375" i="25"/>
  <c r="M371" i="25"/>
  <c r="B216" i="25"/>
  <c r="M216" i="25" s="1"/>
  <c r="S681" i="25" l="1"/>
  <c r="Q681" i="25"/>
  <c r="R681" i="25"/>
  <c r="R526" i="25"/>
  <c r="S526" i="25"/>
  <c r="Q526" i="25"/>
  <c r="R216" i="25"/>
  <c r="Q216" i="25"/>
  <c r="S216" i="25"/>
  <c r="S371" i="25"/>
  <c r="Q371" i="25"/>
  <c r="R371" i="25"/>
  <c r="AL215" i="25"/>
  <c r="AM215" i="25"/>
  <c r="AH215" i="25"/>
  <c r="AI215" i="25"/>
  <c r="AK215" i="25"/>
  <c r="AJ215" i="25"/>
  <c r="O216" i="25"/>
  <c r="P216" i="25"/>
  <c r="N216" i="25"/>
  <c r="Y216" i="25"/>
  <c r="AC216" i="25" s="1"/>
  <c r="V216" i="25"/>
  <c r="T216" i="25"/>
  <c r="U216" i="25"/>
  <c r="W216" i="25"/>
  <c r="Z216" i="25" s="1"/>
  <c r="AB216" i="25" s="1"/>
  <c r="AD216" i="25" s="1"/>
  <c r="AE216" i="25" s="1"/>
  <c r="X216" i="25"/>
  <c r="AA216" i="25" s="1"/>
  <c r="W837" i="25"/>
  <c r="X837" i="25" s="1"/>
  <c r="O838" i="25"/>
  <c r="S840" i="25"/>
  <c r="AB680" i="25"/>
  <c r="AD680" i="25" s="1"/>
  <c r="AE680" i="25" s="1"/>
  <c r="X680" i="25"/>
  <c r="AA680" i="25" s="1"/>
  <c r="AP369" i="25"/>
  <c r="AS369" i="25" s="1"/>
  <c r="AO369" i="25"/>
  <c r="AR369" i="25" s="1"/>
  <c r="H840" i="25"/>
  <c r="Q840" i="25" s="1"/>
  <c r="Z840" i="25" s="1"/>
  <c r="X370" i="25"/>
  <c r="AA370" i="25" s="1"/>
  <c r="AN369" i="25"/>
  <c r="AQ369" i="25" s="1"/>
  <c r="W525" i="25"/>
  <c r="Z525" i="25" s="1"/>
  <c r="AB525" i="25" s="1"/>
  <c r="AD525" i="25" s="1"/>
  <c r="AE525" i="25" s="1"/>
  <c r="AI525" i="25"/>
  <c r="AH525" i="25"/>
  <c r="AL370" i="25"/>
  <c r="AM370" i="25"/>
  <c r="M527" i="25"/>
  <c r="U371" i="25"/>
  <c r="N371" i="25"/>
  <c r="V371" i="25"/>
  <c r="P371" i="25"/>
  <c r="Y371" i="25"/>
  <c r="AC371" i="25" s="1"/>
  <c r="W371" i="25"/>
  <c r="Z371" i="25" s="1"/>
  <c r="AB371" i="25" s="1"/>
  <c r="AD371" i="25" s="1"/>
  <c r="AE371" i="25" s="1"/>
  <c r="AA371" i="25"/>
  <c r="O371" i="25"/>
  <c r="T371" i="25"/>
  <c r="X371" i="25"/>
  <c r="AI370" i="25"/>
  <c r="AO370" i="25" s="1"/>
  <c r="AR370" i="25" s="1"/>
  <c r="AH370" i="25"/>
  <c r="M682" i="25"/>
  <c r="U526" i="25"/>
  <c r="N526" i="25"/>
  <c r="V526" i="25"/>
  <c r="P526" i="25"/>
  <c r="Y526" i="25"/>
  <c r="AC526" i="25"/>
  <c r="O526" i="25"/>
  <c r="T526" i="25"/>
  <c r="X526" i="25" s="1"/>
  <c r="AA526" i="25" s="1"/>
  <c r="AL680" i="25"/>
  <c r="AM680" i="25"/>
  <c r="W370" i="25"/>
  <c r="Z370" i="25" s="1"/>
  <c r="AK370" i="25"/>
  <c r="AN370" i="25" s="1"/>
  <c r="AQ370" i="25" s="1"/>
  <c r="AJ370" i="25"/>
  <c r="AH680" i="25"/>
  <c r="AI680" i="25"/>
  <c r="AK525" i="25"/>
  <c r="AJ525" i="25"/>
  <c r="AJ680" i="25"/>
  <c r="AK680" i="25"/>
  <c r="I841" i="25"/>
  <c r="R841" i="25" s="1"/>
  <c r="J841" i="25"/>
  <c r="S841" i="25" s="1"/>
  <c r="T681" i="25"/>
  <c r="U681" i="25"/>
  <c r="O681" i="25"/>
  <c r="Y681" i="25"/>
  <c r="AC681" i="25" s="1"/>
  <c r="N681" i="25"/>
  <c r="P681" i="25"/>
  <c r="H841" i="25"/>
  <c r="V681" i="25"/>
  <c r="AL525" i="25"/>
  <c r="AM525" i="25"/>
  <c r="AJ58" i="25"/>
  <c r="AL58" i="25"/>
  <c r="E60" i="25"/>
  <c r="N59" i="25"/>
  <c r="AI57" i="25"/>
  <c r="AO57" i="25" s="1"/>
  <c r="AR57" i="25" s="1"/>
  <c r="AK57" i="25"/>
  <c r="F59" i="25"/>
  <c r="O58" i="25"/>
  <c r="D59" i="25"/>
  <c r="P58" i="25"/>
  <c r="AN56" i="25"/>
  <c r="AQ56" i="25" s="1"/>
  <c r="AH57" i="25"/>
  <c r="AP57" i="25" s="1"/>
  <c r="AS57" i="25" s="1"/>
  <c r="AM57" i="25"/>
  <c r="C60" i="25"/>
  <c r="Y59" i="25"/>
  <c r="AC59" i="25" s="1"/>
  <c r="AD59" i="25" s="1"/>
  <c r="AE59" i="25" s="1"/>
  <c r="T839" i="25"/>
  <c r="O839" i="25"/>
  <c r="W838" i="25"/>
  <c r="X838" i="25" s="1"/>
  <c r="AA838" i="25"/>
  <c r="AB838" i="25" s="1"/>
  <c r="AC838" i="25" s="1"/>
  <c r="AD838" i="25" s="1"/>
  <c r="B685" i="25"/>
  <c r="B531" i="25"/>
  <c r="B376" i="25"/>
  <c r="B217" i="25"/>
  <c r="M217" i="25" s="1"/>
  <c r="M372" i="25"/>
  <c r="Q217" i="25" l="1"/>
  <c r="R217" i="25"/>
  <c r="S217" i="25"/>
  <c r="S372" i="25"/>
  <c r="Q372" i="25"/>
  <c r="R372" i="25"/>
  <c r="Q682" i="25"/>
  <c r="R682" i="25"/>
  <c r="S682" i="25"/>
  <c r="Q527" i="25"/>
  <c r="S527" i="25"/>
  <c r="R527" i="25"/>
  <c r="AM216" i="25"/>
  <c r="AL216" i="25"/>
  <c r="AJ216" i="25"/>
  <c r="AK216" i="25"/>
  <c r="AN216" i="25" s="1"/>
  <c r="AQ216" i="25" s="1"/>
  <c r="T217" i="25"/>
  <c r="U217" i="25"/>
  <c r="N217" i="25"/>
  <c r="AL217" i="25" s="1"/>
  <c r="V217" i="25"/>
  <c r="O217" i="25"/>
  <c r="Y217" i="25"/>
  <c r="AC217" i="25" s="1"/>
  <c r="P217" i="25"/>
  <c r="X217" i="25"/>
  <c r="AA217" i="25" s="1"/>
  <c r="W217" i="25"/>
  <c r="Z217" i="25" s="1"/>
  <c r="AB217" i="25" s="1"/>
  <c r="AD217" i="25" s="1"/>
  <c r="AE217" i="25" s="1"/>
  <c r="AH216" i="25"/>
  <c r="AP216" i="25" s="1"/>
  <c r="AS216" i="25" s="1"/>
  <c r="AI216" i="25"/>
  <c r="AO216" i="25" s="1"/>
  <c r="AR216" i="25" s="1"/>
  <c r="N841" i="25"/>
  <c r="Q841" i="25"/>
  <c r="Z841" i="25" s="1"/>
  <c r="AN680" i="25"/>
  <c r="AQ680" i="25" s="1"/>
  <c r="K840" i="25" s="1"/>
  <c r="AB370" i="25"/>
  <c r="AD370" i="25" s="1"/>
  <c r="AE370" i="25" s="1"/>
  <c r="AP525" i="25"/>
  <c r="AS525" i="25" s="1"/>
  <c r="AN525" i="25"/>
  <c r="AQ525" i="25" s="1"/>
  <c r="AO525" i="25"/>
  <c r="AR525" i="25" s="1"/>
  <c r="L841" i="25" s="1"/>
  <c r="U841" i="25" s="1"/>
  <c r="AO680" i="25"/>
  <c r="AR680" i="25" s="1"/>
  <c r="L840" i="25" s="1"/>
  <c r="U840" i="25" s="1"/>
  <c r="X681" i="25"/>
  <c r="AA681" i="25" s="1"/>
  <c r="AP680" i="25"/>
  <c r="AS680" i="25" s="1"/>
  <c r="M840" i="25" s="1"/>
  <c r="V840" i="25" s="1"/>
  <c r="W526" i="25"/>
  <c r="Z526" i="25" s="1"/>
  <c r="AB526" i="25" s="1"/>
  <c r="AD526" i="25" s="1"/>
  <c r="AE526" i="25" s="1"/>
  <c r="AP370" i="25"/>
  <c r="AS370" i="25" s="1"/>
  <c r="N840" i="25"/>
  <c r="M528" i="25"/>
  <c r="T372" i="25"/>
  <c r="U372" i="25"/>
  <c r="X372" i="25" s="1"/>
  <c r="AA372" i="25" s="1"/>
  <c r="N372" i="25"/>
  <c r="V372" i="25"/>
  <c r="O372" i="25"/>
  <c r="P372" i="25"/>
  <c r="Y372" i="25"/>
  <c r="AC372" i="25" s="1"/>
  <c r="AM371" i="25"/>
  <c r="AL371" i="25"/>
  <c r="AK526" i="25"/>
  <c r="AJ526" i="25"/>
  <c r="AM681" i="25"/>
  <c r="AL681" i="25"/>
  <c r="W681" i="25"/>
  <c r="Z681" i="25" s="1"/>
  <c r="AB681" i="25" s="1"/>
  <c r="AD681" i="25" s="1"/>
  <c r="AE681" i="25" s="1"/>
  <c r="AH681" i="25"/>
  <c r="AI681" i="25"/>
  <c r="AO681" i="25" s="1"/>
  <c r="AR681" i="25" s="1"/>
  <c r="AJ681" i="25"/>
  <c r="AK681" i="25"/>
  <c r="AN681" i="25" s="1"/>
  <c r="AQ681" i="25" s="1"/>
  <c r="AK371" i="25"/>
  <c r="AJ371" i="25"/>
  <c r="N527" i="25"/>
  <c r="V527" i="25"/>
  <c r="P527" i="25"/>
  <c r="AC527" i="25"/>
  <c r="O527" i="25"/>
  <c r="U527" i="25"/>
  <c r="Y527" i="25"/>
  <c r="T527" i="25"/>
  <c r="X527" i="25"/>
  <c r="AA527" i="25" s="1"/>
  <c r="M683" i="25"/>
  <c r="AI371" i="25"/>
  <c r="AO371" i="25" s="1"/>
  <c r="AR371" i="25" s="1"/>
  <c r="AH371" i="25"/>
  <c r="AH526" i="25"/>
  <c r="AP526" i="25" s="1"/>
  <c r="AS526" i="25" s="1"/>
  <c r="AI526" i="25"/>
  <c r="AO526" i="25" s="1"/>
  <c r="AR526" i="25" s="1"/>
  <c r="AM526" i="25"/>
  <c r="AL526" i="25"/>
  <c r="P682" i="25"/>
  <c r="H842" i="25"/>
  <c r="Y682" i="25"/>
  <c r="I842" i="25"/>
  <c r="R842" i="25" s="1"/>
  <c r="AC682" i="25"/>
  <c r="J842" i="25"/>
  <c r="S842" i="25" s="1"/>
  <c r="U682" i="25"/>
  <c r="T682" i="25"/>
  <c r="X682" i="25" s="1"/>
  <c r="AA682" i="25" s="1"/>
  <c r="V682" i="25"/>
  <c r="N682" i="25"/>
  <c r="O682" i="25"/>
  <c r="AA839" i="25"/>
  <c r="AB839" i="25" s="1"/>
  <c r="AC839" i="25" s="1"/>
  <c r="AD839" i="25" s="1"/>
  <c r="W839" i="25"/>
  <c r="X839" i="25" s="1"/>
  <c r="AM58" i="25"/>
  <c r="AH58" i="25"/>
  <c r="AP58" i="25" s="1"/>
  <c r="AS58" i="25" s="1"/>
  <c r="F60" i="25"/>
  <c r="O59" i="25"/>
  <c r="C61" i="25"/>
  <c r="Y60" i="25"/>
  <c r="AC60" i="25" s="1"/>
  <c r="AD60" i="25" s="1"/>
  <c r="AE60" i="25" s="1"/>
  <c r="AN57" i="25"/>
  <c r="AQ57" i="25" s="1"/>
  <c r="K841" i="25" s="1"/>
  <c r="AL59" i="25"/>
  <c r="AJ59" i="25"/>
  <c r="E61" i="25"/>
  <c r="N60" i="25"/>
  <c r="AK58" i="25"/>
  <c r="AI58" i="25"/>
  <c r="AO58" i="25" s="1"/>
  <c r="AR58" i="25" s="1"/>
  <c r="D60" i="25"/>
  <c r="P59" i="25"/>
  <c r="B686" i="25"/>
  <c r="B532" i="25"/>
  <c r="B377" i="25"/>
  <c r="M373" i="25"/>
  <c r="B218" i="25"/>
  <c r="M218" i="25" s="1"/>
  <c r="Q218" i="25" l="1"/>
  <c r="S218" i="25"/>
  <c r="R218" i="25"/>
  <c r="Q683" i="25"/>
  <c r="R683" i="25"/>
  <c r="S683" i="25"/>
  <c r="Q373" i="25"/>
  <c r="R373" i="25"/>
  <c r="S373" i="25"/>
  <c r="R528" i="25"/>
  <c r="Q528" i="25"/>
  <c r="S528" i="25"/>
  <c r="AM217" i="25"/>
  <c r="AH217" i="25"/>
  <c r="AP217" i="25" s="1"/>
  <c r="AS217" i="25" s="1"/>
  <c r="AI217" i="25"/>
  <c r="AO217" i="25" s="1"/>
  <c r="AR217" i="25" s="1"/>
  <c r="V218" i="25"/>
  <c r="N218" i="25"/>
  <c r="O218" i="25"/>
  <c r="P218" i="25"/>
  <c r="Y218" i="25"/>
  <c r="AC218" i="25" s="1"/>
  <c r="T218" i="25"/>
  <c r="U218" i="25"/>
  <c r="X218" i="25" s="1"/>
  <c r="AA218" i="25" s="1"/>
  <c r="W218" i="25"/>
  <c r="Z218" i="25" s="1"/>
  <c r="AB218" i="25" s="1"/>
  <c r="AD218" i="25" s="1"/>
  <c r="AE218" i="25" s="1"/>
  <c r="AO218" i="25"/>
  <c r="AR218" i="25" s="1"/>
  <c r="AP218" i="25"/>
  <c r="AS218" i="25" s="1"/>
  <c r="AK217" i="25"/>
  <c r="AN217" i="25" s="1"/>
  <c r="AQ217" i="25" s="1"/>
  <c r="AJ217" i="25"/>
  <c r="T840" i="25"/>
  <c r="W840" i="25" s="1"/>
  <c r="X840" i="25" s="1"/>
  <c r="O840" i="25"/>
  <c r="N842" i="25"/>
  <c r="Q842" i="25"/>
  <c r="Z842" i="25" s="1"/>
  <c r="AP371" i="25"/>
  <c r="AS371" i="25" s="1"/>
  <c r="AP681" i="25"/>
  <c r="AS681" i="25" s="1"/>
  <c r="M841" i="25" s="1"/>
  <c r="V841" i="25" s="1"/>
  <c r="W682" i="25"/>
  <c r="Z682" i="25" s="1"/>
  <c r="AB682" i="25" s="1"/>
  <c r="AD682" i="25" s="1"/>
  <c r="AE682" i="25" s="1"/>
  <c r="AN371" i="25"/>
  <c r="AQ371" i="25" s="1"/>
  <c r="AN526" i="25"/>
  <c r="AQ526" i="25" s="1"/>
  <c r="AH682" i="25"/>
  <c r="AI682" i="25"/>
  <c r="M529" i="25"/>
  <c r="N373" i="25"/>
  <c r="V373" i="25"/>
  <c r="O373" i="25"/>
  <c r="W373" i="25"/>
  <c r="Z373" i="25" s="1"/>
  <c r="AB373" i="25" s="1"/>
  <c r="Y373" i="25"/>
  <c r="AC373" i="25" s="1"/>
  <c r="P373" i="25"/>
  <c r="T373" i="25"/>
  <c r="X373" i="25" s="1"/>
  <c r="AA373" i="25" s="1"/>
  <c r="U373" i="25"/>
  <c r="J843" i="25"/>
  <c r="S843" i="25" s="1"/>
  <c r="T683" i="25"/>
  <c r="U683" i="25"/>
  <c r="X683" i="25" s="1"/>
  <c r="AA683" i="25" s="1"/>
  <c r="N683" i="25"/>
  <c r="V683" i="25"/>
  <c r="P683" i="25"/>
  <c r="O683" i="25"/>
  <c r="H843" i="25"/>
  <c r="Q843" i="25" s="1"/>
  <c r="I843" i="25"/>
  <c r="Y683" i="25"/>
  <c r="AC683" i="25" s="1"/>
  <c r="AJ527" i="25"/>
  <c r="AK527" i="25"/>
  <c r="AN527" i="25" s="1"/>
  <c r="AQ527" i="25" s="1"/>
  <c r="AL682" i="25"/>
  <c r="AM682" i="25"/>
  <c r="AM527" i="25"/>
  <c r="AL527" i="25"/>
  <c r="W527" i="25"/>
  <c r="Z527" i="25" s="1"/>
  <c r="AB527" i="25" s="1"/>
  <c r="AD527" i="25" s="1"/>
  <c r="AE527" i="25" s="1"/>
  <c r="AH527" i="25"/>
  <c r="AI527" i="25"/>
  <c r="AO527" i="25" s="1"/>
  <c r="AR527" i="25" s="1"/>
  <c r="AM372" i="25"/>
  <c r="AL372" i="25"/>
  <c r="W372" i="25"/>
  <c r="Z372" i="25" s="1"/>
  <c r="AB372" i="25" s="1"/>
  <c r="AD372" i="25" s="1"/>
  <c r="AE372" i="25" s="1"/>
  <c r="AH372" i="25"/>
  <c r="AP372" i="25" s="1"/>
  <c r="AS372" i="25" s="1"/>
  <c r="AI372" i="25"/>
  <c r="AK372" i="25"/>
  <c r="AJ372" i="25"/>
  <c r="AJ682" i="25"/>
  <c r="AK682" i="25"/>
  <c r="AN682" i="25" s="1"/>
  <c r="AQ682" i="25" s="1"/>
  <c r="M684" i="25"/>
  <c r="U528" i="25"/>
  <c r="N528" i="25"/>
  <c r="V528" i="25"/>
  <c r="P528" i="25"/>
  <c r="O528" i="25"/>
  <c r="T528" i="25"/>
  <c r="X528" i="25" s="1"/>
  <c r="AA528" i="25" s="1"/>
  <c r="Y528" i="25"/>
  <c r="AC528" i="25" s="1"/>
  <c r="F61" i="25"/>
  <c r="O60" i="25"/>
  <c r="AM59" i="25"/>
  <c r="AH59" i="25"/>
  <c r="AP59" i="25" s="1"/>
  <c r="AS59" i="25" s="1"/>
  <c r="AN58" i="25"/>
  <c r="AQ58" i="25" s="1"/>
  <c r="E62" i="25"/>
  <c r="N61" i="25"/>
  <c r="AI59" i="25"/>
  <c r="AO59" i="25" s="1"/>
  <c r="AR59" i="25" s="1"/>
  <c r="AK59" i="25"/>
  <c r="T841" i="25"/>
  <c r="O841" i="25"/>
  <c r="AL60" i="25"/>
  <c r="AJ60" i="25"/>
  <c r="D61" i="25"/>
  <c r="P60" i="25"/>
  <c r="C62" i="25"/>
  <c r="Y61" i="25"/>
  <c r="AC61" i="25" s="1"/>
  <c r="AD61" i="25" s="1"/>
  <c r="AE61" i="25" s="1"/>
  <c r="B687" i="25"/>
  <c r="B533" i="25"/>
  <c r="B378" i="25"/>
  <c r="B379" i="25" s="1"/>
  <c r="M374" i="25"/>
  <c r="B219" i="25"/>
  <c r="M219" i="25" s="1"/>
  <c r="Q529" i="25" l="1"/>
  <c r="S529" i="25"/>
  <c r="R529" i="25"/>
  <c r="R684" i="25"/>
  <c r="S684" i="25"/>
  <c r="Q684" i="25"/>
  <c r="R374" i="25"/>
  <c r="Q374" i="25"/>
  <c r="S374" i="25"/>
  <c r="S219" i="25"/>
  <c r="Q219" i="25"/>
  <c r="R219" i="25"/>
  <c r="AK218" i="25"/>
  <c r="AN218" i="25" s="1"/>
  <c r="AQ218" i="25" s="1"/>
  <c r="AJ218" i="25"/>
  <c r="V219" i="25"/>
  <c r="T219" i="25"/>
  <c r="P219" i="25"/>
  <c r="O219" i="25"/>
  <c r="Y219" i="25"/>
  <c r="AC219" i="25"/>
  <c r="U219" i="25"/>
  <c r="N219" i="25"/>
  <c r="X219" i="25"/>
  <c r="AA219" i="25" s="1"/>
  <c r="AB219" i="25" s="1"/>
  <c r="AD219" i="25" s="1"/>
  <c r="AE219" i="25" s="1"/>
  <c r="AH218" i="25"/>
  <c r="AI218" i="25"/>
  <c r="AL218" i="25"/>
  <c r="AM218" i="25"/>
  <c r="AA840" i="25"/>
  <c r="AB840" i="25" s="1"/>
  <c r="AC840" i="25" s="1"/>
  <c r="AD840" i="25" s="1"/>
  <c r="N843" i="25"/>
  <c r="R843" i="25"/>
  <c r="Z843" i="25"/>
  <c r="AD373" i="25"/>
  <c r="AE373" i="25" s="1"/>
  <c r="AP527" i="25"/>
  <c r="AS527" i="25" s="1"/>
  <c r="AO682" i="25"/>
  <c r="AR682" i="25" s="1"/>
  <c r="L842" i="25" s="1"/>
  <c r="U842" i="25" s="1"/>
  <c r="W528" i="25"/>
  <c r="Z528" i="25" s="1"/>
  <c r="AB528" i="25" s="1"/>
  <c r="AD528" i="25" s="1"/>
  <c r="AE528" i="25" s="1"/>
  <c r="K842" i="25"/>
  <c r="T842" i="25" s="1"/>
  <c r="AN372" i="25"/>
  <c r="AQ372" i="25" s="1"/>
  <c r="AP682" i="25"/>
  <c r="AS682" i="25" s="1"/>
  <c r="M842" i="25" s="1"/>
  <c r="V842" i="25" s="1"/>
  <c r="AO372" i="25"/>
  <c r="AR372" i="25" s="1"/>
  <c r="AI373" i="25"/>
  <c r="AH373" i="25"/>
  <c r="M530" i="25"/>
  <c r="U374" i="25"/>
  <c r="N374" i="25"/>
  <c r="V374" i="25"/>
  <c r="O374" i="25"/>
  <c r="Y374" i="25"/>
  <c r="AC374" i="25" s="1"/>
  <c r="P374" i="25"/>
  <c r="T374" i="25"/>
  <c r="X374" i="25"/>
  <c r="AA374" i="25" s="1"/>
  <c r="AL683" i="25"/>
  <c r="AM683" i="25"/>
  <c r="AJ528" i="25"/>
  <c r="AK528" i="25"/>
  <c r="AL528" i="25"/>
  <c r="AM528" i="25"/>
  <c r="AI528" i="25"/>
  <c r="AO528" i="25" s="1"/>
  <c r="AR528" i="25" s="1"/>
  <c r="AH528" i="25"/>
  <c r="AP528" i="25" s="1"/>
  <c r="AS528" i="25" s="1"/>
  <c r="P684" i="25"/>
  <c r="H844" i="25"/>
  <c r="I844" i="25"/>
  <c r="R844" i="25" s="1"/>
  <c r="J844" i="25"/>
  <c r="S844" i="25" s="1"/>
  <c r="U684" i="25"/>
  <c r="O684" i="25"/>
  <c r="T684" i="25"/>
  <c r="V684" i="25"/>
  <c r="Y684" i="25"/>
  <c r="AC684" i="25" s="1"/>
  <c r="N684" i="25"/>
  <c r="AJ683" i="25"/>
  <c r="AK683" i="25"/>
  <c r="AN683" i="25" s="1"/>
  <c r="AQ683" i="25" s="1"/>
  <c r="M685" i="25"/>
  <c r="P529" i="25"/>
  <c r="Y529" i="25"/>
  <c r="AC529" i="25" s="1"/>
  <c r="U529" i="25"/>
  <c r="T529" i="25"/>
  <c r="V529" i="25"/>
  <c r="X529" i="25" s="1"/>
  <c r="AA529" i="25" s="1"/>
  <c r="O529" i="25"/>
  <c r="N529" i="25"/>
  <c r="AJ373" i="25"/>
  <c r="AK373" i="25"/>
  <c r="AN373" i="25" s="1"/>
  <c r="AQ373" i="25" s="1"/>
  <c r="W683" i="25"/>
  <c r="Z683" i="25" s="1"/>
  <c r="AB683" i="25" s="1"/>
  <c r="AD683" i="25" s="1"/>
  <c r="AE683" i="25" s="1"/>
  <c r="AH683" i="25"/>
  <c r="AI683" i="25"/>
  <c r="AO683" i="25" s="1"/>
  <c r="AR683" i="25" s="1"/>
  <c r="L843" i="25" s="1"/>
  <c r="U843" i="25" s="1"/>
  <c r="AM373" i="25"/>
  <c r="AL373" i="25"/>
  <c r="AN59" i="25"/>
  <c r="AQ59" i="25" s="1"/>
  <c r="K843" i="25" s="1"/>
  <c r="F62" i="25"/>
  <c r="O61" i="25"/>
  <c r="C63" i="25"/>
  <c r="Y62" i="25"/>
  <c r="AC62" i="25" s="1"/>
  <c r="AD62" i="25" s="1"/>
  <c r="AE62" i="25" s="1"/>
  <c r="AI60" i="25"/>
  <c r="AO60" i="25" s="1"/>
  <c r="AR60" i="25" s="1"/>
  <c r="AK60" i="25"/>
  <c r="AJ61" i="25"/>
  <c r="AL61" i="25"/>
  <c r="AH60" i="25"/>
  <c r="AP60" i="25" s="1"/>
  <c r="AS60" i="25" s="1"/>
  <c r="AM60" i="25"/>
  <c r="D62" i="25"/>
  <c r="P61" i="25"/>
  <c r="E63" i="25"/>
  <c r="N62" i="25"/>
  <c r="AA841" i="25"/>
  <c r="AB841" i="25" s="1"/>
  <c r="AC841" i="25" s="1"/>
  <c r="AD841" i="25" s="1"/>
  <c r="W841" i="25"/>
  <c r="X841" i="25" s="1"/>
  <c r="O842" i="25"/>
  <c r="B688" i="25"/>
  <c r="B534" i="25"/>
  <c r="B535" i="25" s="1"/>
  <c r="B380" i="25"/>
  <c r="M375" i="25"/>
  <c r="B220" i="25"/>
  <c r="M220" i="25" s="1"/>
  <c r="AH219" i="25" l="1"/>
  <c r="Q685" i="25"/>
  <c r="R685" i="25"/>
  <c r="S685" i="25"/>
  <c r="S220" i="25"/>
  <c r="Q220" i="25"/>
  <c r="R220" i="25"/>
  <c r="R375" i="25"/>
  <c r="S375" i="25"/>
  <c r="Q375" i="25"/>
  <c r="Q530" i="25"/>
  <c r="S530" i="25"/>
  <c r="R530" i="25"/>
  <c r="AI219" i="25"/>
  <c r="AK219" i="25"/>
  <c r="AN219" i="25" s="1"/>
  <c r="AQ219" i="25" s="1"/>
  <c r="AJ219" i="25"/>
  <c r="AP219" i="25" s="1"/>
  <c r="AS219" i="25" s="1"/>
  <c r="W219" i="25"/>
  <c r="Z219" i="25" s="1"/>
  <c r="AL219" i="25"/>
  <c r="AO219" i="25" s="1"/>
  <c r="AR219" i="25" s="1"/>
  <c r="AM219" i="25"/>
  <c r="Y220" i="25"/>
  <c r="N220" i="25"/>
  <c r="AC220" i="25"/>
  <c r="T220" i="25"/>
  <c r="V220" i="25"/>
  <c r="P220" i="25"/>
  <c r="O220" i="25"/>
  <c r="U220" i="25"/>
  <c r="W220" i="25"/>
  <c r="Z220" i="25" s="1"/>
  <c r="AB220" i="25" s="1"/>
  <c r="AD220" i="25" s="1"/>
  <c r="AE220" i="25" s="1"/>
  <c r="X220" i="25"/>
  <c r="AA220" i="25" s="1"/>
  <c r="AN220" i="25"/>
  <c r="AQ220" i="25" s="1"/>
  <c r="N844" i="25"/>
  <c r="Q844" i="25"/>
  <c r="Z844" i="25" s="1"/>
  <c r="X684" i="25"/>
  <c r="AA684" i="25" s="1"/>
  <c r="AP373" i="25"/>
  <c r="AS373" i="25" s="1"/>
  <c r="AO373" i="25"/>
  <c r="AR373" i="25" s="1"/>
  <c r="AP683" i="25"/>
  <c r="AS683" i="25" s="1"/>
  <c r="M843" i="25" s="1"/>
  <c r="V843" i="25" s="1"/>
  <c r="AN528" i="25"/>
  <c r="AQ528" i="25" s="1"/>
  <c r="AI374" i="25"/>
  <c r="AH374" i="25"/>
  <c r="AL529" i="25"/>
  <c r="AM529" i="25"/>
  <c r="AK529" i="25"/>
  <c r="AJ529" i="25"/>
  <c r="AL684" i="25"/>
  <c r="AM684" i="25"/>
  <c r="U530" i="25"/>
  <c r="O530" i="25"/>
  <c r="P530" i="25"/>
  <c r="AC530" i="25"/>
  <c r="Y530" i="25"/>
  <c r="N530" i="25"/>
  <c r="W530" i="25"/>
  <c r="Z530" i="25" s="1"/>
  <c r="T530" i="25"/>
  <c r="X530" i="25" s="1"/>
  <c r="AA530" i="25" s="1"/>
  <c r="V530" i="25"/>
  <c r="M686" i="25"/>
  <c r="W529" i="25"/>
  <c r="Z529" i="25" s="1"/>
  <c r="AB529" i="25" s="1"/>
  <c r="AD529" i="25" s="1"/>
  <c r="AE529" i="25" s="1"/>
  <c r="AI529" i="25"/>
  <c r="AO529" i="25" s="1"/>
  <c r="AR529" i="25" s="1"/>
  <c r="AH529" i="25"/>
  <c r="AP529" i="25" s="1"/>
  <c r="AS529" i="25" s="1"/>
  <c r="W684" i="25"/>
  <c r="Z684" i="25" s="1"/>
  <c r="AB684" i="25" s="1"/>
  <c r="AD684" i="25" s="1"/>
  <c r="AE684" i="25" s="1"/>
  <c r="AJ684" i="25"/>
  <c r="AK684" i="25"/>
  <c r="AN684" i="25" s="1"/>
  <c r="AQ684" i="25" s="1"/>
  <c r="AH684" i="25"/>
  <c r="AI684" i="25"/>
  <c r="AL374" i="25"/>
  <c r="AM374" i="25"/>
  <c r="W374" i="25"/>
  <c r="Z374" i="25" s="1"/>
  <c r="AB374" i="25" s="1"/>
  <c r="AD374" i="25" s="1"/>
  <c r="AE374" i="25" s="1"/>
  <c r="AK374" i="25"/>
  <c r="AN374" i="25" s="1"/>
  <c r="AQ374" i="25" s="1"/>
  <c r="AJ374" i="25"/>
  <c r="U685" i="25"/>
  <c r="N685" i="25"/>
  <c r="V685" i="25"/>
  <c r="O685" i="25"/>
  <c r="Y685" i="25"/>
  <c r="AC685" i="25" s="1"/>
  <c r="P685" i="25"/>
  <c r="I845" i="25"/>
  <c r="R845" i="25" s="1"/>
  <c r="H845" i="25"/>
  <c r="J845" i="25"/>
  <c r="S845" i="25" s="1"/>
  <c r="T685" i="25"/>
  <c r="M531" i="25"/>
  <c r="O375" i="25"/>
  <c r="X375" i="25"/>
  <c r="AA375" i="25" s="1"/>
  <c r="P375" i="25"/>
  <c r="Y375" i="25"/>
  <c r="AC375" i="25" s="1"/>
  <c r="T375" i="25"/>
  <c r="V375" i="25"/>
  <c r="N375" i="25"/>
  <c r="U375" i="25"/>
  <c r="F63" i="25"/>
  <c r="O62" i="25"/>
  <c r="O843" i="25"/>
  <c r="T843" i="25"/>
  <c r="AJ62" i="25"/>
  <c r="AL62" i="25"/>
  <c r="AN60" i="25"/>
  <c r="AQ60" i="25" s="1"/>
  <c r="K844" i="25" s="1"/>
  <c r="E64" i="25"/>
  <c r="N63" i="25"/>
  <c r="W842" i="25"/>
  <c r="X842" i="25" s="1"/>
  <c r="AA842" i="25"/>
  <c r="AB842" i="25" s="1"/>
  <c r="AC842" i="25" s="1"/>
  <c r="AD842" i="25" s="1"/>
  <c r="AI61" i="25"/>
  <c r="AO61" i="25" s="1"/>
  <c r="AR61" i="25" s="1"/>
  <c r="AK61" i="25"/>
  <c r="D63" i="25"/>
  <c r="P62" i="25"/>
  <c r="C64" i="25"/>
  <c r="Y63" i="25"/>
  <c r="AC63" i="25" s="1"/>
  <c r="AD63" i="25" s="1"/>
  <c r="AE63" i="25" s="1"/>
  <c r="AH61" i="25"/>
  <c r="AP61" i="25" s="1"/>
  <c r="AS61" i="25" s="1"/>
  <c r="AM61" i="25"/>
  <c r="B689" i="25"/>
  <c r="B536" i="25"/>
  <c r="B381" i="25"/>
  <c r="B221" i="25"/>
  <c r="M221" i="25" s="1"/>
  <c r="M376" i="25"/>
  <c r="Q376" i="25" l="1"/>
  <c r="R376" i="25"/>
  <c r="S376" i="25"/>
  <c r="Q531" i="25"/>
  <c r="S531" i="25"/>
  <c r="R531" i="25"/>
  <c r="Q686" i="25"/>
  <c r="R686" i="25"/>
  <c r="S686" i="25"/>
  <c r="Q221" i="25"/>
  <c r="R221" i="25"/>
  <c r="S221" i="25"/>
  <c r="AI220" i="25"/>
  <c r="AO220" i="25" s="1"/>
  <c r="AR220" i="25" s="1"/>
  <c r="AH220" i="25"/>
  <c r="AP220" i="25" s="1"/>
  <c r="AS220" i="25" s="1"/>
  <c r="AK220" i="25"/>
  <c r="AJ220" i="25"/>
  <c r="AM220" i="25"/>
  <c r="AL220" i="25"/>
  <c r="N221" i="25"/>
  <c r="V221" i="25"/>
  <c r="T221" i="25"/>
  <c r="O221" i="25"/>
  <c r="U221" i="25"/>
  <c r="Y221" i="25"/>
  <c r="AC221" i="25" s="1"/>
  <c r="P221" i="25"/>
  <c r="X221" i="25"/>
  <c r="AA221" i="25" s="1"/>
  <c r="W221" i="25"/>
  <c r="Z221" i="25" s="1"/>
  <c r="AO221" i="25"/>
  <c r="AR221" i="25" s="1"/>
  <c r="AB221" i="25"/>
  <c r="AD221" i="25" s="1"/>
  <c r="AE221" i="25" s="1"/>
  <c r="AN221" i="25"/>
  <c r="AQ221" i="25" s="1"/>
  <c r="AP221" i="25"/>
  <c r="AS221" i="25" s="1"/>
  <c r="AB530" i="25"/>
  <c r="AD530" i="25" s="1"/>
  <c r="AE530" i="25" s="1"/>
  <c r="N845" i="25"/>
  <c r="Q845" i="25"/>
  <c r="Z845" i="25" s="1"/>
  <c r="X685" i="25"/>
  <c r="AA685" i="25" s="1"/>
  <c r="AP684" i="25"/>
  <c r="AS684" i="25" s="1"/>
  <c r="M844" i="25" s="1"/>
  <c r="V844" i="25" s="1"/>
  <c r="AN529" i="25"/>
  <c r="AQ529" i="25" s="1"/>
  <c r="AP374" i="25"/>
  <c r="AS374" i="25" s="1"/>
  <c r="AO684" i="25"/>
  <c r="AR684" i="25" s="1"/>
  <c r="L844" i="25" s="1"/>
  <c r="U844" i="25" s="1"/>
  <c r="AO374" i="25"/>
  <c r="AR374" i="25" s="1"/>
  <c r="W375" i="25"/>
  <c r="Z375" i="25" s="1"/>
  <c r="AB375" i="25" s="1"/>
  <c r="AD375" i="25" s="1"/>
  <c r="AE375" i="25" s="1"/>
  <c r="AI375" i="25"/>
  <c r="AH375" i="25"/>
  <c r="AL685" i="25"/>
  <c r="AM685" i="25"/>
  <c r="M687" i="25"/>
  <c r="P531" i="25"/>
  <c r="U531" i="25"/>
  <c r="N531" i="25"/>
  <c r="O531" i="25"/>
  <c r="T531" i="25"/>
  <c r="V531" i="25"/>
  <c r="Y531" i="25"/>
  <c r="AC531" i="25" s="1"/>
  <c r="X531" i="25"/>
  <c r="AA531" i="25" s="1"/>
  <c r="AM530" i="25"/>
  <c r="AL530" i="25"/>
  <c r="AM375" i="25"/>
  <c r="AL375" i="25"/>
  <c r="W685" i="25"/>
  <c r="Z685" i="25" s="1"/>
  <c r="AB685" i="25" s="1"/>
  <c r="AD685" i="25" s="1"/>
  <c r="AE685" i="25" s="1"/>
  <c r="AH685" i="25"/>
  <c r="AI685" i="25"/>
  <c r="AO685" i="25" s="1"/>
  <c r="AR685" i="25" s="1"/>
  <c r="L845" i="25" s="1"/>
  <c r="U845" i="25" s="1"/>
  <c r="AK530" i="25"/>
  <c r="AJ530" i="25"/>
  <c r="M532" i="25"/>
  <c r="U376" i="25"/>
  <c r="N376" i="25"/>
  <c r="V376" i="25"/>
  <c r="O376" i="25"/>
  <c r="X376" i="25"/>
  <c r="AA376" i="25" s="1"/>
  <c r="P376" i="25"/>
  <c r="T376" i="25"/>
  <c r="Y376" i="25"/>
  <c r="AC376" i="25" s="1"/>
  <c r="AJ685" i="25"/>
  <c r="AK685" i="25"/>
  <c r="AN685" i="25" s="1"/>
  <c r="AQ685" i="25" s="1"/>
  <c r="AH530" i="25"/>
  <c r="AI530" i="25"/>
  <c r="AO530" i="25" s="1"/>
  <c r="AR530" i="25" s="1"/>
  <c r="AK375" i="25"/>
  <c r="AN375" i="25" s="1"/>
  <c r="AQ375" i="25" s="1"/>
  <c r="AJ375" i="25"/>
  <c r="J846" i="25"/>
  <c r="T686" i="25"/>
  <c r="X686" i="25" s="1"/>
  <c r="AA686" i="25" s="1"/>
  <c r="U686" i="25"/>
  <c r="N686" i="25"/>
  <c r="V686" i="25"/>
  <c r="P686" i="25"/>
  <c r="H846" i="25"/>
  <c r="Q846" i="25" s="1"/>
  <c r="I846" i="25"/>
  <c r="R846" i="25" s="1"/>
  <c r="Y686" i="25"/>
  <c r="AC686" i="25" s="1"/>
  <c r="O686" i="25"/>
  <c r="AM62" i="25"/>
  <c r="AH62" i="25"/>
  <c r="AP62" i="25" s="1"/>
  <c r="AS62" i="25" s="1"/>
  <c r="F64" i="25"/>
  <c r="O63" i="25"/>
  <c r="E65" i="25"/>
  <c r="N64" i="25"/>
  <c r="AK62" i="25"/>
  <c r="AI62" i="25"/>
  <c r="AO62" i="25" s="1"/>
  <c r="AR62" i="25" s="1"/>
  <c r="T844" i="25"/>
  <c r="O844" i="25"/>
  <c r="AL63" i="25"/>
  <c r="AJ63" i="25"/>
  <c r="C65" i="25"/>
  <c r="Y64" i="25"/>
  <c r="AC64" i="25" s="1"/>
  <c r="AD64" i="25" s="1"/>
  <c r="AE64" i="25" s="1"/>
  <c r="D64" i="25"/>
  <c r="P63" i="25"/>
  <c r="AN61" i="25"/>
  <c r="AQ61" i="25" s="1"/>
  <c r="K845" i="25" s="1"/>
  <c r="W843" i="25"/>
  <c r="X843" i="25" s="1"/>
  <c r="AA843" i="25"/>
  <c r="AB843" i="25" s="1"/>
  <c r="AC843" i="25" s="1"/>
  <c r="AD843" i="25" s="1"/>
  <c r="B690" i="25"/>
  <c r="B537" i="25"/>
  <c r="B382" i="25"/>
  <c r="M377" i="25"/>
  <c r="B222" i="25"/>
  <c r="M222" i="25" s="1"/>
  <c r="Q377" i="25" l="1"/>
  <c r="R377" i="25"/>
  <c r="S377" i="25"/>
  <c r="Q687" i="25"/>
  <c r="R687" i="25"/>
  <c r="S687" i="25"/>
  <c r="R222" i="25"/>
  <c r="Q222" i="25"/>
  <c r="S222" i="25"/>
  <c r="R532" i="25"/>
  <c r="Q532" i="25"/>
  <c r="S532" i="25"/>
  <c r="P222" i="25"/>
  <c r="U222" i="25"/>
  <c r="V222" i="25"/>
  <c r="N222" i="25"/>
  <c r="Y222" i="25"/>
  <c r="AC222" i="25" s="1"/>
  <c r="T222" i="25"/>
  <c r="X222" i="25" s="1"/>
  <c r="AA222" i="25" s="1"/>
  <c r="O222" i="25"/>
  <c r="W222" i="25"/>
  <c r="Z222" i="25" s="1"/>
  <c r="AB222" i="25" s="1"/>
  <c r="AD222" i="25" s="1"/>
  <c r="AE222" i="25" s="1"/>
  <c r="AO222" i="25"/>
  <c r="AR222" i="25" s="1"/>
  <c r="AP222" i="25"/>
  <c r="AS222" i="25" s="1"/>
  <c r="AJ221" i="25"/>
  <c r="AK221" i="25"/>
  <c r="AH221" i="25"/>
  <c r="AI221" i="25"/>
  <c r="AL221" i="25"/>
  <c r="AM221" i="25"/>
  <c r="N846" i="25"/>
  <c r="S846" i="25"/>
  <c r="Z846" i="25" s="1"/>
  <c r="W686" i="25"/>
  <c r="Z686" i="25" s="1"/>
  <c r="AB686" i="25" s="1"/>
  <c r="AD686" i="25" s="1"/>
  <c r="AE686" i="25" s="1"/>
  <c r="AN530" i="25"/>
  <c r="AQ530" i="25" s="1"/>
  <c r="AP685" i="25"/>
  <c r="AS685" i="25" s="1"/>
  <c r="M845" i="25" s="1"/>
  <c r="V845" i="25" s="1"/>
  <c r="AP375" i="25"/>
  <c r="AS375" i="25" s="1"/>
  <c r="AO375" i="25"/>
  <c r="AR375" i="25" s="1"/>
  <c r="AP530" i="25"/>
  <c r="AS530" i="25" s="1"/>
  <c r="M688" i="25"/>
  <c r="U532" i="25"/>
  <c r="O532" i="25"/>
  <c r="Y532" i="25"/>
  <c r="AC532" i="25" s="1"/>
  <c r="P532" i="25"/>
  <c r="W532" i="25"/>
  <c r="Z532" i="25" s="1"/>
  <c r="T532" i="25"/>
  <c r="V532" i="25"/>
  <c r="N532" i="25"/>
  <c r="W531" i="25"/>
  <c r="Z531" i="25" s="1"/>
  <c r="AB531" i="25" s="1"/>
  <c r="AD531" i="25" s="1"/>
  <c r="AE531" i="25" s="1"/>
  <c r="AH531" i="25"/>
  <c r="AI531" i="25"/>
  <c r="N687" i="25"/>
  <c r="V687" i="25"/>
  <c r="O687" i="25"/>
  <c r="Y687" i="25"/>
  <c r="P687" i="25"/>
  <c r="AC687" i="25"/>
  <c r="H847" i="25"/>
  <c r="J847" i="25"/>
  <c r="S847" i="25" s="1"/>
  <c r="I847" i="25"/>
  <c r="R847" i="25" s="1"/>
  <c r="T687" i="25"/>
  <c r="X687" i="25" s="1"/>
  <c r="AA687" i="25" s="1"/>
  <c r="U687" i="25"/>
  <c r="M533" i="25"/>
  <c r="O377" i="25"/>
  <c r="P377" i="25"/>
  <c r="Y377" i="25"/>
  <c r="AC377" i="25" s="1"/>
  <c r="T377" i="25"/>
  <c r="U377" i="25"/>
  <c r="V377" i="25"/>
  <c r="N377" i="25"/>
  <c r="X377" i="25"/>
  <c r="AA377" i="25" s="1"/>
  <c r="AI686" i="25"/>
  <c r="AH686" i="25"/>
  <c r="AJ686" i="25"/>
  <c r="AK686" i="25"/>
  <c r="AN686" i="25" s="1"/>
  <c r="AQ686" i="25" s="1"/>
  <c r="AL686" i="25"/>
  <c r="AM686" i="25"/>
  <c r="AM376" i="25"/>
  <c r="AL376" i="25"/>
  <c r="AM531" i="25"/>
  <c r="AL531" i="25"/>
  <c r="W376" i="25"/>
  <c r="Z376" i="25" s="1"/>
  <c r="AB376" i="25" s="1"/>
  <c r="AD376" i="25" s="1"/>
  <c r="AE376" i="25" s="1"/>
  <c r="AH376" i="25"/>
  <c r="AI376" i="25"/>
  <c r="AK376" i="25"/>
  <c r="AJ376" i="25"/>
  <c r="AJ531" i="25"/>
  <c r="AK531" i="25"/>
  <c r="AN531" i="25" s="1"/>
  <c r="AQ531" i="25" s="1"/>
  <c r="T845" i="25"/>
  <c r="D65" i="25"/>
  <c r="P64" i="25"/>
  <c r="AN62" i="25"/>
  <c r="AQ62" i="25" s="1"/>
  <c r="K846" i="25" s="1"/>
  <c r="AL64" i="25"/>
  <c r="AJ64" i="25"/>
  <c r="C66" i="25"/>
  <c r="Y65" i="25"/>
  <c r="AC65" i="25" s="1"/>
  <c r="AD65" i="25" s="1"/>
  <c r="AE65" i="25" s="1"/>
  <c r="E66" i="25"/>
  <c r="N65" i="25"/>
  <c r="AI63" i="25"/>
  <c r="AO63" i="25" s="1"/>
  <c r="AR63" i="25" s="1"/>
  <c r="AK63" i="25"/>
  <c r="AM63" i="25"/>
  <c r="AH63" i="25"/>
  <c r="AP63" i="25" s="1"/>
  <c r="AS63" i="25" s="1"/>
  <c r="F65" i="25"/>
  <c r="O64" i="25"/>
  <c r="W844" i="25"/>
  <c r="X844" i="25" s="1"/>
  <c r="AA844" i="25"/>
  <c r="AB844" i="25" s="1"/>
  <c r="AC844" i="25" s="1"/>
  <c r="AD844" i="25" s="1"/>
  <c r="B691" i="25"/>
  <c r="B538" i="25"/>
  <c r="B383" i="25"/>
  <c r="B223" i="25"/>
  <c r="M223" i="25" s="1"/>
  <c r="Q688" i="25" l="1"/>
  <c r="R688" i="25"/>
  <c r="S688" i="25"/>
  <c r="S533" i="25"/>
  <c r="Q533" i="25"/>
  <c r="R533" i="25"/>
  <c r="R223" i="25"/>
  <c r="S223" i="25"/>
  <c r="Q223" i="25"/>
  <c r="T223" i="25"/>
  <c r="O223" i="25"/>
  <c r="Y223" i="25"/>
  <c r="U223" i="25"/>
  <c r="X223" i="25" s="1"/>
  <c r="AA223" i="25" s="1"/>
  <c r="N223" i="25"/>
  <c r="V223" i="25"/>
  <c r="AC223" i="25"/>
  <c r="P223" i="25"/>
  <c r="W223" i="25"/>
  <c r="Z223" i="25" s="1"/>
  <c r="AB223" i="25" s="1"/>
  <c r="AD223" i="25" s="1"/>
  <c r="AE223" i="25" s="1"/>
  <c r="AO223" i="25"/>
  <c r="AR223" i="25" s="1"/>
  <c r="AH222" i="25"/>
  <c r="AI222" i="25"/>
  <c r="AL222" i="25"/>
  <c r="AM222" i="25"/>
  <c r="AJ222" i="25"/>
  <c r="AK222" i="25"/>
  <c r="AN222" i="25" s="1"/>
  <c r="AQ222" i="25" s="1"/>
  <c r="O845" i="25"/>
  <c r="N847" i="25"/>
  <c r="Q847" i="25"/>
  <c r="Z847" i="25" s="1"/>
  <c r="AN376" i="25"/>
  <c r="AQ376" i="25" s="1"/>
  <c r="AO376" i="25"/>
  <c r="AR376" i="25" s="1"/>
  <c r="AP376" i="25"/>
  <c r="AS376" i="25" s="1"/>
  <c r="W377" i="25"/>
  <c r="Z377" i="25" s="1"/>
  <c r="AB377" i="25" s="1"/>
  <c r="AD377" i="25" s="1"/>
  <c r="AE377" i="25" s="1"/>
  <c r="AP686" i="25"/>
  <c r="AS686" i="25" s="1"/>
  <c r="M846" i="25" s="1"/>
  <c r="AO531" i="25"/>
  <c r="AR531" i="25" s="1"/>
  <c r="L847" i="25" s="1"/>
  <c r="U847" i="25" s="1"/>
  <c r="AO686" i="25"/>
  <c r="AR686" i="25" s="1"/>
  <c r="L846" i="25" s="1"/>
  <c r="U846" i="25" s="1"/>
  <c r="AP531" i="25"/>
  <c r="AS531" i="25" s="1"/>
  <c r="M847" i="25" s="1"/>
  <c r="V847" i="25" s="1"/>
  <c r="X532" i="25"/>
  <c r="AA532" i="25" s="1"/>
  <c r="AB532" i="25" s="1"/>
  <c r="AD532" i="25" s="1"/>
  <c r="AE532" i="25" s="1"/>
  <c r="AM377" i="25"/>
  <c r="AL377" i="25"/>
  <c r="AL532" i="25"/>
  <c r="AM532" i="25"/>
  <c r="AJ377" i="25"/>
  <c r="AK377" i="25"/>
  <c r="AI532" i="25"/>
  <c r="AO532" i="25" s="1"/>
  <c r="AR532" i="25" s="1"/>
  <c r="AH532" i="25"/>
  <c r="AJ532" i="25"/>
  <c r="AK532" i="25"/>
  <c r="AN532" i="25" s="1"/>
  <c r="AQ532" i="25" s="1"/>
  <c r="AI377" i="25"/>
  <c r="AH377" i="25"/>
  <c r="M689" i="25"/>
  <c r="U533" i="25"/>
  <c r="N533" i="25"/>
  <c r="V533" i="25"/>
  <c r="P533" i="25"/>
  <c r="Y533" i="25"/>
  <c r="AC533" i="25" s="1"/>
  <c r="O533" i="25"/>
  <c r="T533" i="25"/>
  <c r="X533" i="25" s="1"/>
  <c r="AA533" i="25" s="1"/>
  <c r="AL687" i="25"/>
  <c r="AM687" i="25"/>
  <c r="AJ687" i="25"/>
  <c r="AK687" i="25"/>
  <c r="AN687" i="25" s="1"/>
  <c r="AQ687" i="25" s="1"/>
  <c r="W687" i="25"/>
  <c r="Z687" i="25" s="1"/>
  <c r="AB687" i="25" s="1"/>
  <c r="AD687" i="25" s="1"/>
  <c r="AE687" i="25" s="1"/>
  <c r="AH687" i="25"/>
  <c r="AP687" i="25" s="1"/>
  <c r="AS687" i="25" s="1"/>
  <c r="AI687" i="25"/>
  <c r="AO687" i="25" s="1"/>
  <c r="AR687" i="25" s="1"/>
  <c r="J848" i="25"/>
  <c r="S848" i="25" s="1"/>
  <c r="T688" i="25"/>
  <c r="U688" i="25"/>
  <c r="N688" i="25"/>
  <c r="V688" i="25"/>
  <c r="P688" i="25"/>
  <c r="O688" i="25"/>
  <c r="H848" i="25"/>
  <c r="I848" i="25"/>
  <c r="R848" i="25" s="1"/>
  <c r="Y688" i="25"/>
  <c r="AC688" i="25" s="1"/>
  <c r="AA845" i="25"/>
  <c r="AB845" i="25" s="1"/>
  <c r="AC845" i="25" s="1"/>
  <c r="AD845" i="25" s="1"/>
  <c r="W845" i="25"/>
  <c r="X845" i="25" s="1"/>
  <c r="F66" i="25"/>
  <c r="O65" i="25"/>
  <c r="C67" i="25"/>
  <c r="Y66" i="25"/>
  <c r="AC66" i="25" s="1"/>
  <c r="AD66" i="25" s="1"/>
  <c r="AE66" i="25" s="1"/>
  <c r="AI64" i="25"/>
  <c r="AO64" i="25" s="1"/>
  <c r="AR64" i="25" s="1"/>
  <c r="AK64" i="25"/>
  <c r="AN63" i="25"/>
  <c r="AQ63" i="25" s="1"/>
  <c r="K847" i="25" s="1"/>
  <c r="AJ65" i="25"/>
  <c r="AL65" i="25"/>
  <c r="D66" i="25"/>
  <c r="P65" i="25"/>
  <c r="AH64" i="25"/>
  <c r="AP64" i="25" s="1"/>
  <c r="AS64" i="25" s="1"/>
  <c r="AM64" i="25"/>
  <c r="T846" i="25"/>
  <c r="E67" i="25"/>
  <c r="N66" i="25"/>
  <c r="B692" i="25"/>
  <c r="B539" i="25"/>
  <c r="B384" i="25"/>
  <c r="M378" i="25"/>
  <c r="M379" i="25"/>
  <c r="B224" i="25"/>
  <c r="M224" i="25" s="1"/>
  <c r="Q378" i="25" l="1"/>
  <c r="R378" i="25"/>
  <c r="S378" i="25"/>
  <c r="Q224" i="25"/>
  <c r="R224" i="25"/>
  <c r="S224" i="25"/>
  <c r="S689" i="25"/>
  <c r="Q689" i="25"/>
  <c r="R689" i="25"/>
  <c r="S379" i="25"/>
  <c r="Q379" i="25"/>
  <c r="R379" i="25"/>
  <c r="AL223" i="25"/>
  <c r="AM223" i="25"/>
  <c r="N224" i="25"/>
  <c r="V224" i="25"/>
  <c r="O224" i="25"/>
  <c r="Y224" i="25"/>
  <c r="AC224" i="25" s="1"/>
  <c r="P224" i="25"/>
  <c r="U224" i="25"/>
  <c r="T224" i="25"/>
  <c r="X224" i="25"/>
  <c r="AA224" i="25" s="1"/>
  <c r="W224" i="25"/>
  <c r="Z224" i="25" s="1"/>
  <c r="AB224" i="25" s="1"/>
  <c r="AD224" i="25" s="1"/>
  <c r="AE224" i="25" s="1"/>
  <c r="AP224" i="25"/>
  <c r="AS224" i="25" s="1"/>
  <c r="AN224" i="25"/>
  <c r="AQ224" i="25" s="1"/>
  <c r="AK223" i="25"/>
  <c r="AN223" i="25" s="1"/>
  <c r="AQ223" i="25" s="1"/>
  <c r="AJ223" i="25"/>
  <c r="AH223" i="25"/>
  <c r="AP223" i="25" s="1"/>
  <c r="AS223" i="25" s="1"/>
  <c r="AI223" i="25"/>
  <c r="V846" i="25"/>
  <c r="AA846" i="25" s="1"/>
  <c r="AB846" i="25" s="1"/>
  <c r="AC846" i="25" s="1"/>
  <c r="AD846" i="25" s="1"/>
  <c r="O846" i="25"/>
  <c r="N848" i="25"/>
  <c r="Q848" i="25"/>
  <c r="Z848" i="25" s="1"/>
  <c r="AP532" i="25"/>
  <c r="AS532" i="25" s="1"/>
  <c r="AN377" i="25"/>
  <c r="AQ377" i="25" s="1"/>
  <c r="AP377" i="25"/>
  <c r="AS377" i="25" s="1"/>
  <c r="X688" i="25"/>
  <c r="AA688" i="25" s="1"/>
  <c r="AO377" i="25"/>
  <c r="AR377" i="25" s="1"/>
  <c r="M535" i="25"/>
  <c r="T379" i="25"/>
  <c r="X379" i="25" s="1"/>
  <c r="AA379" i="25" s="1"/>
  <c r="U379" i="25"/>
  <c r="N379" i="25"/>
  <c r="V379" i="25"/>
  <c r="Y379" i="25"/>
  <c r="AC379" i="25" s="1"/>
  <c r="O379" i="25"/>
  <c r="P379" i="25"/>
  <c r="AK533" i="25"/>
  <c r="AJ533" i="25"/>
  <c r="W533" i="25"/>
  <c r="Z533" i="25" s="1"/>
  <c r="AB533" i="25" s="1"/>
  <c r="AD533" i="25" s="1"/>
  <c r="AE533" i="25" s="1"/>
  <c r="AI533" i="25"/>
  <c r="AH533" i="25"/>
  <c r="AP533" i="25" s="1"/>
  <c r="AS533" i="25" s="1"/>
  <c r="M534" i="25"/>
  <c r="T378" i="25"/>
  <c r="X378" i="25" s="1"/>
  <c r="AA378" i="25" s="1"/>
  <c r="U378" i="25"/>
  <c r="O378" i="25"/>
  <c r="Y378" i="25"/>
  <c r="P378" i="25"/>
  <c r="AC378" i="25"/>
  <c r="N378" i="25"/>
  <c r="V378" i="25"/>
  <c r="AL533" i="25"/>
  <c r="AM533" i="25"/>
  <c r="H849" i="25"/>
  <c r="I849" i="25"/>
  <c r="R849" i="25" s="1"/>
  <c r="J849" i="25"/>
  <c r="S849" i="25" s="1"/>
  <c r="T689" i="25"/>
  <c r="N689" i="25"/>
  <c r="V689" i="25"/>
  <c r="X689" i="25" s="1"/>
  <c r="AA689" i="25" s="1"/>
  <c r="O689" i="25"/>
  <c r="P689" i="25"/>
  <c r="U689" i="25"/>
  <c r="Y689" i="25"/>
  <c r="AC689" i="25" s="1"/>
  <c r="W688" i="25"/>
  <c r="Z688" i="25" s="1"/>
  <c r="AB688" i="25" s="1"/>
  <c r="AD688" i="25" s="1"/>
  <c r="AE688" i="25" s="1"/>
  <c r="AJ688" i="25"/>
  <c r="AK688" i="25"/>
  <c r="AN688" i="25" s="1"/>
  <c r="AQ688" i="25" s="1"/>
  <c r="AM688" i="25"/>
  <c r="AL688" i="25"/>
  <c r="AI688" i="25"/>
  <c r="AH688" i="25"/>
  <c r="AN64" i="25"/>
  <c r="AQ64" i="25" s="1"/>
  <c r="T847" i="25"/>
  <c r="O847" i="25"/>
  <c r="AI65" i="25"/>
  <c r="AO65" i="25" s="1"/>
  <c r="AR65" i="25" s="1"/>
  <c r="AK65" i="25"/>
  <c r="E68" i="25"/>
  <c r="N67" i="25"/>
  <c r="F67" i="25"/>
  <c r="O66" i="25"/>
  <c r="W846" i="25"/>
  <c r="X846" i="25" s="1"/>
  <c r="D67" i="25"/>
  <c r="P66" i="25"/>
  <c r="C68" i="25"/>
  <c r="Y67" i="25"/>
  <c r="AC67" i="25" s="1"/>
  <c r="AD67" i="25" s="1"/>
  <c r="AE67" i="25" s="1"/>
  <c r="AJ66" i="25"/>
  <c r="AL66" i="25"/>
  <c r="AH65" i="25"/>
  <c r="AP65" i="25" s="1"/>
  <c r="AS65" i="25" s="1"/>
  <c r="AM65" i="25"/>
  <c r="B693" i="25"/>
  <c r="B540" i="25"/>
  <c r="B385" i="25"/>
  <c r="B225" i="25"/>
  <c r="M225" i="25" s="1"/>
  <c r="M380" i="25"/>
  <c r="S380" i="25" l="1"/>
  <c r="R380" i="25"/>
  <c r="Q380" i="25"/>
  <c r="Q535" i="25"/>
  <c r="R535" i="25"/>
  <c r="S535" i="25"/>
  <c r="Q225" i="25"/>
  <c r="S225" i="25"/>
  <c r="R225" i="25"/>
  <c r="R534" i="25"/>
  <c r="Q534" i="25"/>
  <c r="S534" i="25"/>
  <c r="AI224" i="25"/>
  <c r="AO224" i="25" s="1"/>
  <c r="AR224" i="25" s="1"/>
  <c r="AH224" i="25"/>
  <c r="AJ224" i="25"/>
  <c r="AK224" i="25"/>
  <c r="AM224" i="25"/>
  <c r="AL224" i="25"/>
  <c r="T225" i="25"/>
  <c r="U225" i="25"/>
  <c r="P225" i="25"/>
  <c r="V225" i="25"/>
  <c r="N225" i="25"/>
  <c r="AJ225" i="25" s="1"/>
  <c r="Y225" i="25"/>
  <c r="AC225" i="25" s="1"/>
  <c r="O225" i="25"/>
  <c r="W225" i="25"/>
  <c r="Z225" i="25" s="1"/>
  <c r="AB225" i="25" s="1"/>
  <c r="AD225" i="25" s="1"/>
  <c r="AE225" i="25" s="1"/>
  <c r="X225" i="25"/>
  <c r="AA225" i="25" s="1"/>
  <c r="N849" i="25"/>
  <c r="Q849" i="25"/>
  <c r="Z849" i="25" s="1"/>
  <c r="AO533" i="25"/>
  <c r="AR533" i="25" s="1"/>
  <c r="K848" i="25"/>
  <c r="T848" i="25" s="1"/>
  <c r="AP688" i="25"/>
  <c r="AS688" i="25" s="1"/>
  <c r="M848" i="25" s="1"/>
  <c r="AO688" i="25"/>
  <c r="AR688" i="25" s="1"/>
  <c r="L848" i="25" s="1"/>
  <c r="U848" i="25" s="1"/>
  <c r="AN533" i="25"/>
  <c r="AQ533" i="25" s="1"/>
  <c r="M690" i="25"/>
  <c r="P534" i="25"/>
  <c r="U534" i="25"/>
  <c r="N534" i="25"/>
  <c r="O534" i="25"/>
  <c r="T534" i="25"/>
  <c r="X534" i="25" s="1"/>
  <c r="AA534" i="25" s="1"/>
  <c r="V534" i="25"/>
  <c r="Y534" i="25"/>
  <c r="AC534" i="25" s="1"/>
  <c r="M536" i="25"/>
  <c r="T380" i="25"/>
  <c r="U380" i="25"/>
  <c r="O380" i="25"/>
  <c r="P380" i="25"/>
  <c r="Y380" i="25"/>
  <c r="AC380" i="25" s="1"/>
  <c r="N380" i="25"/>
  <c r="V380" i="25"/>
  <c r="X380" i="25" s="1"/>
  <c r="AA380" i="25" s="1"/>
  <c r="AI378" i="25"/>
  <c r="AH378" i="25"/>
  <c r="AM689" i="25"/>
  <c r="AL689" i="25"/>
  <c r="AK379" i="25"/>
  <c r="AJ379" i="25"/>
  <c r="W689" i="25"/>
  <c r="Z689" i="25" s="1"/>
  <c r="AB689" i="25" s="1"/>
  <c r="AD689" i="25" s="1"/>
  <c r="AE689" i="25" s="1"/>
  <c r="AH689" i="25"/>
  <c r="AI689" i="25"/>
  <c r="AL378" i="25"/>
  <c r="AM378" i="25"/>
  <c r="AM379" i="25"/>
  <c r="AL379" i="25"/>
  <c r="W379" i="25"/>
  <c r="Z379" i="25" s="1"/>
  <c r="AB379" i="25" s="1"/>
  <c r="AD379" i="25" s="1"/>
  <c r="AE379" i="25" s="1"/>
  <c r="AI379" i="25"/>
  <c r="AH379" i="25"/>
  <c r="AK689" i="25"/>
  <c r="AN689" i="25" s="1"/>
  <c r="AQ689" i="25" s="1"/>
  <c r="AJ689" i="25"/>
  <c r="W378" i="25"/>
  <c r="Z378" i="25" s="1"/>
  <c r="AB378" i="25" s="1"/>
  <c r="AD378" i="25" s="1"/>
  <c r="AE378" i="25" s="1"/>
  <c r="AK378" i="25"/>
  <c r="AN378" i="25" s="1"/>
  <c r="AQ378" i="25" s="1"/>
  <c r="AJ378" i="25"/>
  <c r="M691" i="25"/>
  <c r="U535" i="25"/>
  <c r="N535" i="25"/>
  <c r="V535" i="25"/>
  <c r="P535" i="25"/>
  <c r="AC535" i="25"/>
  <c r="O535" i="25"/>
  <c r="T535" i="25"/>
  <c r="Y535" i="25"/>
  <c r="F68" i="25"/>
  <c r="O67" i="25"/>
  <c r="AL67" i="25"/>
  <c r="AJ67" i="25"/>
  <c r="AK66" i="25"/>
  <c r="AI66" i="25"/>
  <c r="AO66" i="25" s="1"/>
  <c r="AR66" i="25" s="1"/>
  <c r="AN65" i="25"/>
  <c r="AQ65" i="25" s="1"/>
  <c r="K849" i="25" s="1"/>
  <c r="AA847" i="25"/>
  <c r="AB847" i="25" s="1"/>
  <c r="AC847" i="25" s="1"/>
  <c r="AD847" i="25" s="1"/>
  <c r="W847" i="25"/>
  <c r="X847" i="25" s="1"/>
  <c r="AM66" i="25"/>
  <c r="AH66" i="25"/>
  <c r="AP66" i="25" s="1"/>
  <c r="AS66" i="25" s="1"/>
  <c r="C69" i="25"/>
  <c r="Y68" i="25"/>
  <c r="AC68" i="25" s="1"/>
  <c r="AD68" i="25" s="1"/>
  <c r="AE68" i="25" s="1"/>
  <c r="E69" i="25"/>
  <c r="N68" i="25"/>
  <c r="D68" i="25"/>
  <c r="P67" i="25"/>
  <c r="B694" i="25"/>
  <c r="B541" i="25"/>
  <c r="B386" i="25"/>
  <c r="M381" i="25"/>
  <c r="B226" i="25"/>
  <c r="M226" i="25" s="1"/>
  <c r="Q226" i="25" l="1"/>
  <c r="R226" i="25"/>
  <c r="S226" i="25"/>
  <c r="R536" i="25"/>
  <c r="Q536" i="25"/>
  <c r="S536" i="25"/>
  <c r="Q690" i="25"/>
  <c r="R690" i="25"/>
  <c r="S690" i="25"/>
  <c r="Q691" i="25"/>
  <c r="R691" i="25"/>
  <c r="S691" i="25"/>
  <c r="Q381" i="25"/>
  <c r="S381" i="25"/>
  <c r="R381" i="25"/>
  <c r="AK225" i="25"/>
  <c r="AI225" i="25"/>
  <c r="AO225" i="25" s="1"/>
  <c r="AR225" i="25" s="1"/>
  <c r="AH225" i="25"/>
  <c r="AP225" i="25" s="1"/>
  <c r="AS225" i="25" s="1"/>
  <c r="P226" i="25"/>
  <c r="V226" i="25"/>
  <c r="U226" i="25"/>
  <c r="T226" i="25"/>
  <c r="N226" i="25"/>
  <c r="O226" i="25"/>
  <c r="Y226" i="25"/>
  <c r="AC226" i="25" s="1"/>
  <c r="X226" i="25"/>
  <c r="AA226" i="25" s="1"/>
  <c r="AB226" i="25" s="1"/>
  <c r="AD226" i="25" s="1"/>
  <c r="AE226" i="25" s="1"/>
  <c r="AP226" i="25"/>
  <c r="AS226" i="25" s="1"/>
  <c r="AN226" i="25"/>
  <c r="AQ226" i="25" s="1"/>
  <c r="AL225" i="25"/>
  <c r="AM225" i="25"/>
  <c r="AN225" i="25" s="1"/>
  <c r="AQ225" i="25" s="1"/>
  <c r="V848" i="25"/>
  <c r="AA848" i="25" s="1"/>
  <c r="AB848" i="25" s="1"/>
  <c r="AC848" i="25" s="1"/>
  <c r="AD848" i="25" s="1"/>
  <c r="O848" i="25"/>
  <c r="AN379" i="25"/>
  <c r="AQ379" i="25" s="1"/>
  <c r="W534" i="25"/>
  <c r="Z534" i="25" s="1"/>
  <c r="AB534" i="25" s="1"/>
  <c r="AD534" i="25" s="1"/>
  <c r="AE534" i="25" s="1"/>
  <c r="AP378" i="25"/>
  <c r="AS378" i="25" s="1"/>
  <c r="AO689" i="25"/>
  <c r="AR689" i="25" s="1"/>
  <c r="L849" i="25" s="1"/>
  <c r="U849" i="25" s="1"/>
  <c r="AO378" i="25"/>
  <c r="AR378" i="25" s="1"/>
  <c r="X535" i="25"/>
  <c r="AA535" i="25" s="1"/>
  <c r="AP379" i="25"/>
  <c r="AS379" i="25" s="1"/>
  <c r="AP689" i="25"/>
  <c r="AS689" i="25" s="1"/>
  <c r="M849" i="25" s="1"/>
  <c r="V849" i="25" s="1"/>
  <c r="AO379" i="25"/>
  <c r="AR379" i="25" s="1"/>
  <c r="M537" i="25"/>
  <c r="T381" i="25"/>
  <c r="U381" i="25"/>
  <c r="N381" i="25"/>
  <c r="V381" i="25"/>
  <c r="P381" i="25"/>
  <c r="W381" i="25"/>
  <c r="Z381" i="25" s="1"/>
  <c r="Y381" i="25"/>
  <c r="AC381" i="25" s="1"/>
  <c r="O381" i="25"/>
  <c r="X381" i="25"/>
  <c r="AA381" i="25" s="1"/>
  <c r="AH535" i="25"/>
  <c r="AI535" i="25"/>
  <c r="I851" i="25"/>
  <c r="R851" i="25" s="1"/>
  <c r="J851" i="25"/>
  <c r="S851" i="25" s="1"/>
  <c r="T691" i="25"/>
  <c r="U691" i="25"/>
  <c r="O691" i="25"/>
  <c r="Y691" i="25"/>
  <c r="AC691" i="25"/>
  <c r="N691" i="25"/>
  <c r="P691" i="25"/>
  <c r="H851" i="25"/>
  <c r="V691" i="25"/>
  <c r="AM534" i="25"/>
  <c r="AL534" i="25"/>
  <c r="AM380" i="25"/>
  <c r="AL380" i="25"/>
  <c r="AK380" i="25"/>
  <c r="AJ380" i="25"/>
  <c r="AK534" i="25"/>
  <c r="AJ534" i="25"/>
  <c r="P536" i="25"/>
  <c r="U536" i="25"/>
  <c r="T536" i="25"/>
  <c r="V536" i="25"/>
  <c r="Y536" i="25"/>
  <c r="AC536" i="25" s="1"/>
  <c r="N536" i="25"/>
  <c r="O536" i="25"/>
  <c r="M692" i="25"/>
  <c r="W380" i="25"/>
  <c r="Z380" i="25" s="1"/>
  <c r="AB380" i="25" s="1"/>
  <c r="AD380" i="25" s="1"/>
  <c r="AE380" i="25" s="1"/>
  <c r="AH380" i="25"/>
  <c r="AP380" i="25" s="1"/>
  <c r="AS380" i="25" s="1"/>
  <c r="AI380" i="25"/>
  <c r="AO380" i="25" s="1"/>
  <c r="AR380" i="25" s="1"/>
  <c r="AH534" i="25"/>
  <c r="AP534" i="25" s="1"/>
  <c r="AS534" i="25" s="1"/>
  <c r="AI534" i="25"/>
  <c r="W535" i="25"/>
  <c r="Z535" i="25" s="1"/>
  <c r="AB535" i="25" s="1"/>
  <c r="AD535" i="25" s="1"/>
  <c r="AE535" i="25" s="1"/>
  <c r="AJ535" i="25"/>
  <c r="AK535" i="25"/>
  <c r="AM535" i="25"/>
  <c r="AL535" i="25"/>
  <c r="O690" i="25"/>
  <c r="P690" i="25"/>
  <c r="W690" i="25"/>
  <c r="Z690" i="25" s="1"/>
  <c r="AB690" i="25" s="1"/>
  <c r="AD690" i="25" s="1"/>
  <c r="AE690" i="25" s="1"/>
  <c r="Y690" i="25"/>
  <c r="I850" i="25"/>
  <c r="R850" i="25" s="1"/>
  <c r="AC690" i="25"/>
  <c r="T690" i="25"/>
  <c r="X690" i="25" s="1"/>
  <c r="AA690" i="25" s="1"/>
  <c r="N690" i="25"/>
  <c r="J850" i="25"/>
  <c r="S850" i="25" s="1"/>
  <c r="U690" i="25"/>
  <c r="V690" i="25"/>
  <c r="AM67" i="25"/>
  <c r="AH67" i="25"/>
  <c r="AP67" i="25" s="1"/>
  <c r="AS67" i="25" s="1"/>
  <c r="T849" i="25"/>
  <c r="AI67" i="25"/>
  <c r="AO67" i="25" s="1"/>
  <c r="AR67" i="25" s="1"/>
  <c r="AK67" i="25"/>
  <c r="F69" i="25"/>
  <c r="O68" i="25"/>
  <c r="D69" i="25"/>
  <c r="P68" i="25"/>
  <c r="AN66" i="25"/>
  <c r="AQ66" i="25" s="1"/>
  <c r="AL68" i="25"/>
  <c r="AJ68" i="25"/>
  <c r="E70" i="25"/>
  <c r="N69" i="25"/>
  <c r="C70" i="25"/>
  <c r="Y69" i="25"/>
  <c r="AC69" i="25" s="1"/>
  <c r="AD69" i="25" s="1"/>
  <c r="AE69" i="25" s="1"/>
  <c r="B695" i="25"/>
  <c r="B542" i="25"/>
  <c r="B387" i="25"/>
  <c r="M382" i="25"/>
  <c r="B227" i="25"/>
  <c r="M227" i="25" s="1"/>
  <c r="R692" i="25" l="1"/>
  <c r="S692" i="25"/>
  <c r="Q692" i="25"/>
  <c r="Q227" i="25"/>
  <c r="R227" i="25"/>
  <c r="S227" i="25"/>
  <c r="S537" i="25"/>
  <c r="Q537" i="25"/>
  <c r="R537" i="25"/>
  <c r="R382" i="25"/>
  <c r="Q382" i="25"/>
  <c r="S382" i="25"/>
  <c r="W226" i="25"/>
  <c r="Z226" i="25" s="1"/>
  <c r="AM226" i="25"/>
  <c r="AL226" i="25"/>
  <c r="W227" i="25"/>
  <c r="Z227" i="25" s="1"/>
  <c r="V227" i="25"/>
  <c r="P227" i="25"/>
  <c r="U227" i="25"/>
  <c r="N227" i="25"/>
  <c r="O227" i="25"/>
  <c r="Y227" i="25"/>
  <c r="T227" i="25"/>
  <c r="AC227" i="25"/>
  <c r="X227" i="25"/>
  <c r="AA227" i="25" s="1"/>
  <c r="AB227" i="25" s="1"/>
  <c r="AD227" i="25" s="1"/>
  <c r="AE227" i="25" s="1"/>
  <c r="AN227" i="25"/>
  <c r="AQ227" i="25" s="1"/>
  <c r="AJ226" i="25"/>
  <c r="AK226" i="25"/>
  <c r="AI226" i="25"/>
  <c r="AO226" i="25" s="1"/>
  <c r="AR226" i="25" s="1"/>
  <c r="AH226" i="25"/>
  <c r="O849" i="25"/>
  <c r="W848" i="25"/>
  <c r="X848" i="25" s="1"/>
  <c r="Q851" i="25"/>
  <c r="Z851" i="25" s="1"/>
  <c r="N851" i="25"/>
  <c r="AO535" i="25"/>
  <c r="AR535" i="25" s="1"/>
  <c r="AP535" i="25"/>
  <c r="AS535" i="25" s="1"/>
  <c r="H850" i="25"/>
  <c r="AN535" i="25"/>
  <c r="AQ535" i="25" s="1"/>
  <c r="AB381" i="25"/>
  <c r="AD381" i="25" s="1"/>
  <c r="AE381" i="25" s="1"/>
  <c r="AN534" i="25"/>
  <c r="AQ534" i="25" s="1"/>
  <c r="X536" i="25"/>
  <c r="AA536" i="25" s="1"/>
  <c r="AO534" i="25"/>
  <c r="AR534" i="25" s="1"/>
  <c r="L850" i="25" s="1"/>
  <c r="U850" i="25" s="1"/>
  <c r="AN380" i="25"/>
  <c r="AQ380" i="25" s="1"/>
  <c r="X691" i="25"/>
  <c r="AA691" i="25" s="1"/>
  <c r="O692" i="25"/>
  <c r="Y692" i="25"/>
  <c r="AC692" i="25" s="1"/>
  <c r="P692" i="25"/>
  <c r="H852" i="25"/>
  <c r="I852" i="25"/>
  <c r="R852" i="25" s="1"/>
  <c r="T692" i="25"/>
  <c r="X692" i="25" s="1"/>
  <c r="AA692" i="25" s="1"/>
  <c r="N692" i="25"/>
  <c r="J852" i="25"/>
  <c r="S852" i="25" s="1"/>
  <c r="U692" i="25"/>
  <c r="V692" i="25"/>
  <c r="AI690" i="25"/>
  <c r="AO690" i="25" s="1"/>
  <c r="AR690" i="25" s="1"/>
  <c r="AH690" i="25"/>
  <c r="AM690" i="25"/>
  <c r="AL690" i="25"/>
  <c r="AL536" i="25"/>
  <c r="AM536" i="25"/>
  <c r="W691" i="25"/>
  <c r="Z691" i="25" s="1"/>
  <c r="AB691" i="25" s="1"/>
  <c r="AD691" i="25" s="1"/>
  <c r="AE691" i="25" s="1"/>
  <c r="AH691" i="25"/>
  <c r="AI691" i="25"/>
  <c r="AL691" i="25"/>
  <c r="AM691" i="25"/>
  <c r="AJ536" i="25"/>
  <c r="AK536" i="25"/>
  <c r="AN536" i="25" s="1"/>
  <c r="AQ536" i="25" s="1"/>
  <c r="AK691" i="25"/>
  <c r="AJ691" i="25"/>
  <c r="AJ381" i="25"/>
  <c r="AK381" i="25"/>
  <c r="M538" i="25"/>
  <c r="N382" i="25"/>
  <c r="V382" i="25"/>
  <c r="O382" i="25"/>
  <c r="Y382" i="25"/>
  <c r="AC382" i="25"/>
  <c r="P382" i="25"/>
  <c r="T382" i="25"/>
  <c r="U382" i="25"/>
  <c r="W536" i="25"/>
  <c r="Z536" i="25" s="1"/>
  <c r="AB536" i="25" s="1"/>
  <c r="AD536" i="25" s="1"/>
  <c r="AE536" i="25" s="1"/>
  <c r="AI536" i="25"/>
  <c r="AO536" i="25" s="1"/>
  <c r="AR536" i="25" s="1"/>
  <c r="AH536" i="25"/>
  <c r="AP536" i="25" s="1"/>
  <c r="AS536" i="25" s="1"/>
  <c r="AI381" i="25"/>
  <c r="AH381" i="25"/>
  <c r="AP381" i="25" s="1"/>
  <c r="AS381" i="25" s="1"/>
  <c r="AJ690" i="25"/>
  <c r="AK690" i="25"/>
  <c r="AN690" i="25" s="1"/>
  <c r="AQ690" i="25" s="1"/>
  <c r="K850" i="25" s="1"/>
  <c r="AM381" i="25"/>
  <c r="AL381" i="25"/>
  <c r="M693" i="25"/>
  <c r="U537" i="25"/>
  <c r="O537" i="25"/>
  <c r="P537" i="25"/>
  <c r="Y537" i="25"/>
  <c r="AC537" i="25" s="1"/>
  <c r="N537" i="25"/>
  <c r="T537" i="25"/>
  <c r="X537" i="25" s="1"/>
  <c r="AA537" i="25" s="1"/>
  <c r="V537" i="25"/>
  <c r="AJ69" i="25"/>
  <c r="AL69" i="25"/>
  <c r="D70" i="25"/>
  <c r="P69" i="25"/>
  <c r="E71" i="25"/>
  <c r="N70" i="25"/>
  <c r="AH68" i="25"/>
  <c r="AP68" i="25" s="1"/>
  <c r="AS68" i="25" s="1"/>
  <c r="AM68" i="25"/>
  <c r="F70" i="25"/>
  <c r="O69" i="25"/>
  <c r="AN67" i="25"/>
  <c r="AQ67" i="25" s="1"/>
  <c r="AI68" i="25"/>
  <c r="AO68" i="25" s="1"/>
  <c r="AR68" i="25" s="1"/>
  <c r="AK68" i="25"/>
  <c r="AA849" i="25"/>
  <c r="AB849" i="25" s="1"/>
  <c r="AC849" i="25" s="1"/>
  <c r="AD849" i="25" s="1"/>
  <c r="W849" i="25"/>
  <c r="X849" i="25" s="1"/>
  <c r="C71" i="25"/>
  <c r="Y70" i="25"/>
  <c r="AC70" i="25" s="1"/>
  <c r="AD70" i="25" s="1"/>
  <c r="AE70" i="25" s="1"/>
  <c r="B696" i="25"/>
  <c r="B543" i="25"/>
  <c r="B388" i="25"/>
  <c r="M383" i="25"/>
  <c r="B228" i="25"/>
  <c r="M228" i="25" s="1"/>
  <c r="AH227" i="25" l="1"/>
  <c r="Q228" i="25"/>
  <c r="R228" i="25"/>
  <c r="S228" i="25"/>
  <c r="S383" i="25"/>
  <c r="Q383" i="25"/>
  <c r="R383" i="25"/>
  <c r="Q693" i="25"/>
  <c r="R693" i="25"/>
  <c r="S693" i="25"/>
  <c r="S538" i="25"/>
  <c r="Q538" i="25"/>
  <c r="R538" i="25"/>
  <c r="AI227" i="25"/>
  <c r="AL227" i="25"/>
  <c r="AO227" i="25" s="1"/>
  <c r="AR227" i="25" s="1"/>
  <c r="AM227" i="25"/>
  <c r="AK227" i="25"/>
  <c r="AJ227" i="25"/>
  <c r="AP227" i="25" s="1"/>
  <c r="AS227" i="25" s="1"/>
  <c r="V228" i="25"/>
  <c r="AC228" i="25"/>
  <c r="P228" i="25"/>
  <c r="T228" i="25"/>
  <c r="X228" i="25" s="1"/>
  <c r="AA228" i="25" s="1"/>
  <c r="N228" i="25"/>
  <c r="O228" i="25"/>
  <c r="U228" i="25"/>
  <c r="W228" i="25"/>
  <c r="Z228" i="25" s="1"/>
  <c r="AB228" i="25" s="1"/>
  <c r="AD228" i="25" s="1"/>
  <c r="AE228" i="25" s="1"/>
  <c r="Y228" i="25"/>
  <c r="AO228" i="25"/>
  <c r="AR228" i="25" s="1"/>
  <c r="AP228" i="25"/>
  <c r="AS228" i="25" s="1"/>
  <c r="Q852" i="25"/>
  <c r="Z852" i="25" s="1"/>
  <c r="N852" i="25"/>
  <c r="T850" i="25"/>
  <c r="AP690" i="25"/>
  <c r="AS690" i="25" s="1"/>
  <c r="M850" i="25" s="1"/>
  <c r="V850" i="25" s="1"/>
  <c r="AN381" i="25"/>
  <c r="AQ381" i="25" s="1"/>
  <c r="AO691" i="25"/>
  <c r="AR691" i="25" s="1"/>
  <c r="L851" i="25" s="1"/>
  <c r="U851" i="25" s="1"/>
  <c r="AP691" i="25"/>
  <c r="AS691" i="25" s="1"/>
  <c r="M851" i="25" s="1"/>
  <c r="V851" i="25" s="1"/>
  <c r="W692" i="25"/>
  <c r="Z692" i="25" s="1"/>
  <c r="AB692" i="25" s="1"/>
  <c r="AD692" i="25" s="1"/>
  <c r="AE692" i="25" s="1"/>
  <c r="Q850" i="25"/>
  <c r="Z850" i="25" s="1"/>
  <c r="N850" i="25"/>
  <c r="AN691" i="25"/>
  <c r="AQ691" i="25" s="1"/>
  <c r="K851" i="25" s="1"/>
  <c r="AN68" i="25"/>
  <c r="AQ68" i="25" s="1"/>
  <c r="AO381" i="25"/>
  <c r="AR381" i="25" s="1"/>
  <c r="X382" i="25"/>
  <c r="AA382" i="25" s="1"/>
  <c r="W537" i="25"/>
  <c r="Z537" i="25" s="1"/>
  <c r="AB537" i="25" s="1"/>
  <c r="AD537" i="25" s="1"/>
  <c r="AE537" i="25" s="1"/>
  <c r="AI537" i="25"/>
  <c r="AH537" i="25"/>
  <c r="U693" i="25"/>
  <c r="N693" i="25"/>
  <c r="V693" i="25"/>
  <c r="O693" i="25"/>
  <c r="Y693" i="25"/>
  <c r="AC693" i="25" s="1"/>
  <c r="P693" i="25"/>
  <c r="I853" i="25"/>
  <c r="R853" i="25" s="1"/>
  <c r="H853" i="25"/>
  <c r="J853" i="25"/>
  <c r="S853" i="25" s="1"/>
  <c r="T693" i="25"/>
  <c r="AL382" i="25"/>
  <c r="AM382" i="25"/>
  <c r="T538" i="25"/>
  <c r="U538" i="25"/>
  <c r="O538" i="25"/>
  <c r="W538" i="25"/>
  <c r="Z538" i="25" s="1"/>
  <c r="AB538" i="25" s="1"/>
  <c r="N538" i="25"/>
  <c r="P538" i="25"/>
  <c r="V538" i="25"/>
  <c r="X538" i="25"/>
  <c r="AA538" i="25" s="1"/>
  <c r="Y538" i="25"/>
  <c r="AC538" i="25" s="1"/>
  <c r="M694" i="25"/>
  <c r="AM692" i="25"/>
  <c r="AL692" i="25"/>
  <c r="W382" i="25"/>
  <c r="Z382" i="25" s="1"/>
  <c r="AB382" i="25" s="1"/>
  <c r="AD382" i="25" s="1"/>
  <c r="AE382" i="25" s="1"/>
  <c r="AK382" i="25"/>
  <c r="AN382" i="25" s="1"/>
  <c r="AQ382" i="25" s="1"/>
  <c r="AJ382" i="25"/>
  <c r="AP382" i="25" s="1"/>
  <c r="AS382" i="25" s="1"/>
  <c r="AI382" i="25"/>
  <c r="AO382" i="25" s="1"/>
  <c r="AR382" i="25" s="1"/>
  <c r="AH382" i="25"/>
  <c r="AJ692" i="25"/>
  <c r="AK692" i="25"/>
  <c r="AN692" i="25" s="1"/>
  <c r="AQ692" i="25" s="1"/>
  <c r="M539" i="25"/>
  <c r="U383" i="25"/>
  <c r="N383" i="25"/>
  <c r="V383" i="25"/>
  <c r="O383" i="25"/>
  <c r="P383" i="25"/>
  <c r="T383" i="25"/>
  <c r="X383" i="25" s="1"/>
  <c r="AA383" i="25" s="1"/>
  <c r="Y383" i="25"/>
  <c r="AC383" i="25" s="1"/>
  <c r="AI692" i="25"/>
  <c r="AO692" i="25" s="1"/>
  <c r="AR692" i="25" s="1"/>
  <c r="L852" i="25" s="1"/>
  <c r="U852" i="25" s="1"/>
  <c r="AH692" i="25"/>
  <c r="AP692" i="25" s="1"/>
  <c r="AS692" i="25" s="1"/>
  <c r="M852" i="25" s="1"/>
  <c r="V852" i="25" s="1"/>
  <c r="AK537" i="25"/>
  <c r="AN537" i="25" s="1"/>
  <c r="AQ537" i="25" s="1"/>
  <c r="AJ537" i="25"/>
  <c r="AL537" i="25"/>
  <c r="AM537" i="25"/>
  <c r="AH69" i="25"/>
  <c r="AP69" i="25" s="1"/>
  <c r="AS69" i="25" s="1"/>
  <c r="AM69" i="25"/>
  <c r="F71" i="25"/>
  <c r="O70" i="25"/>
  <c r="C72" i="25"/>
  <c r="Y71" i="25"/>
  <c r="AC71" i="25" s="1"/>
  <c r="AD71" i="25" s="1"/>
  <c r="AE71" i="25" s="1"/>
  <c r="AJ70" i="25"/>
  <c r="AL70" i="25"/>
  <c r="AI69" i="25"/>
  <c r="AO69" i="25" s="1"/>
  <c r="AR69" i="25" s="1"/>
  <c r="AK69" i="25"/>
  <c r="AA850" i="25"/>
  <c r="AB850" i="25" s="1"/>
  <c r="AC850" i="25" s="1"/>
  <c r="AD850" i="25" s="1"/>
  <c r="E72" i="25"/>
  <c r="N71" i="25"/>
  <c r="D71" i="25"/>
  <c r="P70" i="25"/>
  <c r="B697" i="25"/>
  <c r="B544" i="25"/>
  <c r="B389" i="25"/>
  <c r="M384" i="25"/>
  <c r="B229" i="25"/>
  <c r="M229" i="25" s="1"/>
  <c r="Q539" i="25" l="1"/>
  <c r="R539" i="25"/>
  <c r="S539" i="25"/>
  <c r="R384" i="25"/>
  <c r="Q384" i="25"/>
  <c r="S384" i="25"/>
  <c r="Q694" i="25"/>
  <c r="R694" i="25"/>
  <c r="S694" i="25"/>
  <c r="S229" i="25"/>
  <c r="Q229" i="25"/>
  <c r="R229" i="25"/>
  <c r="AH228" i="25"/>
  <c r="AI228" i="25"/>
  <c r="O229" i="25"/>
  <c r="P229" i="25"/>
  <c r="AK229" i="25" s="1"/>
  <c r="T229" i="25"/>
  <c r="AN229" i="25"/>
  <c r="AQ229" i="25" s="1"/>
  <c r="N229" i="25"/>
  <c r="V229" i="25"/>
  <c r="Y229" i="25"/>
  <c r="AC229" i="25" s="1"/>
  <c r="W229" i="25"/>
  <c r="Z229" i="25" s="1"/>
  <c r="U229" i="25"/>
  <c r="AB229" i="25"/>
  <c r="AD229" i="25" s="1"/>
  <c r="AE229" i="25" s="1"/>
  <c r="X229" i="25"/>
  <c r="AA229" i="25" s="1"/>
  <c r="AL228" i="25"/>
  <c r="AM228" i="25"/>
  <c r="AJ228" i="25"/>
  <c r="AK228" i="25"/>
  <c r="AN228" i="25" s="1"/>
  <c r="AQ228" i="25" s="1"/>
  <c r="W850" i="25"/>
  <c r="X850" i="25" s="1"/>
  <c r="O850" i="25"/>
  <c r="T851" i="25"/>
  <c r="AA851" i="25" s="1"/>
  <c r="AB851" i="25" s="1"/>
  <c r="AC851" i="25" s="1"/>
  <c r="AD851" i="25" s="1"/>
  <c r="O851" i="25"/>
  <c r="N853" i="25"/>
  <c r="Q853" i="25"/>
  <c r="Z853" i="25" s="1"/>
  <c r="AD538" i="25"/>
  <c r="AE538" i="25" s="1"/>
  <c r="X693" i="25"/>
  <c r="AA693" i="25" s="1"/>
  <c r="K852" i="25"/>
  <c r="AP537" i="25"/>
  <c r="AS537" i="25" s="1"/>
  <c r="W383" i="25"/>
  <c r="Z383" i="25" s="1"/>
  <c r="AB383" i="25" s="1"/>
  <c r="AD383" i="25" s="1"/>
  <c r="AE383" i="25" s="1"/>
  <c r="AO537" i="25"/>
  <c r="AR537" i="25" s="1"/>
  <c r="AM383" i="25"/>
  <c r="AL383" i="25"/>
  <c r="AI383" i="25"/>
  <c r="AH383" i="25"/>
  <c r="AK383" i="25"/>
  <c r="AN383" i="25" s="1"/>
  <c r="AQ383" i="25" s="1"/>
  <c r="AJ383" i="25"/>
  <c r="M695" i="25"/>
  <c r="U539" i="25"/>
  <c r="O539" i="25"/>
  <c r="Y539" i="25"/>
  <c r="AC539" i="25" s="1"/>
  <c r="P539" i="25"/>
  <c r="T539" i="25"/>
  <c r="V539" i="25"/>
  <c r="X539" i="25" s="1"/>
  <c r="AA539" i="25" s="1"/>
  <c r="N539" i="25"/>
  <c r="AM693" i="25"/>
  <c r="AL693" i="25"/>
  <c r="AM538" i="25"/>
  <c r="AL538" i="25"/>
  <c r="W693" i="25"/>
  <c r="Z693" i="25" s="1"/>
  <c r="AB693" i="25" s="1"/>
  <c r="AD693" i="25" s="1"/>
  <c r="AE693" i="25" s="1"/>
  <c r="AH693" i="25"/>
  <c r="AI693" i="25"/>
  <c r="AO693" i="25" s="1"/>
  <c r="AR693" i="25" s="1"/>
  <c r="L853" i="25" s="1"/>
  <c r="U853" i="25" s="1"/>
  <c r="J854" i="25"/>
  <c r="S854" i="25" s="1"/>
  <c r="T694" i="25"/>
  <c r="X694" i="25" s="1"/>
  <c r="AA694" i="25" s="1"/>
  <c r="U694" i="25"/>
  <c r="N694" i="25"/>
  <c r="V694" i="25"/>
  <c r="P694" i="25"/>
  <c r="O694" i="25"/>
  <c r="W694" i="25"/>
  <c r="Z694" i="25" s="1"/>
  <c r="I854" i="25"/>
  <c r="R854" i="25" s="1"/>
  <c r="Y694" i="25"/>
  <c r="AC694" i="25"/>
  <c r="AH538" i="25"/>
  <c r="AI538" i="25"/>
  <c r="AK538" i="25"/>
  <c r="AJ538" i="25"/>
  <c r="AK693" i="25"/>
  <c r="AN693" i="25" s="1"/>
  <c r="AQ693" i="25" s="1"/>
  <c r="AJ693" i="25"/>
  <c r="M540" i="25"/>
  <c r="N384" i="25"/>
  <c r="V384" i="25"/>
  <c r="O384" i="25"/>
  <c r="Y384" i="25"/>
  <c r="AC384" i="25" s="1"/>
  <c r="P384" i="25"/>
  <c r="T384" i="25"/>
  <c r="X384" i="25" s="1"/>
  <c r="AA384" i="25" s="1"/>
  <c r="U384" i="25"/>
  <c r="AL71" i="25"/>
  <c r="AJ71" i="25"/>
  <c r="C73" i="25"/>
  <c r="Y72" i="25"/>
  <c r="AC72" i="25" s="1"/>
  <c r="AD72" i="25" s="1"/>
  <c r="AE72" i="25" s="1"/>
  <c r="E73" i="25"/>
  <c r="N72" i="25"/>
  <c r="AK70" i="25"/>
  <c r="AI70" i="25"/>
  <c r="AO70" i="25" s="1"/>
  <c r="AR70" i="25" s="1"/>
  <c r="AM70" i="25"/>
  <c r="AH70" i="25"/>
  <c r="AP70" i="25" s="1"/>
  <c r="AS70" i="25" s="1"/>
  <c r="AN69" i="25"/>
  <c r="AQ69" i="25" s="1"/>
  <c r="K853" i="25" s="1"/>
  <c r="D72" i="25"/>
  <c r="P71" i="25"/>
  <c r="F72" i="25"/>
  <c r="O71" i="25"/>
  <c r="B698" i="25"/>
  <c r="B545" i="25"/>
  <c r="B390" i="25"/>
  <c r="M385" i="25"/>
  <c r="B230" i="25"/>
  <c r="M230" i="25" s="1"/>
  <c r="Q695" i="25" l="1"/>
  <c r="R695" i="25"/>
  <c r="S695" i="25"/>
  <c r="AJ229" i="25"/>
  <c r="Q230" i="25"/>
  <c r="R230" i="25"/>
  <c r="S230" i="25"/>
  <c r="Q385" i="25"/>
  <c r="R385" i="25"/>
  <c r="S385" i="25"/>
  <c r="R540" i="25"/>
  <c r="Q540" i="25"/>
  <c r="S540" i="25"/>
  <c r="AI229" i="25"/>
  <c r="AO229" i="25" s="1"/>
  <c r="AR229" i="25" s="1"/>
  <c r="AH229" i="25"/>
  <c r="AP229" i="25" s="1"/>
  <c r="AS229" i="25" s="1"/>
  <c r="AM229" i="25"/>
  <c r="AL229" i="25"/>
  <c r="Y230" i="25"/>
  <c r="AC230" i="25" s="1"/>
  <c r="N230" i="25"/>
  <c r="V230" i="25"/>
  <c r="O230" i="25"/>
  <c r="T230" i="25"/>
  <c r="X230" i="25"/>
  <c r="AA230" i="25" s="1"/>
  <c r="P230" i="25"/>
  <c r="U230" i="25"/>
  <c r="AN230" i="25"/>
  <c r="AQ230" i="25" s="1"/>
  <c r="AO230" i="25"/>
  <c r="AR230" i="25" s="1"/>
  <c r="W851" i="25"/>
  <c r="X851" i="25" s="1"/>
  <c r="AB694" i="25"/>
  <c r="AD694" i="25" s="1"/>
  <c r="AE694" i="25" s="1"/>
  <c r="I855" i="25"/>
  <c r="AP538" i="25"/>
  <c r="AS538" i="25" s="1"/>
  <c r="AP693" i="25"/>
  <c r="AS693" i="25" s="1"/>
  <c r="M853" i="25" s="1"/>
  <c r="V853" i="25" s="1"/>
  <c r="AP383" i="25"/>
  <c r="AS383" i="25" s="1"/>
  <c r="AO383" i="25"/>
  <c r="AR383" i="25" s="1"/>
  <c r="T852" i="25"/>
  <c r="O852" i="25"/>
  <c r="H854" i="25"/>
  <c r="AN538" i="25"/>
  <c r="AQ538" i="25" s="1"/>
  <c r="AO538" i="25"/>
  <c r="AR538" i="25" s="1"/>
  <c r="L854" i="25" s="1"/>
  <c r="U854" i="25" s="1"/>
  <c r="AJ694" i="25"/>
  <c r="AK694" i="25"/>
  <c r="AN694" i="25" s="1"/>
  <c r="AQ694" i="25" s="1"/>
  <c r="AM539" i="25"/>
  <c r="AL539" i="25"/>
  <c r="N695" i="25"/>
  <c r="V695" i="25"/>
  <c r="O695" i="25"/>
  <c r="Y695" i="25"/>
  <c r="P695" i="25"/>
  <c r="AC695" i="25"/>
  <c r="H855" i="25"/>
  <c r="Q855" i="25" s="1"/>
  <c r="J855" i="25"/>
  <c r="S855" i="25" s="1"/>
  <c r="U695" i="25"/>
  <c r="T695" i="25"/>
  <c r="X695" i="25"/>
  <c r="AA695" i="25" s="1"/>
  <c r="AI694" i="25"/>
  <c r="AO694" i="25" s="1"/>
  <c r="AR694" i="25" s="1"/>
  <c r="AH694" i="25"/>
  <c r="AM694" i="25"/>
  <c r="AL694" i="25"/>
  <c r="W539" i="25"/>
  <c r="Z539" i="25" s="1"/>
  <c r="AB539" i="25" s="1"/>
  <c r="AD539" i="25" s="1"/>
  <c r="AE539" i="25" s="1"/>
  <c r="AH539" i="25"/>
  <c r="AI539" i="25"/>
  <c r="AO539" i="25" s="1"/>
  <c r="AR539" i="25" s="1"/>
  <c r="AJ539" i="25"/>
  <c r="AK539" i="25"/>
  <c r="AN539" i="25" s="1"/>
  <c r="AQ539" i="25" s="1"/>
  <c r="M696" i="25"/>
  <c r="T540" i="25"/>
  <c r="U540" i="25"/>
  <c r="O540" i="25"/>
  <c r="Y540" i="25"/>
  <c r="AC540" i="25" s="1"/>
  <c r="V540" i="25"/>
  <c r="N540" i="25"/>
  <c r="P540" i="25"/>
  <c r="AM384" i="25"/>
  <c r="AL384" i="25"/>
  <c r="M541" i="25"/>
  <c r="T385" i="25"/>
  <c r="N385" i="25"/>
  <c r="V385" i="25"/>
  <c r="O385" i="25"/>
  <c r="P385" i="25"/>
  <c r="Y385" i="25"/>
  <c r="AC385" i="25" s="1"/>
  <c r="U385" i="25"/>
  <c r="AK384" i="25"/>
  <c r="AN384" i="25" s="1"/>
  <c r="AQ384" i="25" s="1"/>
  <c r="AJ384" i="25"/>
  <c r="W384" i="25"/>
  <c r="Z384" i="25" s="1"/>
  <c r="AB384" i="25" s="1"/>
  <c r="AD384" i="25" s="1"/>
  <c r="AE384" i="25" s="1"/>
  <c r="AH384" i="25"/>
  <c r="AI384" i="25"/>
  <c r="AO384" i="25" s="1"/>
  <c r="AR384" i="25" s="1"/>
  <c r="AM71" i="25"/>
  <c r="AH71" i="25"/>
  <c r="AP71" i="25" s="1"/>
  <c r="AS71" i="25" s="1"/>
  <c r="F73" i="25"/>
  <c r="O72" i="25"/>
  <c r="AL72" i="25"/>
  <c r="AJ72" i="25"/>
  <c r="AI71" i="25"/>
  <c r="AO71" i="25" s="1"/>
  <c r="AR71" i="25" s="1"/>
  <c r="AK71" i="25"/>
  <c r="E74" i="25"/>
  <c r="N73" i="25"/>
  <c r="D73" i="25"/>
  <c r="P72" i="25"/>
  <c r="T853" i="25"/>
  <c r="C74" i="25"/>
  <c r="Y73" i="25"/>
  <c r="AC73" i="25" s="1"/>
  <c r="AD73" i="25" s="1"/>
  <c r="AE73" i="25" s="1"/>
  <c r="AN70" i="25"/>
  <c r="AQ70" i="25" s="1"/>
  <c r="K854" i="25" s="1"/>
  <c r="B699" i="25"/>
  <c r="B546" i="25"/>
  <c r="B391" i="25"/>
  <c r="M386" i="25"/>
  <c r="B231" i="25"/>
  <c r="M231" i="25" s="1"/>
  <c r="R231" i="25" l="1"/>
  <c r="Q231" i="25"/>
  <c r="S231" i="25"/>
  <c r="Q386" i="25"/>
  <c r="R386" i="25"/>
  <c r="S386" i="25"/>
  <c r="S541" i="25"/>
  <c r="R541" i="25"/>
  <c r="Q541" i="25"/>
  <c r="Q696" i="25"/>
  <c r="R696" i="25"/>
  <c r="S696" i="25"/>
  <c r="W230" i="25"/>
  <c r="Z230" i="25" s="1"/>
  <c r="AB230" i="25" s="1"/>
  <c r="AD230" i="25" s="1"/>
  <c r="AE230" i="25" s="1"/>
  <c r="AH230" i="25"/>
  <c r="AP230" i="25" s="1"/>
  <c r="AS230" i="25" s="1"/>
  <c r="AI230" i="25"/>
  <c r="O231" i="25"/>
  <c r="T231" i="25"/>
  <c r="V231" i="25"/>
  <c r="N231" i="25"/>
  <c r="P231" i="25"/>
  <c r="X231" i="25"/>
  <c r="AA231" i="25" s="1"/>
  <c r="U231" i="25"/>
  <c r="AN231" i="25"/>
  <c r="AQ231" i="25" s="1"/>
  <c r="Y231" i="25"/>
  <c r="AC231" i="25" s="1"/>
  <c r="W231" i="25"/>
  <c r="Z231" i="25" s="1"/>
  <c r="AB231" i="25" s="1"/>
  <c r="AD231" i="25" s="1"/>
  <c r="AE231" i="25" s="1"/>
  <c r="AJ230" i="25"/>
  <c r="AK230" i="25"/>
  <c r="AM230" i="25"/>
  <c r="AL230" i="25"/>
  <c r="O853" i="25"/>
  <c r="Q854" i="25"/>
  <c r="Z854" i="25" s="1"/>
  <c r="N854" i="25"/>
  <c r="AP384" i="25"/>
  <c r="AS384" i="25" s="1"/>
  <c r="X385" i="25"/>
  <c r="AA385" i="25" s="1"/>
  <c r="AP539" i="25"/>
  <c r="AS539" i="25" s="1"/>
  <c r="N855" i="25"/>
  <c r="R855" i="25"/>
  <c r="Z855" i="25" s="1"/>
  <c r="X540" i="25"/>
  <c r="AA540" i="25" s="1"/>
  <c r="AA852" i="25"/>
  <c r="AB852" i="25" s="1"/>
  <c r="AC852" i="25" s="1"/>
  <c r="AD852" i="25" s="1"/>
  <c r="W852" i="25"/>
  <c r="X852" i="25" s="1"/>
  <c r="W385" i="25"/>
  <c r="Z385" i="25" s="1"/>
  <c r="AB385" i="25" s="1"/>
  <c r="AD385" i="25" s="1"/>
  <c r="AE385" i="25" s="1"/>
  <c r="AP694" i="25"/>
  <c r="AS694" i="25" s="1"/>
  <c r="M854" i="25" s="1"/>
  <c r="M697" i="25"/>
  <c r="O541" i="25"/>
  <c r="T541" i="25"/>
  <c r="X541" i="25" s="1"/>
  <c r="AA541" i="25" s="1"/>
  <c r="N541" i="25"/>
  <c r="P541" i="25"/>
  <c r="U541" i="25"/>
  <c r="V541" i="25"/>
  <c r="Y541" i="25"/>
  <c r="AC541" i="25" s="1"/>
  <c r="AL540" i="25"/>
  <c r="AM540" i="25"/>
  <c r="W540" i="25"/>
  <c r="Z540" i="25" s="1"/>
  <c r="AB540" i="25" s="1"/>
  <c r="AD540" i="25" s="1"/>
  <c r="AE540" i="25" s="1"/>
  <c r="AI540" i="25"/>
  <c r="AH540" i="25"/>
  <c r="AJ540" i="25"/>
  <c r="AK540" i="25"/>
  <c r="AN540" i="25" s="1"/>
  <c r="AQ540" i="25" s="1"/>
  <c r="J856" i="25"/>
  <c r="S856" i="25" s="1"/>
  <c r="T696" i="25"/>
  <c r="X696" i="25" s="1"/>
  <c r="AA696" i="25" s="1"/>
  <c r="U696" i="25"/>
  <c r="N696" i="25"/>
  <c r="V696" i="25"/>
  <c r="P696" i="25"/>
  <c r="O696" i="25"/>
  <c r="W696" i="25"/>
  <c r="Z696" i="25" s="1"/>
  <c r="I856" i="25"/>
  <c r="R856" i="25" s="1"/>
  <c r="Y696" i="25"/>
  <c r="AC696" i="25" s="1"/>
  <c r="AK695" i="25"/>
  <c r="AN695" i="25" s="1"/>
  <c r="AQ695" i="25" s="1"/>
  <c r="AJ695" i="25"/>
  <c r="AL695" i="25"/>
  <c r="AM695" i="25"/>
  <c r="W695" i="25"/>
  <c r="Z695" i="25" s="1"/>
  <c r="AB695" i="25" s="1"/>
  <c r="AD695" i="25" s="1"/>
  <c r="AE695" i="25" s="1"/>
  <c r="AH695" i="25"/>
  <c r="AI695" i="25"/>
  <c r="AJ385" i="25"/>
  <c r="AK385" i="25"/>
  <c r="M542" i="25"/>
  <c r="P386" i="25"/>
  <c r="T386" i="25"/>
  <c r="U386" i="25"/>
  <c r="Y386" i="25"/>
  <c r="AC386" i="25" s="1"/>
  <c r="N386" i="25"/>
  <c r="O386" i="25"/>
  <c r="V386" i="25"/>
  <c r="AI385" i="25"/>
  <c r="AO385" i="25" s="1"/>
  <c r="AR385" i="25" s="1"/>
  <c r="AH385" i="25"/>
  <c r="AP385" i="25" s="1"/>
  <c r="AS385" i="25" s="1"/>
  <c r="AM385" i="25"/>
  <c r="AL385" i="25"/>
  <c r="AJ73" i="25"/>
  <c r="AL73" i="25"/>
  <c r="E75" i="25"/>
  <c r="N74" i="25"/>
  <c r="AN71" i="25"/>
  <c r="AQ71" i="25" s="1"/>
  <c r="K855" i="25" s="1"/>
  <c r="C75" i="25"/>
  <c r="Y74" i="25"/>
  <c r="AC74" i="25" s="1"/>
  <c r="AD74" i="25" s="1"/>
  <c r="AE74" i="25" s="1"/>
  <c r="W853" i="25"/>
  <c r="X853" i="25" s="1"/>
  <c r="AA853" i="25"/>
  <c r="AB853" i="25" s="1"/>
  <c r="AC853" i="25" s="1"/>
  <c r="AD853" i="25" s="1"/>
  <c r="F74" i="25"/>
  <c r="O73" i="25"/>
  <c r="AI72" i="25"/>
  <c r="AO72" i="25" s="1"/>
  <c r="AR72" i="25" s="1"/>
  <c r="AK72" i="25"/>
  <c r="AH72" i="25"/>
  <c r="AP72" i="25" s="1"/>
  <c r="AS72" i="25" s="1"/>
  <c r="AM72" i="25"/>
  <c r="D74" i="25"/>
  <c r="P73" i="25"/>
  <c r="T854" i="25"/>
  <c r="B700" i="25"/>
  <c r="B547" i="25"/>
  <c r="B548" i="25" s="1"/>
  <c r="B392" i="25"/>
  <c r="M387" i="25"/>
  <c r="B232" i="25"/>
  <c r="M232" i="25" s="1"/>
  <c r="R232" i="25" l="1"/>
  <c r="S232" i="25"/>
  <c r="Q232" i="25"/>
  <c r="R542" i="25"/>
  <c r="S542" i="25"/>
  <c r="Q542" i="25"/>
  <c r="S697" i="25"/>
  <c r="Q697" i="25"/>
  <c r="R697" i="25"/>
  <c r="S387" i="25"/>
  <c r="Q387" i="25"/>
  <c r="R387" i="25"/>
  <c r="AM231" i="25"/>
  <c r="AL231" i="25"/>
  <c r="AK231" i="25"/>
  <c r="AJ231" i="25"/>
  <c r="AH231" i="25"/>
  <c r="AP231" i="25" s="1"/>
  <c r="AS231" i="25" s="1"/>
  <c r="AI231" i="25"/>
  <c r="AO231" i="25" s="1"/>
  <c r="AR231" i="25" s="1"/>
  <c r="U232" i="25"/>
  <c r="N232" i="25"/>
  <c r="V232" i="25"/>
  <c r="O232" i="25"/>
  <c r="P232" i="25"/>
  <c r="Y232" i="25"/>
  <c r="AC232" i="25" s="1"/>
  <c r="T232" i="25"/>
  <c r="X232" i="25" s="1"/>
  <c r="AA232" i="25" s="1"/>
  <c r="W232" i="25"/>
  <c r="Z232" i="25" s="1"/>
  <c r="AB232" i="25" s="1"/>
  <c r="AD232" i="25" s="1"/>
  <c r="AE232" i="25" s="1"/>
  <c r="AP232" i="25"/>
  <c r="AS232" i="25" s="1"/>
  <c r="AB696" i="25"/>
  <c r="AD696" i="25" s="1"/>
  <c r="AE696" i="25" s="1"/>
  <c r="V854" i="25"/>
  <c r="W854" i="25" s="1"/>
  <c r="X854" i="25" s="1"/>
  <c r="O854" i="25"/>
  <c r="AN385" i="25"/>
  <c r="AQ385" i="25" s="1"/>
  <c r="X386" i="25"/>
  <c r="AA386" i="25" s="1"/>
  <c r="AO695" i="25"/>
  <c r="AR695" i="25" s="1"/>
  <c r="L855" i="25" s="1"/>
  <c r="U855" i="25" s="1"/>
  <c r="AP540" i="25"/>
  <c r="AS540" i="25" s="1"/>
  <c r="H856" i="25"/>
  <c r="AP695" i="25"/>
  <c r="AS695" i="25" s="1"/>
  <c r="M855" i="25" s="1"/>
  <c r="AO540" i="25"/>
  <c r="AR540" i="25" s="1"/>
  <c r="T542" i="25"/>
  <c r="N542" i="25"/>
  <c r="V542" i="25"/>
  <c r="O542" i="25"/>
  <c r="Y542" i="25"/>
  <c r="P542" i="25"/>
  <c r="U542" i="25"/>
  <c r="X542" i="25" s="1"/>
  <c r="AA542" i="25" s="1"/>
  <c r="AC542" i="25"/>
  <c r="M698" i="25"/>
  <c r="AI696" i="25"/>
  <c r="AH696" i="25"/>
  <c r="AM696" i="25"/>
  <c r="AL696" i="25"/>
  <c r="AK541" i="25"/>
  <c r="AJ541" i="25"/>
  <c r="AL386" i="25"/>
  <c r="AM386" i="25"/>
  <c r="W541" i="25"/>
  <c r="Z541" i="25" s="1"/>
  <c r="AB541" i="25" s="1"/>
  <c r="AD541" i="25" s="1"/>
  <c r="AE541" i="25" s="1"/>
  <c r="AI541" i="25"/>
  <c r="AH541" i="25"/>
  <c r="AP541" i="25" s="1"/>
  <c r="AS541" i="25" s="1"/>
  <c r="AI386" i="25"/>
  <c r="AO386" i="25" s="1"/>
  <c r="AR386" i="25" s="1"/>
  <c r="AH386" i="25"/>
  <c r="M543" i="25"/>
  <c r="U387" i="25"/>
  <c r="N387" i="25"/>
  <c r="V387" i="25"/>
  <c r="P387" i="25"/>
  <c r="Y387" i="25"/>
  <c r="AC387" i="25" s="1"/>
  <c r="O387" i="25"/>
  <c r="T387" i="25"/>
  <c r="X387" i="25" s="1"/>
  <c r="AA387" i="25" s="1"/>
  <c r="W386" i="25"/>
  <c r="Z386" i="25" s="1"/>
  <c r="AB386" i="25" s="1"/>
  <c r="AD386" i="25" s="1"/>
  <c r="AE386" i="25" s="1"/>
  <c r="AK386" i="25"/>
  <c r="AN386" i="25" s="1"/>
  <c r="AQ386" i="25" s="1"/>
  <c r="AJ386" i="25"/>
  <c r="AJ696" i="25"/>
  <c r="AK696" i="25"/>
  <c r="AN696" i="25" s="1"/>
  <c r="AQ696" i="25" s="1"/>
  <c r="AL541" i="25"/>
  <c r="AM541" i="25"/>
  <c r="P697" i="25"/>
  <c r="Y697" i="25"/>
  <c r="AC697" i="25" s="1"/>
  <c r="H857" i="25"/>
  <c r="I857" i="25"/>
  <c r="R857" i="25" s="1"/>
  <c r="J857" i="25"/>
  <c r="S857" i="25" s="1"/>
  <c r="U697" i="25"/>
  <c r="V697" i="25"/>
  <c r="N697" i="25"/>
  <c r="O697" i="25"/>
  <c r="T697" i="25"/>
  <c r="X697" i="25" s="1"/>
  <c r="AA697" i="25" s="1"/>
  <c r="AH73" i="25"/>
  <c r="AP73" i="25" s="1"/>
  <c r="AS73" i="25" s="1"/>
  <c r="AM73" i="25"/>
  <c r="E76" i="25"/>
  <c r="N75" i="25"/>
  <c r="AA854" i="25"/>
  <c r="AB854" i="25" s="1"/>
  <c r="AC854" i="25" s="1"/>
  <c r="AD854" i="25" s="1"/>
  <c r="F75" i="25"/>
  <c r="O74" i="25"/>
  <c r="AI73" i="25"/>
  <c r="AO73" i="25" s="1"/>
  <c r="AR73" i="25" s="1"/>
  <c r="AK73" i="25"/>
  <c r="D75" i="25"/>
  <c r="P74" i="25"/>
  <c r="AN72" i="25"/>
  <c r="AQ72" i="25" s="1"/>
  <c r="K856" i="25" s="1"/>
  <c r="C76" i="25"/>
  <c r="Y75" i="25"/>
  <c r="AC75" i="25" s="1"/>
  <c r="AD75" i="25" s="1"/>
  <c r="AE75" i="25" s="1"/>
  <c r="T855" i="25"/>
  <c r="AJ74" i="25"/>
  <c r="AL74" i="25"/>
  <c r="B701" i="25"/>
  <c r="B549" i="25"/>
  <c r="B393" i="25"/>
  <c r="M388" i="25"/>
  <c r="B233" i="25"/>
  <c r="M233" i="25" s="1"/>
  <c r="Q698" i="25" l="1"/>
  <c r="R698" i="25"/>
  <c r="S698" i="25"/>
  <c r="Q543" i="25"/>
  <c r="R543" i="25"/>
  <c r="S543" i="25"/>
  <c r="Q233" i="25"/>
  <c r="R233" i="25"/>
  <c r="S233" i="25"/>
  <c r="Q388" i="25"/>
  <c r="R388" i="25"/>
  <c r="S388" i="25"/>
  <c r="O233" i="25"/>
  <c r="N233" i="25"/>
  <c r="U233" i="25"/>
  <c r="P233" i="25"/>
  <c r="T233" i="25"/>
  <c r="Y233" i="25"/>
  <c r="AC233" i="25" s="1"/>
  <c r="V233" i="25"/>
  <c r="W233" i="25"/>
  <c r="Z233" i="25" s="1"/>
  <c r="AB233" i="25"/>
  <c r="AD233" i="25" s="1"/>
  <c r="AE233" i="25" s="1"/>
  <c r="X233" i="25"/>
  <c r="AA233" i="25" s="1"/>
  <c r="AJ232" i="25"/>
  <c r="AK232" i="25"/>
  <c r="AN232" i="25" s="1"/>
  <c r="AQ232" i="25" s="1"/>
  <c r="AL232" i="25"/>
  <c r="AM232" i="25"/>
  <c r="AI232" i="25"/>
  <c r="AO232" i="25" s="1"/>
  <c r="AR232" i="25" s="1"/>
  <c r="AH232" i="25"/>
  <c r="V855" i="25"/>
  <c r="O855" i="25"/>
  <c r="W542" i="25"/>
  <c r="Z542" i="25" s="1"/>
  <c r="AB542" i="25" s="1"/>
  <c r="AD542" i="25" s="1"/>
  <c r="AE542" i="25" s="1"/>
  <c r="AO541" i="25"/>
  <c r="AR541" i="25" s="1"/>
  <c r="AP696" i="25"/>
  <c r="AS696" i="25" s="1"/>
  <c r="M856" i="25" s="1"/>
  <c r="N856" i="25"/>
  <c r="Q856" i="25"/>
  <c r="Z856" i="25" s="1"/>
  <c r="AO696" i="25"/>
  <c r="AR696" i="25" s="1"/>
  <c r="L856" i="25" s="1"/>
  <c r="U856" i="25" s="1"/>
  <c r="W387" i="25"/>
  <c r="Z387" i="25" s="1"/>
  <c r="AB387" i="25" s="1"/>
  <c r="AD387" i="25" s="1"/>
  <c r="AE387" i="25" s="1"/>
  <c r="N857" i="25"/>
  <c r="Q857" i="25"/>
  <c r="Z857" i="25" s="1"/>
  <c r="AP386" i="25"/>
  <c r="AS386" i="25" s="1"/>
  <c r="AN541" i="25"/>
  <c r="AQ541" i="25" s="1"/>
  <c r="AK387" i="25"/>
  <c r="AJ387" i="25"/>
  <c r="O543" i="25"/>
  <c r="Y543" i="25"/>
  <c r="AC543" i="25" s="1"/>
  <c r="T543" i="25"/>
  <c r="U543" i="25"/>
  <c r="V543" i="25"/>
  <c r="N543" i="25"/>
  <c r="P543" i="25"/>
  <c r="M699" i="25"/>
  <c r="AI387" i="25"/>
  <c r="AO387" i="25" s="1"/>
  <c r="AR387" i="25" s="1"/>
  <c r="AH387" i="25"/>
  <c r="AH542" i="25"/>
  <c r="AI542" i="25"/>
  <c r="M544" i="25"/>
  <c r="T388" i="25"/>
  <c r="X388" i="25" s="1"/>
  <c r="AA388" i="25" s="1"/>
  <c r="U388" i="25"/>
  <c r="N388" i="25"/>
  <c r="V388" i="25"/>
  <c r="Y388" i="25"/>
  <c r="AC388" i="25" s="1"/>
  <c r="O388" i="25"/>
  <c r="P388" i="25"/>
  <c r="AK697" i="25"/>
  <c r="AJ697" i="25"/>
  <c r="W697" i="25"/>
  <c r="Z697" i="25" s="1"/>
  <c r="AB697" i="25" s="1"/>
  <c r="AD697" i="25" s="1"/>
  <c r="AE697" i="25" s="1"/>
  <c r="AH697" i="25"/>
  <c r="AP697" i="25" s="1"/>
  <c r="AS697" i="25" s="1"/>
  <c r="M857" i="25" s="1"/>
  <c r="V857" i="25" s="1"/>
  <c r="AI697" i="25"/>
  <c r="AO697" i="25" s="1"/>
  <c r="AR697" i="25" s="1"/>
  <c r="L857" i="25" s="1"/>
  <c r="U857" i="25" s="1"/>
  <c r="AM387" i="25"/>
  <c r="AL387" i="25"/>
  <c r="U698" i="25"/>
  <c r="N698" i="25"/>
  <c r="V698" i="25"/>
  <c r="O698" i="25"/>
  <c r="W698" i="25"/>
  <c r="Z698" i="25" s="1"/>
  <c r="P698" i="25"/>
  <c r="Y698" i="25"/>
  <c r="AC698" i="25" s="1"/>
  <c r="I858" i="25"/>
  <c r="R858" i="25" s="1"/>
  <c r="H858" i="25"/>
  <c r="J858" i="25"/>
  <c r="S858" i="25" s="1"/>
  <c r="T698" i="25"/>
  <c r="AM542" i="25"/>
  <c r="AL542" i="25"/>
  <c r="AL697" i="25"/>
  <c r="AM697" i="25"/>
  <c r="AK542" i="25"/>
  <c r="AJ542" i="25"/>
  <c r="AL75" i="25"/>
  <c r="AJ75" i="25"/>
  <c r="D76" i="25"/>
  <c r="P75" i="25"/>
  <c r="E77" i="25"/>
  <c r="N76" i="25"/>
  <c r="AN73" i="25"/>
  <c r="AQ73" i="25" s="1"/>
  <c r="AA855" i="25"/>
  <c r="AB855" i="25" s="1"/>
  <c r="AC855" i="25" s="1"/>
  <c r="AD855" i="25" s="1"/>
  <c r="W855" i="25"/>
  <c r="X855" i="25" s="1"/>
  <c r="AM74" i="25"/>
  <c r="AH74" i="25"/>
  <c r="AP74" i="25" s="1"/>
  <c r="AS74" i="25" s="1"/>
  <c r="F76" i="25"/>
  <c r="O75" i="25"/>
  <c r="C77" i="25"/>
  <c r="Y76" i="25"/>
  <c r="AC76" i="25" s="1"/>
  <c r="AD76" i="25" s="1"/>
  <c r="AE76" i="25" s="1"/>
  <c r="AK74" i="25"/>
  <c r="AI74" i="25"/>
  <c r="AO74" i="25" s="1"/>
  <c r="AR74" i="25" s="1"/>
  <c r="T856" i="25"/>
  <c r="B702" i="25"/>
  <c r="B550" i="25"/>
  <c r="B394" i="25"/>
  <c r="M389" i="25"/>
  <c r="B234" i="25"/>
  <c r="M234" i="25" s="1"/>
  <c r="Q234" i="25" l="1"/>
  <c r="R234" i="25"/>
  <c r="S234" i="25"/>
  <c r="Q389" i="25"/>
  <c r="S389" i="25"/>
  <c r="R389" i="25"/>
  <c r="Q699" i="25"/>
  <c r="R699" i="25"/>
  <c r="S699" i="25"/>
  <c r="R544" i="25"/>
  <c r="Q544" i="25"/>
  <c r="S544" i="25"/>
  <c r="AI233" i="25"/>
  <c r="AH233" i="25"/>
  <c r="AM233" i="25"/>
  <c r="AL233" i="25"/>
  <c r="AO233" i="25" s="1"/>
  <c r="AR233" i="25" s="1"/>
  <c r="O234" i="25"/>
  <c r="T234" i="25"/>
  <c r="U234" i="25"/>
  <c r="X234" i="25" s="1"/>
  <c r="AA234" i="25" s="1"/>
  <c r="Y234" i="25"/>
  <c r="AC234" i="25" s="1"/>
  <c r="N234" i="25"/>
  <c r="P234" i="25"/>
  <c r="V234" i="25"/>
  <c r="W234" i="25"/>
  <c r="Z234" i="25" s="1"/>
  <c r="AB234" i="25" s="1"/>
  <c r="AD234" i="25" s="1"/>
  <c r="AE234" i="25" s="1"/>
  <c r="AO234" i="25"/>
  <c r="AR234" i="25" s="1"/>
  <c r="AJ233" i="25"/>
  <c r="AP233" i="25" s="1"/>
  <c r="AS233" i="25" s="1"/>
  <c r="AK233" i="25"/>
  <c r="AN233" i="25" s="1"/>
  <c r="AQ233" i="25" s="1"/>
  <c r="V856" i="25"/>
  <c r="O856" i="25"/>
  <c r="N858" i="25"/>
  <c r="Q858" i="25"/>
  <c r="Z858" i="25" s="1"/>
  <c r="AN387" i="25"/>
  <c r="AQ387" i="25" s="1"/>
  <c r="X543" i="25"/>
  <c r="AA543" i="25" s="1"/>
  <c r="K857" i="25"/>
  <c r="T857" i="25" s="1"/>
  <c r="AN542" i="25"/>
  <c r="AQ542" i="25" s="1"/>
  <c r="X698" i="25"/>
  <c r="AA698" i="25" s="1"/>
  <c r="AB698" i="25" s="1"/>
  <c r="AD698" i="25" s="1"/>
  <c r="AE698" i="25" s="1"/>
  <c r="AN697" i="25"/>
  <c r="AQ697" i="25" s="1"/>
  <c r="AO542" i="25"/>
  <c r="AR542" i="25" s="1"/>
  <c r="AP542" i="25"/>
  <c r="AS542" i="25" s="1"/>
  <c r="AP387" i="25"/>
  <c r="AS387" i="25" s="1"/>
  <c r="AK388" i="25"/>
  <c r="AJ388" i="25"/>
  <c r="AM543" i="25"/>
  <c r="AL543" i="25"/>
  <c r="W388" i="25"/>
  <c r="Z388" i="25" s="1"/>
  <c r="AB388" i="25" s="1"/>
  <c r="AD388" i="25" s="1"/>
  <c r="AE388" i="25" s="1"/>
  <c r="AH388" i="25"/>
  <c r="AI388" i="25"/>
  <c r="M700" i="25"/>
  <c r="T544" i="25"/>
  <c r="N544" i="25"/>
  <c r="V544" i="25"/>
  <c r="O544" i="25"/>
  <c r="Y544" i="25"/>
  <c r="AC544" i="25" s="1"/>
  <c r="P544" i="25"/>
  <c r="U544" i="25"/>
  <c r="AJ543" i="25"/>
  <c r="AK543" i="25"/>
  <c r="AN543" i="25" s="1"/>
  <c r="AQ543" i="25" s="1"/>
  <c r="AM698" i="25"/>
  <c r="AL698" i="25"/>
  <c r="W543" i="25"/>
  <c r="Z543" i="25" s="1"/>
  <c r="AB543" i="25" s="1"/>
  <c r="AD543" i="25" s="1"/>
  <c r="AE543" i="25" s="1"/>
  <c r="AH543" i="25"/>
  <c r="AP543" i="25" s="1"/>
  <c r="AS543" i="25" s="1"/>
  <c r="AI543" i="25"/>
  <c r="AO543" i="25" s="1"/>
  <c r="AR543" i="25" s="1"/>
  <c r="AI698" i="25"/>
  <c r="AH698" i="25"/>
  <c r="M545" i="25"/>
  <c r="N389" i="25"/>
  <c r="V389" i="25"/>
  <c r="O389" i="25"/>
  <c r="P389" i="25"/>
  <c r="T389" i="25"/>
  <c r="X389" i="25" s="1"/>
  <c r="AA389" i="25" s="1"/>
  <c r="U389" i="25"/>
  <c r="Y389" i="25"/>
  <c r="AC389" i="25" s="1"/>
  <c r="AJ698" i="25"/>
  <c r="AK698" i="25"/>
  <c r="AN698" i="25" s="1"/>
  <c r="AQ698" i="25" s="1"/>
  <c r="AM388" i="25"/>
  <c r="AL388" i="25"/>
  <c r="I859" i="25"/>
  <c r="J859" i="25"/>
  <c r="S859" i="25" s="1"/>
  <c r="T699" i="25"/>
  <c r="U699" i="25"/>
  <c r="O699" i="25"/>
  <c r="Y699" i="25"/>
  <c r="AC699" i="25" s="1"/>
  <c r="V699" i="25"/>
  <c r="N699" i="25"/>
  <c r="P699" i="25"/>
  <c r="H859" i="25"/>
  <c r="Q859" i="25" s="1"/>
  <c r="D77" i="25"/>
  <c r="P76" i="25"/>
  <c r="AN74" i="25"/>
  <c r="AQ74" i="25" s="1"/>
  <c r="C78" i="25"/>
  <c r="Y77" i="25"/>
  <c r="AC77" i="25" s="1"/>
  <c r="AD77" i="25" s="1"/>
  <c r="AE77" i="25" s="1"/>
  <c r="AL76" i="25"/>
  <c r="AJ76" i="25"/>
  <c r="AM75" i="25"/>
  <c r="AH75" i="25"/>
  <c r="AP75" i="25" s="1"/>
  <c r="AS75" i="25" s="1"/>
  <c r="E78" i="25"/>
  <c r="N77" i="25"/>
  <c r="F77" i="25"/>
  <c r="O76" i="25"/>
  <c r="AI75" i="25"/>
  <c r="AO75" i="25" s="1"/>
  <c r="AR75" i="25" s="1"/>
  <c r="AK75" i="25"/>
  <c r="AA856" i="25"/>
  <c r="AB856" i="25" s="1"/>
  <c r="AC856" i="25" s="1"/>
  <c r="AD856" i="25" s="1"/>
  <c r="W856" i="25"/>
  <c r="X856" i="25" s="1"/>
  <c r="B703" i="25"/>
  <c r="B551" i="25"/>
  <c r="B395" i="25"/>
  <c r="B235" i="25"/>
  <c r="M235" i="25" s="1"/>
  <c r="M390" i="25"/>
  <c r="R700" i="25" l="1"/>
  <c r="S700" i="25"/>
  <c r="Q700" i="25"/>
  <c r="R390" i="25"/>
  <c r="S390" i="25"/>
  <c r="Q390" i="25"/>
  <c r="Q235" i="25"/>
  <c r="R235" i="25"/>
  <c r="S235" i="25"/>
  <c r="S545" i="25"/>
  <c r="Q545" i="25"/>
  <c r="R545" i="25"/>
  <c r="AK234" i="25"/>
  <c r="AN234" i="25" s="1"/>
  <c r="AQ234" i="25" s="1"/>
  <c r="AJ234" i="25"/>
  <c r="AL234" i="25"/>
  <c r="AM234" i="25"/>
  <c r="AH234" i="25"/>
  <c r="AP234" i="25" s="1"/>
  <c r="AS234" i="25" s="1"/>
  <c r="AI234" i="25"/>
  <c r="P235" i="25"/>
  <c r="U235" i="25"/>
  <c r="X235" i="25" s="1"/>
  <c r="AA235" i="25" s="1"/>
  <c r="O235" i="25"/>
  <c r="T235" i="25"/>
  <c r="N235" i="25"/>
  <c r="V235" i="25"/>
  <c r="Y235" i="25"/>
  <c r="AC235" i="25"/>
  <c r="W235" i="25"/>
  <c r="Z235" i="25" s="1"/>
  <c r="AB235" i="25" s="1"/>
  <c r="AD235" i="25" s="1"/>
  <c r="AE235" i="25" s="1"/>
  <c r="O857" i="25"/>
  <c r="N859" i="25"/>
  <c r="R859" i="25"/>
  <c r="L858" i="25"/>
  <c r="U858" i="25" s="1"/>
  <c r="Z859" i="25"/>
  <c r="X544" i="25"/>
  <c r="AA544" i="25" s="1"/>
  <c r="AN388" i="25"/>
  <c r="AQ388" i="25" s="1"/>
  <c r="AP698" i="25"/>
  <c r="AS698" i="25" s="1"/>
  <c r="M858" i="25" s="1"/>
  <c r="V858" i="25" s="1"/>
  <c r="AO388" i="25"/>
  <c r="AR388" i="25" s="1"/>
  <c r="X699" i="25"/>
  <c r="AA699" i="25" s="1"/>
  <c r="AO698" i="25"/>
  <c r="AR698" i="25" s="1"/>
  <c r="AP388" i="25"/>
  <c r="AS388" i="25" s="1"/>
  <c r="K858" i="25"/>
  <c r="O858" i="25" s="1"/>
  <c r="W389" i="25"/>
  <c r="Z389" i="25" s="1"/>
  <c r="AB389" i="25" s="1"/>
  <c r="AD389" i="25" s="1"/>
  <c r="AE389" i="25" s="1"/>
  <c r="W699" i="25"/>
  <c r="Z699" i="25" s="1"/>
  <c r="AB699" i="25" s="1"/>
  <c r="AD699" i="25" s="1"/>
  <c r="AE699" i="25" s="1"/>
  <c r="AH699" i="25"/>
  <c r="AI699" i="25"/>
  <c r="M546" i="25"/>
  <c r="T390" i="25"/>
  <c r="N390" i="25"/>
  <c r="V390" i="25"/>
  <c r="O390" i="25"/>
  <c r="Y390" i="25"/>
  <c r="AC390" i="25" s="1"/>
  <c r="P390" i="25"/>
  <c r="U390" i="25"/>
  <c r="M701" i="25"/>
  <c r="T545" i="25"/>
  <c r="X545" i="25" s="1"/>
  <c r="AA545" i="25" s="1"/>
  <c r="N545" i="25"/>
  <c r="V545" i="25"/>
  <c r="O545" i="25"/>
  <c r="P545" i="25"/>
  <c r="U545" i="25"/>
  <c r="Y545" i="25"/>
  <c r="AC545" i="25" s="1"/>
  <c r="O700" i="25"/>
  <c r="Y700" i="25"/>
  <c r="AC700" i="25" s="1"/>
  <c r="P700" i="25"/>
  <c r="W700" i="25"/>
  <c r="Z700" i="25" s="1"/>
  <c r="I860" i="25"/>
  <c r="R860" i="25" s="1"/>
  <c r="T700" i="25"/>
  <c r="X700" i="25" s="1"/>
  <c r="AA700" i="25" s="1"/>
  <c r="N700" i="25"/>
  <c r="J860" i="25"/>
  <c r="S860" i="25" s="1"/>
  <c r="U700" i="25"/>
  <c r="V700" i="25"/>
  <c r="AJ389" i="25"/>
  <c r="AK389" i="25"/>
  <c r="W544" i="25"/>
  <c r="Z544" i="25" s="1"/>
  <c r="AB544" i="25" s="1"/>
  <c r="AD544" i="25" s="1"/>
  <c r="AE544" i="25" s="1"/>
  <c r="AI544" i="25"/>
  <c r="AH544" i="25"/>
  <c r="AL699" i="25"/>
  <c r="AM699" i="25"/>
  <c r="AI389" i="25"/>
  <c r="AH389" i="25"/>
  <c r="AP389" i="25" s="1"/>
  <c r="AS389" i="25" s="1"/>
  <c r="AK699" i="25"/>
  <c r="AN699" i="25" s="1"/>
  <c r="AQ699" i="25" s="1"/>
  <c r="AJ699" i="25"/>
  <c r="AL544" i="25"/>
  <c r="AM544" i="25"/>
  <c r="AJ544" i="25"/>
  <c r="AK544" i="25"/>
  <c r="AM389" i="25"/>
  <c r="AL389" i="25"/>
  <c r="AI76" i="25"/>
  <c r="AO76" i="25" s="1"/>
  <c r="AR76" i="25" s="1"/>
  <c r="AK76" i="25"/>
  <c r="AN75" i="25"/>
  <c r="AQ75" i="25" s="1"/>
  <c r="K859" i="25" s="1"/>
  <c r="D78" i="25"/>
  <c r="P77" i="25"/>
  <c r="AH76" i="25"/>
  <c r="AP76" i="25" s="1"/>
  <c r="AS76" i="25" s="1"/>
  <c r="AM76" i="25"/>
  <c r="T858" i="25"/>
  <c r="F78" i="25"/>
  <c r="O77" i="25"/>
  <c r="C79" i="25"/>
  <c r="Y78" i="25"/>
  <c r="AC78" i="25" s="1"/>
  <c r="AD78" i="25" s="1"/>
  <c r="AE78" i="25" s="1"/>
  <c r="AJ77" i="25"/>
  <c r="AL77" i="25"/>
  <c r="E79" i="25"/>
  <c r="N78" i="25"/>
  <c r="AA857" i="25"/>
  <c r="AB857" i="25" s="1"/>
  <c r="AC857" i="25" s="1"/>
  <c r="AD857" i="25" s="1"/>
  <c r="W857" i="25"/>
  <c r="X857" i="25" s="1"/>
  <c r="B704" i="25"/>
  <c r="B552" i="25"/>
  <c r="B396" i="25"/>
  <c r="M391" i="25"/>
  <c r="B236" i="25"/>
  <c r="M236" i="25" s="1"/>
  <c r="Q391" i="25" l="1"/>
  <c r="R391" i="25"/>
  <c r="S391" i="25"/>
  <c r="Q701" i="25"/>
  <c r="R701" i="25"/>
  <c r="S701" i="25"/>
  <c r="Q546" i="25"/>
  <c r="R546" i="25"/>
  <c r="S546" i="25"/>
  <c r="Q236" i="25"/>
  <c r="R236" i="25"/>
  <c r="S236" i="25"/>
  <c r="AI235" i="25"/>
  <c r="AM235" i="25"/>
  <c r="AL235" i="25"/>
  <c r="AO235" i="25" s="1"/>
  <c r="AR235" i="25" s="1"/>
  <c r="P236" i="25"/>
  <c r="V236" i="25"/>
  <c r="U236" i="25"/>
  <c r="Y236" i="25"/>
  <c r="AC236" i="25" s="1"/>
  <c r="T236" i="25"/>
  <c r="X236" i="25" s="1"/>
  <c r="AA236" i="25" s="1"/>
  <c r="O236" i="25"/>
  <c r="N236" i="25"/>
  <c r="W236" i="25"/>
  <c r="Z236" i="25" s="1"/>
  <c r="AB236" i="25" s="1"/>
  <c r="AD236" i="25" s="1"/>
  <c r="AE236" i="25" s="1"/>
  <c r="AN236" i="25"/>
  <c r="AQ236" i="25" s="1"/>
  <c r="AO236" i="25"/>
  <c r="AR236" i="25" s="1"/>
  <c r="AJ235" i="25"/>
  <c r="AP235" i="25" s="1"/>
  <c r="AS235" i="25" s="1"/>
  <c r="AK235" i="25"/>
  <c r="AN235" i="25" s="1"/>
  <c r="AQ235" i="25" s="1"/>
  <c r="AH235" i="25"/>
  <c r="AB700" i="25"/>
  <c r="AD700" i="25" s="1"/>
  <c r="AE700" i="25" s="1"/>
  <c r="AP699" i="25"/>
  <c r="AS699" i="25" s="1"/>
  <c r="M859" i="25" s="1"/>
  <c r="V859" i="25" s="1"/>
  <c r="AO389" i="25"/>
  <c r="AR389" i="25" s="1"/>
  <c r="AN544" i="25"/>
  <c r="AQ544" i="25" s="1"/>
  <c r="H860" i="25"/>
  <c r="AP544" i="25"/>
  <c r="AS544" i="25" s="1"/>
  <c r="X390" i="25"/>
  <c r="AA390" i="25" s="1"/>
  <c r="AO544" i="25"/>
  <c r="AR544" i="25" s="1"/>
  <c r="AN389" i="25"/>
  <c r="AQ389" i="25" s="1"/>
  <c r="AO699" i="25"/>
  <c r="AR699" i="25" s="1"/>
  <c r="L859" i="25" s="1"/>
  <c r="U859" i="25" s="1"/>
  <c r="AK700" i="25"/>
  <c r="AJ700" i="25"/>
  <c r="AI700" i="25"/>
  <c r="AH700" i="25"/>
  <c r="W390" i="25"/>
  <c r="Z390" i="25" s="1"/>
  <c r="AB390" i="25" s="1"/>
  <c r="AD390" i="25" s="1"/>
  <c r="AE390" i="25" s="1"/>
  <c r="AK390" i="25"/>
  <c r="AJ390" i="25"/>
  <c r="AP390" i="25" s="1"/>
  <c r="AS390" i="25" s="1"/>
  <c r="AI390" i="25"/>
  <c r="AH390" i="25"/>
  <c r="AL545" i="25"/>
  <c r="AM545" i="25"/>
  <c r="AL390" i="25"/>
  <c r="AM390" i="25"/>
  <c r="M702" i="25"/>
  <c r="U546" i="25"/>
  <c r="O546" i="25"/>
  <c r="P546" i="25"/>
  <c r="X546" i="25"/>
  <c r="AA546" i="25" s="1"/>
  <c r="W546" i="25"/>
  <c r="Z546" i="25" s="1"/>
  <c r="AB546" i="25" s="1"/>
  <c r="AD546" i="25" s="1"/>
  <c r="AE546" i="25" s="1"/>
  <c r="T546" i="25"/>
  <c r="V546" i="25"/>
  <c r="Y546" i="25"/>
  <c r="AC546" i="25" s="1"/>
  <c r="N546" i="25"/>
  <c r="AM700" i="25"/>
  <c r="AL700" i="25"/>
  <c r="AK545" i="25"/>
  <c r="AN545" i="25" s="1"/>
  <c r="AQ545" i="25" s="1"/>
  <c r="AJ545" i="25"/>
  <c r="W545" i="25"/>
  <c r="Z545" i="25" s="1"/>
  <c r="AB545" i="25" s="1"/>
  <c r="AD545" i="25" s="1"/>
  <c r="AE545" i="25" s="1"/>
  <c r="AI545" i="25"/>
  <c r="AO545" i="25" s="1"/>
  <c r="AR545" i="25" s="1"/>
  <c r="AH545" i="25"/>
  <c r="T701" i="25"/>
  <c r="U701" i="25"/>
  <c r="N701" i="25"/>
  <c r="V701" i="25"/>
  <c r="X701" i="25" s="1"/>
  <c r="AA701" i="25" s="1"/>
  <c r="O701" i="25"/>
  <c r="H861" i="25"/>
  <c r="J861" i="25"/>
  <c r="S861" i="25" s="1"/>
  <c r="Y701" i="25"/>
  <c r="AC701" i="25" s="1"/>
  <c r="P701" i="25"/>
  <c r="I861" i="25"/>
  <c r="R861" i="25" s="1"/>
  <c r="M547" i="25"/>
  <c r="P391" i="25"/>
  <c r="Y391" i="25"/>
  <c r="AC391" i="25" s="1"/>
  <c r="T391" i="25"/>
  <c r="X391" i="25" s="1"/>
  <c r="AA391" i="25" s="1"/>
  <c r="U391" i="25"/>
  <c r="N391" i="25"/>
  <c r="O391" i="25"/>
  <c r="V391" i="25"/>
  <c r="AI77" i="25"/>
  <c r="AO77" i="25" s="1"/>
  <c r="AR77" i="25" s="1"/>
  <c r="AK77" i="25"/>
  <c r="C80" i="25"/>
  <c r="Y79" i="25"/>
  <c r="AC79" i="25" s="1"/>
  <c r="AD79" i="25" s="1"/>
  <c r="AE79" i="25" s="1"/>
  <c r="D79" i="25"/>
  <c r="P78" i="25"/>
  <c r="F79" i="25"/>
  <c r="O78" i="25"/>
  <c r="AN76" i="25"/>
  <c r="AQ76" i="25" s="1"/>
  <c r="AJ78" i="25"/>
  <c r="AL78" i="25"/>
  <c r="W858" i="25"/>
  <c r="X858" i="25" s="1"/>
  <c r="AA858" i="25"/>
  <c r="AB858" i="25" s="1"/>
  <c r="AC858" i="25" s="1"/>
  <c r="AD858" i="25" s="1"/>
  <c r="E80" i="25"/>
  <c r="N79" i="25"/>
  <c r="T859" i="25"/>
  <c r="O859" i="25"/>
  <c r="AH77" i="25"/>
  <c r="AP77" i="25" s="1"/>
  <c r="AS77" i="25" s="1"/>
  <c r="AM77" i="25"/>
  <c r="B705" i="25"/>
  <c r="B553" i="25"/>
  <c r="B397" i="25"/>
  <c r="B237" i="25"/>
  <c r="M237" i="25" s="1"/>
  <c r="M392" i="25"/>
  <c r="Q702" i="25" l="1"/>
  <c r="R702" i="25"/>
  <c r="S702" i="25"/>
  <c r="Q547" i="25"/>
  <c r="R547" i="25"/>
  <c r="S547" i="25"/>
  <c r="R392" i="25"/>
  <c r="Q392" i="25"/>
  <c r="S392" i="25"/>
  <c r="S237" i="25"/>
  <c r="Q237" i="25"/>
  <c r="R237" i="25"/>
  <c r="AJ236" i="25"/>
  <c r="AK236" i="25"/>
  <c r="AL236" i="25"/>
  <c r="AM236" i="25"/>
  <c r="P237" i="25"/>
  <c r="N237" i="25"/>
  <c r="O237" i="25"/>
  <c r="Y237" i="25"/>
  <c r="AC237" i="25" s="1"/>
  <c r="V237" i="25"/>
  <c r="U237" i="25"/>
  <c r="T237" i="25"/>
  <c r="W237" i="25"/>
  <c r="Z237" i="25" s="1"/>
  <c r="AB237" i="25" s="1"/>
  <c r="AD237" i="25" s="1"/>
  <c r="AE237" i="25" s="1"/>
  <c r="X237" i="25"/>
  <c r="AA237" i="25" s="1"/>
  <c r="AP237" i="25"/>
  <c r="AS237" i="25" s="1"/>
  <c r="AO237" i="25"/>
  <c r="AR237" i="25" s="1"/>
  <c r="AN237" i="25"/>
  <c r="AQ237" i="25" s="1"/>
  <c r="AH236" i="25"/>
  <c r="AP236" i="25" s="1"/>
  <c r="AS236" i="25" s="1"/>
  <c r="AI236" i="25"/>
  <c r="Q861" i="25"/>
  <c r="Z861" i="25" s="1"/>
  <c r="N861" i="25"/>
  <c r="AP545" i="25"/>
  <c r="AS545" i="25" s="1"/>
  <c r="AN390" i="25"/>
  <c r="AQ390" i="25" s="1"/>
  <c r="AP700" i="25"/>
  <c r="AS700" i="25" s="1"/>
  <c r="M860" i="25" s="1"/>
  <c r="V860" i="25" s="1"/>
  <c r="AO700" i="25"/>
  <c r="AR700" i="25" s="1"/>
  <c r="L860" i="25" s="1"/>
  <c r="U860" i="25" s="1"/>
  <c r="AN700" i="25"/>
  <c r="AQ700" i="25" s="1"/>
  <c r="K860" i="25" s="1"/>
  <c r="AO390" i="25"/>
  <c r="AR390" i="25" s="1"/>
  <c r="N860" i="25"/>
  <c r="Q860" i="25"/>
  <c r="Z860" i="25" s="1"/>
  <c r="AI391" i="25"/>
  <c r="AH391" i="25"/>
  <c r="AM546" i="25"/>
  <c r="AL546" i="25"/>
  <c r="AL701" i="25"/>
  <c r="AM701" i="25"/>
  <c r="AH546" i="25"/>
  <c r="AI546" i="25"/>
  <c r="H862" i="25"/>
  <c r="Q862" i="25" s="1"/>
  <c r="I862" i="25"/>
  <c r="R862" i="25" s="1"/>
  <c r="J862" i="25"/>
  <c r="T702" i="25"/>
  <c r="N702" i="25"/>
  <c r="V702" i="25"/>
  <c r="O702" i="25"/>
  <c r="P702" i="25"/>
  <c r="U702" i="25"/>
  <c r="Y702" i="25"/>
  <c r="AC702" i="25" s="1"/>
  <c r="M703" i="25"/>
  <c r="P547" i="25"/>
  <c r="U547" i="25"/>
  <c r="T547" i="25"/>
  <c r="V547" i="25"/>
  <c r="Y547" i="25"/>
  <c r="AC547" i="25" s="1"/>
  <c r="N547" i="25"/>
  <c r="O547" i="25"/>
  <c r="W701" i="25"/>
  <c r="Z701" i="25" s="1"/>
  <c r="AB701" i="25" s="1"/>
  <c r="AD701" i="25" s="1"/>
  <c r="AE701" i="25" s="1"/>
  <c r="AH701" i="25"/>
  <c r="AI701" i="25"/>
  <c r="AO701" i="25" s="1"/>
  <c r="AR701" i="25" s="1"/>
  <c r="L861" i="25" s="1"/>
  <c r="U861" i="25" s="1"/>
  <c r="M548" i="25"/>
  <c r="N392" i="25"/>
  <c r="V392" i="25"/>
  <c r="O392" i="25"/>
  <c r="X392" i="25"/>
  <c r="AA392" i="25" s="1"/>
  <c r="P392" i="25"/>
  <c r="Y392" i="25"/>
  <c r="AC392" i="25" s="1"/>
  <c r="T392" i="25"/>
  <c r="U392" i="25"/>
  <c r="AK546" i="25"/>
  <c r="AN546" i="25" s="1"/>
  <c r="AQ546" i="25" s="1"/>
  <c r="AJ546" i="25"/>
  <c r="W391" i="25"/>
  <c r="Z391" i="25" s="1"/>
  <c r="AB391" i="25" s="1"/>
  <c r="AD391" i="25" s="1"/>
  <c r="AE391" i="25" s="1"/>
  <c r="AK391" i="25"/>
  <c r="AJ391" i="25"/>
  <c r="AM391" i="25"/>
  <c r="AL391" i="25"/>
  <c r="AO391" i="25" s="1"/>
  <c r="AR391" i="25" s="1"/>
  <c r="AK701" i="25"/>
  <c r="AN701" i="25" s="1"/>
  <c r="AQ701" i="25" s="1"/>
  <c r="AJ701" i="25"/>
  <c r="AN77" i="25"/>
  <c r="AQ77" i="25" s="1"/>
  <c r="K861" i="25" s="1"/>
  <c r="AA859" i="25"/>
  <c r="AB859" i="25" s="1"/>
  <c r="AC859" i="25" s="1"/>
  <c r="AD859" i="25" s="1"/>
  <c r="W859" i="25"/>
  <c r="X859" i="25" s="1"/>
  <c r="AM78" i="25"/>
  <c r="AH78" i="25"/>
  <c r="AP78" i="25" s="1"/>
  <c r="AS78" i="25" s="1"/>
  <c r="AL79" i="25"/>
  <c r="AJ79" i="25"/>
  <c r="F80" i="25"/>
  <c r="O79" i="25"/>
  <c r="E81" i="25"/>
  <c r="N80" i="25"/>
  <c r="AK78" i="25"/>
  <c r="AI78" i="25"/>
  <c r="AO78" i="25" s="1"/>
  <c r="AR78" i="25" s="1"/>
  <c r="D80" i="25"/>
  <c r="P79" i="25"/>
  <c r="C81" i="25"/>
  <c r="Y80" i="25"/>
  <c r="AC80" i="25" s="1"/>
  <c r="AD80" i="25" s="1"/>
  <c r="AE80" i="25" s="1"/>
  <c r="B706" i="25"/>
  <c r="B554" i="25"/>
  <c r="B398" i="25"/>
  <c r="M393" i="25"/>
  <c r="B238" i="25"/>
  <c r="M238" i="25" s="1"/>
  <c r="Q238" i="25" l="1"/>
  <c r="R238" i="25"/>
  <c r="S238" i="25"/>
  <c r="Q703" i="25"/>
  <c r="R703" i="25"/>
  <c r="S703" i="25"/>
  <c r="R548" i="25"/>
  <c r="S548" i="25"/>
  <c r="Q548" i="25"/>
  <c r="Q393" i="25"/>
  <c r="R393" i="25"/>
  <c r="S393" i="25"/>
  <c r="AM237" i="25"/>
  <c r="AL237" i="25"/>
  <c r="AK237" i="25"/>
  <c r="AJ237" i="25"/>
  <c r="V238" i="25"/>
  <c r="T238" i="25"/>
  <c r="X238" i="25" s="1"/>
  <c r="AA238" i="25" s="1"/>
  <c r="U238" i="25"/>
  <c r="O238" i="25"/>
  <c r="W238" i="25"/>
  <c r="Z238" i="25" s="1"/>
  <c r="AB238" i="25" s="1"/>
  <c r="Y238" i="25"/>
  <c r="AC238" i="25" s="1"/>
  <c r="P238" i="25"/>
  <c r="AI238" i="25" s="1"/>
  <c r="N238" i="25"/>
  <c r="AD238" i="25"/>
  <c r="AE238" i="25" s="1"/>
  <c r="AN238" i="25"/>
  <c r="AQ238" i="25" s="1"/>
  <c r="AH237" i="25"/>
  <c r="AI237" i="25"/>
  <c r="O860" i="25"/>
  <c r="T860" i="25"/>
  <c r="N862" i="25"/>
  <c r="S862" i="25"/>
  <c r="Z862" i="25" s="1"/>
  <c r="W702" i="25"/>
  <c r="Z702" i="25" s="1"/>
  <c r="AP391" i="25"/>
  <c r="AS391" i="25" s="1"/>
  <c r="AP701" i="25"/>
  <c r="AS701" i="25" s="1"/>
  <c r="M861" i="25" s="1"/>
  <c r="AN78" i="25"/>
  <c r="AQ78" i="25" s="1"/>
  <c r="AO546" i="25"/>
  <c r="AR546" i="25" s="1"/>
  <c r="AP546" i="25"/>
  <c r="AS546" i="25" s="1"/>
  <c r="X547" i="25"/>
  <c r="AA547" i="25" s="1"/>
  <c r="X702" i="25"/>
  <c r="AA702" i="25" s="1"/>
  <c r="AN391" i="25"/>
  <c r="AQ391" i="25" s="1"/>
  <c r="N703" i="25"/>
  <c r="V703" i="25"/>
  <c r="O703" i="25"/>
  <c r="Y703" i="25"/>
  <c r="P703" i="25"/>
  <c r="AC703" i="25"/>
  <c r="H863" i="25"/>
  <c r="Q863" i="25" s="1"/>
  <c r="J863" i="25"/>
  <c r="S863" i="25" s="1"/>
  <c r="T703" i="25"/>
  <c r="X703" i="25" s="1"/>
  <c r="AA703" i="25" s="1"/>
  <c r="U703" i="25"/>
  <c r="I863" i="25"/>
  <c r="AK392" i="25"/>
  <c r="AN392" i="25" s="1"/>
  <c r="AQ392" i="25" s="1"/>
  <c r="AJ392" i="25"/>
  <c r="AM392" i="25"/>
  <c r="AL392" i="25"/>
  <c r="AM547" i="25"/>
  <c r="AL547" i="25"/>
  <c r="W392" i="25"/>
  <c r="Z392" i="25" s="1"/>
  <c r="AB392" i="25" s="1"/>
  <c r="AD392" i="25" s="1"/>
  <c r="AE392" i="25" s="1"/>
  <c r="AH392" i="25"/>
  <c r="AI392" i="25"/>
  <c r="AO392" i="25" s="1"/>
  <c r="AR392" i="25" s="1"/>
  <c r="U548" i="25"/>
  <c r="O548" i="25"/>
  <c r="Y548" i="25"/>
  <c r="AC548" i="25" s="1"/>
  <c r="P548" i="25"/>
  <c r="N548" i="25"/>
  <c r="T548" i="25"/>
  <c r="X548" i="25" s="1"/>
  <c r="AA548" i="25" s="1"/>
  <c r="V548" i="25"/>
  <c r="M704" i="25"/>
  <c r="AJ547" i="25"/>
  <c r="AK547" i="25"/>
  <c r="AN547" i="25" s="1"/>
  <c r="AQ547" i="25" s="1"/>
  <c r="AM702" i="25"/>
  <c r="AL702" i="25"/>
  <c r="M549" i="25"/>
  <c r="P393" i="25"/>
  <c r="Y393" i="25"/>
  <c r="AC393" i="25" s="1"/>
  <c r="T393" i="25"/>
  <c r="U393" i="25"/>
  <c r="V393" i="25"/>
  <c r="N393" i="25"/>
  <c r="O393" i="25"/>
  <c r="W547" i="25"/>
  <c r="Z547" i="25" s="1"/>
  <c r="AB547" i="25" s="1"/>
  <c r="AD547" i="25" s="1"/>
  <c r="AE547" i="25" s="1"/>
  <c r="AH547" i="25"/>
  <c r="AI547" i="25"/>
  <c r="AO547" i="25" s="1"/>
  <c r="AR547" i="25" s="1"/>
  <c r="AJ702" i="25"/>
  <c r="AK702" i="25"/>
  <c r="AN702" i="25" s="1"/>
  <c r="AQ702" i="25" s="1"/>
  <c r="AI702" i="25"/>
  <c r="AO702" i="25" s="1"/>
  <c r="AR702" i="25" s="1"/>
  <c r="L862" i="25" s="1"/>
  <c r="U862" i="25" s="1"/>
  <c r="AH702" i="25"/>
  <c r="AP702" i="25" s="1"/>
  <c r="AS702" i="25" s="1"/>
  <c r="M862" i="25" s="1"/>
  <c r="V862" i="25" s="1"/>
  <c r="D81" i="25"/>
  <c r="P80" i="25"/>
  <c r="T861" i="25"/>
  <c r="AL80" i="25"/>
  <c r="AJ80" i="25"/>
  <c r="E82" i="25"/>
  <c r="N81" i="25"/>
  <c r="AM79" i="25"/>
  <c r="AH79" i="25"/>
  <c r="AP79" i="25" s="1"/>
  <c r="AS79" i="25" s="1"/>
  <c r="C82" i="25"/>
  <c r="Y81" i="25"/>
  <c r="AC81" i="25" s="1"/>
  <c r="AD81" i="25" s="1"/>
  <c r="AE81" i="25" s="1"/>
  <c r="F81" i="25"/>
  <c r="O80" i="25"/>
  <c r="AI79" i="25"/>
  <c r="AO79" i="25" s="1"/>
  <c r="AR79" i="25" s="1"/>
  <c r="AK79" i="25"/>
  <c r="W860" i="25"/>
  <c r="X860" i="25" s="1"/>
  <c r="AA860" i="25"/>
  <c r="AB860" i="25" s="1"/>
  <c r="AC860" i="25" s="1"/>
  <c r="AD860" i="25" s="1"/>
  <c r="B707" i="25"/>
  <c r="B555" i="25"/>
  <c r="B399" i="25"/>
  <c r="B239" i="25"/>
  <c r="M239" i="25" s="1"/>
  <c r="M394" i="25"/>
  <c r="R239" i="25" l="1"/>
  <c r="Q239" i="25"/>
  <c r="S239" i="25"/>
  <c r="Q394" i="25"/>
  <c r="R394" i="25"/>
  <c r="S394" i="25"/>
  <c r="Q704" i="25"/>
  <c r="R704" i="25"/>
  <c r="S704" i="25"/>
  <c r="S549" i="25"/>
  <c r="R549" i="25"/>
  <c r="Q549" i="25"/>
  <c r="AH238" i="25"/>
  <c r="AL238" i="25"/>
  <c r="AO238" i="25" s="1"/>
  <c r="AR238" i="25" s="1"/>
  <c r="AM238" i="25"/>
  <c r="AK238" i="25"/>
  <c r="AJ238" i="25"/>
  <c r="AP238" i="25" s="1"/>
  <c r="AS238" i="25" s="1"/>
  <c r="O239" i="25"/>
  <c r="V239" i="25"/>
  <c r="U239" i="25"/>
  <c r="X239" i="25" s="1"/>
  <c r="AA239" i="25" s="1"/>
  <c r="Y239" i="25"/>
  <c r="AC239" i="25" s="1"/>
  <c r="T239" i="25"/>
  <c r="P239" i="25"/>
  <c r="N239" i="25"/>
  <c r="W239" i="25"/>
  <c r="Z239" i="25" s="1"/>
  <c r="AB239" i="25" s="1"/>
  <c r="AD239" i="25" s="1"/>
  <c r="AE239" i="25" s="1"/>
  <c r="AP239" i="25"/>
  <c r="AS239" i="25" s="1"/>
  <c r="AN239" i="25"/>
  <c r="AQ239" i="25" s="1"/>
  <c r="AO239" i="25"/>
  <c r="AR239" i="25" s="1"/>
  <c r="N863" i="25"/>
  <c r="R863" i="25"/>
  <c r="Z863" i="25"/>
  <c r="V861" i="25"/>
  <c r="W861" i="25" s="1"/>
  <c r="X861" i="25" s="1"/>
  <c r="O861" i="25"/>
  <c r="X393" i="25"/>
  <c r="AA393" i="25" s="1"/>
  <c r="AP392" i="25"/>
  <c r="AS392" i="25" s="1"/>
  <c r="AB702" i="25"/>
  <c r="AD702" i="25" s="1"/>
  <c r="AE702" i="25" s="1"/>
  <c r="AP547" i="25"/>
  <c r="AS547" i="25" s="1"/>
  <c r="W393" i="25"/>
  <c r="Z393" i="25" s="1"/>
  <c r="K862" i="25"/>
  <c r="AL703" i="25"/>
  <c r="AM703" i="25"/>
  <c r="W548" i="25"/>
  <c r="Z548" i="25" s="1"/>
  <c r="AB548" i="25" s="1"/>
  <c r="AD548" i="25" s="1"/>
  <c r="AE548" i="25" s="1"/>
  <c r="AI548" i="25"/>
  <c r="AH548" i="25"/>
  <c r="W703" i="25"/>
  <c r="Z703" i="25" s="1"/>
  <c r="AB703" i="25" s="1"/>
  <c r="AD703" i="25" s="1"/>
  <c r="AE703" i="25" s="1"/>
  <c r="AH703" i="25"/>
  <c r="AI703" i="25"/>
  <c r="AJ393" i="25"/>
  <c r="AP393" i="25" s="1"/>
  <c r="AS393" i="25" s="1"/>
  <c r="AK393" i="25"/>
  <c r="AN393" i="25" s="1"/>
  <c r="AQ393" i="25" s="1"/>
  <c r="AI393" i="25"/>
  <c r="AO393" i="25" s="1"/>
  <c r="AR393" i="25" s="1"/>
  <c r="AH393" i="25"/>
  <c r="AM393" i="25"/>
  <c r="AL393" i="25"/>
  <c r="J864" i="25"/>
  <c r="T704" i="25"/>
  <c r="U704" i="25"/>
  <c r="N704" i="25"/>
  <c r="V704" i="25"/>
  <c r="P704" i="25"/>
  <c r="O704" i="25"/>
  <c r="H864" i="25"/>
  <c r="Q864" i="25" s="1"/>
  <c r="I864" i="25"/>
  <c r="R864" i="25" s="1"/>
  <c r="Y704" i="25"/>
  <c r="AC704" i="25" s="1"/>
  <c r="W704" i="25"/>
  <c r="Z704" i="25" s="1"/>
  <c r="AJ548" i="25"/>
  <c r="AK548" i="25"/>
  <c r="M705" i="25"/>
  <c r="T549" i="25"/>
  <c r="X549" i="25" s="1"/>
  <c r="AA549" i="25" s="1"/>
  <c r="U549" i="25"/>
  <c r="O549" i="25"/>
  <c r="N549" i="25"/>
  <c r="P549" i="25"/>
  <c r="W549" i="25"/>
  <c r="Z549" i="25" s="1"/>
  <c r="AB549" i="25" s="1"/>
  <c r="AD549" i="25" s="1"/>
  <c r="AE549" i="25" s="1"/>
  <c r="V549" i="25"/>
  <c r="Y549" i="25"/>
  <c r="AC549" i="25" s="1"/>
  <c r="AK703" i="25"/>
  <c r="AN703" i="25" s="1"/>
  <c r="AQ703" i="25" s="1"/>
  <c r="AJ703" i="25"/>
  <c r="AL548" i="25"/>
  <c r="AM548" i="25"/>
  <c r="M550" i="25"/>
  <c r="T394" i="25"/>
  <c r="X394" i="25" s="1"/>
  <c r="AA394" i="25" s="1"/>
  <c r="O394" i="25"/>
  <c r="Y394" i="25"/>
  <c r="P394" i="25"/>
  <c r="AC394" i="25"/>
  <c r="N394" i="25"/>
  <c r="U394" i="25"/>
  <c r="V394" i="25"/>
  <c r="F82" i="25"/>
  <c r="O81" i="25"/>
  <c r="AH80" i="25"/>
  <c r="AP80" i="25" s="1"/>
  <c r="AS80" i="25" s="1"/>
  <c r="AM80" i="25"/>
  <c r="C83" i="25"/>
  <c r="Y82" i="25"/>
  <c r="AC82" i="25" s="1"/>
  <c r="AD82" i="25" s="1"/>
  <c r="AE82" i="25" s="1"/>
  <c r="AA861" i="25"/>
  <c r="AB861" i="25" s="1"/>
  <c r="AC861" i="25" s="1"/>
  <c r="AD861" i="25" s="1"/>
  <c r="AN79" i="25"/>
  <c r="AQ79" i="25" s="1"/>
  <c r="K863" i="25" s="1"/>
  <c r="AJ81" i="25"/>
  <c r="AL81" i="25"/>
  <c r="AI80" i="25"/>
  <c r="AO80" i="25" s="1"/>
  <c r="AR80" i="25" s="1"/>
  <c r="AK80" i="25"/>
  <c r="E83" i="25"/>
  <c r="N82" i="25"/>
  <c r="D82" i="25"/>
  <c r="P81" i="25"/>
  <c r="B708" i="25"/>
  <c r="B556" i="25"/>
  <c r="B400" i="25"/>
  <c r="M395" i="25"/>
  <c r="B240" i="25"/>
  <c r="M240" i="25" s="1"/>
  <c r="R240" i="25" l="1"/>
  <c r="S240" i="25"/>
  <c r="Q240" i="25"/>
  <c r="S395" i="25"/>
  <c r="Q395" i="25"/>
  <c r="R395" i="25"/>
  <c r="S705" i="25"/>
  <c r="Q705" i="25"/>
  <c r="R705" i="25"/>
  <c r="Q550" i="25"/>
  <c r="R550" i="25"/>
  <c r="S550" i="25"/>
  <c r="AM239" i="25"/>
  <c r="AL239" i="25"/>
  <c r="P240" i="25"/>
  <c r="T240" i="25"/>
  <c r="N240" i="25"/>
  <c r="V240" i="25"/>
  <c r="Y240" i="25"/>
  <c r="AC240" i="25"/>
  <c r="O240" i="25"/>
  <c r="U240" i="25"/>
  <c r="X240" i="25"/>
  <c r="AA240" i="25" s="1"/>
  <c r="W240" i="25"/>
  <c r="Z240" i="25" s="1"/>
  <c r="AB240" i="25" s="1"/>
  <c r="AD240" i="25" s="1"/>
  <c r="AE240" i="25" s="1"/>
  <c r="AP240" i="25"/>
  <c r="AS240" i="25" s="1"/>
  <c r="AJ239" i="25"/>
  <c r="AK239" i="25"/>
  <c r="AH239" i="25"/>
  <c r="AI239" i="25"/>
  <c r="N864" i="25"/>
  <c r="S864" i="25"/>
  <c r="Z864" i="25"/>
  <c r="M863" i="25"/>
  <c r="V863" i="25" s="1"/>
  <c r="AO548" i="25"/>
  <c r="AR548" i="25" s="1"/>
  <c r="L864" i="25" s="1"/>
  <c r="U864" i="25" s="1"/>
  <c r="W394" i="25"/>
  <c r="Z394" i="25" s="1"/>
  <c r="AB394" i="25" s="1"/>
  <c r="AD394" i="25" s="1"/>
  <c r="AE394" i="25" s="1"/>
  <c r="X704" i="25"/>
  <c r="AA704" i="25" s="1"/>
  <c r="AB704" i="25" s="1"/>
  <c r="AD704" i="25" s="1"/>
  <c r="AE704" i="25" s="1"/>
  <c r="AO703" i="25"/>
  <c r="AR703" i="25" s="1"/>
  <c r="L863" i="25" s="1"/>
  <c r="U863" i="25" s="1"/>
  <c r="O862" i="25"/>
  <c r="T862" i="25"/>
  <c r="AP703" i="25"/>
  <c r="AS703" i="25" s="1"/>
  <c r="AB393" i="25"/>
  <c r="AD393" i="25" s="1"/>
  <c r="AE393" i="25" s="1"/>
  <c r="AN548" i="25"/>
  <c r="AQ548" i="25" s="1"/>
  <c r="AP548" i="25"/>
  <c r="AS548" i="25" s="1"/>
  <c r="AL549" i="25"/>
  <c r="AM549" i="25"/>
  <c r="AK549" i="25"/>
  <c r="AN549" i="25" s="1"/>
  <c r="AQ549" i="25" s="1"/>
  <c r="AJ549" i="25"/>
  <c r="AI549" i="25"/>
  <c r="AH549" i="25"/>
  <c r="AP549" i="25" s="1"/>
  <c r="AS549" i="25" s="1"/>
  <c r="H865" i="25"/>
  <c r="I865" i="25"/>
  <c r="R865" i="25" s="1"/>
  <c r="J865" i="25"/>
  <c r="S865" i="25" s="1"/>
  <c r="T705" i="25"/>
  <c r="N705" i="25"/>
  <c r="V705" i="25"/>
  <c r="U705" i="25"/>
  <c r="X705" i="25" s="1"/>
  <c r="AA705" i="25" s="1"/>
  <c r="Y705" i="25"/>
  <c r="AC705" i="25" s="1"/>
  <c r="O705" i="25"/>
  <c r="P705" i="25"/>
  <c r="AJ704" i="25"/>
  <c r="AK704" i="25"/>
  <c r="AM704" i="25"/>
  <c r="AL704" i="25"/>
  <c r="AI704" i="25"/>
  <c r="AO704" i="25" s="1"/>
  <c r="AR704" i="25" s="1"/>
  <c r="AH704" i="25"/>
  <c r="AL394" i="25"/>
  <c r="AM394" i="25"/>
  <c r="AK394" i="25"/>
  <c r="AN394" i="25" s="1"/>
  <c r="AQ394" i="25" s="1"/>
  <c r="AJ394" i="25"/>
  <c r="M706" i="25"/>
  <c r="O550" i="25"/>
  <c r="Y550" i="25"/>
  <c r="AC550" i="25"/>
  <c r="T550" i="25"/>
  <c r="X550" i="25" s="1"/>
  <c r="AA550" i="25" s="1"/>
  <c r="U550" i="25"/>
  <c r="V550" i="25"/>
  <c r="N550" i="25"/>
  <c r="P550" i="25"/>
  <c r="M551" i="25"/>
  <c r="T395" i="25"/>
  <c r="U395" i="25"/>
  <c r="X395" i="25" s="1"/>
  <c r="AA395" i="25" s="1"/>
  <c r="N395" i="25"/>
  <c r="V395" i="25"/>
  <c r="O395" i="25"/>
  <c r="P395" i="25"/>
  <c r="Y395" i="25"/>
  <c r="AC395" i="25" s="1"/>
  <c r="W395" i="25"/>
  <c r="Z395" i="25" s="1"/>
  <c r="AI394" i="25"/>
  <c r="AO394" i="25" s="1"/>
  <c r="AR394" i="25" s="1"/>
  <c r="AH394" i="25"/>
  <c r="AP394" i="25" s="1"/>
  <c r="AS394" i="25" s="1"/>
  <c r="AN80" i="25"/>
  <c r="AQ80" i="25" s="1"/>
  <c r="C84" i="25"/>
  <c r="Y83" i="25"/>
  <c r="AC83" i="25" s="1"/>
  <c r="AD83" i="25" s="1"/>
  <c r="AE83" i="25" s="1"/>
  <c r="E84" i="25"/>
  <c r="N83" i="25"/>
  <c r="AI81" i="25"/>
  <c r="AO81" i="25" s="1"/>
  <c r="AR81" i="25" s="1"/>
  <c r="AK81" i="25"/>
  <c r="T863" i="25"/>
  <c r="D83" i="25"/>
  <c r="P82" i="25"/>
  <c r="AH81" i="25"/>
  <c r="AP81" i="25" s="1"/>
  <c r="AS81" i="25" s="1"/>
  <c r="AM81" i="25"/>
  <c r="AJ82" i="25"/>
  <c r="AL82" i="25"/>
  <c r="F83" i="25"/>
  <c r="O82" i="25"/>
  <c r="B709" i="25"/>
  <c r="B557" i="25"/>
  <c r="B401" i="25"/>
  <c r="B241" i="25"/>
  <c r="M241" i="25" s="1"/>
  <c r="M396" i="25"/>
  <c r="Q551" i="25" l="1"/>
  <c r="R551" i="25"/>
  <c r="S551" i="25"/>
  <c r="Q396" i="25"/>
  <c r="R396" i="25"/>
  <c r="S396" i="25"/>
  <c r="Q706" i="25"/>
  <c r="R706" i="25"/>
  <c r="S706" i="25"/>
  <c r="Q241" i="25"/>
  <c r="R241" i="25"/>
  <c r="S241" i="25"/>
  <c r="AI240" i="25"/>
  <c r="AO240" i="25" s="1"/>
  <c r="AR240" i="25" s="1"/>
  <c r="AH240" i="25"/>
  <c r="AL240" i="25"/>
  <c r="AM240" i="25"/>
  <c r="O241" i="25"/>
  <c r="T241" i="25"/>
  <c r="V241" i="25"/>
  <c r="Y241" i="25"/>
  <c r="AC241" i="25" s="1"/>
  <c r="N241" i="25"/>
  <c r="U241" i="25"/>
  <c r="W241" i="25"/>
  <c r="Z241" i="25" s="1"/>
  <c r="AB241" i="25" s="1"/>
  <c r="AD241" i="25" s="1"/>
  <c r="AE241" i="25" s="1"/>
  <c r="P241" i="25"/>
  <c r="X241" i="25"/>
  <c r="AA241" i="25" s="1"/>
  <c r="AP241" i="25"/>
  <c r="AS241" i="25" s="1"/>
  <c r="AK240" i="25"/>
  <c r="AN240" i="25" s="1"/>
  <c r="AQ240" i="25" s="1"/>
  <c r="AJ240" i="25"/>
  <c r="O863" i="25"/>
  <c r="Q865" i="25"/>
  <c r="Z865" i="25" s="1"/>
  <c r="N865" i="25"/>
  <c r="W550" i="25"/>
  <c r="Z550" i="25" s="1"/>
  <c r="AB550" i="25" s="1"/>
  <c r="AD550" i="25" s="1"/>
  <c r="AE550" i="25" s="1"/>
  <c r="AN704" i="25"/>
  <c r="AQ704" i="25" s="1"/>
  <c r="AB395" i="25"/>
  <c r="AD395" i="25" s="1"/>
  <c r="AE395" i="25" s="1"/>
  <c r="AO549" i="25"/>
  <c r="AR549" i="25" s="1"/>
  <c r="K864" i="25"/>
  <c r="T864" i="25" s="1"/>
  <c r="AA862" i="25"/>
  <c r="AB862" i="25" s="1"/>
  <c r="AC862" i="25" s="1"/>
  <c r="AD862" i="25" s="1"/>
  <c r="W862" i="25"/>
  <c r="X862" i="25" s="1"/>
  <c r="AP704" i="25"/>
  <c r="AS704" i="25" s="1"/>
  <c r="M864" i="25" s="1"/>
  <c r="V864" i="25" s="1"/>
  <c r="M552" i="25"/>
  <c r="U396" i="25"/>
  <c r="P396" i="25"/>
  <c r="T396" i="25"/>
  <c r="V396" i="25"/>
  <c r="X396" i="25" s="1"/>
  <c r="AA396" i="25" s="1"/>
  <c r="Y396" i="25"/>
  <c r="AC396" i="25" s="1"/>
  <c r="N396" i="25"/>
  <c r="O396" i="25"/>
  <c r="AK705" i="25"/>
  <c r="AJ705" i="25"/>
  <c r="AM550" i="25"/>
  <c r="AL550" i="25"/>
  <c r="O706" i="25"/>
  <c r="P706" i="25"/>
  <c r="Y706" i="25"/>
  <c r="AC706" i="25" s="1"/>
  <c r="H866" i="25"/>
  <c r="J866" i="25"/>
  <c r="S866" i="25" s="1"/>
  <c r="N706" i="25"/>
  <c r="I866" i="25"/>
  <c r="R866" i="25" s="1"/>
  <c r="T706" i="25"/>
  <c r="U706" i="25"/>
  <c r="V706" i="25"/>
  <c r="W705" i="25"/>
  <c r="Z705" i="25" s="1"/>
  <c r="AB705" i="25" s="1"/>
  <c r="AD705" i="25" s="1"/>
  <c r="AE705" i="25" s="1"/>
  <c r="AH705" i="25"/>
  <c r="AP705" i="25" s="1"/>
  <c r="AS705" i="25" s="1"/>
  <c r="M865" i="25" s="1"/>
  <c r="V865" i="25" s="1"/>
  <c r="AI705" i="25"/>
  <c r="AK550" i="25"/>
  <c r="AN550" i="25" s="1"/>
  <c r="AQ550" i="25" s="1"/>
  <c r="AJ550" i="25"/>
  <c r="AM395" i="25"/>
  <c r="AL395" i="25"/>
  <c r="AK395" i="25"/>
  <c r="AN395" i="25" s="1"/>
  <c r="AQ395" i="25" s="1"/>
  <c r="AJ395" i="25"/>
  <c r="AI395" i="25"/>
  <c r="AH395" i="25"/>
  <c r="AH550" i="25"/>
  <c r="AP550" i="25" s="1"/>
  <c r="AS550" i="25" s="1"/>
  <c r="AI550" i="25"/>
  <c r="AO550" i="25" s="1"/>
  <c r="AR550" i="25" s="1"/>
  <c r="M707" i="25"/>
  <c r="AC551" i="25"/>
  <c r="T551" i="25"/>
  <c r="U551" i="25"/>
  <c r="O551" i="25"/>
  <c r="X551" i="25"/>
  <c r="AA551" i="25" s="1"/>
  <c r="V551" i="25"/>
  <c r="Y551" i="25"/>
  <c r="N551" i="25"/>
  <c r="P551" i="25"/>
  <c r="AL705" i="25"/>
  <c r="AM705" i="25"/>
  <c r="F84" i="25"/>
  <c r="O83" i="25"/>
  <c r="AN81" i="25"/>
  <c r="AQ81" i="25" s="1"/>
  <c r="AL83" i="25"/>
  <c r="AJ83" i="25"/>
  <c r="E85" i="25"/>
  <c r="N84" i="25"/>
  <c r="AK82" i="25"/>
  <c r="AI82" i="25"/>
  <c r="AO82" i="25" s="1"/>
  <c r="AR82" i="25" s="1"/>
  <c r="D84" i="25"/>
  <c r="P83" i="25"/>
  <c r="C85" i="25"/>
  <c r="Y84" i="25"/>
  <c r="AC84" i="25" s="1"/>
  <c r="AD84" i="25" s="1"/>
  <c r="AE84" i="25" s="1"/>
  <c r="AM82" i="25"/>
  <c r="AH82" i="25"/>
  <c r="AP82" i="25" s="1"/>
  <c r="AS82" i="25" s="1"/>
  <c r="AA863" i="25"/>
  <c r="AB863" i="25" s="1"/>
  <c r="AC863" i="25" s="1"/>
  <c r="AD863" i="25" s="1"/>
  <c r="W863" i="25"/>
  <c r="X863" i="25" s="1"/>
  <c r="B710" i="25"/>
  <c r="B558" i="25"/>
  <c r="B402" i="25"/>
  <c r="M397" i="25"/>
  <c r="B242" i="25"/>
  <c r="M242" i="25" s="1"/>
  <c r="R552" i="25" l="1"/>
  <c r="Q552" i="25"/>
  <c r="S552" i="25"/>
  <c r="R242" i="25"/>
  <c r="Q242" i="25"/>
  <c r="S242" i="25"/>
  <c r="Q397" i="25"/>
  <c r="S397" i="25"/>
  <c r="R397" i="25"/>
  <c r="Q707" i="25"/>
  <c r="R707" i="25"/>
  <c r="S707" i="25"/>
  <c r="AL241" i="25"/>
  <c r="AM241" i="25"/>
  <c r="AJ241" i="25"/>
  <c r="AK241" i="25"/>
  <c r="AN241" i="25" s="1"/>
  <c r="AQ241" i="25" s="1"/>
  <c r="AI241" i="25"/>
  <c r="AO241" i="25" s="1"/>
  <c r="AR241" i="25" s="1"/>
  <c r="AH241" i="25"/>
  <c r="N242" i="25"/>
  <c r="U242" i="25"/>
  <c r="V242" i="25"/>
  <c r="O242" i="25"/>
  <c r="T242" i="25"/>
  <c r="P242" i="25"/>
  <c r="Y242" i="25"/>
  <c r="AC242" i="25" s="1"/>
  <c r="W242" i="25"/>
  <c r="Z242" i="25" s="1"/>
  <c r="AB242" i="25" s="1"/>
  <c r="AD242" i="25" s="1"/>
  <c r="AE242" i="25" s="1"/>
  <c r="X242" i="25"/>
  <c r="AA242" i="25" s="1"/>
  <c r="AO242" i="25"/>
  <c r="AR242" i="25" s="1"/>
  <c r="O864" i="25"/>
  <c r="Q866" i="25"/>
  <c r="Z866" i="25" s="1"/>
  <c r="N866" i="25"/>
  <c r="X706" i="25"/>
  <c r="AA706" i="25" s="1"/>
  <c r="W706" i="25"/>
  <c r="Z706" i="25" s="1"/>
  <c r="AP395" i="25"/>
  <c r="AS395" i="25" s="1"/>
  <c r="AO705" i="25"/>
  <c r="AR705" i="25" s="1"/>
  <c r="L865" i="25" s="1"/>
  <c r="U865" i="25" s="1"/>
  <c r="AO395" i="25"/>
  <c r="AR395" i="25" s="1"/>
  <c r="AN705" i="25"/>
  <c r="AQ705" i="25" s="1"/>
  <c r="K865" i="25" s="1"/>
  <c r="W551" i="25"/>
  <c r="Z551" i="25" s="1"/>
  <c r="AB551" i="25" s="1"/>
  <c r="AD551" i="25" s="1"/>
  <c r="AE551" i="25" s="1"/>
  <c r="AJ551" i="25"/>
  <c r="AK551" i="25"/>
  <c r="AI706" i="25"/>
  <c r="AH706" i="25"/>
  <c r="T707" i="25"/>
  <c r="X707" i="25" s="1"/>
  <c r="AA707" i="25" s="1"/>
  <c r="U707" i="25"/>
  <c r="N707" i="25"/>
  <c r="V707" i="25"/>
  <c r="P707" i="25"/>
  <c r="AC707" i="25"/>
  <c r="O707" i="25"/>
  <c r="H867" i="25"/>
  <c r="I867" i="25"/>
  <c r="R867" i="25" s="1"/>
  <c r="J867" i="25"/>
  <c r="S867" i="25" s="1"/>
  <c r="Y707" i="25"/>
  <c r="M553" i="25"/>
  <c r="N397" i="25"/>
  <c r="V397" i="25"/>
  <c r="O397" i="25"/>
  <c r="P397" i="25"/>
  <c r="Y397" i="25"/>
  <c r="AC397" i="25" s="1"/>
  <c r="T397" i="25"/>
  <c r="X397" i="25" s="1"/>
  <c r="AA397" i="25" s="1"/>
  <c r="U397" i="25"/>
  <c r="AM396" i="25"/>
  <c r="AL396" i="25"/>
  <c r="AK396" i="25"/>
  <c r="AN396" i="25" s="1"/>
  <c r="AQ396" i="25" s="1"/>
  <c r="AJ396" i="25"/>
  <c r="AM551" i="25"/>
  <c r="AL551" i="25"/>
  <c r="W396" i="25"/>
  <c r="Z396" i="25" s="1"/>
  <c r="AB396" i="25" s="1"/>
  <c r="AD396" i="25" s="1"/>
  <c r="AE396" i="25" s="1"/>
  <c r="AH396" i="25"/>
  <c r="AI396" i="25"/>
  <c r="AJ706" i="25"/>
  <c r="AK706" i="25"/>
  <c r="AN706" i="25" s="1"/>
  <c r="AQ706" i="25" s="1"/>
  <c r="AH551" i="25"/>
  <c r="AP551" i="25" s="1"/>
  <c r="AS551" i="25" s="1"/>
  <c r="AI551" i="25"/>
  <c r="AM706" i="25"/>
  <c r="AL706" i="25"/>
  <c r="U552" i="25"/>
  <c r="O552" i="25"/>
  <c r="Y552" i="25"/>
  <c r="AC552" i="25" s="1"/>
  <c r="P552" i="25"/>
  <c r="N552" i="25"/>
  <c r="T552" i="25"/>
  <c r="V552" i="25"/>
  <c r="W552" i="25"/>
  <c r="Z552" i="25" s="1"/>
  <c r="M708" i="25"/>
  <c r="AL84" i="25"/>
  <c r="AJ84" i="25"/>
  <c r="C86" i="25"/>
  <c r="Y85" i="25"/>
  <c r="AC85" i="25" s="1"/>
  <c r="AD85" i="25" s="1"/>
  <c r="AE85" i="25" s="1"/>
  <c r="AI83" i="25"/>
  <c r="AO83" i="25" s="1"/>
  <c r="AR83" i="25" s="1"/>
  <c r="AK83" i="25"/>
  <c r="AA864" i="25"/>
  <c r="AB864" i="25" s="1"/>
  <c r="AC864" i="25" s="1"/>
  <c r="AD864" i="25" s="1"/>
  <c r="W864" i="25"/>
  <c r="X864" i="25" s="1"/>
  <c r="D85" i="25"/>
  <c r="P84" i="25"/>
  <c r="AM83" i="25"/>
  <c r="AH83" i="25"/>
  <c r="AP83" i="25" s="1"/>
  <c r="AS83" i="25" s="1"/>
  <c r="E86" i="25"/>
  <c r="N85" i="25"/>
  <c r="AN82" i="25"/>
  <c r="AQ82" i="25" s="1"/>
  <c r="F85" i="25"/>
  <c r="O84" i="25"/>
  <c r="B711" i="25"/>
  <c r="B559" i="25"/>
  <c r="B403" i="25"/>
  <c r="B243" i="25"/>
  <c r="M243" i="25" s="1"/>
  <c r="M398" i="25"/>
  <c r="S553" i="25" l="1"/>
  <c r="Q553" i="25"/>
  <c r="R553" i="25"/>
  <c r="R708" i="25"/>
  <c r="S708" i="25"/>
  <c r="Q708" i="25"/>
  <c r="R398" i="25"/>
  <c r="S398" i="25"/>
  <c r="Q398" i="25"/>
  <c r="Q243" i="25"/>
  <c r="R243" i="25"/>
  <c r="S243" i="25"/>
  <c r="N243" i="25"/>
  <c r="U243" i="25"/>
  <c r="Y243" i="25"/>
  <c r="AC243" i="25"/>
  <c r="P243" i="25"/>
  <c r="T243" i="25"/>
  <c r="V243" i="25"/>
  <c r="X243" i="25" s="1"/>
  <c r="AA243" i="25" s="1"/>
  <c r="O243" i="25"/>
  <c r="W243" i="25"/>
  <c r="Z243" i="25" s="1"/>
  <c r="AB243" i="25" s="1"/>
  <c r="AD243" i="25" s="1"/>
  <c r="AE243" i="25" s="1"/>
  <c r="AJ242" i="25"/>
  <c r="AK242" i="25"/>
  <c r="AN242" i="25" s="1"/>
  <c r="AQ242" i="25" s="1"/>
  <c r="AI242" i="25"/>
  <c r="AH242" i="25"/>
  <c r="AP242" i="25" s="1"/>
  <c r="AS242" i="25" s="1"/>
  <c r="AM242" i="25"/>
  <c r="AL242" i="25"/>
  <c r="T865" i="25"/>
  <c r="AA865" i="25" s="1"/>
  <c r="AB865" i="25" s="1"/>
  <c r="AC865" i="25" s="1"/>
  <c r="AD865" i="25" s="1"/>
  <c r="O865" i="25"/>
  <c r="Q867" i="25"/>
  <c r="Z867" i="25" s="1"/>
  <c r="N867" i="25"/>
  <c r="AP706" i="25"/>
  <c r="AS706" i="25" s="1"/>
  <c r="M866" i="25" s="1"/>
  <c r="V866" i="25" s="1"/>
  <c r="AB706" i="25"/>
  <c r="AD706" i="25" s="1"/>
  <c r="AE706" i="25" s="1"/>
  <c r="X552" i="25"/>
  <c r="AA552" i="25" s="1"/>
  <c r="AB552" i="25" s="1"/>
  <c r="AD552" i="25" s="1"/>
  <c r="AE552" i="25" s="1"/>
  <c r="AO396" i="25"/>
  <c r="AR396" i="25" s="1"/>
  <c r="AO706" i="25"/>
  <c r="AR706" i="25" s="1"/>
  <c r="L866" i="25" s="1"/>
  <c r="U866" i="25" s="1"/>
  <c r="K866" i="25"/>
  <c r="AP396" i="25"/>
  <c r="AS396" i="25" s="1"/>
  <c r="AN551" i="25"/>
  <c r="AQ551" i="25" s="1"/>
  <c r="W397" i="25"/>
  <c r="Z397" i="25" s="1"/>
  <c r="AB397" i="25" s="1"/>
  <c r="AD397" i="25" s="1"/>
  <c r="AE397" i="25" s="1"/>
  <c r="AO551" i="25"/>
  <c r="AR551" i="25" s="1"/>
  <c r="L867" i="25" s="1"/>
  <c r="U867" i="25" s="1"/>
  <c r="AJ552" i="25"/>
  <c r="AK552" i="25"/>
  <c r="AL707" i="25"/>
  <c r="AM707" i="25"/>
  <c r="AJ397" i="25"/>
  <c r="AK397" i="25"/>
  <c r="AM397" i="25"/>
  <c r="AL397" i="25"/>
  <c r="AK707" i="25"/>
  <c r="AJ707" i="25"/>
  <c r="AI397" i="25"/>
  <c r="AH397" i="25"/>
  <c r="M709" i="25"/>
  <c r="T553" i="25"/>
  <c r="X553" i="25" s="1"/>
  <c r="AA553" i="25" s="1"/>
  <c r="U553" i="25"/>
  <c r="O553" i="25"/>
  <c r="N553" i="25"/>
  <c r="P553" i="25"/>
  <c r="W553" i="25"/>
  <c r="Z553" i="25" s="1"/>
  <c r="V553" i="25"/>
  <c r="Y553" i="25"/>
  <c r="AC553" i="25" s="1"/>
  <c r="W707" i="25"/>
  <c r="Z707" i="25" s="1"/>
  <c r="AB707" i="25" s="1"/>
  <c r="AD707" i="25" s="1"/>
  <c r="AE707" i="25" s="1"/>
  <c r="AH707" i="25"/>
  <c r="AP707" i="25" s="1"/>
  <c r="AS707" i="25" s="1"/>
  <c r="M867" i="25" s="1"/>
  <c r="V867" i="25" s="1"/>
  <c r="AI707" i="25"/>
  <c r="AO707" i="25" s="1"/>
  <c r="AR707" i="25" s="1"/>
  <c r="AL552" i="25"/>
  <c r="AM552" i="25"/>
  <c r="M554" i="25"/>
  <c r="P398" i="25"/>
  <c r="T398" i="25"/>
  <c r="X398" i="25" s="1"/>
  <c r="AA398" i="25" s="1"/>
  <c r="N398" i="25"/>
  <c r="O398" i="25"/>
  <c r="U398" i="25"/>
  <c r="V398" i="25"/>
  <c r="Y398" i="25"/>
  <c r="AC398" i="25" s="1"/>
  <c r="W708" i="25"/>
  <c r="Z708" i="25" s="1"/>
  <c r="I868" i="25"/>
  <c r="R868" i="25" s="1"/>
  <c r="J868" i="25"/>
  <c r="S868" i="25" s="1"/>
  <c r="U708" i="25"/>
  <c r="T708" i="25"/>
  <c r="V708" i="25"/>
  <c r="Y708" i="25"/>
  <c r="AC708" i="25" s="1"/>
  <c r="N708" i="25"/>
  <c r="O708" i="25"/>
  <c r="P708" i="25"/>
  <c r="AI552" i="25"/>
  <c r="AO552" i="25" s="1"/>
  <c r="AR552" i="25" s="1"/>
  <c r="AH552" i="25"/>
  <c r="AP552" i="25" s="1"/>
  <c r="AS552" i="25" s="1"/>
  <c r="AJ85" i="25"/>
  <c r="AL85" i="25"/>
  <c r="AN83" i="25"/>
  <c r="AQ83" i="25" s="1"/>
  <c r="AH84" i="25"/>
  <c r="AP84" i="25" s="1"/>
  <c r="AS84" i="25" s="1"/>
  <c r="AM84" i="25"/>
  <c r="C87" i="25"/>
  <c r="Y86" i="25"/>
  <c r="AC86" i="25" s="1"/>
  <c r="AD86" i="25" s="1"/>
  <c r="AE86" i="25" s="1"/>
  <c r="AI84" i="25"/>
  <c r="AO84" i="25" s="1"/>
  <c r="AR84" i="25" s="1"/>
  <c r="AK84" i="25"/>
  <c r="E87" i="25"/>
  <c r="N86" i="25"/>
  <c r="W865" i="25"/>
  <c r="X865" i="25" s="1"/>
  <c r="F86" i="25"/>
  <c r="O85" i="25"/>
  <c r="T866" i="25"/>
  <c r="D86" i="25"/>
  <c r="P85" i="25"/>
  <c r="B712" i="25"/>
  <c r="B560" i="25"/>
  <c r="B404" i="25"/>
  <c r="B405" i="25" s="1"/>
  <c r="B244" i="25"/>
  <c r="M244" i="25" s="1"/>
  <c r="M399" i="25"/>
  <c r="AK243" i="25" l="1"/>
  <c r="Q244" i="25"/>
  <c r="R244" i="25"/>
  <c r="S244" i="25"/>
  <c r="Q554" i="25"/>
  <c r="R554" i="25"/>
  <c r="S554" i="25"/>
  <c r="Q709" i="25"/>
  <c r="R709" i="25"/>
  <c r="S709" i="25"/>
  <c r="Q399" i="25"/>
  <c r="R399" i="25"/>
  <c r="S399" i="25"/>
  <c r="AJ243" i="25"/>
  <c r="AM243" i="25"/>
  <c r="AN243" i="25" s="1"/>
  <c r="AQ243" i="25" s="1"/>
  <c r="AL243" i="25"/>
  <c r="AH243" i="25"/>
  <c r="AP243" i="25" s="1"/>
  <c r="AS243" i="25" s="1"/>
  <c r="AI243" i="25"/>
  <c r="AO243" i="25" s="1"/>
  <c r="AR243" i="25" s="1"/>
  <c r="N244" i="25"/>
  <c r="Y244" i="25"/>
  <c r="AC244" i="25" s="1"/>
  <c r="T244" i="25"/>
  <c r="U244" i="25"/>
  <c r="X244" i="25" s="1"/>
  <c r="AA244" i="25" s="1"/>
  <c r="P244" i="25"/>
  <c r="V244" i="25"/>
  <c r="O244" i="25"/>
  <c r="W244" i="25"/>
  <c r="Z244" i="25" s="1"/>
  <c r="AB244" i="25" s="1"/>
  <c r="AD244" i="25" s="1"/>
  <c r="AE244" i="25" s="1"/>
  <c r="AO244" i="25"/>
  <c r="AR244" i="25" s="1"/>
  <c r="AN244" i="25"/>
  <c r="AQ244" i="25" s="1"/>
  <c r="O866" i="25"/>
  <c r="AB553" i="25"/>
  <c r="AD553" i="25" s="1"/>
  <c r="AE553" i="25" s="1"/>
  <c r="H868" i="25"/>
  <c r="AN397" i="25"/>
  <c r="AQ397" i="25" s="1"/>
  <c r="X708" i="25"/>
  <c r="AA708" i="25" s="1"/>
  <c r="AB708" i="25" s="1"/>
  <c r="AD708" i="25" s="1"/>
  <c r="AE708" i="25" s="1"/>
  <c r="AP397" i="25"/>
  <c r="AS397" i="25" s="1"/>
  <c r="K867" i="25"/>
  <c r="O867" i="25" s="1"/>
  <c r="AO397" i="25"/>
  <c r="AR397" i="25" s="1"/>
  <c r="AN552" i="25"/>
  <c r="AQ552" i="25" s="1"/>
  <c r="AN707" i="25"/>
  <c r="AQ707" i="25" s="1"/>
  <c r="AL553" i="25"/>
  <c r="AM553" i="25"/>
  <c r="AK553" i="25"/>
  <c r="AJ553" i="25"/>
  <c r="AL398" i="25"/>
  <c r="AM398" i="25"/>
  <c r="AI553" i="25"/>
  <c r="AH553" i="25"/>
  <c r="O709" i="25"/>
  <c r="Y709" i="25"/>
  <c r="AC709" i="25" s="1"/>
  <c r="P709" i="25"/>
  <c r="H869" i="25"/>
  <c r="J869" i="25"/>
  <c r="S869" i="25" s="1"/>
  <c r="N709" i="25"/>
  <c r="I869" i="25"/>
  <c r="R869" i="25" s="1"/>
  <c r="T709" i="25"/>
  <c r="U709" i="25"/>
  <c r="V709" i="25"/>
  <c r="AM708" i="25"/>
  <c r="AL708" i="25"/>
  <c r="M555" i="25"/>
  <c r="U399" i="25"/>
  <c r="P399" i="25"/>
  <c r="Y399" i="25"/>
  <c r="AC399" i="25" s="1"/>
  <c r="O399" i="25"/>
  <c r="T399" i="25"/>
  <c r="V399" i="25"/>
  <c r="X399" i="25"/>
  <c r="AA399" i="25" s="1"/>
  <c r="N399" i="25"/>
  <c r="AJ708" i="25"/>
  <c r="AK708" i="25"/>
  <c r="AK398" i="25"/>
  <c r="AN398" i="25" s="1"/>
  <c r="AQ398" i="25" s="1"/>
  <c r="AJ398" i="25"/>
  <c r="M710" i="25"/>
  <c r="O554" i="25"/>
  <c r="T554" i="25"/>
  <c r="X554" i="25" s="1"/>
  <c r="AA554" i="25" s="1"/>
  <c r="U554" i="25"/>
  <c r="V554" i="25"/>
  <c r="Y554" i="25"/>
  <c r="AC554" i="25" s="1"/>
  <c r="N554" i="25"/>
  <c r="P554" i="25"/>
  <c r="AI708" i="25"/>
  <c r="AO708" i="25" s="1"/>
  <c r="AR708" i="25" s="1"/>
  <c r="L868" i="25" s="1"/>
  <c r="U868" i="25" s="1"/>
  <c r="AH708" i="25"/>
  <c r="AP708" i="25" s="1"/>
  <c r="AS708" i="25" s="1"/>
  <c r="M868" i="25" s="1"/>
  <c r="V868" i="25" s="1"/>
  <c r="W398" i="25"/>
  <c r="Z398" i="25" s="1"/>
  <c r="AB398" i="25" s="1"/>
  <c r="AD398" i="25" s="1"/>
  <c r="AE398" i="25" s="1"/>
  <c r="AI398" i="25"/>
  <c r="AO398" i="25" s="1"/>
  <c r="AR398" i="25" s="1"/>
  <c r="AH398" i="25"/>
  <c r="F87" i="25"/>
  <c r="O86" i="25"/>
  <c r="C88" i="25"/>
  <c r="Y87" i="25"/>
  <c r="AC87" i="25" s="1"/>
  <c r="AD87" i="25" s="1"/>
  <c r="AE87" i="25" s="1"/>
  <c r="AI85" i="25"/>
  <c r="AO85" i="25" s="1"/>
  <c r="AR85" i="25" s="1"/>
  <c r="AK85" i="25"/>
  <c r="E88" i="25"/>
  <c r="N87" i="25"/>
  <c r="T867" i="25"/>
  <c r="AJ86" i="25"/>
  <c r="AL86" i="25"/>
  <c r="AN84" i="25"/>
  <c r="AQ84" i="25" s="1"/>
  <c r="AH85" i="25"/>
  <c r="AP85" i="25" s="1"/>
  <c r="AS85" i="25" s="1"/>
  <c r="AM85" i="25"/>
  <c r="D87" i="25"/>
  <c r="P86" i="25"/>
  <c r="W866" i="25"/>
  <c r="X866" i="25" s="1"/>
  <c r="AA866" i="25"/>
  <c r="AB866" i="25" s="1"/>
  <c r="AC866" i="25" s="1"/>
  <c r="AD866" i="25" s="1"/>
  <c r="B713" i="25"/>
  <c r="B561" i="25"/>
  <c r="B562" i="25" s="1"/>
  <c r="B406" i="25"/>
  <c r="B245" i="25"/>
  <c r="M245" i="25" s="1"/>
  <c r="M400" i="25"/>
  <c r="Q710" i="25" l="1"/>
  <c r="R710" i="25"/>
  <c r="S710" i="25"/>
  <c r="R400" i="25"/>
  <c r="Q400" i="25"/>
  <c r="S400" i="25"/>
  <c r="Q555" i="25"/>
  <c r="S555" i="25"/>
  <c r="R555" i="25"/>
  <c r="S245" i="25"/>
  <c r="Q245" i="25"/>
  <c r="R245" i="25"/>
  <c r="AL244" i="25"/>
  <c r="AM244" i="25"/>
  <c r="U245" i="25"/>
  <c r="Y245" i="25"/>
  <c r="AC245" i="25" s="1"/>
  <c r="T245" i="25"/>
  <c r="X245" i="25" s="1"/>
  <c r="AA245" i="25" s="1"/>
  <c r="N245" i="25"/>
  <c r="O245" i="25"/>
  <c r="W245" i="25"/>
  <c r="Z245" i="25" s="1"/>
  <c r="AB245" i="25" s="1"/>
  <c r="AD245" i="25" s="1"/>
  <c r="AE245" i="25" s="1"/>
  <c r="V245" i="25"/>
  <c r="P245" i="25"/>
  <c r="AP245" i="25"/>
  <c r="AS245" i="25" s="1"/>
  <c r="AJ244" i="25"/>
  <c r="AK244" i="25"/>
  <c r="AH244" i="25"/>
  <c r="AP244" i="25" s="1"/>
  <c r="AS244" i="25" s="1"/>
  <c r="AI244" i="25"/>
  <c r="N869" i="25"/>
  <c r="Q869" i="25"/>
  <c r="Z869" i="25" s="1"/>
  <c r="W554" i="25"/>
  <c r="Z554" i="25" s="1"/>
  <c r="AB554" i="25" s="1"/>
  <c r="AD554" i="25" s="1"/>
  <c r="AE554" i="25" s="1"/>
  <c r="W399" i="25"/>
  <c r="Z399" i="25" s="1"/>
  <c r="AB399" i="25" s="1"/>
  <c r="AD399" i="25" s="1"/>
  <c r="AE399" i="25" s="1"/>
  <c r="Q868" i="25"/>
  <c r="Z868" i="25" s="1"/>
  <c r="N868" i="25"/>
  <c r="AN553" i="25"/>
  <c r="AQ553" i="25" s="1"/>
  <c r="AN708" i="25"/>
  <c r="AQ708" i="25" s="1"/>
  <c r="K868" i="25" s="1"/>
  <c r="X709" i="25"/>
  <c r="AA709" i="25" s="1"/>
  <c r="AP398" i="25"/>
  <c r="AS398" i="25" s="1"/>
  <c r="AP553" i="25"/>
  <c r="AS553" i="25" s="1"/>
  <c r="AO553" i="25"/>
  <c r="AR553" i="25" s="1"/>
  <c r="M556" i="25"/>
  <c r="U400" i="25"/>
  <c r="N400" i="25"/>
  <c r="V400" i="25"/>
  <c r="T400" i="25"/>
  <c r="X400" i="25"/>
  <c r="AA400" i="25" s="1"/>
  <c r="Y400" i="25"/>
  <c r="AC400" i="25" s="1"/>
  <c r="O400" i="25"/>
  <c r="P400" i="25"/>
  <c r="M711" i="25"/>
  <c r="U555" i="25"/>
  <c r="N555" i="25"/>
  <c r="V555" i="25"/>
  <c r="P555" i="25"/>
  <c r="Y555" i="25"/>
  <c r="AC555" i="25" s="1"/>
  <c r="O555" i="25"/>
  <c r="T555" i="25"/>
  <c r="X555" i="25" s="1"/>
  <c r="AA555" i="25" s="1"/>
  <c r="AK709" i="25"/>
  <c r="AJ709" i="25"/>
  <c r="AH554" i="25"/>
  <c r="AI554" i="25"/>
  <c r="AM399" i="25"/>
  <c r="AL399" i="25"/>
  <c r="AK399" i="25"/>
  <c r="AN399" i="25" s="1"/>
  <c r="AQ399" i="25" s="1"/>
  <c r="AJ399" i="25"/>
  <c r="AL709" i="25"/>
  <c r="AM709" i="25"/>
  <c r="W709" i="25"/>
  <c r="Z709" i="25" s="1"/>
  <c r="AB709" i="25" s="1"/>
  <c r="AD709" i="25" s="1"/>
  <c r="AE709" i="25" s="1"/>
  <c r="AH709" i="25"/>
  <c r="AI709" i="25"/>
  <c r="T710" i="25"/>
  <c r="U710" i="25"/>
  <c r="N710" i="25"/>
  <c r="V710" i="25"/>
  <c r="P710" i="25"/>
  <c r="O710" i="25"/>
  <c r="H870" i="25"/>
  <c r="Q870" i="25" s="1"/>
  <c r="I870" i="25"/>
  <c r="R870" i="25" s="1"/>
  <c r="J870" i="25"/>
  <c r="Y710" i="25"/>
  <c r="AC710" i="25" s="1"/>
  <c r="AI399" i="25"/>
  <c r="AO399" i="25" s="1"/>
  <c r="AR399" i="25" s="1"/>
  <c r="AH399" i="25"/>
  <c r="AM554" i="25"/>
  <c r="AL554" i="25"/>
  <c r="AK554" i="25"/>
  <c r="AN554" i="25" s="1"/>
  <c r="AQ554" i="25" s="1"/>
  <c r="AJ554" i="25"/>
  <c r="AL87" i="25"/>
  <c r="AJ87" i="25"/>
  <c r="E89" i="25"/>
  <c r="N88" i="25"/>
  <c r="AN85" i="25"/>
  <c r="AQ85" i="25" s="1"/>
  <c r="D88" i="25"/>
  <c r="P87" i="25"/>
  <c r="C89" i="25"/>
  <c r="Y88" i="25"/>
  <c r="AC88" i="25" s="1"/>
  <c r="AD88" i="25" s="1"/>
  <c r="AE88" i="25" s="1"/>
  <c r="AM86" i="25"/>
  <c r="AH86" i="25"/>
  <c r="AP86" i="25" s="1"/>
  <c r="AS86" i="25" s="1"/>
  <c r="AK86" i="25"/>
  <c r="AI86" i="25"/>
  <c r="AO86" i="25" s="1"/>
  <c r="AR86" i="25" s="1"/>
  <c r="AA867" i="25"/>
  <c r="AB867" i="25" s="1"/>
  <c r="AC867" i="25" s="1"/>
  <c r="AD867" i="25" s="1"/>
  <c r="W867" i="25"/>
  <c r="X867" i="25" s="1"/>
  <c r="F88" i="25"/>
  <c r="O87" i="25"/>
  <c r="B714" i="25"/>
  <c r="B563" i="25"/>
  <c r="B576" i="25"/>
  <c r="B407" i="25"/>
  <c r="B246" i="25"/>
  <c r="M246" i="25" s="1"/>
  <c r="M401" i="25"/>
  <c r="R556" i="25" l="1"/>
  <c r="S556" i="25"/>
  <c r="Q556" i="25"/>
  <c r="Q246" i="25"/>
  <c r="R246" i="25"/>
  <c r="S246" i="25"/>
  <c r="Q401" i="25"/>
  <c r="R401" i="25"/>
  <c r="S401" i="25"/>
  <c r="Q711" i="25"/>
  <c r="R711" i="25"/>
  <c r="S711" i="25"/>
  <c r="AI245" i="25"/>
  <c r="AO245" i="25" s="1"/>
  <c r="AR245" i="25" s="1"/>
  <c r="AH245" i="25"/>
  <c r="P246" i="25"/>
  <c r="N246" i="25"/>
  <c r="U246" i="25"/>
  <c r="V246" i="25"/>
  <c r="O246" i="25"/>
  <c r="T246" i="25"/>
  <c r="Y246" i="25"/>
  <c r="AC246" i="25" s="1"/>
  <c r="X246" i="25"/>
  <c r="AA246" i="25" s="1"/>
  <c r="W246" i="25"/>
  <c r="Z246" i="25" s="1"/>
  <c r="AB246" i="25" s="1"/>
  <c r="AD246" i="25" s="1"/>
  <c r="AE246" i="25" s="1"/>
  <c r="AN246" i="25"/>
  <c r="AQ246" i="25" s="1"/>
  <c r="AJ245" i="25"/>
  <c r="AK245" i="25"/>
  <c r="AN245" i="25" s="1"/>
  <c r="AQ245" i="25" s="1"/>
  <c r="AL245" i="25"/>
  <c r="AM245" i="25"/>
  <c r="O868" i="25"/>
  <c r="T868" i="25"/>
  <c r="Z870" i="25"/>
  <c r="N870" i="25"/>
  <c r="S870" i="25"/>
  <c r="AP554" i="25"/>
  <c r="AS554" i="25" s="1"/>
  <c r="AN709" i="25"/>
  <c r="AQ709" i="25" s="1"/>
  <c r="K869" i="25" s="1"/>
  <c r="W555" i="25"/>
  <c r="Z555" i="25" s="1"/>
  <c r="AB555" i="25" s="1"/>
  <c r="AD555" i="25" s="1"/>
  <c r="AE555" i="25" s="1"/>
  <c r="X710" i="25"/>
  <c r="AA710" i="25" s="1"/>
  <c r="AO709" i="25"/>
  <c r="AR709" i="25" s="1"/>
  <c r="L869" i="25" s="1"/>
  <c r="U869" i="25" s="1"/>
  <c r="AP399" i="25"/>
  <c r="AS399" i="25" s="1"/>
  <c r="AP709" i="25"/>
  <c r="AS709" i="25" s="1"/>
  <c r="M869" i="25" s="1"/>
  <c r="V869" i="25" s="1"/>
  <c r="AO554" i="25"/>
  <c r="AR554" i="25" s="1"/>
  <c r="AM400" i="25"/>
  <c r="AL400" i="25"/>
  <c r="AM710" i="25"/>
  <c r="AL710" i="25"/>
  <c r="W400" i="25"/>
  <c r="Z400" i="25" s="1"/>
  <c r="AB400" i="25" s="1"/>
  <c r="AD400" i="25" s="1"/>
  <c r="AE400" i="25" s="1"/>
  <c r="AH400" i="25"/>
  <c r="AI400" i="25"/>
  <c r="AO400" i="25" s="1"/>
  <c r="AR400" i="25" s="1"/>
  <c r="W710" i="25"/>
  <c r="Z710" i="25" s="1"/>
  <c r="AB710" i="25" s="1"/>
  <c r="AD710" i="25" s="1"/>
  <c r="AE710" i="25" s="1"/>
  <c r="AJ710" i="25"/>
  <c r="AK710" i="25"/>
  <c r="AN710" i="25" s="1"/>
  <c r="AQ710" i="25" s="1"/>
  <c r="AI710" i="25"/>
  <c r="AH710" i="25"/>
  <c r="AJ555" i="25"/>
  <c r="AK555" i="25"/>
  <c r="AH555" i="25"/>
  <c r="AP555" i="25" s="1"/>
  <c r="AS555" i="25" s="1"/>
  <c r="AI555" i="25"/>
  <c r="AO555" i="25" s="1"/>
  <c r="AR555" i="25" s="1"/>
  <c r="AM555" i="25"/>
  <c r="AL555" i="25"/>
  <c r="AK400" i="25"/>
  <c r="AJ400" i="25"/>
  <c r="M557" i="25"/>
  <c r="O401" i="25"/>
  <c r="T401" i="25"/>
  <c r="X401" i="25" s="1"/>
  <c r="AA401" i="25" s="1"/>
  <c r="AB401" i="25" s="1"/>
  <c r="AD401" i="25" s="1"/>
  <c r="AE401" i="25" s="1"/>
  <c r="U401" i="25"/>
  <c r="V401" i="25"/>
  <c r="N401" i="25"/>
  <c r="Y401" i="25"/>
  <c r="AC401" i="25" s="1"/>
  <c r="P401" i="25"/>
  <c r="W401" i="25"/>
  <c r="Z401" i="25" s="1"/>
  <c r="I871" i="25"/>
  <c r="R871" i="25" s="1"/>
  <c r="J871" i="25"/>
  <c r="T711" i="25"/>
  <c r="X711" i="25" s="1"/>
  <c r="AA711" i="25" s="1"/>
  <c r="N711" i="25"/>
  <c r="V711" i="25"/>
  <c r="U711" i="25"/>
  <c r="Y711" i="25"/>
  <c r="AC711" i="25"/>
  <c r="O711" i="25"/>
  <c r="P711" i="25"/>
  <c r="H871" i="25"/>
  <c r="Q871" i="25" s="1"/>
  <c r="M712" i="25"/>
  <c r="P556" i="25"/>
  <c r="U556" i="25"/>
  <c r="N556" i="25"/>
  <c r="O556" i="25"/>
  <c r="T556" i="25"/>
  <c r="V556" i="25"/>
  <c r="Y556" i="25"/>
  <c r="AC556" i="25" s="1"/>
  <c r="AN86" i="25"/>
  <c r="AQ86" i="25" s="1"/>
  <c r="K870" i="25" s="1"/>
  <c r="D89" i="25"/>
  <c r="P88" i="25"/>
  <c r="AI87" i="25"/>
  <c r="AO87" i="25" s="1"/>
  <c r="AR87" i="25" s="1"/>
  <c r="AK87" i="25"/>
  <c r="AL88" i="25"/>
  <c r="AJ88" i="25"/>
  <c r="F89" i="25"/>
  <c r="O88" i="25"/>
  <c r="C90" i="25"/>
  <c r="Y89" i="25"/>
  <c r="AC89" i="25" s="1"/>
  <c r="AD89" i="25" s="1"/>
  <c r="AE89" i="25" s="1"/>
  <c r="E90" i="25"/>
  <c r="N89" i="25"/>
  <c r="AM87" i="25"/>
  <c r="AH87" i="25"/>
  <c r="AP87" i="25" s="1"/>
  <c r="AS87" i="25" s="1"/>
  <c r="AA868" i="25"/>
  <c r="AB868" i="25" s="1"/>
  <c r="AC868" i="25" s="1"/>
  <c r="AD868" i="25" s="1"/>
  <c r="W868" i="25"/>
  <c r="X868" i="25" s="1"/>
  <c r="B715" i="25"/>
  <c r="B564" i="25"/>
  <c r="B577" i="25"/>
  <c r="B408" i="25"/>
  <c r="M402" i="25"/>
  <c r="B247" i="25"/>
  <c r="M247" i="25" s="1"/>
  <c r="Q402" i="25" l="1"/>
  <c r="R402" i="25"/>
  <c r="S402" i="25"/>
  <c r="Q712" i="25"/>
  <c r="R712" i="25"/>
  <c r="S712" i="25"/>
  <c r="Q247" i="25"/>
  <c r="R247" i="25"/>
  <c r="S247" i="25"/>
  <c r="S557" i="25"/>
  <c r="Q557" i="25"/>
  <c r="R557" i="25"/>
  <c r="AL246" i="25"/>
  <c r="AM246" i="25"/>
  <c r="O247" i="25"/>
  <c r="N247" i="25"/>
  <c r="P247" i="25"/>
  <c r="T247" i="25"/>
  <c r="Y247" i="25"/>
  <c r="AC247" i="25" s="1"/>
  <c r="U247" i="25"/>
  <c r="V247" i="25"/>
  <c r="W247" i="25"/>
  <c r="Z247" i="25" s="1"/>
  <c r="X247" i="25"/>
  <c r="AA247" i="25" s="1"/>
  <c r="AP247" i="25"/>
  <c r="AS247" i="25" s="1"/>
  <c r="AB247" i="25"/>
  <c r="AD247" i="25" s="1"/>
  <c r="AE247" i="25" s="1"/>
  <c r="AK246" i="25"/>
  <c r="AJ246" i="25"/>
  <c r="AH246" i="25"/>
  <c r="AP246" i="25" s="1"/>
  <c r="AS246" i="25" s="1"/>
  <c r="AI246" i="25"/>
  <c r="AO246" i="25" s="1"/>
  <c r="AR246" i="25" s="1"/>
  <c r="N871" i="25"/>
  <c r="S871" i="25"/>
  <c r="Z871" i="25" s="1"/>
  <c r="O869" i="25"/>
  <c r="T869" i="25"/>
  <c r="AN555" i="25"/>
  <c r="AQ555" i="25" s="1"/>
  <c r="AP400" i="25"/>
  <c r="AS400" i="25" s="1"/>
  <c r="X556" i="25"/>
  <c r="AA556" i="25" s="1"/>
  <c r="AP710" i="25"/>
  <c r="AS710" i="25" s="1"/>
  <c r="M870" i="25" s="1"/>
  <c r="V870" i="25" s="1"/>
  <c r="W556" i="25"/>
  <c r="Z556" i="25" s="1"/>
  <c r="AN400" i="25"/>
  <c r="AQ400" i="25" s="1"/>
  <c r="AO710" i="25"/>
  <c r="AR710" i="25" s="1"/>
  <c r="L870" i="25" s="1"/>
  <c r="AL556" i="25"/>
  <c r="AM556" i="25"/>
  <c r="AM401" i="25"/>
  <c r="AL401" i="25"/>
  <c r="AJ556" i="25"/>
  <c r="AK556" i="25"/>
  <c r="AL711" i="25"/>
  <c r="AM711" i="25"/>
  <c r="AK711" i="25"/>
  <c r="AN711" i="25" s="1"/>
  <c r="AQ711" i="25" s="1"/>
  <c r="AJ711" i="25"/>
  <c r="N712" i="25"/>
  <c r="V712" i="25"/>
  <c r="O712" i="25"/>
  <c r="Y712" i="25"/>
  <c r="AC712" i="25" s="1"/>
  <c r="P712" i="25"/>
  <c r="I872" i="25"/>
  <c r="R872" i="25" s="1"/>
  <c r="H872" i="25"/>
  <c r="J872" i="25"/>
  <c r="S872" i="25" s="1"/>
  <c r="T712" i="25"/>
  <c r="X712" i="25" s="1"/>
  <c r="AA712" i="25" s="1"/>
  <c r="U712" i="25"/>
  <c r="M713" i="25"/>
  <c r="N557" i="25"/>
  <c r="V557" i="25"/>
  <c r="P557" i="25"/>
  <c r="Y557" i="25"/>
  <c r="AC557" i="25" s="1"/>
  <c r="T557" i="25"/>
  <c r="U557" i="25"/>
  <c r="W557" i="25"/>
  <c r="Z557" i="25" s="1"/>
  <c r="O557" i="25"/>
  <c r="AI556" i="25"/>
  <c r="AO556" i="25" s="1"/>
  <c r="AR556" i="25" s="1"/>
  <c r="AH556" i="25"/>
  <c r="AP556" i="25" s="1"/>
  <c r="AS556" i="25" s="1"/>
  <c r="M558" i="25"/>
  <c r="N402" i="25"/>
  <c r="V402" i="25"/>
  <c r="P402" i="25"/>
  <c r="T402" i="25"/>
  <c r="X402" i="25" s="1"/>
  <c r="AA402" i="25" s="1"/>
  <c r="U402" i="25"/>
  <c r="Y402" i="25"/>
  <c r="AC402" i="25" s="1"/>
  <c r="O402" i="25"/>
  <c r="AI401" i="25"/>
  <c r="AO401" i="25" s="1"/>
  <c r="AR401" i="25" s="1"/>
  <c r="AH401" i="25"/>
  <c r="AP401" i="25" s="1"/>
  <c r="AS401" i="25" s="1"/>
  <c r="W711" i="25"/>
  <c r="Z711" i="25" s="1"/>
  <c r="AB711" i="25" s="1"/>
  <c r="AD711" i="25" s="1"/>
  <c r="AE711" i="25" s="1"/>
  <c r="AI711" i="25"/>
  <c r="AO711" i="25" s="1"/>
  <c r="AR711" i="25" s="1"/>
  <c r="L871" i="25" s="1"/>
  <c r="U871" i="25" s="1"/>
  <c r="AH711" i="25"/>
  <c r="AP711" i="25" s="1"/>
  <c r="AS711" i="25" s="1"/>
  <c r="M871" i="25" s="1"/>
  <c r="V871" i="25" s="1"/>
  <c r="AJ401" i="25"/>
  <c r="AK401" i="25"/>
  <c r="AN401" i="25" s="1"/>
  <c r="AQ401" i="25" s="1"/>
  <c r="AJ89" i="25"/>
  <c r="AL89" i="25"/>
  <c r="E91" i="25"/>
  <c r="N90" i="25"/>
  <c r="W869" i="25"/>
  <c r="X869" i="25" s="1"/>
  <c r="AA869" i="25"/>
  <c r="AB869" i="25" s="1"/>
  <c r="AC869" i="25" s="1"/>
  <c r="AD869" i="25" s="1"/>
  <c r="AN87" i="25"/>
  <c r="AQ87" i="25" s="1"/>
  <c r="K871" i="25" s="1"/>
  <c r="C91" i="25"/>
  <c r="Y90" i="25"/>
  <c r="AC90" i="25" s="1"/>
  <c r="AD90" i="25" s="1"/>
  <c r="AE90" i="25" s="1"/>
  <c r="AH88" i="25"/>
  <c r="AP88" i="25" s="1"/>
  <c r="AS88" i="25" s="1"/>
  <c r="AM88" i="25"/>
  <c r="AI88" i="25"/>
  <c r="AO88" i="25" s="1"/>
  <c r="AR88" i="25" s="1"/>
  <c r="AK88" i="25"/>
  <c r="F90" i="25"/>
  <c r="O89" i="25"/>
  <c r="D90" i="25"/>
  <c r="P89" i="25"/>
  <c r="T870" i="25"/>
  <c r="B716" i="25"/>
  <c r="B565" i="25"/>
  <c r="B578" i="25"/>
  <c r="B409" i="25"/>
  <c r="M403" i="25"/>
  <c r="B248" i="25"/>
  <c r="M248" i="25" s="1"/>
  <c r="S403" i="25" l="1"/>
  <c r="Q403" i="25"/>
  <c r="R403" i="25"/>
  <c r="S713" i="25"/>
  <c r="Q713" i="25"/>
  <c r="R713" i="25"/>
  <c r="Q558" i="25"/>
  <c r="R558" i="25"/>
  <c r="S558" i="25"/>
  <c r="R248" i="25"/>
  <c r="S248" i="25"/>
  <c r="Q248" i="25"/>
  <c r="AH247" i="25"/>
  <c r="AI247" i="25"/>
  <c r="AO247" i="25" s="1"/>
  <c r="AR247" i="25" s="1"/>
  <c r="AJ247" i="25"/>
  <c r="AK247" i="25"/>
  <c r="AN247" i="25" s="1"/>
  <c r="AQ247" i="25" s="1"/>
  <c r="AL247" i="25"/>
  <c r="AM247" i="25"/>
  <c r="U248" i="25"/>
  <c r="Y248" i="25"/>
  <c r="O248" i="25"/>
  <c r="P248" i="25"/>
  <c r="N248" i="25"/>
  <c r="V248" i="25"/>
  <c r="X248" i="25" s="1"/>
  <c r="AA248" i="25" s="1"/>
  <c r="T248" i="25"/>
  <c r="AC248" i="25"/>
  <c r="W248" i="25"/>
  <c r="Z248" i="25" s="1"/>
  <c r="AB248" i="25" s="1"/>
  <c r="AD248" i="25" s="1"/>
  <c r="AE248" i="25" s="1"/>
  <c r="Q872" i="25"/>
  <c r="Z872" i="25" s="1"/>
  <c r="N872" i="25"/>
  <c r="U870" i="25"/>
  <c r="O870" i="25"/>
  <c r="X557" i="25"/>
  <c r="AA557" i="25" s="1"/>
  <c r="AB557" i="25" s="1"/>
  <c r="AD557" i="25" s="1"/>
  <c r="AE557" i="25" s="1"/>
  <c r="AN556" i="25"/>
  <c r="AQ556" i="25" s="1"/>
  <c r="AB556" i="25"/>
  <c r="AD556" i="25" s="1"/>
  <c r="AE556" i="25" s="1"/>
  <c r="AL402" i="25"/>
  <c r="AM402" i="25"/>
  <c r="AK557" i="25"/>
  <c r="AJ557" i="25"/>
  <c r="W712" i="25"/>
  <c r="Z712" i="25" s="1"/>
  <c r="AB712" i="25" s="1"/>
  <c r="AD712" i="25" s="1"/>
  <c r="AE712" i="25" s="1"/>
  <c r="AJ712" i="25"/>
  <c r="AK712" i="25"/>
  <c r="W402" i="25"/>
  <c r="Z402" i="25" s="1"/>
  <c r="AB402" i="25" s="1"/>
  <c r="AD402" i="25" s="1"/>
  <c r="AE402" i="25" s="1"/>
  <c r="AI402" i="25"/>
  <c r="AO402" i="25" s="1"/>
  <c r="AR402" i="25" s="1"/>
  <c r="AH402" i="25"/>
  <c r="AL557" i="25"/>
  <c r="AM557" i="25"/>
  <c r="AI557" i="25"/>
  <c r="AO557" i="25" s="1"/>
  <c r="AR557" i="25" s="1"/>
  <c r="AH557" i="25"/>
  <c r="AP557" i="25" s="1"/>
  <c r="AS557" i="25" s="1"/>
  <c r="M559" i="25"/>
  <c r="N403" i="25"/>
  <c r="V403" i="25"/>
  <c r="O403" i="25"/>
  <c r="P403" i="25"/>
  <c r="T403" i="25"/>
  <c r="X403" i="25" s="1"/>
  <c r="AA403" i="25" s="1"/>
  <c r="U403" i="25"/>
  <c r="Y403" i="25"/>
  <c r="AC403" i="25" s="1"/>
  <c r="AK402" i="25"/>
  <c r="AN402" i="25" s="1"/>
  <c r="AQ402" i="25" s="1"/>
  <c r="AJ402" i="25"/>
  <c r="M714" i="25"/>
  <c r="U558" i="25"/>
  <c r="N558" i="25"/>
  <c r="V558" i="25"/>
  <c r="P558" i="25"/>
  <c r="Y558" i="25"/>
  <c r="W558" i="25"/>
  <c r="Z558" i="25" s="1"/>
  <c r="AB558" i="25" s="1"/>
  <c r="AD558" i="25" s="1"/>
  <c r="AE558" i="25" s="1"/>
  <c r="AC558" i="25"/>
  <c r="O558" i="25"/>
  <c r="T558" i="25"/>
  <c r="X558" i="25" s="1"/>
  <c r="AA558" i="25" s="1"/>
  <c r="AM712" i="25"/>
  <c r="AL712" i="25"/>
  <c r="T713" i="25"/>
  <c r="U713" i="25"/>
  <c r="N713" i="25"/>
  <c r="V713" i="25"/>
  <c r="P713" i="25"/>
  <c r="O713" i="25"/>
  <c r="H873" i="25"/>
  <c r="I873" i="25"/>
  <c r="R873" i="25" s="1"/>
  <c r="J873" i="25"/>
  <c r="S873" i="25" s="1"/>
  <c r="Y713" i="25"/>
  <c r="AC713" i="25" s="1"/>
  <c r="AI712" i="25"/>
  <c r="AO712" i="25" s="1"/>
  <c r="AR712" i="25" s="1"/>
  <c r="L872" i="25" s="1"/>
  <c r="U872" i="25" s="1"/>
  <c r="AH712" i="25"/>
  <c r="AP712" i="25" s="1"/>
  <c r="AS712" i="25" s="1"/>
  <c r="M872" i="25" s="1"/>
  <c r="V872" i="25" s="1"/>
  <c r="C92" i="25"/>
  <c r="Y91" i="25"/>
  <c r="AC91" i="25" s="1"/>
  <c r="AD91" i="25" s="1"/>
  <c r="AE91" i="25" s="1"/>
  <c r="AH89" i="25"/>
  <c r="AP89" i="25" s="1"/>
  <c r="AS89" i="25" s="1"/>
  <c r="AM89" i="25"/>
  <c r="T871" i="25"/>
  <c r="O871" i="25"/>
  <c r="AN88" i="25"/>
  <c r="AQ88" i="25" s="1"/>
  <c r="AJ90" i="25"/>
  <c r="AL90" i="25"/>
  <c r="E92" i="25"/>
  <c r="N91" i="25"/>
  <c r="F91" i="25"/>
  <c r="O90" i="25"/>
  <c r="AA870" i="25"/>
  <c r="AB870" i="25" s="1"/>
  <c r="AC870" i="25" s="1"/>
  <c r="AD870" i="25" s="1"/>
  <c r="W870" i="25"/>
  <c r="X870" i="25" s="1"/>
  <c r="D91" i="25"/>
  <c r="P90" i="25"/>
  <c r="AI89" i="25"/>
  <c r="AO89" i="25" s="1"/>
  <c r="AR89" i="25" s="1"/>
  <c r="AK89" i="25"/>
  <c r="B717" i="25"/>
  <c r="B566" i="25"/>
  <c r="B579" i="25"/>
  <c r="B410" i="25"/>
  <c r="M404" i="25"/>
  <c r="B249" i="25"/>
  <c r="M249" i="25" s="1"/>
  <c r="Q249" i="25" l="1"/>
  <c r="R249" i="25"/>
  <c r="S249" i="25"/>
  <c r="Q714" i="25"/>
  <c r="R714" i="25"/>
  <c r="S714" i="25"/>
  <c r="Q404" i="25"/>
  <c r="R404" i="25"/>
  <c r="S404" i="25"/>
  <c r="Q559" i="25"/>
  <c r="R559" i="25"/>
  <c r="S559" i="25"/>
  <c r="W249" i="25"/>
  <c r="U249" i="25"/>
  <c r="V249" i="25"/>
  <c r="Y249" i="25"/>
  <c r="AC249" i="25" s="1"/>
  <c r="Z249" i="25"/>
  <c r="T249" i="25"/>
  <c r="O249" i="25"/>
  <c r="AH249" i="25" s="1"/>
  <c r="N249" i="25"/>
  <c r="P249" i="25"/>
  <c r="AI249" i="25" s="1"/>
  <c r="AB249" i="25"/>
  <c r="AD249" i="25" s="1"/>
  <c r="AE249" i="25" s="1"/>
  <c r="X249" i="25"/>
  <c r="AA249" i="25" s="1"/>
  <c r="AH248" i="25"/>
  <c r="AP248" i="25" s="1"/>
  <c r="AS248" i="25" s="1"/>
  <c r="AI248" i="25"/>
  <c r="AO248" i="25" s="1"/>
  <c r="AR248" i="25" s="1"/>
  <c r="AM248" i="25"/>
  <c r="AL248" i="25"/>
  <c r="AK248" i="25"/>
  <c r="AN248" i="25" s="1"/>
  <c r="AQ248" i="25" s="1"/>
  <c r="AJ248" i="25"/>
  <c r="Q873" i="25"/>
  <c r="Z873" i="25" s="1"/>
  <c r="N873" i="25"/>
  <c r="AN712" i="25"/>
  <c r="AQ712" i="25" s="1"/>
  <c r="K872" i="25" s="1"/>
  <c r="AN557" i="25"/>
  <c r="AQ557" i="25" s="1"/>
  <c r="X713" i="25"/>
  <c r="AA713" i="25" s="1"/>
  <c r="AP402" i="25"/>
  <c r="AS402" i="25" s="1"/>
  <c r="AM558" i="25"/>
  <c r="AL558" i="25"/>
  <c r="H874" i="25"/>
  <c r="Q874" i="25" s="1"/>
  <c r="Y714" i="25"/>
  <c r="AC714" i="25" s="1"/>
  <c r="W714" i="25"/>
  <c r="Z714" i="25" s="1"/>
  <c r="J874" i="25"/>
  <c r="U714" i="25"/>
  <c r="T714" i="25"/>
  <c r="X714" i="25" s="1"/>
  <c r="AA714" i="25" s="1"/>
  <c r="V714" i="25"/>
  <c r="N714" i="25"/>
  <c r="O714" i="25"/>
  <c r="P714" i="25"/>
  <c r="M715" i="25"/>
  <c r="O559" i="25"/>
  <c r="Y559" i="25"/>
  <c r="T559" i="25"/>
  <c r="N559" i="25"/>
  <c r="P559" i="25"/>
  <c r="V559" i="25"/>
  <c r="AC559" i="25"/>
  <c r="U559" i="25"/>
  <c r="X559" i="25"/>
  <c r="AA559" i="25" s="1"/>
  <c r="W559" i="25"/>
  <c r="Z559" i="25" s="1"/>
  <c r="AB559" i="25"/>
  <c r="AD559" i="25" s="1"/>
  <c r="AE559" i="25" s="1"/>
  <c r="AM403" i="25"/>
  <c r="AL403" i="25"/>
  <c r="M560" i="25"/>
  <c r="T404" i="25"/>
  <c r="P404" i="25"/>
  <c r="O404" i="25"/>
  <c r="U404" i="25"/>
  <c r="V404" i="25"/>
  <c r="X404" i="25" s="1"/>
  <c r="AA404" i="25" s="1"/>
  <c r="Y404" i="25"/>
  <c r="AC404" i="25" s="1"/>
  <c r="N404" i="25"/>
  <c r="AI403" i="25"/>
  <c r="AO403" i="25" s="1"/>
  <c r="AR403" i="25" s="1"/>
  <c r="AH403" i="25"/>
  <c r="AL713" i="25"/>
  <c r="AM713" i="25"/>
  <c r="AK558" i="25"/>
  <c r="AN558" i="25" s="1"/>
  <c r="AQ558" i="25" s="1"/>
  <c r="AJ558" i="25"/>
  <c r="AK713" i="25"/>
  <c r="AN713" i="25" s="1"/>
  <c r="AQ713" i="25" s="1"/>
  <c r="AJ713" i="25"/>
  <c r="W403" i="25"/>
  <c r="Z403" i="25" s="1"/>
  <c r="AB403" i="25" s="1"/>
  <c r="AD403" i="25" s="1"/>
  <c r="AE403" i="25" s="1"/>
  <c r="AK403" i="25"/>
  <c r="AN403" i="25" s="1"/>
  <c r="AQ403" i="25" s="1"/>
  <c r="AJ403" i="25"/>
  <c r="W713" i="25"/>
  <c r="Z713" i="25" s="1"/>
  <c r="AB713" i="25" s="1"/>
  <c r="AD713" i="25" s="1"/>
  <c r="AE713" i="25" s="1"/>
  <c r="AH713" i="25"/>
  <c r="AI713" i="25"/>
  <c r="AO713" i="25" s="1"/>
  <c r="AR713" i="25" s="1"/>
  <c r="L873" i="25" s="1"/>
  <c r="U873" i="25" s="1"/>
  <c r="AH558" i="25"/>
  <c r="AP558" i="25" s="1"/>
  <c r="AS558" i="25" s="1"/>
  <c r="AI558" i="25"/>
  <c r="AO558" i="25" s="1"/>
  <c r="AR558" i="25" s="1"/>
  <c r="F92" i="25"/>
  <c r="O91" i="25"/>
  <c r="E93" i="25"/>
  <c r="N92" i="25"/>
  <c r="D92" i="25"/>
  <c r="P91" i="25"/>
  <c r="AN89" i="25"/>
  <c r="AQ89" i="25" s="1"/>
  <c r="K873" i="25" s="1"/>
  <c r="AM90" i="25"/>
  <c r="AH90" i="25"/>
  <c r="AP90" i="25" s="1"/>
  <c r="AS90" i="25" s="1"/>
  <c r="W871" i="25"/>
  <c r="X871" i="25" s="1"/>
  <c r="AA871" i="25"/>
  <c r="AB871" i="25" s="1"/>
  <c r="AC871" i="25" s="1"/>
  <c r="AD871" i="25" s="1"/>
  <c r="AL91" i="25"/>
  <c r="AJ91" i="25"/>
  <c r="AK90" i="25"/>
  <c r="AI90" i="25"/>
  <c r="AO90" i="25" s="1"/>
  <c r="AR90" i="25" s="1"/>
  <c r="C93" i="25"/>
  <c r="Y92" i="25"/>
  <c r="AC92" i="25" s="1"/>
  <c r="AD92" i="25" s="1"/>
  <c r="AE92" i="25" s="1"/>
  <c r="B718" i="25"/>
  <c r="B567" i="25"/>
  <c r="B580" i="25"/>
  <c r="B411" i="25"/>
  <c r="M405" i="25"/>
  <c r="B250" i="25"/>
  <c r="M250" i="25" s="1"/>
  <c r="Q715" i="25" l="1"/>
  <c r="R715" i="25"/>
  <c r="S715" i="25"/>
  <c r="Q560" i="25"/>
  <c r="R560" i="25"/>
  <c r="S560" i="25"/>
  <c r="Q250" i="25"/>
  <c r="R250" i="25"/>
  <c r="S250" i="25"/>
  <c r="Q405" i="25"/>
  <c r="S405" i="25"/>
  <c r="R405" i="25"/>
  <c r="AL249" i="25"/>
  <c r="AO249" i="25" s="1"/>
  <c r="AR249" i="25" s="1"/>
  <c r="AM249" i="25"/>
  <c r="AJ249" i="25"/>
  <c r="AP249" i="25" s="1"/>
  <c r="AS249" i="25" s="1"/>
  <c r="AK249" i="25"/>
  <c r="AN249" i="25" s="1"/>
  <c r="AQ249" i="25" s="1"/>
  <c r="U250" i="25"/>
  <c r="N250" i="25"/>
  <c r="Y250" i="25"/>
  <c r="AC250" i="25" s="1"/>
  <c r="T250" i="25"/>
  <c r="V250" i="25"/>
  <c r="O250" i="25"/>
  <c r="P250" i="25"/>
  <c r="X250" i="25"/>
  <c r="AA250" i="25" s="1"/>
  <c r="W250" i="25"/>
  <c r="Z250" i="25" s="1"/>
  <c r="AB250" i="25" s="1"/>
  <c r="AD250" i="25" s="1"/>
  <c r="AE250" i="25" s="1"/>
  <c r="AP250" i="25"/>
  <c r="AS250" i="25" s="1"/>
  <c r="AO250" i="25"/>
  <c r="AR250" i="25" s="1"/>
  <c r="S874" i="25"/>
  <c r="AB714" i="25"/>
  <c r="AD714" i="25" s="1"/>
  <c r="AE714" i="25" s="1"/>
  <c r="O872" i="25"/>
  <c r="T872" i="25"/>
  <c r="AP713" i="25"/>
  <c r="AS713" i="25" s="1"/>
  <c r="M873" i="25" s="1"/>
  <c r="V873" i="25" s="1"/>
  <c r="I874" i="25"/>
  <c r="R874" i="25" s="1"/>
  <c r="Z874" i="25" s="1"/>
  <c r="AP403" i="25"/>
  <c r="AS403" i="25" s="1"/>
  <c r="AK559" i="25"/>
  <c r="AJ559" i="25"/>
  <c r="AM714" i="25"/>
  <c r="AL714" i="25"/>
  <c r="AH559" i="25"/>
  <c r="AI559" i="25"/>
  <c r="AJ714" i="25"/>
  <c r="AK714" i="25"/>
  <c r="M716" i="25"/>
  <c r="T560" i="25"/>
  <c r="N560" i="25"/>
  <c r="V560" i="25"/>
  <c r="O560" i="25"/>
  <c r="Y560" i="25"/>
  <c r="AC560" i="25" s="1"/>
  <c r="P560" i="25"/>
  <c r="U560" i="25"/>
  <c r="X560" i="25" s="1"/>
  <c r="AA560" i="25" s="1"/>
  <c r="AM404" i="25"/>
  <c r="AL404" i="25"/>
  <c r="AI714" i="25"/>
  <c r="AO714" i="25" s="1"/>
  <c r="AR714" i="25" s="1"/>
  <c r="L874" i="25" s="1"/>
  <c r="U874" i="25" s="1"/>
  <c r="AH714" i="25"/>
  <c r="AP714" i="25" s="1"/>
  <c r="AS714" i="25" s="1"/>
  <c r="M874" i="25" s="1"/>
  <c r="V874" i="25" s="1"/>
  <c r="AK404" i="25"/>
  <c r="AN404" i="25" s="1"/>
  <c r="AQ404" i="25" s="1"/>
  <c r="AJ404" i="25"/>
  <c r="AM559" i="25"/>
  <c r="AL559" i="25"/>
  <c r="U715" i="25"/>
  <c r="N715" i="25"/>
  <c r="V715" i="25"/>
  <c r="O715" i="25"/>
  <c r="H875" i="25"/>
  <c r="Y715" i="25"/>
  <c r="AC715" i="25" s="1"/>
  <c r="P715" i="25"/>
  <c r="I875" i="25"/>
  <c r="R875" i="25" s="1"/>
  <c r="J875" i="25"/>
  <c r="S875" i="25" s="1"/>
  <c r="T715" i="25"/>
  <c r="X715" i="25" s="1"/>
  <c r="AA715" i="25" s="1"/>
  <c r="M561" i="25"/>
  <c r="Y405" i="25"/>
  <c r="AC405" i="25" s="1"/>
  <c r="U405" i="25"/>
  <c r="O405" i="25"/>
  <c r="P405" i="25"/>
  <c r="T405" i="25"/>
  <c r="X405" i="25" s="1"/>
  <c r="AA405" i="25" s="1"/>
  <c r="V405" i="25"/>
  <c r="W405" i="25"/>
  <c r="Z405" i="25" s="1"/>
  <c r="AB405" i="25" s="1"/>
  <c r="AD405" i="25" s="1"/>
  <c r="AE405" i="25" s="1"/>
  <c r="N405" i="25"/>
  <c r="W404" i="25"/>
  <c r="Z404" i="25" s="1"/>
  <c r="AB404" i="25" s="1"/>
  <c r="AD404" i="25" s="1"/>
  <c r="AE404" i="25" s="1"/>
  <c r="AH404" i="25"/>
  <c r="AP404" i="25" s="1"/>
  <c r="AS404" i="25" s="1"/>
  <c r="AI404" i="25"/>
  <c r="AO404" i="25" s="1"/>
  <c r="AR404" i="25" s="1"/>
  <c r="AI91" i="25"/>
  <c r="AO91" i="25" s="1"/>
  <c r="AR91" i="25" s="1"/>
  <c r="AK91" i="25"/>
  <c r="D93" i="25"/>
  <c r="P92" i="25"/>
  <c r="AL92" i="25"/>
  <c r="AJ92" i="25"/>
  <c r="AN90" i="25"/>
  <c r="AQ90" i="25" s="1"/>
  <c r="W872" i="25"/>
  <c r="X872" i="25" s="1"/>
  <c r="AA872" i="25"/>
  <c r="AB872" i="25" s="1"/>
  <c r="AC872" i="25" s="1"/>
  <c r="AD872" i="25" s="1"/>
  <c r="C94" i="25"/>
  <c r="Y93" i="25"/>
  <c r="AC93" i="25" s="1"/>
  <c r="AD93" i="25" s="1"/>
  <c r="AE93" i="25" s="1"/>
  <c r="E94" i="25"/>
  <c r="N93" i="25"/>
  <c r="AM91" i="25"/>
  <c r="AH91" i="25"/>
  <c r="AP91" i="25" s="1"/>
  <c r="AS91" i="25" s="1"/>
  <c r="T873" i="25"/>
  <c r="O873" i="25"/>
  <c r="F93" i="25"/>
  <c r="O92" i="25"/>
  <c r="B719" i="25"/>
  <c r="B568" i="25"/>
  <c r="B581" i="25"/>
  <c r="B412" i="25"/>
  <c r="M406" i="25"/>
  <c r="B251" i="25"/>
  <c r="M251" i="25" s="1"/>
  <c r="R406" i="25" l="1"/>
  <c r="S406" i="25"/>
  <c r="Q406" i="25"/>
  <c r="Q561" i="25"/>
  <c r="R561" i="25"/>
  <c r="S561" i="25"/>
  <c r="R716" i="25"/>
  <c r="S716" i="25"/>
  <c r="Q716" i="25"/>
  <c r="Q251" i="25"/>
  <c r="R251" i="25"/>
  <c r="S251" i="25"/>
  <c r="AM250" i="25"/>
  <c r="AL250" i="25"/>
  <c r="AH250" i="25"/>
  <c r="AI250" i="25"/>
  <c r="U251" i="25"/>
  <c r="T251" i="25"/>
  <c r="N251" i="25"/>
  <c r="P251" i="25"/>
  <c r="Y251" i="25"/>
  <c r="V251" i="25"/>
  <c r="O251" i="25"/>
  <c r="AC251" i="25"/>
  <c r="X251" i="25"/>
  <c r="AA251" i="25" s="1"/>
  <c r="AB251" i="25" s="1"/>
  <c r="AD251" i="25" s="1"/>
  <c r="AE251" i="25" s="1"/>
  <c r="AJ250" i="25"/>
  <c r="AK250" i="25"/>
  <c r="AN250" i="25" s="1"/>
  <c r="AQ250" i="25" s="1"/>
  <c r="Q875" i="25"/>
  <c r="Z875" i="25" s="1"/>
  <c r="N875" i="25"/>
  <c r="W715" i="25"/>
  <c r="Z715" i="25" s="1"/>
  <c r="AB715" i="25" s="1"/>
  <c r="AD715" i="25" s="1"/>
  <c r="AE715" i="25" s="1"/>
  <c r="W560" i="25"/>
  <c r="Z560" i="25" s="1"/>
  <c r="AB560" i="25" s="1"/>
  <c r="AD560" i="25" s="1"/>
  <c r="AE560" i="25" s="1"/>
  <c r="AP559" i="25"/>
  <c r="AS559" i="25" s="1"/>
  <c r="K874" i="25"/>
  <c r="O874" i="25" s="1"/>
  <c r="AO559" i="25"/>
  <c r="AR559" i="25" s="1"/>
  <c r="AN559" i="25"/>
  <c r="AQ559" i="25" s="1"/>
  <c r="N874" i="25"/>
  <c r="AN714" i="25"/>
  <c r="AQ714" i="25" s="1"/>
  <c r="AM405" i="25"/>
  <c r="AL405" i="25"/>
  <c r="AJ405" i="25"/>
  <c r="AK405" i="25"/>
  <c r="AN405" i="25" s="1"/>
  <c r="AQ405" i="25" s="1"/>
  <c r="AH715" i="25"/>
  <c r="AI715" i="25"/>
  <c r="AI560" i="25"/>
  <c r="AH560" i="25"/>
  <c r="U406" i="25"/>
  <c r="N406" i="25"/>
  <c r="O406" i="25"/>
  <c r="P406" i="25"/>
  <c r="T406" i="25"/>
  <c r="V406" i="25"/>
  <c r="Y406" i="25"/>
  <c r="AC406" i="25" s="1"/>
  <c r="AL715" i="25"/>
  <c r="AM715" i="25"/>
  <c r="AI405" i="25"/>
  <c r="AO405" i="25" s="1"/>
  <c r="AR405" i="25" s="1"/>
  <c r="AH405" i="25"/>
  <c r="AP405" i="25" s="1"/>
  <c r="AS405" i="25" s="1"/>
  <c r="AK715" i="25"/>
  <c r="AN715" i="25" s="1"/>
  <c r="AQ715" i="25" s="1"/>
  <c r="AJ715" i="25"/>
  <c r="AL560" i="25"/>
  <c r="AM560" i="25"/>
  <c r="M717" i="25"/>
  <c r="T561" i="25"/>
  <c r="X561" i="25" s="1"/>
  <c r="AA561" i="25" s="1"/>
  <c r="U561" i="25"/>
  <c r="O561" i="25"/>
  <c r="V561" i="25"/>
  <c r="Y561" i="25"/>
  <c r="AC561" i="25" s="1"/>
  <c r="N561" i="25"/>
  <c r="P561" i="25"/>
  <c r="AK560" i="25"/>
  <c r="AN560" i="25" s="1"/>
  <c r="AQ560" i="25" s="1"/>
  <c r="AJ560" i="25"/>
  <c r="I876" i="25"/>
  <c r="R876" i="25" s="1"/>
  <c r="J876" i="25"/>
  <c r="S876" i="25" s="1"/>
  <c r="T716" i="25"/>
  <c r="N716" i="25"/>
  <c r="V716" i="25"/>
  <c r="O716" i="25"/>
  <c r="P716" i="25"/>
  <c r="H876" i="25"/>
  <c r="U716" i="25"/>
  <c r="X716" i="25" s="1"/>
  <c r="AA716" i="25" s="1"/>
  <c r="Y716" i="25"/>
  <c r="AC716" i="25" s="1"/>
  <c r="AJ93" i="25"/>
  <c r="AL93" i="25"/>
  <c r="AI92" i="25"/>
  <c r="AO92" i="25" s="1"/>
  <c r="AR92" i="25" s="1"/>
  <c r="AK92" i="25"/>
  <c r="AH92" i="25"/>
  <c r="AP92" i="25" s="1"/>
  <c r="AS92" i="25" s="1"/>
  <c r="AM92" i="25"/>
  <c r="D94" i="25"/>
  <c r="P93" i="25"/>
  <c r="AA873" i="25"/>
  <c r="AB873" i="25" s="1"/>
  <c r="AC873" i="25" s="1"/>
  <c r="AD873" i="25" s="1"/>
  <c r="W873" i="25"/>
  <c r="X873" i="25" s="1"/>
  <c r="E95" i="25"/>
  <c r="N94" i="25"/>
  <c r="F94" i="25"/>
  <c r="O93" i="25"/>
  <c r="C95" i="25"/>
  <c r="Y94" i="25"/>
  <c r="AC94" i="25" s="1"/>
  <c r="AD94" i="25" s="1"/>
  <c r="AE94" i="25" s="1"/>
  <c r="AN91" i="25"/>
  <c r="AQ91" i="25" s="1"/>
  <c r="K875" i="25" s="1"/>
  <c r="T875" i="25" s="1"/>
  <c r="B720" i="25"/>
  <c r="M576" i="25"/>
  <c r="M562" i="25"/>
  <c r="B569" i="25"/>
  <c r="B582" i="25"/>
  <c r="B413" i="25"/>
  <c r="M407" i="25"/>
  <c r="B252" i="25"/>
  <c r="M252" i="25" s="1"/>
  <c r="Q407" i="25" l="1"/>
  <c r="R407" i="25"/>
  <c r="S407" i="25"/>
  <c r="Q717" i="25"/>
  <c r="R717" i="25"/>
  <c r="S717" i="25"/>
  <c r="S562" i="25"/>
  <c r="Q562" i="25"/>
  <c r="R562" i="25"/>
  <c r="Q576" i="25"/>
  <c r="R576" i="25"/>
  <c r="S576" i="25"/>
  <c r="Q252" i="25"/>
  <c r="R252" i="25"/>
  <c r="S252" i="25"/>
  <c r="AL251" i="25"/>
  <c r="AM251" i="25"/>
  <c r="N252" i="25"/>
  <c r="O252" i="25"/>
  <c r="Y252" i="25"/>
  <c r="V252" i="25"/>
  <c r="U252" i="25"/>
  <c r="T252" i="25"/>
  <c r="AC252" i="25"/>
  <c r="P252" i="25"/>
  <c r="X252" i="25"/>
  <c r="AA252" i="25" s="1"/>
  <c r="AB252" i="25" s="1"/>
  <c r="AD252" i="25" s="1"/>
  <c r="AE252" i="25" s="1"/>
  <c r="AH251" i="25"/>
  <c r="AP251" i="25" s="1"/>
  <c r="AS251" i="25" s="1"/>
  <c r="AI251" i="25"/>
  <c r="AO251" i="25" s="1"/>
  <c r="AR251" i="25" s="1"/>
  <c r="W251" i="25"/>
  <c r="Z251" i="25" s="1"/>
  <c r="AJ251" i="25"/>
  <c r="AK251" i="25"/>
  <c r="AN251" i="25" s="1"/>
  <c r="AQ251" i="25" s="1"/>
  <c r="T874" i="25"/>
  <c r="N876" i="25"/>
  <c r="Q876" i="25"/>
  <c r="Z876" i="25" s="1"/>
  <c r="AO715" i="25"/>
  <c r="AR715" i="25" s="1"/>
  <c r="L875" i="25" s="1"/>
  <c r="W561" i="25"/>
  <c r="Z561" i="25" s="1"/>
  <c r="AB561" i="25" s="1"/>
  <c r="AD561" i="25" s="1"/>
  <c r="AE561" i="25" s="1"/>
  <c r="AP715" i="25"/>
  <c r="AS715" i="25" s="1"/>
  <c r="M875" i="25" s="1"/>
  <c r="V875" i="25" s="1"/>
  <c r="X406" i="25"/>
  <c r="AA406" i="25" s="1"/>
  <c r="AP560" i="25"/>
  <c r="AS560" i="25" s="1"/>
  <c r="M876" i="25" s="1"/>
  <c r="V876" i="25" s="1"/>
  <c r="AO560" i="25"/>
  <c r="AR560" i="25" s="1"/>
  <c r="L876" i="25" s="1"/>
  <c r="U876" i="25" s="1"/>
  <c r="O717" i="25"/>
  <c r="P717" i="25"/>
  <c r="Y717" i="25"/>
  <c r="AC717" i="25" s="1"/>
  <c r="H877" i="25"/>
  <c r="J877" i="25"/>
  <c r="S877" i="25" s="1"/>
  <c r="I877" i="25"/>
  <c r="R877" i="25" s="1"/>
  <c r="T717" i="25"/>
  <c r="X717" i="25" s="1"/>
  <c r="AA717" i="25" s="1"/>
  <c r="U717" i="25"/>
  <c r="V717" i="25"/>
  <c r="N717" i="25"/>
  <c r="W717" i="25"/>
  <c r="Z717" i="25" s="1"/>
  <c r="AK406" i="25"/>
  <c r="AJ406" i="25"/>
  <c r="W716" i="25"/>
  <c r="Z716" i="25" s="1"/>
  <c r="AB716" i="25" s="1"/>
  <c r="AD716" i="25" s="1"/>
  <c r="AE716" i="25" s="1"/>
  <c r="AM716" i="25"/>
  <c r="AL716" i="25"/>
  <c r="AM561" i="25"/>
  <c r="AL561" i="25"/>
  <c r="M718" i="25"/>
  <c r="O562" i="25"/>
  <c r="T562" i="25"/>
  <c r="X562" i="25" s="1"/>
  <c r="AA562" i="25" s="1"/>
  <c r="N562" i="25"/>
  <c r="P562" i="25"/>
  <c r="V562" i="25"/>
  <c r="U562" i="25"/>
  <c r="Y562" i="25"/>
  <c r="AC562" i="25" s="1"/>
  <c r="AK716" i="25"/>
  <c r="AJ716" i="25"/>
  <c r="AH561" i="25"/>
  <c r="AI561" i="25"/>
  <c r="AO561" i="25" s="1"/>
  <c r="AR561" i="25" s="1"/>
  <c r="W406" i="25"/>
  <c r="Z406" i="25" s="1"/>
  <c r="AB406" i="25" s="1"/>
  <c r="AD406" i="25" s="1"/>
  <c r="AE406" i="25" s="1"/>
  <c r="AI406" i="25"/>
  <c r="AH406" i="25"/>
  <c r="AP406" i="25" s="1"/>
  <c r="AS406" i="25" s="1"/>
  <c r="N576" i="25"/>
  <c r="V576" i="25"/>
  <c r="O576" i="25"/>
  <c r="Y576" i="25"/>
  <c r="P576" i="25"/>
  <c r="AC576" i="25"/>
  <c r="T576" i="25"/>
  <c r="U576" i="25"/>
  <c r="X576" i="25"/>
  <c r="AA576" i="25" s="1"/>
  <c r="U407" i="25"/>
  <c r="V407" i="25"/>
  <c r="N407" i="25"/>
  <c r="Y407" i="25"/>
  <c r="AC407" i="25" s="1"/>
  <c r="O407" i="25"/>
  <c r="P407" i="25"/>
  <c r="T407" i="25"/>
  <c r="X407" i="25" s="1"/>
  <c r="AA407" i="25" s="1"/>
  <c r="AI716" i="25"/>
  <c r="AO716" i="25" s="1"/>
  <c r="AR716" i="25" s="1"/>
  <c r="AH716" i="25"/>
  <c r="AP716" i="25" s="1"/>
  <c r="AS716" i="25" s="1"/>
  <c r="AK561" i="25"/>
  <c r="AN561" i="25" s="1"/>
  <c r="AQ561" i="25" s="1"/>
  <c r="AJ561" i="25"/>
  <c r="AL406" i="25"/>
  <c r="AM406" i="25"/>
  <c r="F95" i="25"/>
  <c r="O94" i="25"/>
  <c r="AJ94" i="25"/>
  <c r="AL94" i="25"/>
  <c r="AN92" i="25"/>
  <c r="AQ92" i="25" s="1"/>
  <c r="E96" i="25"/>
  <c r="N95" i="25"/>
  <c r="AH93" i="25"/>
  <c r="AP93" i="25" s="1"/>
  <c r="AS93" i="25" s="1"/>
  <c r="AM93" i="25"/>
  <c r="AI93" i="25"/>
  <c r="AO93" i="25" s="1"/>
  <c r="AR93" i="25" s="1"/>
  <c r="AK93" i="25"/>
  <c r="W874" i="25"/>
  <c r="X874" i="25" s="1"/>
  <c r="AA874" i="25"/>
  <c r="AB874" i="25" s="1"/>
  <c r="AC874" i="25" s="1"/>
  <c r="AD874" i="25" s="1"/>
  <c r="C96" i="25"/>
  <c r="Y95" i="25"/>
  <c r="AC95" i="25" s="1"/>
  <c r="AD95" i="25" s="1"/>
  <c r="AE95" i="25" s="1"/>
  <c r="D95" i="25"/>
  <c r="P94" i="25"/>
  <c r="B721" i="25"/>
  <c r="M577" i="25"/>
  <c r="M563" i="25"/>
  <c r="B570" i="25"/>
  <c r="B583" i="25"/>
  <c r="B414" i="25"/>
  <c r="M408" i="25"/>
  <c r="B253" i="25"/>
  <c r="M253" i="25" s="1"/>
  <c r="R408" i="25" l="1"/>
  <c r="Q408" i="25"/>
  <c r="S408" i="25"/>
  <c r="S253" i="25"/>
  <c r="Q253" i="25"/>
  <c r="R253" i="25"/>
  <c r="Q563" i="25"/>
  <c r="R563" i="25"/>
  <c r="S563" i="25"/>
  <c r="Q718" i="25"/>
  <c r="R718" i="25"/>
  <c r="S718" i="25"/>
  <c r="Q577" i="25"/>
  <c r="R577" i="25"/>
  <c r="S577" i="25"/>
  <c r="AK252" i="25"/>
  <c r="AN252" i="25" s="1"/>
  <c r="AQ252" i="25" s="1"/>
  <c r="AJ252" i="25"/>
  <c r="Y253" i="25"/>
  <c r="AC253" i="25" s="1"/>
  <c r="O253" i="25"/>
  <c r="V253" i="25"/>
  <c r="AA253" i="25"/>
  <c r="T253" i="25"/>
  <c r="X253" i="25" s="1"/>
  <c r="U253" i="25"/>
  <c r="N253" i="25"/>
  <c r="W253" i="25"/>
  <c r="Z253" i="25" s="1"/>
  <c r="AB253" i="25" s="1"/>
  <c r="AD253" i="25" s="1"/>
  <c r="AE253" i="25" s="1"/>
  <c r="P253" i="25"/>
  <c r="AP253" i="25"/>
  <c r="AS253" i="25" s="1"/>
  <c r="AL252" i="25"/>
  <c r="AM252" i="25"/>
  <c r="W252" i="25"/>
  <c r="Z252" i="25" s="1"/>
  <c r="AI252" i="25"/>
  <c r="AO252" i="25" s="1"/>
  <c r="AR252" i="25" s="1"/>
  <c r="AH252" i="25"/>
  <c r="AP252" i="25" s="1"/>
  <c r="AS252" i="25" s="1"/>
  <c r="N877" i="25"/>
  <c r="Q877" i="25"/>
  <c r="Z877" i="25" s="1"/>
  <c r="U875" i="25"/>
  <c r="O875" i="25"/>
  <c r="K876" i="25"/>
  <c r="T876" i="25" s="1"/>
  <c r="AB717" i="25"/>
  <c r="AD717" i="25" s="1"/>
  <c r="AE717" i="25" s="1"/>
  <c r="AO406" i="25"/>
  <c r="AR406" i="25" s="1"/>
  <c r="AP561" i="25"/>
  <c r="AS561" i="25" s="1"/>
  <c r="W562" i="25"/>
  <c r="Z562" i="25" s="1"/>
  <c r="AB562" i="25" s="1"/>
  <c r="AD562" i="25" s="1"/>
  <c r="AE562" i="25" s="1"/>
  <c r="AN406" i="25"/>
  <c r="AQ406" i="25" s="1"/>
  <c r="AN716" i="25"/>
  <c r="AQ716" i="25" s="1"/>
  <c r="AM562" i="25"/>
  <c r="AL562" i="25"/>
  <c r="AM407" i="25"/>
  <c r="AL407" i="25"/>
  <c r="T718" i="25"/>
  <c r="U718" i="25"/>
  <c r="N718" i="25"/>
  <c r="V718" i="25"/>
  <c r="P718" i="25"/>
  <c r="Y718" i="25"/>
  <c r="AC718" i="25" s="1"/>
  <c r="X718" i="25"/>
  <c r="AA718" i="25" s="1"/>
  <c r="O718" i="25"/>
  <c r="H878" i="25"/>
  <c r="I878" i="25"/>
  <c r="R878" i="25" s="1"/>
  <c r="J878" i="25"/>
  <c r="S878" i="25" s="1"/>
  <c r="AK717" i="25"/>
  <c r="AJ717" i="25"/>
  <c r="T577" i="25"/>
  <c r="U577" i="25"/>
  <c r="N577" i="25"/>
  <c r="V577" i="25"/>
  <c r="O577" i="25"/>
  <c r="Y577" i="25"/>
  <c r="AC577" i="25" s="1"/>
  <c r="P577" i="25"/>
  <c r="W577" i="25"/>
  <c r="Z577" i="25" s="1"/>
  <c r="M719" i="25"/>
  <c r="U563" i="25"/>
  <c r="N563" i="25"/>
  <c r="V563" i="25"/>
  <c r="P563" i="25"/>
  <c r="AC563" i="25"/>
  <c r="O563" i="25"/>
  <c r="T563" i="25"/>
  <c r="X563" i="25" s="1"/>
  <c r="AA563" i="25" s="1"/>
  <c r="Y563" i="25"/>
  <c r="W407" i="25"/>
  <c r="Z407" i="25" s="1"/>
  <c r="AB407" i="25" s="1"/>
  <c r="AD407" i="25" s="1"/>
  <c r="AE407" i="25" s="1"/>
  <c r="AK407" i="25"/>
  <c r="AN407" i="25" s="1"/>
  <c r="AQ407" i="25" s="1"/>
  <c r="AJ407" i="25"/>
  <c r="AI407" i="25"/>
  <c r="AO407" i="25" s="1"/>
  <c r="AR407" i="25" s="1"/>
  <c r="AH407" i="25"/>
  <c r="W576" i="25"/>
  <c r="Z576" i="25" s="1"/>
  <c r="AB576" i="25" s="1"/>
  <c r="AD576" i="25" s="1"/>
  <c r="AE576" i="25" s="1"/>
  <c r="AL576" i="25"/>
  <c r="AM576" i="25"/>
  <c r="AL717" i="25"/>
  <c r="AM717" i="25"/>
  <c r="AJ576" i="25"/>
  <c r="AK576" i="25"/>
  <c r="AH717" i="25"/>
  <c r="AI717" i="25"/>
  <c r="AH576" i="25"/>
  <c r="AI576" i="25"/>
  <c r="AO576" i="25" s="1"/>
  <c r="AR576" i="25" s="1"/>
  <c r="AJ562" i="25"/>
  <c r="AK562" i="25"/>
  <c r="AN562" i="25" s="1"/>
  <c r="AQ562" i="25" s="1"/>
  <c r="T408" i="25"/>
  <c r="U408" i="25"/>
  <c r="N408" i="25"/>
  <c r="V408" i="25"/>
  <c r="O408" i="25"/>
  <c r="X408" i="25"/>
  <c r="AA408" i="25" s="1"/>
  <c r="P408" i="25"/>
  <c r="Y408" i="25"/>
  <c r="AC408" i="25" s="1"/>
  <c r="AH562" i="25"/>
  <c r="AP562" i="25" s="1"/>
  <c r="AS562" i="25" s="1"/>
  <c r="AI562" i="25"/>
  <c r="AO562" i="25" s="1"/>
  <c r="AR562" i="25" s="1"/>
  <c r="AL95" i="25"/>
  <c r="AJ95" i="25"/>
  <c r="E97" i="25"/>
  <c r="N96" i="25"/>
  <c r="AN93" i="25"/>
  <c r="AQ93" i="25" s="1"/>
  <c r="C97" i="25"/>
  <c r="Y96" i="25"/>
  <c r="AC96" i="25" s="1"/>
  <c r="AD96" i="25" s="1"/>
  <c r="AE96" i="25" s="1"/>
  <c r="AK94" i="25"/>
  <c r="AI94" i="25"/>
  <c r="AO94" i="25" s="1"/>
  <c r="AR94" i="25" s="1"/>
  <c r="D96" i="25"/>
  <c r="P95" i="25"/>
  <c r="AM94" i="25"/>
  <c r="AH94" i="25"/>
  <c r="AP94" i="25" s="1"/>
  <c r="AS94" i="25" s="1"/>
  <c r="F96" i="25"/>
  <c r="O95" i="25"/>
  <c r="B722" i="25"/>
  <c r="M578" i="25"/>
  <c r="M564" i="25"/>
  <c r="B571" i="25"/>
  <c r="B584" i="25"/>
  <c r="B415" i="25"/>
  <c r="M409" i="25"/>
  <c r="B254" i="25"/>
  <c r="M254" i="25" s="1"/>
  <c r="Q719" i="25" l="1"/>
  <c r="R719" i="25"/>
  <c r="S719" i="25"/>
  <c r="Q409" i="25"/>
  <c r="R409" i="25"/>
  <c r="S409" i="25"/>
  <c r="Q564" i="25"/>
  <c r="S564" i="25"/>
  <c r="R564" i="25"/>
  <c r="S578" i="25"/>
  <c r="Q578" i="25"/>
  <c r="R578" i="25"/>
  <c r="Q254" i="25"/>
  <c r="R254" i="25"/>
  <c r="S254" i="25"/>
  <c r="AL253" i="25"/>
  <c r="AM253" i="25"/>
  <c r="AI253" i="25"/>
  <c r="AO253" i="25" s="1"/>
  <c r="AR253" i="25" s="1"/>
  <c r="AH253" i="25"/>
  <c r="Y254" i="25"/>
  <c r="AC254" i="25" s="1"/>
  <c r="N254" i="25"/>
  <c r="T254" i="25"/>
  <c r="O254" i="25"/>
  <c r="U254" i="25"/>
  <c r="V254" i="25"/>
  <c r="W254" i="25"/>
  <c r="Z254" i="25" s="1"/>
  <c r="P254" i="25"/>
  <c r="X254" i="25"/>
  <c r="AA254" i="25" s="1"/>
  <c r="AB254" i="25" s="1"/>
  <c r="AD254" i="25" s="1"/>
  <c r="AE254" i="25" s="1"/>
  <c r="AJ253" i="25"/>
  <c r="AK253" i="25"/>
  <c r="AN253" i="25" s="1"/>
  <c r="AQ253" i="25" s="1"/>
  <c r="O876" i="25"/>
  <c r="Q878" i="25"/>
  <c r="Z878" i="25" s="1"/>
  <c r="N878" i="25"/>
  <c r="AN717" i="25"/>
  <c r="AQ717" i="25" s="1"/>
  <c r="AA875" i="25"/>
  <c r="AB875" i="25" s="1"/>
  <c r="AC875" i="25" s="1"/>
  <c r="AD875" i="25" s="1"/>
  <c r="W875" i="25"/>
  <c r="X875" i="25" s="1"/>
  <c r="K877" i="25"/>
  <c r="T877" i="25" s="1"/>
  <c r="AP576" i="25"/>
  <c r="AS576" i="25" s="1"/>
  <c r="W563" i="25"/>
  <c r="Z563" i="25" s="1"/>
  <c r="AB563" i="25" s="1"/>
  <c r="AD563" i="25" s="1"/>
  <c r="AE563" i="25" s="1"/>
  <c r="W408" i="25"/>
  <c r="Z408" i="25" s="1"/>
  <c r="AB408" i="25" s="1"/>
  <c r="AD408" i="25" s="1"/>
  <c r="AE408" i="25" s="1"/>
  <c r="AO717" i="25"/>
  <c r="AR717" i="25" s="1"/>
  <c r="L877" i="25" s="1"/>
  <c r="U877" i="25" s="1"/>
  <c r="AP717" i="25"/>
  <c r="AS717" i="25" s="1"/>
  <c r="M877" i="25" s="1"/>
  <c r="AP407" i="25"/>
  <c r="AS407" i="25" s="1"/>
  <c r="X577" i="25"/>
  <c r="AA577" i="25" s="1"/>
  <c r="AB577" i="25" s="1"/>
  <c r="AD577" i="25" s="1"/>
  <c r="AE577" i="25" s="1"/>
  <c r="AN576" i="25"/>
  <c r="AQ576" i="25" s="1"/>
  <c r="M720" i="25"/>
  <c r="P564" i="25"/>
  <c r="U564" i="25"/>
  <c r="T564" i="25"/>
  <c r="V564" i="25"/>
  <c r="Y564" i="25"/>
  <c r="AC564" i="25" s="1"/>
  <c r="N564" i="25"/>
  <c r="O564" i="25"/>
  <c r="W564" i="25"/>
  <c r="Z564" i="25" s="1"/>
  <c r="W718" i="25"/>
  <c r="Z718" i="25" s="1"/>
  <c r="AB718" i="25" s="1"/>
  <c r="AD718" i="25" s="1"/>
  <c r="AE718" i="25" s="1"/>
  <c r="AM718" i="25"/>
  <c r="AL718" i="25"/>
  <c r="AH408" i="25"/>
  <c r="AI408" i="25"/>
  <c r="AJ718" i="25"/>
  <c r="AK718" i="25"/>
  <c r="AN718" i="25" s="1"/>
  <c r="AQ718" i="25" s="1"/>
  <c r="T578" i="25"/>
  <c r="U578" i="25"/>
  <c r="P578" i="25"/>
  <c r="V578" i="25"/>
  <c r="X578" i="25" s="1"/>
  <c r="AA578" i="25" s="1"/>
  <c r="Y578" i="25"/>
  <c r="AC578" i="25" s="1"/>
  <c r="N578" i="25"/>
  <c r="O578" i="25"/>
  <c r="AL408" i="25"/>
  <c r="AM408" i="25"/>
  <c r="AJ577" i="25"/>
  <c r="AK577" i="25"/>
  <c r="AI718" i="25"/>
  <c r="AO718" i="25" s="1"/>
  <c r="AR718" i="25" s="1"/>
  <c r="L878" i="25" s="1"/>
  <c r="U878" i="25" s="1"/>
  <c r="AH718" i="25"/>
  <c r="AJ408" i="25"/>
  <c r="AK408" i="25"/>
  <c r="AN408" i="25" s="1"/>
  <c r="AQ408" i="25" s="1"/>
  <c r="AH577" i="25"/>
  <c r="AI577" i="25"/>
  <c r="AL577" i="25"/>
  <c r="AM577" i="25"/>
  <c r="AJ563" i="25"/>
  <c r="AK563" i="25"/>
  <c r="AL563" i="25"/>
  <c r="AM563" i="25"/>
  <c r="O409" i="25"/>
  <c r="W409" i="25"/>
  <c r="Z409" i="25" s="1"/>
  <c r="P409" i="25"/>
  <c r="Y409" i="25"/>
  <c r="AC409" i="25" s="1"/>
  <c r="T409" i="25"/>
  <c r="U409" i="25"/>
  <c r="N409" i="25"/>
  <c r="V409" i="25"/>
  <c r="AI563" i="25"/>
  <c r="AO563" i="25" s="1"/>
  <c r="AR563" i="25" s="1"/>
  <c r="AH563" i="25"/>
  <c r="AP563" i="25" s="1"/>
  <c r="AS563" i="25" s="1"/>
  <c r="H879" i="25"/>
  <c r="Q879" i="25" s="1"/>
  <c r="I879" i="25"/>
  <c r="R879" i="25" s="1"/>
  <c r="J879" i="25"/>
  <c r="U719" i="25"/>
  <c r="N719" i="25"/>
  <c r="O719" i="25"/>
  <c r="P719" i="25"/>
  <c r="T719" i="25"/>
  <c r="X719" i="25" s="1"/>
  <c r="AA719" i="25" s="1"/>
  <c r="V719" i="25"/>
  <c r="Y719" i="25"/>
  <c r="AC719" i="25" s="1"/>
  <c r="AL96" i="25"/>
  <c r="AJ96" i="25"/>
  <c r="E98" i="25"/>
  <c r="N97" i="25"/>
  <c r="D97" i="25"/>
  <c r="P96" i="25"/>
  <c r="C98" i="25"/>
  <c r="Y97" i="25"/>
  <c r="AC97" i="25" s="1"/>
  <c r="AD97" i="25" s="1"/>
  <c r="AE97" i="25" s="1"/>
  <c r="AA876" i="25"/>
  <c r="AB876" i="25" s="1"/>
  <c r="AC876" i="25" s="1"/>
  <c r="AD876" i="25" s="1"/>
  <c r="W876" i="25"/>
  <c r="X876" i="25" s="1"/>
  <c r="F97" i="25"/>
  <c r="O96" i="25"/>
  <c r="AI95" i="25"/>
  <c r="AO95" i="25" s="1"/>
  <c r="AR95" i="25" s="1"/>
  <c r="AK95" i="25"/>
  <c r="AN94" i="25"/>
  <c r="AQ94" i="25" s="1"/>
  <c r="K878" i="25" s="1"/>
  <c r="AM95" i="25"/>
  <c r="AH95" i="25"/>
  <c r="AP95" i="25" s="1"/>
  <c r="AS95" i="25" s="1"/>
  <c r="B723" i="25"/>
  <c r="B572" i="25"/>
  <c r="M579" i="25"/>
  <c r="M565" i="25"/>
  <c r="B585" i="25"/>
  <c r="B416" i="25"/>
  <c r="M410" i="25"/>
  <c r="B255" i="25"/>
  <c r="M255" i="25" s="1"/>
  <c r="R565" i="25" l="1"/>
  <c r="S565" i="25"/>
  <c r="Q565" i="25"/>
  <c r="Q720" i="25"/>
  <c r="R720" i="25"/>
  <c r="S720" i="25"/>
  <c r="Q579" i="25"/>
  <c r="R579" i="25"/>
  <c r="S579" i="25"/>
  <c r="Q410" i="25"/>
  <c r="R410" i="25"/>
  <c r="S410" i="25"/>
  <c r="Q255" i="25"/>
  <c r="S255" i="25"/>
  <c r="R255" i="25"/>
  <c r="AJ254" i="25"/>
  <c r="AK254" i="25"/>
  <c r="AH254" i="25"/>
  <c r="AP254" i="25" s="1"/>
  <c r="AS254" i="25" s="1"/>
  <c r="AI254" i="25"/>
  <c r="AO254" i="25" s="1"/>
  <c r="AR254" i="25" s="1"/>
  <c r="AL254" i="25"/>
  <c r="AM254" i="25"/>
  <c r="AN254" i="25" s="1"/>
  <c r="AQ254" i="25" s="1"/>
  <c r="O255" i="25"/>
  <c r="Y255" i="25"/>
  <c r="AC255" i="25" s="1"/>
  <c r="P255" i="25"/>
  <c r="N255" i="25"/>
  <c r="V255" i="25"/>
  <c r="T255" i="25"/>
  <c r="U255" i="25"/>
  <c r="AO255" i="25"/>
  <c r="AB255" i="25"/>
  <c r="AD255" i="25" s="1"/>
  <c r="AE255" i="25" s="1"/>
  <c r="X255" i="25"/>
  <c r="AA255" i="25" s="1"/>
  <c r="AR255" i="25"/>
  <c r="AN255" i="25"/>
  <c r="AQ255" i="25" s="1"/>
  <c r="N879" i="25"/>
  <c r="S879" i="25"/>
  <c r="V877" i="25"/>
  <c r="O877" i="25"/>
  <c r="Z879" i="25"/>
  <c r="W719" i="25"/>
  <c r="Z719" i="25" s="1"/>
  <c r="AB719" i="25" s="1"/>
  <c r="AD719" i="25" s="1"/>
  <c r="AE719" i="25" s="1"/>
  <c r="AN577" i="25"/>
  <c r="AQ577" i="25" s="1"/>
  <c r="AO577" i="25"/>
  <c r="AR577" i="25" s="1"/>
  <c r="X564" i="25"/>
  <c r="AA564" i="25" s="1"/>
  <c r="AB564" i="25" s="1"/>
  <c r="AD564" i="25" s="1"/>
  <c r="AE564" i="25" s="1"/>
  <c r="AP577" i="25"/>
  <c r="AS577" i="25" s="1"/>
  <c r="AP718" i="25"/>
  <c r="AS718" i="25" s="1"/>
  <c r="M878" i="25" s="1"/>
  <c r="V878" i="25" s="1"/>
  <c r="X409" i="25"/>
  <c r="AA409" i="25" s="1"/>
  <c r="AB409" i="25" s="1"/>
  <c r="AD409" i="25" s="1"/>
  <c r="AE409" i="25" s="1"/>
  <c r="AO408" i="25"/>
  <c r="AR408" i="25" s="1"/>
  <c r="AP408" i="25"/>
  <c r="AS408" i="25" s="1"/>
  <c r="AN563" i="25"/>
  <c r="AQ563" i="25" s="1"/>
  <c r="O579" i="25"/>
  <c r="P579" i="25"/>
  <c r="Y579" i="25"/>
  <c r="W579" i="25"/>
  <c r="Z579" i="25" s="1"/>
  <c r="AC579" i="25"/>
  <c r="N579" i="25"/>
  <c r="T579" i="25"/>
  <c r="V579" i="25"/>
  <c r="U579" i="25"/>
  <c r="AJ578" i="25"/>
  <c r="AK578" i="25"/>
  <c r="AL719" i="25"/>
  <c r="AM719" i="25"/>
  <c r="W578" i="25"/>
  <c r="Z578" i="25" s="1"/>
  <c r="AB578" i="25" s="1"/>
  <c r="AD578" i="25" s="1"/>
  <c r="AE578" i="25" s="1"/>
  <c r="AH578" i="25"/>
  <c r="AP578" i="25" s="1"/>
  <c r="AS578" i="25" s="1"/>
  <c r="AI578" i="25"/>
  <c r="AK719" i="25"/>
  <c r="AJ719" i="25"/>
  <c r="AH719" i="25"/>
  <c r="AP719" i="25" s="1"/>
  <c r="AS719" i="25" s="1"/>
  <c r="M879" i="25" s="1"/>
  <c r="V879" i="25" s="1"/>
  <c r="AI719" i="25"/>
  <c r="AO719" i="25" s="1"/>
  <c r="AR719" i="25" s="1"/>
  <c r="L879" i="25" s="1"/>
  <c r="U879" i="25" s="1"/>
  <c r="AL564" i="25"/>
  <c r="AM564" i="25"/>
  <c r="T410" i="25"/>
  <c r="U410" i="25"/>
  <c r="N410" i="25"/>
  <c r="V410" i="25"/>
  <c r="O410" i="25"/>
  <c r="Y410" i="25"/>
  <c r="AC410" i="25" s="1"/>
  <c r="P410" i="25"/>
  <c r="AL409" i="25"/>
  <c r="AM409" i="25"/>
  <c r="AI564" i="25"/>
  <c r="AO564" i="25" s="1"/>
  <c r="AR564" i="25" s="1"/>
  <c r="AH564" i="25"/>
  <c r="AK564" i="25"/>
  <c r="AN564" i="25" s="1"/>
  <c r="AQ564" i="25" s="1"/>
  <c r="AJ564" i="25"/>
  <c r="AJ409" i="25"/>
  <c r="AK409" i="25"/>
  <c r="AN409" i="25" s="1"/>
  <c r="AQ409" i="25" s="1"/>
  <c r="M721" i="25"/>
  <c r="N565" i="25"/>
  <c r="P565" i="25"/>
  <c r="Y565" i="25"/>
  <c r="AC565" i="25" s="1"/>
  <c r="O565" i="25"/>
  <c r="W565" i="25"/>
  <c r="Z565" i="25" s="1"/>
  <c r="T565" i="25"/>
  <c r="U565" i="25"/>
  <c r="V565" i="25"/>
  <c r="AH409" i="25"/>
  <c r="AP409" i="25" s="1"/>
  <c r="AS409" i="25" s="1"/>
  <c r="AI409" i="25"/>
  <c r="AO409" i="25" s="1"/>
  <c r="AR409" i="25" s="1"/>
  <c r="AM578" i="25"/>
  <c r="AL578" i="25"/>
  <c r="N720" i="25"/>
  <c r="V720" i="25"/>
  <c r="O720" i="25"/>
  <c r="P720" i="25"/>
  <c r="Y720" i="25"/>
  <c r="AC720" i="25" s="1"/>
  <c r="I880" i="25"/>
  <c r="R880" i="25" s="1"/>
  <c r="H880" i="25"/>
  <c r="Q880" i="25" s="1"/>
  <c r="J880" i="25"/>
  <c r="T720" i="25"/>
  <c r="X720" i="25" s="1"/>
  <c r="AA720" i="25" s="1"/>
  <c r="U720" i="25"/>
  <c r="T878" i="25"/>
  <c r="O878" i="25"/>
  <c r="AA877" i="25"/>
  <c r="AB877" i="25" s="1"/>
  <c r="AC877" i="25" s="1"/>
  <c r="AD877" i="25" s="1"/>
  <c r="W877" i="25"/>
  <c r="X877" i="25" s="1"/>
  <c r="AI96" i="25"/>
  <c r="AO96" i="25" s="1"/>
  <c r="AR96" i="25" s="1"/>
  <c r="AK96" i="25"/>
  <c r="AH96" i="25"/>
  <c r="AP96" i="25" s="1"/>
  <c r="AS96" i="25" s="1"/>
  <c r="AM96" i="25"/>
  <c r="AJ97" i="25"/>
  <c r="AL97" i="25"/>
  <c r="C99" i="25"/>
  <c r="Y98" i="25"/>
  <c r="AC98" i="25" s="1"/>
  <c r="AD98" i="25" s="1"/>
  <c r="AE98" i="25" s="1"/>
  <c r="AN95" i="25"/>
  <c r="AQ95" i="25" s="1"/>
  <c r="E99" i="25"/>
  <c r="N98" i="25"/>
  <c r="D98" i="25"/>
  <c r="P97" i="25"/>
  <c r="F98" i="25"/>
  <c r="O97" i="25"/>
  <c r="B724" i="25"/>
  <c r="B573" i="25"/>
  <c r="M580" i="25"/>
  <c r="M566" i="25"/>
  <c r="B586" i="25"/>
  <c r="B417" i="25"/>
  <c r="M411" i="25"/>
  <c r="B256" i="25"/>
  <c r="M256" i="25" s="1"/>
  <c r="R256" i="25" l="1"/>
  <c r="S256" i="25"/>
  <c r="Q256" i="25"/>
  <c r="S411" i="25"/>
  <c r="Q411" i="25"/>
  <c r="R411" i="25"/>
  <c r="S721" i="25"/>
  <c r="Q721" i="25"/>
  <c r="R721" i="25"/>
  <c r="Q566" i="25"/>
  <c r="R566" i="25"/>
  <c r="S566" i="25"/>
  <c r="Q580" i="25"/>
  <c r="S580" i="25"/>
  <c r="R580" i="25"/>
  <c r="AM255" i="25"/>
  <c r="AL255" i="25"/>
  <c r="AH255" i="25"/>
  <c r="W255" i="25"/>
  <c r="Z255" i="25" s="1"/>
  <c r="AJ255" i="25"/>
  <c r="AP255" i="25" s="1"/>
  <c r="AS255" i="25" s="1"/>
  <c r="AK255" i="25"/>
  <c r="T256" i="25"/>
  <c r="U256" i="25"/>
  <c r="N256" i="25"/>
  <c r="V256" i="25"/>
  <c r="P256" i="25"/>
  <c r="O256" i="25"/>
  <c r="Y256" i="25"/>
  <c r="X256" i="25"/>
  <c r="AA256" i="25" s="1"/>
  <c r="AC256" i="25"/>
  <c r="W256" i="25"/>
  <c r="Z256" i="25" s="1"/>
  <c r="AB256" i="25" s="1"/>
  <c r="AD256" i="25" s="1"/>
  <c r="AE256" i="25" s="1"/>
  <c r="AP256" i="25"/>
  <c r="AS256" i="25" s="1"/>
  <c r="AO256" i="25"/>
  <c r="AR256" i="25" s="1"/>
  <c r="AN256" i="25"/>
  <c r="AQ256" i="25" s="1"/>
  <c r="AI255" i="25"/>
  <c r="X565" i="25"/>
  <c r="AA565" i="25" s="1"/>
  <c r="AB565" i="25" s="1"/>
  <c r="AD565" i="25" s="1"/>
  <c r="AE565" i="25" s="1"/>
  <c r="AO578" i="25"/>
  <c r="AR578" i="25" s="1"/>
  <c r="X410" i="25"/>
  <c r="AA410" i="25" s="1"/>
  <c r="AN719" i="25"/>
  <c r="AQ719" i="25" s="1"/>
  <c r="K879" i="25" s="1"/>
  <c r="X579" i="25"/>
  <c r="AA579" i="25" s="1"/>
  <c r="AB579" i="25" s="1"/>
  <c r="AD579" i="25" s="1"/>
  <c r="AE579" i="25" s="1"/>
  <c r="AN578" i="25"/>
  <c r="AQ578" i="25" s="1"/>
  <c r="N880" i="25"/>
  <c r="S880" i="25"/>
  <c r="Z880" i="25" s="1"/>
  <c r="AP564" i="25"/>
  <c r="AS564" i="25" s="1"/>
  <c r="M880" i="25" s="1"/>
  <c r="V880" i="25" s="1"/>
  <c r="AI720" i="25"/>
  <c r="AH720" i="25"/>
  <c r="AP720" i="25" s="1"/>
  <c r="AS720" i="25" s="1"/>
  <c r="AJ410" i="25"/>
  <c r="AK410" i="25"/>
  <c r="AJ720" i="25"/>
  <c r="AK720" i="25"/>
  <c r="AJ579" i="25"/>
  <c r="AK579" i="25"/>
  <c r="AK565" i="25"/>
  <c r="AJ565" i="25"/>
  <c r="J881" i="25"/>
  <c r="T721" i="25"/>
  <c r="U721" i="25"/>
  <c r="O721" i="25"/>
  <c r="V721" i="25"/>
  <c r="X721" i="25" s="1"/>
  <c r="AA721" i="25" s="1"/>
  <c r="Y721" i="25"/>
  <c r="AC721" i="25" s="1"/>
  <c r="N721" i="25"/>
  <c r="P721" i="25"/>
  <c r="H881" i="25"/>
  <c r="Q881" i="25" s="1"/>
  <c r="W721" i="25"/>
  <c r="Z721" i="25" s="1"/>
  <c r="W410" i="25"/>
  <c r="Z410" i="25" s="1"/>
  <c r="AB410" i="25" s="1"/>
  <c r="AD410" i="25" s="1"/>
  <c r="AE410" i="25" s="1"/>
  <c r="AH410" i="25"/>
  <c r="AP410" i="25" s="1"/>
  <c r="AS410" i="25" s="1"/>
  <c r="AI410" i="25"/>
  <c r="AH579" i="25"/>
  <c r="AP579" i="25" s="1"/>
  <c r="AS579" i="25" s="1"/>
  <c r="AI579" i="25"/>
  <c r="T580" i="25"/>
  <c r="X580" i="25" s="1"/>
  <c r="AA580" i="25" s="1"/>
  <c r="U580" i="25"/>
  <c r="N580" i="25"/>
  <c r="V580" i="25"/>
  <c r="P580" i="25"/>
  <c r="Y580" i="25"/>
  <c r="AC580" i="25"/>
  <c r="O580" i="25"/>
  <c r="M722" i="25"/>
  <c r="T566" i="25"/>
  <c r="U566" i="25"/>
  <c r="N566" i="25"/>
  <c r="V566" i="25"/>
  <c r="O566" i="25"/>
  <c r="P566" i="25"/>
  <c r="Y566" i="25"/>
  <c r="AC566" i="25"/>
  <c r="AM565" i="25"/>
  <c r="AL565" i="25"/>
  <c r="AL410" i="25"/>
  <c r="AM410" i="25"/>
  <c r="O411" i="25"/>
  <c r="Y411" i="25"/>
  <c r="AC411" i="25" s="1"/>
  <c r="P411" i="25"/>
  <c r="T411" i="25"/>
  <c r="U411" i="25"/>
  <c r="N411" i="25"/>
  <c r="V411" i="25"/>
  <c r="W720" i="25"/>
  <c r="Z720" i="25" s="1"/>
  <c r="AB720" i="25" s="1"/>
  <c r="AD720" i="25" s="1"/>
  <c r="AE720" i="25" s="1"/>
  <c r="AM720" i="25"/>
  <c r="AL720" i="25"/>
  <c r="AH565" i="25"/>
  <c r="AP565" i="25" s="1"/>
  <c r="AS565" i="25" s="1"/>
  <c r="AI565" i="25"/>
  <c r="AO565" i="25" s="1"/>
  <c r="AR565" i="25" s="1"/>
  <c r="AL579" i="25"/>
  <c r="AM579" i="25"/>
  <c r="AN96" i="25"/>
  <c r="AQ96" i="25" s="1"/>
  <c r="AH97" i="25"/>
  <c r="AP97" i="25" s="1"/>
  <c r="AS97" i="25" s="1"/>
  <c r="AM97" i="25"/>
  <c r="C100" i="25"/>
  <c r="Y99" i="25"/>
  <c r="AC99" i="25" s="1"/>
  <c r="AD99" i="25" s="1"/>
  <c r="AE99" i="25" s="1"/>
  <c r="F99" i="25"/>
  <c r="O98" i="25"/>
  <c r="E100" i="25"/>
  <c r="N99" i="25"/>
  <c r="AI97" i="25"/>
  <c r="AO97" i="25" s="1"/>
  <c r="AR97" i="25" s="1"/>
  <c r="AK97" i="25"/>
  <c r="D99" i="25"/>
  <c r="P98" i="25"/>
  <c r="AJ98" i="25"/>
  <c r="AL98" i="25"/>
  <c r="AA878" i="25"/>
  <c r="AB878" i="25" s="1"/>
  <c r="AC878" i="25" s="1"/>
  <c r="AD878" i="25" s="1"/>
  <c r="W878" i="25"/>
  <c r="X878" i="25" s="1"/>
  <c r="B725" i="25"/>
  <c r="B574" i="25"/>
  <c r="M581" i="25"/>
  <c r="M567" i="25"/>
  <c r="B587" i="25"/>
  <c r="B418" i="25"/>
  <c r="B257" i="25"/>
  <c r="M257" i="25" s="1"/>
  <c r="M412" i="25"/>
  <c r="Q722" i="25" l="1"/>
  <c r="R722" i="25"/>
  <c r="S722" i="25"/>
  <c r="R581" i="25"/>
  <c r="S581" i="25"/>
  <c r="Q581" i="25"/>
  <c r="Q257" i="25"/>
  <c r="R257" i="25"/>
  <c r="S257" i="25"/>
  <c r="R567" i="25"/>
  <c r="Q567" i="25"/>
  <c r="S567" i="25"/>
  <c r="Q412" i="25"/>
  <c r="R412" i="25"/>
  <c r="S412" i="25"/>
  <c r="AM256" i="25"/>
  <c r="AL256" i="25"/>
  <c r="AI256" i="25"/>
  <c r="AH256" i="25"/>
  <c r="AJ256" i="25"/>
  <c r="AK256" i="25"/>
  <c r="N257" i="25"/>
  <c r="U257" i="25"/>
  <c r="V257" i="25"/>
  <c r="P257" i="25"/>
  <c r="O257" i="25"/>
  <c r="Y257" i="25"/>
  <c r="AC257" i="25" s="1"/>
  <c r="T257" i="25"/>
  <c r="X257" i="25"/>
  <c r="AA257" i="25" s="1"/>
  <c r="W257" i="25"/>
  <c r="Z257" i="25" s="1"/>
  <c r="AB257" i="25"/>
  <c r="AD257" i="25" s="1"/>
  <c r="AE257" i="25" s="1"/>
  <c r="S881" i="25"/>
  <c r="Z881" i="25"/>
  <c r="AB721" i="25"/>
  <c r="AD721" i="25" s="1"/>
  <c r="AE721" i="25" s="1"/>
  <c r="T879" i="25"/>
  <c r="O879" i="25"/>
  <c r="AN565" i="25"/>
  <c r="AQ565" i="25" s="1"/>
  <c r="AO720" i="25"/>
  <c r="AR720" i="25" s="1"/>
  <c r="L880" i="25" s="1"/>
  <c r="U880" i="25" s="1"/>
  <c r="AN579" i="25"/>
  <c r="AQ579" i="25" s="1"/>
  <c r="X566" i="25"/>
  <c r="AA566" i="25" s="1"/>
  <c r="I881" i="25"/>
  <c r="R881" i="25" s="1"/>
  <c r="AO579" i="25"/>
  <c r="AR579" i="25" s="1"/>
  <c r="AN720" i="25"/>
  <c r="AQ720" i="25" s="1"/>
  <c r="K880" i="25" s="1"/>
  <c r="X411" i="25"/>
  <c r="AA411" i="25" s="1"/>
  <c r="W566" i="25"/>
  <c r="Z566" i="25" s="1"/>
  <c r="AO410" i="25"/>
  <c r="AR410" i="25" s="1"/>
  <c r="AN410" i="25"/>
  <c r="AQ410" i="25" s="1"/>
  <c r="AL411" i="25"/>
  <c r="AM411" i="25"/>
  <c r="W580" i="25"/>
  <c r="Z580" i="25" s="1"/>
  <c r="AB580" i="25" s="1"/>
  <c r="AD580" i="25" s="1"/>
  <c r="AE580" i="25" s="1"/>
  <c r="AL580" i="25"/>
  <c r="AM580" i="25"/>
  <c r="W411" i="25"/>
  <c r="Z411" i="25" s="1"/>
  <c r="AJ411" i="25"/>
  <c r="AK411" i="25"/>
  <c r="AM566" i="25"/>
  <c r="AL566" i="25"/>
  <c r="AJ580" i="25"/>
  <c r="AK580" i="25"/>
  <c r="AN580" i="25" s="1"/>
  <c r="AQ580" i="25" s="1"/>
  <c r="M723" i="25"/>
  <c r="P567" i="25"/>
  <c r="T567" i="25"/>
  <c r="X567" i="25" s="1"/>
  <c r="AA567" i="25" s="1"/>
  <c r="N567" i="25"/>
  <c r="O567" i="25"/>
  <c r="U567" i="25"/>
  <c r="Y567" i="25"/>
  <c r="AC567" i="25" s="1"/>
  <c r="V567" i="25"/>
  <c r="AH411" i="25"/>
  <c r="AP411" i="25" s="1"/>
  <c r="AS411" i="25" s="1"/>
  <c r="AI411" i="25"/>
  <c r="P722" i="25"/>
  <c r="Y722" i="25"/>
  <c r="AC722" i="25" s="1"/>
  <c r="H882" i="25"/>
  <c r="Q882" i="25" s="1"/>
  <c r="I882" i="25"/>
  <c r="R882" i="25" s="1"/>
  <c r="T722" i="25"/>
  <c r="X722" i="25" s="1"/>
  <c r="AA722" i="25" s="1"/>
  <c r="N722" i="25"/>
  <c r="O722" i="25"/>
  <c r="J882" i="25"/>
  <c r="U722" i="25"/>
  <c r="V722" i="25"/>
  <c r="AH580" i="25"/>
  <c r="AI580" i="25"/>
  <c r="AO580" i="25" s="1"/>
  <c r="AR580" i="25" s="1"/>
  <c r="O581" i="25"/>
  <c r="P581" i="25"/>
  <c r="Y581" i="25"/>
  <c r="AC581" i="25" s="1"/>
  <c r="W581" i="25"/>
  <c r="Z581" i="25" s="1"/>
  <c r="N581" i="25"/>
  <c r="U581" i="25"/>
  <c r="T581" i="25"/>
  <c r="X581" i="25" s="1"/>
  <c r="AA581" i="25" s="1"/>
  <c r="V581" i="25"/>
  <c r="AK721" i="25"/>
  <c r="AJ721" i="25"/>
  <c r="AH721" i="25"/>
  <c r="AP721" i="25" s="1"/>
  <c r="AS721" i="25" s="1"/>
  <c r="M881" i="25" s="1"/>
  <c r="V881" i="25" s="1"/>
  <c r="AI721" i="25"/>
  <c r="AO721" i="25" s="1"/>
  <c r="AR721" i="25" s="1"/>
  <c r="L881" i="25" s="1"/>
  <c r="U881" i="25" s="1"/>
  <c r="AM721" i="25"/>
  <c r="AL721" i="25"/>
  <c r="AJ566" i="25"/>
  <c r="AK566" i="25"/>
  <c r="AN566" i="25" s="1"/>
  <c r="AQ566" i="25" s="1"/>
  <c r="U412" i="25"/>
  <c r="N412" i="25"/>
  <c r="V412" i="25"/>
  <c r="O412" i="25"/>
  <c r="Y412" i="25"/>
  <c r="AC412" i="25" s="1"/>
  <c r="P412" i="25"/>
  <c r="T412" i="25"/>
  <c r="X412" i="25" s="1"/>
  <c r="AA412" i="25" s="1"/>
  <c r="AH566" i="25"/>
  <c r="AP566" i="25" s="1"/>
  <c r="AS566" i="25" s="1"/>
  <c r="AI566" i="25"/>
  <c r="AO566" i="25" s="1"/>
  <c r="AR566" i="25" s="1"/>
  <c r="AM98" i="25"/>
  <c r="AH98" i="25"/>
  <c r="AP98" i="25" s="1"/>
  <c r="AS98" i="25" s="1"/>
  <c r="AK98" i="25"/>
  <c r="AI98" i="25"/>
  <c r="AO98" i="25" s="1"/>
  <c r="AR98" i="25" s="1"/>
  <c r="D100" i="25"/>
  <c r="P99" i="25"/>
  <c r="F100" i="25"/>
  <c r="O99" i="25"/>
  <c r="AN97" i="25"/>
  <c r="AQ97" i="25" s="1"/>
  <c r="C101" i="25"/>
  <c r="Y100" i="25"/>
  <c r="AC100" i="25" s="1"/>
  <c r="AD100" i="25" s="1"/>
  <c r="AE100" i="25" s="1"/>
  <c r="AL99" i="25"/>
  <c r="AJ99" i="25"/>
  <c r="E101" i="25"/>
  <c r="N100" i="25"/>
  <c r="B726" i="25"/>
  <c r="B575" i="25"/>
  <c r="M582" i="25"/>
  <c r="M568" i="25"/>
  <c r="B588" i="25"/>
  <c r="B419" i="25"/>
  <c r="B258" i="25"/>
  <c r="M258" i="25" s="1"/>
  <c r="M413" i="25"/>
  <c r="AL567" i="25" l="1"/>
  <c r="R258" i="25"/>
  <c r="Q258" i="25"/>
  <c r="S258" i="25"/>
  <c r="Q568" i="25"/>
  <c r="R568" i="25"/>
  <c r="S568" i="25"/>
  <c r="Q582" i="25"/>
  <c r="R582" i="25"/>
  <c r="S582" i="25"/>
  <c r="Q723" i="25"/>
  <c r="R723" i="25"/>
  <c r="S723" i="25"/>
  <c r="Q413" i="25"/>
  <c r="S413" i="25"/>
  <c r="R413" i="25"/>
  <c r="AJ257" i="25"/>
  <c r="AK257" i="25"/>
  <c r="AN257" i="25" s="1"/>
  <c r="AQ257" i="25" s="1"/>
  <c r="AH257" i="25"/>
  <c r="AP257" i="25" s="1"/>
  <c r="AS257" i="25" s="1"/>
  <c r="AI257" i="25"/>
  <c r="AO257" i="25" s="1"/>
  <c r="AR257" i="25" s="1"/>
  <c r="AM257" i="25"/>
  <c r="AL257" i="25"/>
  <c r="N258" i="25"/>
  <c r="U258" i="25"/>
  <c r="V258" i="25"/>
  <c r="T258" i="25"/>
  <c r="X258" i="25" s="1"/>
  <c r="AA258" i="25" s="1"/>
  <c r="O258" i="25"/>
  <c r="W258" i="25"/>
  <c r="Z258" i="25" s="1"/>
  <c r="AB258" i="25" s="1"/>
  <c r="P258" i="25"/>
  <c r="Y258" i="25"/>
  <c r="AC258" i="25" s="1"/>
  <c r="AD258" i="25"/>
  <c r="AE258" i="25" s="1"/>
  <c r="AO258" i="25"/>
  <c r="AR258" i="25" s="1"/>
  <c r="O880" i="25"/>
  <c r="T880" i="25"/>
  <c r="AB581" i="25"/>
  <c r="AD581" i="25" s="1"/>
  <c r="AE581" i="25" s="1"/>
  <c r="N882" i="25"/>
  <c r="S882" i="25"/>
  <c r="Z882" i="25" s="1"/>
  <c r="AA879" i="25"/>
  <c r="AB879" i="25" s="1"/>
  <c r="AC879" i="25" s="1"/>
  <c r="AD879" i="25" s="1"/>
  <c r="W879" i="25"/>
  <c r="X879" i="25" s="1"/>
  <c r="AN98" i="25"/>
  <c r="AQ98" i="25" s="1"/>
  <c r="AM567" i="25"/>
  <c r="AN721" i="25"/>
  <c r="AQ721" i="25" s="1"/>
  <c r="W567" i="25"/>
  <c r="Z567" i="25" s="1"/>
  <c r="AB567" i="25" s="1"/>
  <c r="AD567" i="25" s="1"/>
  <c r="AE567" i="25" s="1"/>
  <c r="AN411" i="25"/>
  <c r="AQ411" i="25" s="1"/>
  <c r="N881" i="25"/>
  <c r="K881" i="25"/>
  <c r="AP580" i="25"/>
  <c r="AS580" i="25" s="1"/>
  <c r="AO411" i="25"/>
  <c r="AR411" i="25" s="1"/>
  <c r="AB411" i="25"/>
  <c r="AD411" i="25" s="1"/>
  <c r="AE411" i="25" s="1"/>
  <c r="AB566" i="25"/>
  <c r="AD566" i="25" s="1"/>
  <c r="AE566" i="25" s="1"/>
  <c r="W412" i="25"/>
  <c r="Z412" i="25" s="1"/>
  <c r="AB412" i="25" s="1"/>
  <c r="AD412" i="25" s="1"/>
  <c r="AE412" i="25" s="1"/>
  <c r="AH412" i="25"/>
  <c r="AI412" i="25"/>
  <c r="AL581" i="25"/>
  <c r="AM581" i="25"/>
  <c r="AI567" i="25"/>
  <c r="AO567" i="25" s="1"/>
  <c r="AR567" i="25" s="1"/>
  <c r="AH567" i="25"/>
  <c r="AK581" i="25"/>
  <c r="AN581" i="25" s="1"/>
  <c r="AQ581" i="25" s="1"/>
  <c r="AJ581" i="25"/>
  <c r="W722" i="25"/>
  <c r="Z722" i="25" s="1"/>
  <c r="AB722" i="25" s="1"/>
  <c r="AD722" i="25" s="1"/>
  <c r="AE722" i="25" s="1"/>
  <c r="AM722" i="25"/>
  <c r="AL722" i="25"/>
  <c r="M724" i="25"/>
  <c r="U568" i="25"/>
  <c r="N568" i="25"/>
  <c r="V568" i="25"/>
  <c r="O568" i="25"/>
  <c r="Y568" i="25"/>
  <c r="P568" i="25"/>
  <c r="AC568" i="25"/>
  <c r="T568" i="25"/>
  <c r="X568" i="25" s="1"/>
  <c r="AA568" i="25" s="1"/>
  <c r="AH581" i="25"/>
  <c r="AP581" i="25" s="1"/>
  <c r="AS581" i="25" s="1"/>
  <c r="AI581" i="25"/>
  <c r="U723" i="25"/>
  <c r="N723" i="25"/>
  <c r="V723" i="25"/>
  <c r="O723" i="25"/>
  <c r="H883" i="25"/>
  <c r="Q883" i="25" s="1"/>
  <c r="P723" i="25"/>
  <c r="I883" i="25"/>
  <c r="J883" i="25"/>
  <c r="S883" i="25" s="1"/>
  <c r="T723" i="25"/>
  <c r="X723" i="25" s="1"/>
  <c r="AA723" i="25" s="1"/>
  <c r="Y723" i="25"/>
  <c r="AC723" i="25" s="1"/>
  <c r="T582" i="25"/>
  <c r="U582" i="25"/>
  <c r="N582" i="25"/>
  <c r="V582" i="25"/>
  <c r="O582" i="25"/>
  <c r="Y582" i="25"/>
  <c r="AC582" i="25" s="1"/>
  <c r="P582" i="25"/>
  <c r="AJ722" i="25"/>
  <c r="AK722" i="25"/>
  <c r="AN722" i="25" s="1"/>
  <c r="AQ722" i="25" s="1"/>
  <c r="AL412" i="25"/>
  <c r="AM412" i="25"/>
  <c r="AI722" i="25"/>
  <c r="AO722" i="25" s="1"/>
  <c r="AR722" i="25" s="1"/>
  <c r="L882" i="25" s="1"/>
  <c r="U882" i="25" s="1"/>
  <c r="AH722" i="25"/>
  <c r="T413" i="25"/>
  <c r="X413" i="25" s="1"/>
  <c r="AA413" i="25" s="1"/>
  <c r="U413" i="25"/>
  <c r="N413" i="25"/>
  <c r="V413" i="25"/>
  <c r="O413" i="25"/>
  <c r="Y413" i="25"/>
  <c r="P413" i="25"/>
  <c r="AC413" i="25"/>
  <c r="AJ412" i="25"/>
  <c r="AK412" i="25"/>
  <c r="AN412" i="25" s="1"/>
  <c r="AQ412" i="25" s="1"/>
  <c r="AJ567" i="25"/>
  <c r="AK567" i="25"/>
  <c r="AN567" i="25" s="1"/>
  <c r="AQ567" i="25" s="1"/>
  <c r="AL100" i="25"/>
  <c r="AJ100" i="25"/>
  <c r="F101" i="25"/>
  <c r="O100" i="25"/>
  <c r="AI99" i="25"/>
  <c r="AO99" i="25" s="1"/>
  <c r="AR99" i="25" s="1"/>
  <c r="AK99" i="25"/>
  <c r="W880" i="25"/>
  <c r="X880" i="25" s="1"/>
  <c r="AA880" i="25"/>
  <c r="AB880" i="25" s="1"/>
  <c r="AC880" i="25" s="1"/>
  <c r="AD880" i="25" s="1"/>
  <c r="E102" i="25"/>
  <c r="N101" i="25"/>
  <c r="D101" i="25"/>
  <c r="P100" i="25"/>
  <c r="C102" i="25"/>
  <c r="Y101" i="25"/>
  <c r="AC101" i="25" s="1"/>
  <c r="AD101" i="25" s="1"/>
  <c r="AE101" i="25" s="1"/>
  <c r="AM99" i="25"/>
  <c r="AH99" i="25"/>
  <c r="AP99" i="25" s="1"/>
  <c r="AS99" i="25" s="1"/>
  <c r="O881" i="25"/>
  <c r="T881" i="25"/>
  <c r="B727" i="25"/>
  <c r="M583" i="25"/>
  <c r="M569" i="25"/>
  <c r="B589" i="25"/>
  <c r="B420" i="25"/>
  <c r="M414" i="25"/>
  <c r="B259" i="25"/>
  <c r="M259" i="25" s="1"/>
  <c r="Q569" i="25" l="1"/>
  <c r="R569" i="25"/>
  <c r="S569" i="25"/>
  <c r="Q259" i="25"/>
  <c r="R259" i="25"/>
  <c r="S259" i="25"/>
  <c r="R724" i="25"/>
  <c r="S724" i="25"/>
  <c r="Q724" i="25"/>
  <c r="R414" i="25"/>
  <c r="S414" i="25"/>
  <c r="Q414" i="25"/>
  <c r="R583" i="25"/>
  <c r="Q583" i="25"/>
  <c r="S583" i="25"/>
  <c r="AH258" i="25"/>
  <c r="AP258" i="25" s="1"/>
  <c r="AS258" i="25" s="1"/>
  <c r="AI258" i="25"/>
  <c r="AK258" i="25"/>
  <c r="AN258" i="25" s="1"/>
  <c r="AQ258" i="25" s="1"/>
  <c r="AJ258" i="25"/>
  <c r="AL258" i="25"/>
  <c r="AM258" i="25"/>
  <c r="Y259" i="25"/>
  <c r="AC259" i="25" s="1"/>
  <c r="U259" i="25"/>
  <c r="T259" i="25"/>
  <c r="N259" i="25"/>
  <c r="V259" i="25"/>
  <c r="O259" i="25"/>
  <c r="W259" i="25"/>
  <c r="Z259" i="25" s="1"/>
  <c r="P259" i="25"/>
  <c r="AB259" i="25"/>
  <c r="AD259" i="25" s="1"/>
  <c r="AE259" i="25" s="1"/>
  <c r="X259" i="25"/>
  <c r="AA259" i="25" s="1"/>
  <c r="N883" i="25"/>
  <c r="R883" i="25"/>
  <c r="Z883" i="25"/>
  <c r="W723" i="25"/>
  <c r="Z723" i="25" s="1"/>
  <c r="AB723" i="25" s="1"/>
  <c r="AD723" i="25" s="1"/>
  <c r="AE723" i="25" s="1"/>
  <c r="AO412" i="25"/>
  <c r="AR412" i="25" s="1"/>
  <c r="X582" i="25"/>
  <c r="AA582" i="25" s="1"/>
  <c r="AP412" i="25"/>
  <c r="AS412" i="25" s="1"/>
  <c r="AP722" i="25"/>
  <c r="AS722" i="25" s="1"/>
  <c r="M882" i="25" s="1"/>
  <c r="V882" i="25" s="1"/>
  <c r="K882" i="25"/>
  <c r="AP567" i="25"/>
  <c r="AS567" i="25" s="1"/>
  <c r="AO581" i="25"/>
  <c r="AR581" i="25" s="1"/>
  <c r="AJ568" i="25"/>
  <c r="AK568" i="25"/>
  <c r="AN568" i="25" s="1"/>
  <c r="AQ568" i="25" s="1"/>
  <c r="AJ582" i="25"/>
  <c r="AK582" i="25"/>
  <c r="AN582" i="25" s="1"/>
  <c r="AQ582" i="25" s="1"/>
  <c r="AL723" i="25"/>
  <c r="AM723" i="25"/>
  <c r="W582" i="25"/>
  <c r="Z582" i="25" s="1"/>
  <c r="AH582" i="25"/>
  <c r="AI582" i="25"/>
  <c r="AL582" i="25"/>
  <c r="AM582" i="25"/>
  <c r="AK723" i="25"/>
  <c r="AN723" i="25" s="1"/>
  <c r="AQ723" i="25" s="1"/>
  <c r="AJ723" i="25"/>
  <c r="W568" i="25"/>
  <c r="Z568" i="25" s="1"/>
  <c r="AB568" i="25" s="1"/>
  <c r="AD568" i="25" s="1"/>
  <c r="AE568" i="25" s="1"/>
  <c r="AL568" i="25"/>
  <c r="AM568" i="25"/>
  <c r="AI568" i="25"/>
  <c r="AO568" i="25" s="1"/>
  <c r="AR568" i="25" s="1"/>
  <c r="AH568" i="25"/>
  <c r="AP568" i="25" s="1"/>
  <c r="AS568" i="25" s="1"/>
  <c r="I884" i="25"/>
  <c r="R884" i="25" s="1"/>
  <c r="J884" i="25"/>
  <c r="S884" i="25" s="1"/>
  <c r="T724" i="25"/>
  <c r="N724" i="25"/>
  <c r="V724" i="25"/>
  <c r="U724" i="25"/>
  <c r="W724" i="25"/>
  <c r="Z724" i="25" s="1"/>
  <c r="AB724" i="25" s="1"/>
  <c r="X724" i="25"/>
  <c r="AA724" i="25" s="1"/>
  <c r="Y724" i="25"/>
  <c r="AC724" i="25" s="1"/>
  <c r="O724" i="25"/>
  <c r="P724" i="25"/>
  <c r="H884" i="25"/>
  <c r="AH413" i="25"/>
  <c r="AI413" i="25"/>
  <c r="AO413" i="25" s="1"/>
  <c r="AR413" i="25" s="1"/>
  <c r="AI723" i="25"/>
  <c r="AO723" i="25" s="1"/>
  <c r="AR723" i="25" s="1"/>
  <c r="L883" i="25" s="1"/>
  <c r="U883" i="25" s="1"/>
  <c r="AH723" i="25"/>
  <c r="AP723" i="25" s="1"/>
  <c r="AS723" i="25" s="1"/>
  <c r="M883" i="25" s="1"/>
  <c r="V883" i="25" s="1"/>
  <c r="AL413" i="25"/>
  <c r="AM413" i="25"/>
  <c r="M725" i="25"/>
  <c r="T569" i="25"/>
  <c r="U569" i="25"/>
  <c r="N569" i="25"/>
  <c r="V569" i="25"/>
  <c r="O569" i="25"/>
  <c r="P569" i="25"/>
  <c r="Y569" i="25"/>
  <c r="AC569" i="25" s="1"/>
  <c r="AC583" i="25"/>
  <c r="W583" i="25"/>
  <c r="Z583" i="25" s="1"/>
  <c r="T583" i="25"/>
  <c r="U583" i="25"/>
  <c r="Y583" i="25"/>
  <c r="N583" i="25"/>
  <c r="O583" i="25"/>
  <c r="V583" i="25"/>
  <c r="P583" i="25"/>
  <c r="W413" i="25"/>
  <c r="Z413" i="25" s="1"/>
  <c r="AB413" i="25" s="1"/>
  <c r="AD413" i="25" s="1"/>
  <c r="AE413" i="25" s="1"/>
  <c r="AJ413" i="25"/>
  <c r="AK413" i="25"/>
  <c r="AN413" i="25" s="1"/>
  <c r="AQ413" i="25" s="1"/>
  <c r="N414" i="25"/>
  <c r="V414" i="25"/>
  <c r="O414" i="25"/>
  <c r="P414" i="25"/>
  <c r="Y414" i="25"/>
  <c r="AC414" i="25" s="1"/>
  <c r="T414" i="25"/>
  <c r="X414" i="25" s="1"/>
  <c r="AA414" i="25" s="1"/>
  <c r="U414" i="25"/>
  <c r="C103" i="25"/>
  <c r="Y102" i="25"/>
  <c r="AC102" i="25" s="1"/>
  <c r="AD102" i="25" s="1"/>
  <c r="AE102" i="25" s="1"/>
  <c r="AN99" i="25"/>
  <c r="AQ99" i="25" s="1"/>
  <c r="K883" i="25" s="1"/>
  <c r="AI100" i="25"/>
  <c r="AO100" i="25" s="1"/>
  <c r="AR100" i="25" s="1"/>
  <c r="AK100" i="25"/>
  <c r="AH100" i="25"/>
  <c r="AP100" i="25" s="1"/>
  <c r="AS100" i="25" s="1"/>
  <c r="AM100" i="25"/>
  <c r="AA881" i="25"/>
  <c r="AB881" i="25" s="1"/>
  <c r="AC881" i="25" s="1"/>
  <c r="AD881" i="25" s="1"/>
  <c r="W881" i="25"/>
  <c r="X881" i="25" s="1"/>
  <c r="D102" i="25"/>
  <c r="P101" i="25"/>
  <c r="F102" i="25"/>
  <c r="O101" i="25"/>
  <c r="AJ101" i="25"/>
  <c r="AL101" i="25"/>
  <c r="E103" i="25"/>
  <c r="N102" i="25"/>
  <c r="B728" i="25"/>
  <c r="M584" i="25"/>
  <c r="M570" i="25"/>
  <c r="B590" i="25"/>
  <c r="B421" i="25"/>
  <c r="B422" i="25" s="1"/>
  <c r="B260" i="25"/>
  <c r="M260" i="25" s="1"/>
  <c r="M415" i="25"/>
  <c r="AI259" i="25" l="1"/>
  <c r="S570" i="25"/>
  <c r="Q570" i="25"/>
  <c r="R570" i="25"/>
  <c r="Q725" i="25"/>
  <c r="R725" i="25"/>
  <c r="S725" i="25"/>
  <c r="Q584" i="25"/>
  <c r="R584" i="25"/>
  <c r="S584" i="25"/>
  <c r="Q260" i="25"/>
  <c r="R260" i="25"/>
  <c r="S260" i="25"/>
  <c r="Q415" i="25"/>
  <c r="R415" i="25"/>
  <c r="S415" i="25"/>
  <c r="AH259" i="25"/>
  <c r="AK259" i="25"/>
  <c r="AJ259" i="25"/>
  <c r="AP259" i="25" s="1"/>
  <c r="AS259" i="25" s="1"/>
  <c r="U260" i="25"/>
  <c r="V260" i="25"/>
  <c r="Y260" i="25"/>
  <c r="AC260" i="25" s="1"/>
  <c r="P260" i="25"/>
  <c r="O260" i="25"/>
  <c r="N260" i="25"/>
  <c r="T260" i="25"/>
  <c r="X260" i="25" s="1"/>
  <c r="AA260" i="25" s="1"/>
  <c r="W260" i="25"/>
  <c r="Z260" i="25" s="1"/>
  <c r="AB260" i="25" s="1"/>
  <c r="AD260" i="25" s="1"/>
  <c r="AE260" i="25" s="1"/>
  <c r="AN260" i="25"/>
  <c r="AQ260" i="25" s="1"/>
  <c r="AP260" i="25"/>
  <c r="AS260" i="25" s="1"/>
  <c r="AL259" i="25"/>
  <c r="AO259" i="25" s="1"/>
  <c r="AR259" i="25" s="1"/>
  <c r="AM259" i="25"/>
  <c r="AN259" i="25" s="1"/>
  <c r="AQ259" i="25" s="1"/>
  <c r="N884" i="25"/>
  <c r="Q884" i="25"/>
  <c r="Z884" i="25" s="1"/>
  <c r="X583" i="25"/>
  <c r="AA583" i="25" s="1"/>
  <c r="AB583" i="25" s="1"/>
  <c r="AD583" i="25" s="1"/>
  <c r="AE583" i="25" s="1"/>
  <c r="X569" i="25"/>
  <c r="AA569" i="25" s="1"/>
  <c r="T882" i="25"/>
  <c r="O882" i="25"/>
  <c r="AP413" i="25"/>
  <c r="AS413" i="25" s="1"/>
  <c r="AD724" i="25"/>
  <c r="AE724" i="25" s="1"/>
  <c r="AO582" i="25"/>
  <c r="AR582" i="25" s="1"/>
  <c r="AP582" i="25"/>
  <c r="AS582" i="25" s="1"/>
  <c r="AB582" i="25"/>
  <c r="AD582" i="25" s="1"/>
  <c r="AE582" i="25" s="1"/>
  <c r="AI724" i="25"/>
  <c r="AH724" i="25"/>
  <c r="AM724" i="25"/>
  <c r="AL724" i="25"/>
  <c r="AL414" i="25"/>
  <c r="AM414" i="25"/>
  <c r="AL583" i="25"/>
  <c r="AM583" i="25"/>
  <c r="U584" i="25"/>
  <c r="N584" i="25"/>
  <c r="V584" i="25"/>
  <c r="O584" i="25"/>
  <c r="Y584" i="25"/>
  <c r="P584" i="25"/>
  <c r="AC584" i="25"/>
  <c r="T584" i="25"/>
  <c r="X584" i="25" s="1"/>
  <c r="AA584" i="25" s="1"/>
  <c r="AJ414" i="25"/>
  <c r="AK414" i="25"/>
  <c r="AN414" i="25" s="1"/>
  <c r="AQ414" i="25" s="1"/>
  <c r="AJ583" i="25"/>
  <c r="AK583" i="25"/>
  <c r="AN583" i="25" s="1"/>
  <c r="AQ583" i="25" s="1"/>
  <c r="AL569" i="25"/>
  <c r="AM569" i="25"/>
  <c r="AJ724" i="25"/>
  <c r="AK724" i="25"/>
  <c r="AN724" i="25" s="1"/>
  <c r="AQ724" i="25" s="1"/>
  <c r="M726" i="25"/>
  <c r="O570" i="25"/>
  <c r="Y570" i="25"/>
  <c r="AC570" i="25" s="1"/>
  <c r="P570" i="25"/>
  <c r="T570" i="25"/>
  <c r="U570" i="25"/>
  <c r="V570" i="25"/>
  <c r="X570" i="25" s="1"/>
  <c r="AA570" i="25" s="1"/>
  <c r="N570" i="25"/>
  <c r="W414" i="25"/>
  <c r="Z414" i="25" s="1"/>
  <c r="AB414" i="25" s="1"/>
  <c r="AD414" i="25" s="1"/>
  <c r="AE414" i="25" s="1"/>
  <c r="AH414" i="25"/>
  <c r="AP414" i="25" s="1"/>
  <c r="AS414" i="25" s="1"/>
  <c r="AI414" i="25"/>
  <c r="AO414" i="25" s="1"/>
  <c r="AR414" i="25" s="1"/>
  <c r="W569" i="25"/>
  <c r="Z569" i="25" s="1"/>
  <c r="AB569" i="25" s="1"/>
  <c r="AD569" i="25" s="1"/>
  <c r="AE569" i="25" s="1"/>
  <c r="AH569" i="25"/>
  <c r="AP569" i="25" s="1"/>
  <c r="AS569" i="25" s="1"/>
  <c r="AI569" i="25"/>
  <c r="AO569" i="25" s="1"/>
  <c r="AR569" i="25" s="1"/>
  <c r="AJ569" i="25"/>
  <c r="AK569" i="25"/>
  <c r="AN569" i="25" s="1"/>
  <c r="AQ569" i="25" s="1"/>
  <c r="T415" i="25"/>
  <c r="U415" i="25"/>
  <c r="N415" i="25"/>
  <c r="V415" i="25"/>
  <c r="O415" i="25"/>
  <c r="P415" i="25"/>
  <c r="Y415" i="25"/>
  <c r="AC415" i="25" s="1"/>
  <c r="AH583" i="25"/>
  <c r="AP583" i="25" s="1"/>
  <c r="AS583" i="25" s="1"/>
  <c r="AI583" i="25"/>
  <c r="AO583" i="25" s="1"/>
  <c r="AR583" i="25" s="1"/>
  <c r="U725" i="25"/>
  <c r="N725" i="25"/>
  <c r="V725" i="25"/>
  <c r="O725" i="25"/>
  <c r="Y725" i="25"/>
  <c r="AC725" i="25" s="1"/>
  <c r="H885" i="25"/>
  <c r="P725" i="25"/>
  <c r="W725" i="25"/>
  <c r="Z725" i="25" s="1"/>
  <c r="AB725" i="25" s="1"/>
  <c r="AD725" i="25" s="1"/>
  <c r="AE725" i="25" s="1"/>
  <c r="J885" i="25"/>
  <c r="S885" i="25" s="1"/>
  <c r="T725" i="25"/>
  <c r="X725" i="25"/>
  <c r="AA725" i="25" s="1"/>
  <c r="AH101" i="25"/>
  <c r="AP101" i="25" s="1"/>
  <c r="AS101" i="25" s="1"/>
  <c r="AM101" i="25"/>
  <c r="AN100" i="25"/>
  <c r="AQ100" i="25" s="1"/>
  <c r="K884" i="25" s="1"/>
  <c r="F103" i="25"/>
  <c r="O102" i="25"/>
  <c r="AI101" i="25"/>
  <c r="AO101" i="25" s="1"/>
  <c r="AR101" i="25" s="1"/>
  <c r="AK101" i="25"/>
  <c r="AJ102" i="25"/>
  <c r="AL102" i="25"/>
  <c r="D103" i="25"/>
  <c r="P102" i="25"/>
  <c r="E104" i="25"/>
  <c r="N103" i="25"/>
  <c r="T883" i="25"/>
  <c r="O883" i="25"/>
  <c r="C104" i="25"/>
  <c r="Y103" i="25"/>
  <c r="AC103" i="25" s="1"/>
  <c r="AD103" i="25" s="1"/>
  <c r="AE103" i="25" s="1"/>
  <c r="B729" i="25"/>
  <c r="M585" i="25"/>
  <c r="M571" i="25"/>
  <c r="B591" i="25"/>
  <c r="B423" i="25"/>
  <c r="M416" i="25"/>
  <c r="B261" i="25"/>
  <c r="M261" i="25" s="1"/>
  <c r="R416" i="25" l="1"/>
  <c r="Q416" i="25"/>
  <c r="S416" i="25"/>
  <c r="S261" i="25"/>
  <c r="Q261" i="25"/>
  <c r="R261" i="25"/>
  <c r="Q585" i="25"/>
  <c r="R585" i="25"/>
  <c r="S585" i="25"/>
  <c r="Q726" i="25"/>
  <c r="R726" i="25"/>
  <c r="S726" i="25"/>
  <c r="Q571" i="25"/>
  <c r="R571" i="25"/>
  <c r="S571" i="25"/>
  <c r="AI260" i="25"/>
  <c r="AO260" i="25" s="1"/>
  <c r="AR260" i="25" s="1"/>
  <c r="AH260" i="25"/>
  <c r="AJ260" i="25"/>
  <c r="AK260" i="25"/>
  <c r="N261" i="25"/>
  <c r="P261" i="25"/>
  <c r="T261" i="25"/>
  <c r="U261" i="25"/>
  <c r="Y261" i="25"/>
  <c r="AC261" i="25" s="1"/>
  <c r="O261" i="25"/>
  <c r="V261" i="25"/>
  <c r="X261" i="25"/>
  <c r="AA261" i="25" s="1"/>
  <c r="W261" i="25"/>
  <c r="Z261" i="25" s="1"/>
  <c r="AB261" i="25" s="1"/>
  <c r="AD261" i="25" s="1"/>
  <c r="AE261" i="25" s="1"/>
  <c r="AN261" i="25"/>
  <c r="AQ261" i="25" s="1"/>
  <c r="AO261" i="25"/>
  <c r="AR261" i="25" s="1"/>
  <c r="AP261" i="25"/>
  <c r="AS261" i="25" s="1"/>
  <c r="AM260" i="25"/>
  <c r="AL260" i="25"/>
  <c r="Q885" i="25"/>
  <c r="X415" i="25"/>
  <c r="AA415" i="25" s="1"/>
  <c r="AP724" i="25"/>
  <c r="AS724" i="25" s="1"/>
  <c r="M884" i="25" s="1"/>
  <c r="V884" i="25" s="1"/>
  <c r="AO724" i="25"/>
  <c r="AR724" i="25" s="1"/>
  <c r="L884" i="25" s="1"/>
  <c r="U884" i="25" s="1"/>
  <c r="I885" i="25"/>
  <c r="R885" i="25" s="1"/>
  <c r="W415" i="25"/>
  <c r="Z415" i="25" s="1"/>
  <c r="AB415" i="25" s="1"/>
  <c r="AD415" i="25" s="1"/>
  <c r="AE415" i="25" s="1"/>
  <c r="W882" i="25"/>
  <c r="X882" i="25" s="1"/>
  <c r="AA882" i="25"/>
  <c r="AB882" i="25" s="1"/>
  <c r="AC882" i="25" s="1"/>
  <c r="AD882" i="25" s="1"/>
  <c r="AK725" i="25"/>
  <c r="AJ725" i="25"/>
  <c r="AL415" i="25"/>
  <c r="AM415" i="25"/>
  <c r="AH584" i="25"/>
  <c r="AI584" i="25"/>
  <c r="AM570" i="25"/>
  <c r="AL570" i="25"/>
  <c r="AJ570" i="25"/>
  <c r="AK570" i="25"/>
  <c r="W570" i="25"/>
  <c r="Z570" i="25" s="1"/>
  <c r="AB570" i="25" s="1"/>
  <c r="AD570" i="25" s="1"/>
  <c r="AE570" i="25" s="1"/>
  <c r="AH570" i="25"/>
  <c r="AI570" i="25"/>
  <c r="AO570" i="25" s="1"/>
  <c r="AR570" i="25" s="1"/>
  <c r="P416" i="25"/>
  <c r="T416" i="25"/>
  <c r="U416" i="25"/>
  <c r="N416" i="25"/>
  <c r="V416" i="25"/>
  <c r="O416" i="25"/>
  <c r="Y416" i="25"/>
  <c r="AC416" i="25" s="1"/>
  <c r="M727" i="25"/>
  <c r="U571" i="25"/>
  <c r="N571" i="25"/>
  <c r="V571" i="25"/>
  <c r="O571" i="25"/>
  <c r="P571" i="25"/>
  <c r="Y571" i="25"/>
  <c r="AC571" i="25" s="1"/>
  <c r="T571" i="25"/>
  <c r="X571" i="25" s="1"/>
  <c r="AA571" i="25" s="1"/>
  <c r="AH725" i="25"/>
  <c r="AP725" i="25" s="1"/>
  <c r="AS725" i="25" s="1"/>
  <c r="M885" i="25" s="1"/>
  <c r="V885" i="25" s="1"/>
  <c r="AI725" i="25"/>
  <c r="AO725" i="25" s="1"/>
  <c r="AR725" i="25" s="1"/>
  <c r="L885" i="25" s="1"/>
  <c r="U885" i="25" s="1"/>
  <c r="T585" i="25"/>
  <c r="U585" i="25"/>
  <c r="X585" i="25" s="1"/>
  <c r="AA585" i="25" s="1"/>
  <c r="N585" i="25"/>
  <c r="V585" i="25"/>
  <c r="Y585" i="25"/>
  <c r="AC585" i="25" s="1"/>
  <c r="O585" i="25"/>
  <c r="W585" i="25"/>
  <c r="Z585" i="25" s="1"/>
  <c r="P585" i="25"/>
  <c r="AJ415" i="25"/>
  <c r="AK415" i="25"/>
  <c r="AN415" i="25" s="1"/>
  <c r="AQ415" i="25" s="1"/>
  <c r="AL584" i="25"/>
  <c r="AM584" i="25"/>
  <c r="AL725" i="25"/>
  <c r="AM725" i="25"/>
  <c r="AH415" i="25"/>
  <c r="AI415" i="25"/>
  <c r="AO415" i="25" s="1"/>
  <c r="AR415" i="25" s="1"/>
  <c r="J886" i="25"/>
  <c r="S886" i="25" s="1"/>
  <c r="T726" i="25"/>
  <c r="O726" i="25"/>
  <c r="Y726" i="25"/>
  <c r="AC726" i="25" s="1"/>
  <c r="N726" i="25"/>
  <c r="P726" i="25"/>
  <c r="H886" i="25"/>
  <c r="I886" i="25"/>
  <c r="R886" i="25" s="1"/>
  <c r="U726" i="25"/>
  <c r="V726" i="25"/>
  <c r="X726" i="25" s="1"/>
  <c r="AA726" i="25" s="1"/>
  <c r="W584" i="25"/>
  <c r="Z584" i="25" s="1"/>
  <c r="AB584" i="25" s="1"/>
  <c r="AD584" i="25" s="1"/>
  <c r="AE584" i="25" s="1"/>
  <c r="AJ584" i="25"/>
  <c r="AK584" i="25"/>
  <c r="AN584" i="25" s="1"/>
  <c r="AQ584" i="25" s="1"/>
  <c r="D104" i="25"/>
  <c r="P103" i="25"/>
  <c r="AN101" i="25"/>
  <c r="AQ101" i="25" s="1"/>
  <c r="AA883" i="25"/>
  <c r="AB883" i="25" s="1"/>
  <c r="AC883" i="25" s="1"/>
  <c r="AD883" i="25" s="1"/>
  <c r="W883" i="25"/>
  <c r="X883" i="25" s="1"/>
  <c r="AM102" i="25"/>
  <c r="AH102" i="25"/>
  <c r="AP102" i="25" s="1"/>
  <c r="AS102" i="25" s="1"/>
  <c r="AL103" i="25"/>
  <c r="AJ103" i="25"/>
  <c r="E105" i="25"/>
  <c r="N104" i="25"/>
  <c r="F104" i="25"/>
  <c r="O103" i="25"/>
  <c r="AK102" i="25"/>
  <c r="AI102" i="25"/>
  <c r="AO102" i="25" s="1"/>
  <c r="AR102" i="25" s="1"/>
  <c r="T884" i="25"/>
  <c r="O884" i="25"/>
  <c r="C105" i="25"/>
  <c r="Y104" i="25"/>
  <c r="AC104" i="25" s="1"/>
  <c r="AD104" i="25" s="1"/>
  <c r="AE104" i="25" s="1"/>
  <c r="B730" i="25"/>
  <c r="M586" i="25"/>
  <c r="M572" i="25"/>
  <c r="B592" i="25"/>
  <c r="B424" i="25"/>
  <c r="B262" i="25"/>
  <c r="M262" i="25" s="1"/>
  <c r="M417" i="25"/>
  <c r="Q262" i="25" l="1"/>
  <c r="R262" i="25"/>
  <c r="S262" i="25"/>
  <c r="Q417" i="25"/>
  <c r="R417" i="25"/>
  <c r="S417" i="25"/>
  <c r="Q727" i="25"/>
  <c r="R727" i="25"/>
  <c r="S727" i="25"/>
  <c r="Q572" i="25"/>
  <c r="S572" i="25"/>
  <c r="R572" i="25"/>
  <c r="S586" i="25"/>
  <c r="Q586" i="25"/>
  <c r="R586" i="25"/>
  <c r="AJ261" i="25"/>
  <c r="AK261" i="25"/>
  <c r="AH261" i="25"/>
  <c r="AI261" i="25"/>
  <c r="AL261" i="25"/>
  <c r="AM261" i="25"/>
  <c r="U262" i="25"/>
  <c r="O262" i="25"/>
  <c r="N262" i="25"/>
  <c r="P262" i="25"/>
  <c r="Y262" i="25"/>
  <c r="AC262" i="25" s="1"/>
  <c r="W262" i="25"/>
  <c r="Z262" i="25" s="1"/>
  <c r="V262" i="25"/>
  <c r="T262" i="25"/>
  <c r="X262" i="25" s="1"/>
  <c r="AA262" i="25" s="1"/>
  <c r="AB262" i="25"/>
  <c r="AD262" i="25" s="1"/>
  <c r="AE262" i="25" s="1"/>
  <c r="AN262" i="25"/>
  <c r="AQ262" i="25" s="1"/>
  <c r="N886" i="25"/>
  <c r="Q886" i="25"/>
  <c r="Z886" i="25" s="1"/>
  <c r="AB585" i="25"/>
  <c r="AD585" i="25" s="1"/>
  <c r="AE585" i="25" s="1"/>
  <c r="AO584" i="25"/>
  <c r="AR584" i="25" s="1"/>
  <c r="AP584" i="25"/>
  <c r="AS584" i="25" s="1"/>
  <c r="AP415" i="25"/>
  <c r="AS415" i="25" s="1"/>
  <c r="AP570" i="25"/>
  <c r="AS570" i="25" s="1"/>
  <c r="X416" i="25"/>
  <c r="AA416" i="25" s="1"/>
  <c r="AN570" i="25"/>
  <c r="AQ570" i="25" s="1"/>
  <c r="N885" i="25"/>
  <c r="AN725" i="25"/>
  <c r="AQ725" i="25" s="1"/>
  <c r="Z885" i="25"/>
  <c r="K885" i="25"/>
  <c r="T885" i="25" s="1"/>
  <c r="W571" i="25"/>
  <c r="Z571" i="25" s="1"/>
  <c r="AB571" i="25" s="1"/>
  <c r="AD571" i="25" s="1"/>
  <c r="AE571" i="25" s="1"/>
  <c r="N417" i="25"/>
  <c r="V417" i="25"/>
  <c r="O417" i="25"/>
  <c r="Y417" i="25"/>
  <c r="P417" i="25"/>
  <c r="AC417" i="25"/>
  <c r="T417" i="25"/>
  <c r="X417" i="25" s="1"/>
  <c r="AA417" i="25" s="1"/>
  <c r="U417" i="25"/>
  <c r="AJ416" i="25"/>
  <c r="AK416" i="25"/>
  <c r="AH585" i="25"/>
  <c r="AI585" i="25"/>
  <c r="AL585" i="25"/>
  <c r="AM585" i="25"/>
  <c r="W416" i="25"/>
  <c r="Z416" i="25" s="1"/>
  <c r="AH416" i="25"/>
  <c r="AI416" i="25"/>
  <c r="AM726" i="25"/>
  <c r="AL726" i="25"/>
  <c r="AJ585" i="25"/>
  <c r="AK585" i="25"/>
  <c r="AN585" i="25" s="1"/>
  <c r="AQ585" i="25" s="1"/>
  <c r="AL571" i="25"/>
  <c r="AM571" i="25"/>
  <c r="AJ726" i="25"/>
  <c r="AK726" i="25"/>
  <c r="AN726" i="25" s="1"/>
  <c r="AQ726" i="25" s="1"/>
  <c r="AJ571" i="25"/>
  <c r="AK571" i="25"/>
  <c r="AN571" i="25" s="1"/>
  <c r="AQ571" i="25" s="1"/>
  <c r="N586" i="25"/>
  <c r="V586" i="25"/>
  <c r="O586" i="25"/>
  <c r="Y586" i="25"/>
  <c r="AC586" i="25" s="1"/>
  <c r="P586" i="25"/>
  <c r="T586" i="25"/>
  <c r="U586" i="25"/>
  <c r="AH571" i="25"/>
  <c r="AP571" i="25" s="1"/>
  <c r="AS571" i="25" s="1"/>
  <c r="AI571" i="25"/>
  <c r="AO571" i="25" s="1"/>
  <c r="AR571" i="25" s="1"/>
  <c r="H887" i="25"/>
  <c r="I887" i="25"/>
  <c r="R887" i="25" s="1"/>
  <c r="U727" i="25"/>
  <c r="P727" i="25"/>
  <c r="J887" i="25"/>
  <c r="S887" i="25" s="1"/>
  <c r="T727" i="25"/>
  <c r="V727" i="25"/>
  <c r="Y727" i="25"/>
  <c r="AC727" i="25" s="1"/>
  <c r="N727" i="25"/>
  <c r="O727" i="25"/>
  <c r="W726" i="25"/>
  <c r="Z726" i="25" s="1"/>
  <c r="AB726" i="25" s="1"/>
  <c r="AD726" i="25" s="1"/>
  <c r="AE726" i="25" s="1"/>
  <c r="AI726" i="25"/>
  <c r="AO726" i="25" s="1"/>
  <c r="AR726" i="25" s="1"/>
  <c r="L886" i="25" s="1"/>
  <c r="U886" i="25" s="1"/>
  <c r="AH726" i="25"/>
  <c r="AP726" i="25" s="1"/>
  <c r="AS726" i="25" s="1"/>
  <c r="M886" i="25" s="1"/>
  <c r="V886" i="25" s="1"/>
  <c r="M728" i="25"/>
  <c r="T572" i="25"/>
  <c r="U572" i="25"/>
  <c r="P572" i="25"/>
  <c r="V572" i="25"/>
  <c r="X572" i="25" s="1"/>
  <c r="AA572" i="25" s="1"/>
  <c r="Y572" i="25"/>
  <c r="AC572" i="25"/>
  <c r="N572" i="25"/>
  <c r="O572" i="25"/>
  <c r="AL416" i="25"/>
  <c r="AM416" i="25"/>
  <c r="AN102" i="25"/>
  <c r="AQ102" i="25" s="1"/>
  <c r="K886" i="25" s="1"/>
  <c r="AM103" i="25"/>
  <c r="AH103" i="25"/>
  <c r="AP103" i="25" s="1"/>
  <c r="AS103" i="25" s="1"/>
  <c r="W884" i="25"/>
  <c r="X884" i="25" s="1"/>
  <c r="AA884" i="25"/>
  <c r="AB884" i="25" s="1"/>
  <c r="AC884" i="25" s="1"/>
  <c r="AD884" i="25" s="1"/>
  <c r="F105" i="25"/>
  <c r="O104" i="25"/>
  <c r="AI103" i="25"/>
  <c r="AO103" i="25" s="1"/>
  <c r="AR103" i="25" s="1"/>
  <c r="AK103" i="25"/>
  <c r="AL104" i="25"/>
  <c r="AJ104" i="25"/>
  <c r="C106" i="25"/>
  <c r="Y105" i="25"/>
  <c r="AC105" i="25" s="1"/>
  <c r="AD105" i="25" s="1"/>
  <c r="AE105" i="25" s="1"/>
  <c r="E106" i="25"/>
  <c r="N105" i="25"/>
  <c r="D105" i="25"/>
  <c r="P104" i="25"/>
  <c r="B731" i="25"/>
  <c r="M587" i="25"/>
  <c r="M573" i="25"/>
  <c r="B593" i="25"/>
  <c r="B425" i="25"/>
  <c r="M418" i="25"/>
  <c r="B263" i="25"/>
  <c r="M263" i="25" s="1"/>
  <c r="R573" i="25" l="1"/>
  <c r="S573" i="25"/>
  <c r="Q573" i="25"/>
  <c r="Q728" i="25"/>
  <c r="R728" i="25"/>
  <c r="S728" i="25"/>
  <c r="Q587" i="25"/>
  <c r="R587" i="25"/>
  <c r="S587" i="25"/>
  <c r="Q418" i="25"/>
  <c r="R418" i="25"/>
  <c r="S418" i="25"/>
  <c r="Q263" i="25"/>
  <c r="S263" i="25"/>
  <c r="R263" i="25"/>
  <c r="AH262" i="25"/>
  <c r="AI262" i="25"/>
  <c r="N263" i="25"/>
  <c r="Y263" i="25"/>
  <c r="P263" i="25"/>
  <c r="T263" i="25"/>
  <c r="O263" i="25"/>
  <c r="V263" i="25"/>
  <c r="AC263" i="25"/>
  <c r="U263" i="25"/>
  <c r="X263" i="25"/>
  <c r="AA263" i="25" s="1"/>
  <c r="W263" i="25"/>
  <c r="Z263" i="25" s="1"/>
  <c r="AB263" i="25" s="1"/>
  <c r="AD263" i="25" s="1"/>
  <c r="AE263" i="25" s="1"/>
  <c r="AL262" i="25"/>
  <c r="AO262" i="25" s="1"/>
  <c r="AR262" i="25" s="1"/>
  <c r="AM262" i="25"/>
  <c r="AK262" i="25"/>
  <c r="AJ262" i="25"/>
  <c r="AP262" i="25" s="1"/>
  <c r="AS262" i="25" s="1"/>
  <c r="O885" i="25"/>
  <c r="N887" i="25"/>
  <c r="Q887" i="25"/>
  <c r="Z887" i="25" s="1"/>
  <c r="X586" i="25"/>
  <c r="AA586" i="25" s="1"/>
  <c r="AO585" i="25"/>
  <c r="AR585" i="25" s="1"/>
  <c r="W727" i="25"/>
  <c r="Z727" i="25" s="1"/>
  <c r="AP585" i="25"/>
  <c r="AS585" i="25" s="1"/>
  <c r="AN416" i="25"/>
  <c r="AQ416" i="25" s="1"/>
  <c r="X727" i="25"/>
  <c r="AA727" i="25" s="1"/>
  <c r="AO416" i="25"/>
  <c r="AR416" i="25" s="1"/>
  <c r="AP416" i="25"/>
  <c r="AS416" i="25" s="1"/>
  <c r="AB416" i="25"/>
  <c r="AD416" i="25" s="1"/>
  <c r="AE416" i="25" s="1"/>
  <c r="AL586" i="25"/>
  <c r="AM586" i="25"/>
  <c r="W417" i="25"/>
  <c r="Z417" i="25" s="1"/>
  <c r="AB417" i="25" s="1"/>
  <c r="AD417" i="25" s="1"/>
  <c r="AE417" i="25" s="1"/>
  <c r="AJ417" i="25"/>
  <c r="AK417" i="25"/>
  <c r="AJ586" i="25"/>
  <c r="AK586" i="25"/>
  <c r="AH417" i="25"/>
  <c r="AI417" i="25"/>
  <c r="W572" i="25"/>
  <c r="Z572" i="25" s="1"/>
  <c r="AB572" i="25" s="1"/>
  <c r="AD572" i="25" s="1"/>
  <c r="AE572" i="25" s="1"/>
  <c r="AL572" i="25"/>
  <c r="AM572" i="25"/>
  <c r="W586" i="25"/>
  <c r="Z586" i="25" s="1"/>
  <c r="AB586" i="25" s="1"/>
  <c r="AD586" i="25" s="1"/>
  <c r="AE586" i="25" s="1"/>
  <c r="AH586" i="25"/>
  <c r="AP586" i="25" s="1"/>
  <c r="AS586" i="25" s="1"/>
  <c r="AI586" i="25"/>
  <c r="AO586" i="25" s="1"/>
  <c r="AR586" i="25" s="1"/>
  <c r="AJ572" i="25"/>
  <c r="AK572" i="25"/>
  <c r="AL727" i="25"/>
  <c r="AM727" i="25"/>
  <c r="T418" i="25"/>
  <c r="X418" i="25" s="1"/>
  <c r="AA418" i="25" s="1"/>
  <c r="U418" i="25"/>
  <c r="N418" i="25"/>
  <c r="V418" i="25"/>
  <c r="O418" i="25"/>
  <c r="P418" i="25"/>
  <c r="Y418" i="25"/>
  <c r="AC418" i="25" s="1"/>
  <c r="AH572" i="25"/>
  <c r="AP572" i="25" s="1"/>
  <c r="AS572" i="25" s="1"/>
  <c r="AI572" i="25"/>
  <c r="AO572" i="25" s="1"/>
  <c r="AR572" i="25" s="1"/>
  <c r="M729" i="25"/>
  <c r="N573" i="25"/>
  <c r="V573" i="25"/>
  <c r="O573" i="25"/>
  <c r="Y573" i="25"/>
  <c r="AC573" i="25" s="1"/>
  <c r="P573" i="25"/>
  <c r="W573" i="25"/>
  <c r="Z573" i="25" s="1"/>
  <c r="U573" i="25"/>
  <c r="T573" i="25"/>
  <c r="N728" i="25"/>
  <c r="V728" i="25"/>
  <c r="H888" i="25"/>
  <c r="P728" i="25"/>
  <c r="I888" i="25"/>
  <c r="R888" i="25" s="1"/>
  <c r="J888" i="25"/>
  <c r="S888" i="25" s="1"/>
  <c r="T728" i="25"/>
  <c r="U728" i="25"/>
  <c r="Y728" i="25"/>
  <c r="AC728" i="25" s="1"/>
  <c r="O728" i="25"/>
  <c r="W728" i="25"/>
  <c r="Z728" i="25" s="1"/>
  <c r="AK727" i="25"/>
  <c r="AN727" i="25" s="1"/>
  <c r="AQ727" i="25" s="1"/>
  <c r="AJ727" i="25"/>
  <c r="T587" i="25"/>
  <c r="U587" i="25"/>
  <c r="N587" i="25"/>
  <c r="V587" i="25"/>
  <c r="O587" i="25"/>
  <c r="W587" i="25"/>
  <c r="Z587" i="25" s="1"/>
  <c r="P587" i="25"/>
  <c r="Y587" i="25"/>
  <c r="AC587" i="25" s="1"/>
  <c r="AH727" i="25"/>
  <c r="AI727" i="25"/>
  <c r="AO727" i="25" s="1"/>
  <c r="AR727" i="25" s="1"/>
  <c r="L887" i="25" s="1"/>
  <c r="U887" i="25" s="1"/>
  <c r="AL417" i="25"/>
  <c r="AM417" i="25"/>
  <c r="E107" i="25"/>
  <c r="N106" i="25"/>
  <c r="AA885" i="25"/>
  <c r="AB885" i="25" s="1"/>
  <c r="AC885" i="25" s="1"/>
  <c r="AD885" i="25" s="1"/>
  <c r="W885" i="25"/>
  <c r="X885" i="25" s="1"/>
  <c r="AH104" i="25"/>
  <c r="AP104" i="25" s="1"/>
  <c r="AS104" i="25" s="1"/>
  <c r="AM104" i="25"/>
  <c r="AI104" i="25"/>
  <c r="AO104" i="25" s="1"/>
  <c r="AR104" i="25" s="1"/>
  <c r="AK104" i="25"/>
  <c r="C107" i="25"/>
  <c r="Y106" i="25"/>
  <c r="AC106" i="25" s="1"/>
  <c r="AD106" i="25" s="1"/>
  <c r="AE106" i="25" s="1"/>
  <c r="F106" i="25"/>
  <c r="O105" i="25"/>
  <c r="D106" i="25"/>
  <c r="P105" i="25"/>
  <c r="AN103" i="25"/>
  <c r="AQ103" i="25" s="1"/>
  <c r="K887" i="25" s="1"/>
  <c r="AJ105" i="25"/>
  <c r="AL105" i="25"/>
  <c r="T886" i="25"/>
  <c r="O886" i="25"/>
  <c r="B732" i="25"/>
  <c r="M588" i="25"/>
  <c r="M574" i="25"/>
  <c r="B594" i="25"/>
  <c r="B426" i="25"/>
  <c r="B264" i="25"/>
  <c r="M264" i="25" s="1"/>
  <c r="M419" i="25"/>
  <c r="Q574" i="25" l="1"/>
  <c r="R574" i="25"/>
  <c r="S574" i="25"/>
  <c r="Q588" i="25"/>
  <c r="S588" i="25"/>
  <c r="R588" i="25"/>
  <c r="S419" i="25"/>
  <c r="Q419" i="25"/>
  <c r="R419" i="25"/>
  <c r="R264" i="25"/>
  <c r="S264" i="25"/>
  <c r="Q264" i="25"/>
  <c r="S729" i="25"/>
  <c r="Q729" i="25"/>
  <c r="R729" i="25"/>
  <c r="AL263" i="25"/>
  <c r="U264" i="25"/>
  <c r="V264" i="25"/>
  <c r="P264" i="25"/>
  <c r="T264" i="25"/>
  <c r="Y264" i="25"/>
  <c r="AC264" i="25" s="1"/>
  <c r="N264" i="25"/>
  <c r="X264" i="25"/>
  <c r="AA264" i="25" s="1"/>
  <c r="O264" i="25"/>
  <c r="W264" i="25"/>
  <c r="Z264" i="25" s="1"/>
  <c r="AB264" i="25" s="1"/>
  <c r="AD264" i="25" s="1"/>
  <c r="AE264" i="25" s="1"/>
  <c r="AN264" i="25"/>
  <c r="AQ264" i="25" s="1"/>
  <c r="AO264" i="25"/>
  <c r="AR264" i="25" s="1"/>
  <c r="AM263" i="25"/>
  <c r="AI263" i="25"/>
  <c r="AO263" i="25" s="1"/>
  <c r="AR263" i="25" s="1"/>
  <c r="AH263" i="25"/>
  <c r="AP263" i="25" s="1"/>
  <c r="AS263" i="25" s="1"/>
  <c r="AK263" i="25"/>
  <c r="AN263" i="25" s="1"/>
  <c r="AQ263" i="25" s="1"/>
  <c r="AJ263" i="25"/>
  <c r="N888" i="25"/>
  <c r="Q888" i="25"/>
  <c r="Z888" i="25" s="1"/>
  <c r="AN417" i="25"/>
  <c r="AQ417" i="25" s="1"/>
  <c r="X728" i="25"/>
  <c r="AA728" i="25" s="1"/>
  <c r="AB728" i="25"/>
  <c r="AD728" i="25" s="1"/>
  <c r="AE728" i="25" s="1"/>
  <c r="AN572" i="25"/>
  <c r="AQ572" i="25" s="1"/>
  <c r="AO417" i="25"/>
  <c r="AR417" i="25" s="1"/>
  <c r="AP417" i="25"/>
  <c r="AS417" i="25" s="1"/>
  <c r="AN586" i="25"/>
  <c r="AQ586" i="25" s="1"/>
  <c r="AB727" i="25"/>
  <c r="AD727" i="25" s="1"/>
  <c r="AE727" i="25" s="1"/>
  <c r="AP727" i="25"/>
  <c r="AS727" i="25" s="1"/>
  <c r="M887" i="25" s="1"/>
  <c r="V887" i="25" s="1"/>
  <c r="X587" i="25"/>
  <c r="AA587" i="25" s="1"/>
  <c r="AB587" i="25" s="1"/>
  <c r="AD587" i="25" s="1"/>
  <c r="AE587" i="25" s="1"/>
  <c r="X573" i="25"/>
  <c r="AA573" i="25" s="1"/>
  <c r="AB573" i="25" s="1"/>
  <c r="AD573" i="25" s="1"/>
  <c r="AE573" i="25" s="1"/>
  <c r="AH587" i="25"/>
  <c r="AP587" i="25" s="1"/>
  <c r="AS587" i="25" s="1"/>
  <c r="AI587" i="25"/>
  <c r="AJ587" i="25"/>
  <c r="AK587" i="25"/>
  <c r="M730" i="25"/>
  <c r="T574" i="25"/>
  <c r="U574" i="25"/>
  <c r="N574" i="25"/>
  <c r="V574" i="25"/>
  <c r="X574" i="25" s="1"/>
  <c r="AA574" i="25" s="1"/>
  <c r="O574" i="25"/>
  <c r="Y574" i="25"/>
  <c r="AC574" i="25" s="1"/>
  <c r="P574" i="25"/>
  <c r="P588" i="25"/>
  <c r="T588" i="25"/>
  <c r="N588" i="25"/>
  <c r="O588" i="25"/>
  <c r="U588" i="25"/>
  <c r="V588" i="25"/>
  <c r="Y588" i="25"/>
  <c r="AC588" i="25" s="1"/>
  <c r="AI728" i="25"/>
  <c r="AH728" i="25"/>
  <c r="AJ418" i="25"/>
  <c r="AK418" i="25"/>
  <c r="AL573" i="25"/>
  <c r="AM573" i="25"/>
  <c r="I889" i="25"/>
  <c r="R889" i="25" s="1"/>
  <c r="U729" i="25"/>
  <c r="O729" i="25"/>
  <c r="P729" i="25"/>
  <c r="H889" i="25"/>
  <c r="Q889" i="25" s="1"/>
  <c r="J889" i="25"/>
  <c r="T729" i="25"/>
  <c r="V729" i="25"/>
  <c r="Y729" i="25"/>
  <c r="AC729" i="25" s="1"/>
  <c r="N729" i="25"/>
  <c r="W418" i="25"/>
  <c r="Z418" i="25" s="1"/>
  <c r="AB418" i="25" s="1"/>
  <c r="AD418" i="25" s="1"/>
  <c r="AE418" i="25" s="1"/>
  <c r="AH418" i="25"/>
  <c r="AP418" i="25" s="1"/>
  <c r="AS418" i="25" s="1"/>
  <c r="AI418" i="25"/>
  <c r="AJ573" i="25"/>
  <c r="AK573" i="25"/>
  <c r="AL418" i="25"/>
  <c r="AM418" i="25"/>
  <c r="P419" i="25"/>
  <c r="Y419" i="25"/>
  <c r="AC419" i="25" s="1"/>
  <c r="T419" i="25"/>
  <c r="U419" i="25"/>
  <c r="N419" i="25"/>
  <c r="V419" i="25"/>
  <c r="X419" i="25" s="1"/>
  <c r="AA419" i="25" s="1"/>
  <c r="O419" i="25"/>
  <c r="W419" i="25"/>
  <c r="Z419" i="25" s="1"/>
  <c r="AB419" i="25" s="1"/>
  <c r="AD419" i="25" s="1"/>
  <c r="AE419" i="25" s="1"/>
  <c r="AH573" i="25"/>
  <c r="AP573" i="25" s="1"/>
  <c r="AS573" i="25" s="1"/>
  <c r="AI573" i="25"/>
  <c r="AO573" i="25" s="1"/>
  <c r="AR573" i="25" s="1"/>
  <c r="AM728" i="25"/>
  <c r="AL728" i="25"/>
  <c r="AL587" i="25"/>
  <c r="AM587" i="25"/>
  <c r="AJ728" i="25"/>
  <c r="AK728" i="25"/>
  <c r="AI105" i="25"/>
  <c r="AO105" i="25" s="1"/>
  <c r="AR105" i="25" s="1"/>
  <c r="AK105" i="25"/>
  <c r="AN104" i="25"/>
  <c r="AQ104" i="25" s="1"/>
  <c r="D107" i="25"/>
  <c r="P106" i="25"/>
  <c r="AH105" i="25"/>
  <c r="AP105" i="25" s="1"/>
  <c r="AS105" i="25" s="1"/>
  <c r="AM105" i="25"/>
  <c r="AA886" i="25"/>
  <c r="AB886" i="25" s="1"/>
  <c r="AC886" i="25" s="1"/>
  <c r="AD886" i="25" s="1"/>
  <c r="W886" i="25"/>
  <c r="X886" i="25" s="1"/>
  <c r="AJ106" i="25"/>
  <c r="AL106" i="25"/>
  <c r="T887" i="25"/>
  <c r="O887" i="25"/>
  <c r="F107" i="25"/>
  <c r="O106" i="25"/>
  <c r="C108" i="25"/>
  <c r="Y107" i="25"/>
  <c r="AC107" i="25" s="1"/>
  <c r="AD107" i="25" s="1"/>
  <c r="AE107" i="25" s="1"/>
  <c r="E108" i="25"/>
  <c r="N107" i="25"/>
  <c r="M732" i="25"/>
  <c r="B733" i="25"/>
  <c r="M589" i="25"/>
  <c r="M575" i="25"/>
  <c r="B595" i="25"/>
  <c r="B427" i="25"/>
  <c r="M420" i="25"/>
  <c r="B265" i="25"/>
  <c r="M265" i="25" s="1"/>
  <c r="R589" i="25" l="1"/>
  <c r="S589" i="25"/>
  <c r="Q589" i="25"/>
  <c r="R575" i="25"/>
  <c r="Q575" i="25"/>
  <c r="S575" i="25"/>
  <c r="Q732" i="25"/>
  <c r="R732" i="25"/>
  <c r="S732" i="25"/>
  <c r="Q265" i="25"/>
  <c r="R265" i="25"/>
  <c r="S265" i="25"/>
  <c r="Q730" i="25"/>
  <c r="R730" i="25"/>
  <c r="S730" i="25"/>
  <c r="Q420" i="25"/>
  <c r="R420" i="25"/>
  <c r="S420" i="25"/>
  <c r="AL264" i="25"/>
  <c r="AM264" i="25"/>
  <c r="U265" i="25"/>
  <c r="O265" i="25"/>
  <c r="T265" i="25"/>
  <c r="Y265" i="25"/>
  <c r="AC265" i="25" s="1"/>
  <c r="N265" i="25"/>
  <c r="V265" i="25"/>
  <c r="X265" i="25" s="1"/>
  <c r="AA265" i="25" s="1"/>
  <c r="P265" i="25"/>
  <c r="W265" i="25"/>
  <c r="Z265" i="25" s="1"/>
  <c r="AB265" i="25" s="1"/>
  <c r="AD265" i="25" s="1"/>
  <c r="AE265" i="25" s="1"/>
  <c r="AP265" i="25"/>
  <c r="AS265" i="25" s="1"/>
  <c r="AH264" i="25"/>
  <c r="AP264" i="25" s="1"/>
  <c r="AS264" i="25" s="1"/>
  <c r="AI264" i="25"/>
  <c r="AJ264" i="25"/>
  <c r="AK264" i="25"/>
  <c r="N889" i="25"/>
  <c r="S889" i="25"/>
  <c r="Z889" i="25"/>
  <c r="AO418" i="25"/>
  <c r="AR418" i="25" s="1"/>
  <c r="X588" i="25"/>
  <c r="AA588" i="25" s="1"/>
  <c r="AO587" i="25"/>
  <c r="AR587" i="25" s="1"/>
  <c r="X729" i="25"/>
  <c r="AA729" i="25" s="1"/>
  <c r="K888" i="25"/>
  <c r="O888" i="25" s="1"/>
  <c r="AN418" i="25"/>
  <c r="AQ418" i="25" s="1"/>
  <c r="AP728" i="25"/>
  <c r="AS728" i="25" s="1"/>
  <c r="M888" i="25" s="1"/>
  <c r="V888" i="25" s="1"/>
  <c r="AN728" i="25"/>
  <c r="AQ728" i="25" s="1"/>
  <c r="AN573" i="25"/>
  <c r="AQ573" i="25" s="1"/>
  <c r="AO728" i="25"/>
  <c r="AR728" i="25" s="1"/>
  <c r="L888" i="25" s="1"/>
  <c r="U888" i="25" s="1"/>
  <c r="AN587" i="25"/>
  <c r="AQ587" i="25" s="1"/>
  <c r="M590" i="25"/>
  <c r="U420" i="25"/>
  <c r="N420" i="25"/>
  <c r="V420" i="25"/>
  <c r="O420" i="25"/>
  <c r="Y420" i="25"/>
  <c r="P420" i="25"/>
  <c r="AC420" i="25"/>
  <c r="H892" i="25"/>
  <c r="Q892" i="25" s="1"/>
  <c r="T420" i="25"/>
  <c r="P732" i="25"/>
  <c r="Y732" i="25"/>
  <c r="AC732" i="25" s="1"/>
  <c r="N732" i="25"/>
  <c r="O732" i="25"/>
  <c r="W732" i="25"/>
  <c r="Z732" i="25" s="1"/>
  <c r="T732" i="25"/>
  <c r="U732" i="25"/>
  <c r="V732" i="25"/>
  <c r="W588" i="25"/>
  <c r="Z588" i="25" s="1"/>
  <c r="AB588" i="25" s="1"/>
  <c r="AD588" i="25" s="1"/>
  <c r="AE588" i="25" s="1"/>
  <c r="AJ588" i="25"/>
  <c r="AK588" i="25"/>
  <c r="AM729" i="25"/>
  <c r="AL729" i="25"/>
  <c r="W574" i="25"/>
  <c r="Z574" i="25" s="1"/>
  <c r="AB574" i="25" s="1"/>
  <c r="AD574" i="25" s="1"/>
  <c r="AE574" i="25" s="1"/>
  <c r="AH574" i="25"/>
  <c r="AI574" i="25"/>
  <c r="W729" i="25"/>
  <c r="Z729" i="25" s="1"/>
  <c r="AB729" i="25" s="1"/>
  <c r="AD729" i="25" s="1"/>
  <c r="AE729" i="25" s="1"/>
  <c r="AH729" i="25"/>
  <c r="AI729" i="25"/>
  <c r="AO729" i="25" s="1"/>
  <c r="AR729" i="25" s="1"/>
  <c r="L889" i="25" s="1"/>
  <c r="U889" i="25" s="1"/>
  <c r="AH588" i="25"/>
  <c r="AP588" i="25" s="1"/>
  <c r="AS588" i="25" s="1"/>
  <c r="AI588" i="25"/>
  <c r="AL574" i="25"/>
  <c r="AM574" i="25"/>
  <c r="AJ574" i="25"/>
  <c r="AK574" i="25"/>
  <c r="AN574" i="25" s="1"/>
  <c r="AQ574" i="25" s="1"/>
  <c r="P730" i="25"/>
  <c r="J890" i="25"/>
  <c r="S890" i="25" s="1"/>
  <c r="O730" i="25"/>
  <c r="H890" i="25"/>
  <c r="I890" i="25"/>
  <c r="R890" i="25" s="1"/>
  <c r="T730" i="25"/>
  <c r="U730" i="25"/>
  <c r="V730" i="25"/>
  <c r="X730" i="25" s="1"/>
  <c r="AA730" i="25" s="1"/>
  <c r="W730" i="25"/>
  <c r="Z730" i="25" s="1"/>
  <c r="Y730" i="25"/>
  <c r="AC730" i="25" s="1"/>
  <c r="N730" i="25"/>
  <c r="M731" i="25"/>
  <c r="T575" i="25"/>
  <c r="U575" i="25"/>
  <c r="N575" i="25"/>
  <c r="V575" i="25"/>
  <c r="O575" i="25"/>
  <c r="P575" i="25"/>
  <c r="W575" i="25"/>
  <c r="Z575" i="25" s="1"/>
  <c r="Y575" i="25"/>
  <c r="AC575" i="25" s="1"/>
  <c r="AL419" i="25"/>
  <c r="AM419" i="25"/>
  <c r="AJ419" i="25"/>
  <c r="AK419" i="25"/>
  <c r="AK729" i="25"/>
  <c r="AN729" i="25" s="1"/>
  <c r="AQ729" i="25" s="1"/>
  <c r="AJ729" i="25"/>
  <c r="T589" i="25"/>
  <c r="U589" i="25"/>
  <c r="N589" i="25"/>
  <c r="V589" i="25"/>
  <c r="X589" i="25" s="1"/>
  <c r="AA589" i="25" s="1"/>
  <c r="O589" i="25"/>
  <c r="P589" i="25"/>
  <c r="Y589" i="25"/>
  <c r="AC589" i="25" s="1"/>
  <c r="W589" i="25"/>
  <c r="Z589" i="25" s="1"/>
  <c r="AH419" i="25"/>
  <c r="AP419" i="25" s="1"/>
  <c r="AS419" i="25" s="1"/>
  <c r="AI419" i="25"/>
  <c r="AL588" i="25"/>
  <c r="AM588" i="25"/>
  <c r="AL107" i="25"/>
  <c r="AJ107" i="25"/>
  <c r="E109" i="25"/>
  <c r="N108" i="25"/>
  <c r="AN105" i="25"/>
  <c r="AQ105" i="25" s="1"/>
  <c r="K889" i="25" s="1"/>
  <c r="C109" i="25"/>
  <c r="Y108" i="25"/>
  <c r="AC108" i="25" s="1"/>
  <c r="AD108" i="25" s="1"/>
  <c r="AE108" i="25" s="1"/>
  <c r="AA887" i="25"/>
  <c r="AB887" i="25" s="1"/>
  <c r="AC887" i="25" s="1"/>
  <c r="AD887" i="25" s="1"/>
  <c r="W887" i="25"/>
  <c r="X887" i="25" s="1"/>
  <c r="AM106" i="25"/>
  <c r="AH106" i="25"/>
  <c r="AP106" i="25" s="1"/>
  <c r="AS106" i="25" s="1"/>
  <c r="F108" i="25"/>
  <c r="O107" i="25"/>
  <c r="AK106" i="25"/>
  <c r="AI106" i="25"/>
  <c r="AO106" i="25" s="1"/>
  <c r="AR106" i="25" s="1"/>
  <c r="D108" i="25"/>
  <c r="P107" i="25"/>
  <c r="M733" i="25"/>
  <c r="B734" i="25"/>
  <c r="B596" i="25"/>
  <c r="B428" i="25"/>
  <c r="B266" i="25"/>
  <c r="M266" i="25" s="1"/>
  <c r="M421" i="25"/>
  <c r="AL265" i="25" l="1"/>
  <c r="Q590" i="25"/>
  <c r="R590" i="25"/>
  <c r="S590" i="25"/>
  <c r="Q421" i="25"/>
  <c r="S421" i="25"/>
  <c r="R421" i="25"/>
  <c r="R266" i="25"/>
  <c r="Q266" i="25"/>
  <c r="S266" i="25"/>
  <c r="Q731" i="25"/>
  <c r="R731" i="25"/>
  <c r="S731" i="25"/>
  <c r="Q733" i="25"/>
  <c r="S733" i="25"/>
  <c r="R733" i="25"/>
  <c r="AM265" i="25"/>
  <c r="AJ265" i="25"/>
  <c r="AK265" i="25"/>
  <c r="AN265" i="25" s="1"/>
  <c r="AQ265" i="25" s="1"/>
  <c r="O266" i="25"/>
  <c r="T266" i="25"/>
  <c r="Y266" i="25"/>
  <c r="AC266" i="25" s="1"/>
  <c r="U266" i="25"/>
  <c r="V266" i="25"/>
  <c r="N266" i="25"/>
  <c r="P266" i="25"/>
  <c r="X266" i="25"/>
  <c r="AA266" i="25" s="1"/>
  <c r="AB266" i="25" s="1"/>
  <c r="AD266" i="25" s="1"/>
  <c r="AE266" i="25" s="1"/>
  <c r="AO266" i="25"/>
  <c r="AR266" i="25" s="1"/>
  <c r="AP266" i="25"/>
  <c r="AS266" i="25" s="1"/>
  <c r="AN266" i="25"/>
  <c r="AQ266" i="25" s="1"/>
  <c r="AH265" i="25"/>
  <c r="AI265" i="25"/>
  <c r="AO265" i="25" s="1"/>
  <c r="AR265" i="25" s="1"/>
  <c r="T888" i="25"/>
  <c r="AB589" i="25"/>
  <c r="AD589" i="25" s="1"/>
  <c r="AE589" i="25" s="1"/>
  <c r="AB730" i="25"/>
  <c r="AD730" i="25" s="1"/>
  <c r="AE730" i="25" s="1"/>
  <c r="Q890" i="25"/>
  <c r="Z890" i="25" s="1"/>
  <c r="N890" i="25"/>
  <c r="I892" i="25"/>
  <c r="R892" i="25" s="1"/>
  <c r="AN588" i="25"/>
  <c r="AQ588" i="25" s="1"/>
  <c r="AP729" i="25"/>
  <c r="AS729" i="25" s="1"/>
  <c r="M889" i="25" s="1"/>
  <c r="V889" i="25" s="1"/>
  <c r="X732" i="25"/>
  <c r="AA732" i="25" s="1"/>
  <c r="AB732" i="25" s="1"/>
  <c r="AD732" i="25" s="1"/>
  <c r="AE732" i="25" s="1"/>
  <c r="AO419" i="25"/>
  <c r="AR419" i="25" s="1"/>
  <c r="AO574" i="25"/>
  <c r="AR574" i="25" s="1"/>
  <c r="AP574" i="25"/>
  <c r="AS574" i="25" s="1"/>
  <c r="AN419" i="25"/>
  <c r="AQ419" i="25" s="1"/>
  <c r="X575" i="25"/>
  <c r="AA575" i="25" s="1"/>
  <c r="AB575" i="25" s="1"/>
  <c r="AD575" i="25" s="1"/>
  <c r="AE575" i="25" s="1"/>
  <c r="X420" i="25"/>
  <c r="AA420" i="25" s="1"/>
  <c r="AO588" i="25"/>
  <c r="AR588" i="25" s="1"/>
  <c r="J892" i="25"/>
  <c r="AL589" i="25"/>
  <c r="AM589" i="25"/>
  <c r="AK732" i="25"/>
  <c r="AJ732" i="25"/>
  <c r="AJ730" i="25"/>
  <c r="AK730" i="25"/>
  <c r="AI732" i="25"/>
  <c r="AH732" i="25"/>
  <c r="AP732" i="25" s="1"/>
  <c r="AS732" i="25" s="1"/>
  <c r="AI730" i="25"/>
  <c r="AH730" i="25"/>
  <c r="U733" i="25"/>
  <c r="P733" i="25"/>
  <c r="Y733" i="25"/>
  <c r="AC733" i="25" s="1"/>
  <c r="N733" i="25"/>
  <c r="O733" i="25"/>
  <c r="T733" i="25"/>
  <c r="V733" i="25"/>
  <c r="AL575" i="25"/>
  <c r="AM575" i="25"/>
  <c r="AL420" i="25"/>
  <c r="AM420" i="25"/>
  <c r="AK589" i="25"/>
  <c r="AJ589" i="25"/>
  <c r="AH575" i="25"/>
  <c r="AP575" i="25" s="1"/>
  <c r="AS575" i="25" s="1"/>
  <c r="AI575" i="25"/>
  <c r="AO575" i="25" s="1"/>
  <c r="AR575" i="25" s="1"/>
  <c r="AJ575" i="25"/>
  <c r="AK575" i="25"/>
  <c r="AN575" i="25" s="1"/>
  <c r="AQ575" i="25" s="1"/>
  <c r="AM730" i="25"/>
  <c r="AL730" i="25"/>
  <c r="AM732" i="25"/>
  <c r="AL732" i="25"/>
  <c r="AJ420" i="25"/>
  <c r="AK420" i="25"/>
  <c r="AN420" i="25" s="1"/>
  <c r="AQ420" i="25" s="1"/>
  <c r="M591" i="25"/>
  <c r="I893" i="25"/>
  <c r="J893" i="25"/>
  <c r="S893" i="25" s="1"/>
  <c r="T421" i="25"/>
  <c r="X421" i="25" s="1"/>
  <c r="AA421" i="25" s="1"/>
  <c r="U421" i="25"/>
  <c r="N421" i="25"/>
  <c r="V421" i="25"/>
  <c r="O421" i="25"/>
  <c r="Y421" i="25"/>
  <c r="P421" i="25"/>
  <c r="AC421" i="25"/>
  <c r="H893" i="25"/>
  <c r="Q893" i="25" s="1"/>
  <c r="AH589" i="25"/>
  <c r="AP589" i="25" s="1"/>
  <c r="AS589" i="25" s="1"/>
  <c r="AI589" i="25"/>
  <c r="J891" i="25"/>
  <c r="S891" i="25" s="1"/>
  <c r="N731" i="25"/>
  <c r="V731" i="25"/>
  <c r="AC731" i="25"/>
  <c r="O731" i="25"/>
  <c r="P731" i="25"/>
  <c r="H891" i="25"/>
  <c r="I891" i="25"/>
  <c r="R891" i="25" s="1"/>
  <c r="T731" i="25"/>
  <c r="U731" i="25"/>
  <c r="Y731" i="25"/>
  <c r="W420" i="25"/>
  <c r="Z420" i="25" s="1"/>
  <c r="AB420" i="25" s="1"/>
  <c r="AD420" i="25" s="1"/>
  <c r="AE420" i="25" s="1"/>
  <c r="AH420" i="25"/>
  <c r="AP420" i="25" s="1"/>
  <c r="AS420" i="25" s="1"/>
  <c r="AI420" i="25"/>
  <c r="AO420" i="25" s="1"/>
  <c r="AR420" i="25" s="1"/>
  <c r="P590" i="25"/>
  <c r="Y590" i="25"/>
  <c r="AC590" i="25" s="1"/>
  <c r="T590" i="25"/>
  <c r="N590" i="25"/>
  <c r="O590" i="25"/>
  <c r="U590" i="25"/>
  <c r="W590" i="25"/>
  <c r="Z590" i="25" s="1"/>
  <c r="V590" i="25"/>
  <c r="AN106" i="25"/>
  <c r="AQ106" i="25" s="1"/>
  <c r="F109" i="25"/>
  <c r="O108" i="25"/>
  <c r="C110" i="25"/>
  <c r="Y109" i="25"/>
  <c r="AC109" i="25" s="1"/>
  <c r="AD109" i="25" s="1"/>
  <c r="AE109" i="25" s="1"/>
  <c r="T889" i="25"/>
  <c r="AL108" i="25"/>
  <c r="AJ108" i="25"/>
  <c r="E110" i="25"/>
  <c r="N109" i="25"/>
  <c r="AI107" i="25"/>
  <c r="AO107" i="25" s="1"/>
  <c r="AR107" i="25" s="1"/>
  <c r="AK107" i="25"/>
  <c r="D109" i="25"/>
  <c r="P108" i="25"/>
  <c r="AA888" i="25"/>
  <c r="AB888" i="25" s="1"/>
  <c r="AC888" i="25" s="1"/>
  <c r="AD888" i="25" s="1"/>
  <c r="W888" i="25"/>
  <c r="X888" i="25" s="1"/>
  <c r="AM107" i="25"/>
  <c r="AH107" i="25"/>
  <c r="AP107" i="25" s="1"/>
  <c r="AS107" i="25" s="1"/>
  <c r="M734" i="25"/>
  <c r="B735" i="25"/>
  <c r="B597" i="25"/>
  <c r="B429" i="25"/>
  <c r="B267" i="25"/>
  <c r="M267" i="25" s="1"/>
  <c r="Q734" i="25" l="1"/>
  <c r="R734" i="25"/>
  <c r="S734" i="25"/>
  <c r="Q267" i="25"/>
  <c r="R267" i="25"/>
  <c r="S267" i="25"/>
  <c r="R591" i="25"/>
  <c r="Q591" i="25"/>
  <c r="S591" i="25"/>
  <c r="W266" i="25"/>
  <c r="Z266" i="25" s="1"/>
  <c r="AI266" i="25"/>
  <c r="AH266" i="25"/>
  <c r="AK266" i="25"/>
  <c r="AJ266" i="25"/>
  <c r="AL266" i="25"/>
  <c r="AM266" i="25"/>
  <c r="U267" i="25"/>
  <c r="N267" i="25"/>
  <c r="Y267" i="25"/>
  <c r="AC267" i="25" s="1"/>
  <c r="V267" i="25"/>
  <c r="O267" i="25"/>
  <c r="T267" i="25"/>
  <c r="P267" i="25"/>
  <c r="X267" i="25"/>
  <c r="AA267" i="25" s="1"/>
  <c r="AB267" i="25" s="1"/>
  <c r="AD267" i="25" s="1"/>
  <c r="AE267" i="25" s="1"/>
  <c r="AN267" i="25"/>
  <c r="AQ267" i="25" s="1"/>
  <c r="O889" i="25"/>
  <c r="Q891" i="25"/>
  <c r="Z891" i="25" s="1"/>
  <c r="N891" i="25"/>
  <c r="N892" i="25"/>
  <c r="S892" i="25"/>
  <c r="Z892" i="25" s="1"/>
  <c r="K890" i="25"/>
  <c r="AO732" i="25"/>
  <c r="AR732" i="25" s="1"/>
  <c r="AN730" i="25"/>
  <c r="AQ730" i="25" s="1"/>
  <c r="X590" i="25"/>
  <c r="AA590" i="25" s="1"/>
  <c r="AI590" i="25"/>
  <c r="AB590" i="25"/>
  <c r="AD590" i="25" s="1"/>
  <c r="AE590" i="25" s="1"/>
  <c r="X733" i="25"/>
  <c r="AA733" i="25" s="1"/>
  <c r="AN732" i="25"/>
  <c r="AQ732" i="25" s="1"/>
  <c r="X731" i="25"/>
  <c r="AA731" i="25" s="1"/>
  <c r="N893" i="25"/>
  <c r="R893" i="25"/>
  <c r="Z893" i="25" s="1"/>
  <c r="AP730" i="25"/>
  <c r="AS730" i="25" s="1"/>
  <c r="M890" i="25" s="1"/>
  <c r="V890" i="25" s="1"/>
  <c r="AN589" i="25"/>
  <c r="AQ589" i="25" s="1"/>
  <c r="AO730" i="25"/>
  <c r="AR730" i="25" s="1"/>
  <c r="L890" i="25" s="1"/>
  <c r="AO589" i="25"/>
  <c r="AR589" i="25" s="1"/>
  <c r="AK731" i="25"/>
  <c r="AJ731" i="25"/>
  <c r="W733" i="25"/>
  <c r="Z733" i="25" s="1"/>
  <c r="AH733" i="25"/>
  <c r="AI733" i="25"/>
  <c r="AL590" i="25"/>
  <c r="AM590" i="25"/>
  <c r="AN590" i="25" s="1"/>
  <c r="AQ590" i="25" s="1"/>
  <c r="W731" i="25"/>
  <c r="Z731" i="25" s="1"/>
  <c r="AB731" i="25" s="1"/>
  <c r="AD731" i="25" s="1"/>
  <c r="AE731" i="25" s="1"/>
  <c r="AH731" i="25"/>
  <c r="AP731" i="25" s="1"/>
  <c r="AS731" i="25" s="1"/>
  <c r="M891" i="25" s="1"/>
  <c r="V891" i="25" s="1"/>
  <c r="AI731" i="25"/>
  <c r="AK590" i="25"/>
  <c r="AJ590" i="25"/>
  <c r="AH421" i="25"/>
  <c r="AI421" i="25"/>
  <c r="W734" i="25"/>
  <c r="Z734" i="25" s="1"/>
  <c r="N734" i="25"/>
  <c r="V734" i="25"/>
  <c r="O734" i="25"/>
  <c r="Y734" i="25"/>
  <c r="P734" i="25"/>
  <c r="AC734" i="25"/>
  <c r="T734" i="25"/>
  <c r="X734" i="25" s="1"/>
  <c r="AA734" i="25" s="1"/>
  <c r="U734" i="25"/>
  <c r="AL421" i="25"/>
  <c r="AM421" i="25"/>
  <c r="AH590" i="25"/>
  <c r="AP590" i="25" s="1"/>
  <c r="AS590" i="25" s="1"/>
  <c r="W421" i="25"/>
  <c r="Z421" i="25" s="1"/>
  <c r="AB421" i="25" s="1"/>
  <c r="AD421" i="25" s="1"/>
  <c r="AE421" i="25" s="1"/>
  <c r="AJ421" i="25"/>
  <c r="AK421" i="25"/>
  <c r="AN421" i="25" s="1"/>
  <c r="AQ421" i="25" s="1"/>
  <c r="AL733" i="25"/>
  <c r="AM733" i="25"/>
  <c r="AL731" i="25"/>
  <c r="AM731" i="25"/>
  <c r="U591" i="25"/>
  <c r="N591" i="25"/>
  <c r="V591" i="25"/>
  <c r="O591" i="25"/>
  <c r="W591" i="25"/>
  <c r="Z591" i="25" s="1"/>
  <c r="P591" i="25"/>
  <c r="Y591" i="25"/>
  <c r="AC591" i="25" s="1"/>
  <c r="T591" i="25"/>
  <c r="X591" i="25" s="1"/>
  <c r="AA591" i="25" s="1"/>
  <c r="AB591" i="25" s="1"/>
  <c r="AD591" i="25" s="1"/>
  <c r="AE591" i="25" s="1"/>
  <c r="AK733" i="25"/>
  <c r="AJ733" i="25"/>
  <c r="AI108" i="25"/>
  <c r="AO108" i="25" s="1"/>
  <c r="AR108" i="25" s="1"/>
  <c r="L892" i="25" s="1"/>
  <c r="U892" i="25" s="1"/>
  <c r="AK108" i="25"/>
  <c r="D110" i="25"/>
  <c r="P109" i="25"/>
  <c r="AA889" i="25"/>
  <c r="AB889" i="25" s="1"/>
  <c r="AC889" i="25" s="1"/>
  <c r="AD889" i="25" s="1"/>
  <c r="W889" i="25"/>
  <c r="X889" i="25" s="1"/>
  <c r="C111" i="25"/>
  <c r="Y110" i="25"/>
  <c r="AC110" i="25" s="1"/>
  <c r="AD110" i="25" s="1"/>
  <c r="AE110" i="25" s="1"/>
  <c r="AN107" i="25"/>
  <c r="AQ107" i="25" s="1"/>
  <c r="AJ109" i="25"/>
  <c r="AL109" i="25"/>
  <c r="AH108" i="25"/>
  <c r="AP108" i="25" s="1"/>
  <c r="AS108" i="25" s="1"/>
  <c r="M892" i="25" s="1"/>
  <c r="V892" i="25" s="1"/>
  <c r="AM108" i="25"/>
  <c r="E111" i="25"/>
  <c r="N110" i="25"/>
  <c r="F110" i="25"/>
  <c r="O109" i="25"/>
  <c r="T890" i="25"/>
  <c r="M735" i="25"/>
  <c r="B736" i="25"/>
  <c r="B598" i="25"/>
  <c r="M422" i="25"/>
  <c r="B430" i="25"/>
  <c r="B268" i="25"/>
  <c r="M268" i="25" s="1"/>
  <c r="Q268" i="25" l="1"/>
  <c r="R268" i="25"/>
  <c r="S268" i="25"/>
  <c r="R422" i="25"/>
  <c r="S422" i="25"/>
  <c r="Q422" i="25"/>
  <c r="S735" i="25"/>
  <c r="R735" i="25"/>
  <c r="Q735" i="25"/>
  <c r="U268" i="25"/>
  <c r="N268" i="25"/>
  <c r="V268" i="25"/>
  <c r="T268" i="25"/>
  <c r="X268" i="25" s="1"/>
  <c r="AA268" i="25" s="1"/>
  <c r="O268" i="25"/>
  <c r="P268" i="25"/>
  <c r="Y268" i="25"/>
  <c r="AC268" i="25" s="1"/>
  <c r="W268" i="25"/>
  <c r="Z268" i="25" s="1"/>
  <c r="AB268" i="25" s="1"/>
  <c r="AD268" i="25" s="1"/>
  <c r="AE268" i="25" s="1"/>
  <c r="AP268" i="25"/>
  <c r="AS268" i="25" s="1"/>
  <c r="W267" i="25"/>
  <c r="Z267" i="25" s="1"/>
  <c r="AJ267" i="25"/>
  <c r="AP267" i="25" s="1"/>
  <c r="AS267" i="25" s="1"/>
  <c r="AK267" i="25"/>
  <c r="AH267" i="25"/>
  <c r="AM267" i="25"/>
  <c r="AL267" i="25"/>
  <c r="AO267" i="25" s="1"/>
  <c r="AR267" i="25" s="1"/>
  <c r="AI267" i="25"/>
  <c r="U890" i="25"/>
  <c r="O890" i="25"/>
  <c r="AB734" i="25"/>
  <c r="AD734" i="25" s="1"/>
  <c r="AE734" i="25" s="1"/>
  <c r="AO421" i="25"/>
  <c r="AR421" i="25" s="1"/>
  <c r="AP421" i="25"/>
  <c r="AS421" i="25" s="1"/>
  <c r="AO733" i="25"/>
  <c r="AR733" i="25" s="1"/>
  <c r="K891" i="25"/>
  <c r="T891" i="25" s="1"/>
  <c r="AP733" i="25"/>
  <c r="AS733" i="25" s="1"/>
  <c r="AB733" i="25"/>
  <c r="AD733" i="25" s="1"/>
  <c r="AE733" i="25" s="1"/>
  <c r="AO590" i="25"/>
  <c r="AR590" i="25" s="1"/>
  <c r="AN733" i="25"/>
  <c r="AQ733" i="25" s="1"/>
  <c r="AO731" i="25"/>
  <c r="AR731" i="25" s="1"/>
  <c r="L891" i="25" s="1"/>
  <c r="U891" i="25" s="1"/>
  <c r="AN731" i="25"/>
  <c r="AQ731" i="25" s="1"/>
  <c r="AI734" i="25"/>
  <c r="AO734" i="25" s="1"/>
  <c r="AR734" i="25" s="1"/>
  <c r="AH734" i="25"/>
  <c r="AM734" i="25"/>
  <c r="AL734" i="25"/>
  <c r="AJ591" i="25"/>
  <c r="AK591" i="25"/>
  <c r="AL591" i="25"/>
  <c r="AM591" i="25"/>
  <c r="U735" i="25"/>
  <c r="P735" i="25"/>
  <c r="AC735" i="25"/>
  <c r="T735" i="25"/>
  <c r="V735" i="25"/>
  <c r="Y735" i="25"/>
  <c r="N735" i="25"/>
  <c r="O735" i="25"/>
  <c r="M592" i="25"/>
  <c r="O422" i="25"/>
  <c r="P422" i="25"/>
  <c r="Y422" i="25"/>
  <c r="AC422" i="25" s="1"/>
  <c r="H894" i="25"/>
  <c r="I894" i="25"/>
  <c r="R894" i="25" s="1"/>
  <c r="J894" i="25"/>
  <c r="S894" i="25" s="1"/>
  <c r="T422" i="25"/>
  <c r="U422" i="25"/>
  <c r="N422" i="25"/>
  <c r="V422" i="25"/>
  <c r="X422" i="25" s="1"/>
  <c r="AA422" i="25" s="1"/>
  <c r="AH591" i="25"/>
  <c r="AP591" i="25" s="1"/>
  <c r="AS591" i="25" s="1"/>
  <c r="AI591" i="25"/>
  <c r="AO591" i="25" s="1"/>
  <c r="AR591" i="25" s="1"/>
  <c r="AJ734" i="25"/>
  <c r="AK734" i="25"/>
  <c r="AN734" i="25" s="1"/>
  <c r="AQ734" i="25" s="1"/>
  <c r="C112" i="25"/>
  <c r="Y111" i="25"/>
  <c r="AC111" i="25" s="1"/>
  <c r="AD111" i="25" s="1"/>
  <c r="AE111" i="25" s="1"/>
  <c r="AJ110" i="25"/>
  <c r="AL110" i="25"/>
  <c r="AI109" i="25"/>
  <c r="AO109" i="25" s="1"/>
  <c r="AR109" i="25" s="1"/>
  <c r="L893" i="25" s="1"/>
  <c r="U893" i="25" s="1"/>
  <c r="AK109" i="25"/>
  <c r="AA890" i="25"/>
  <c r="AB890" i="25" s="1"/>
  <c r="AC890" i="25" s="1"/>
  <c r="AD890" i="25" s="1"/>
  <c r="W890" i="25"/>
  <c r="X890" i="25" s="1"/>
  <c r="D111" i="25"/>
  <c r="P110" i="25"/>
  <c r="AN108" i="25"/>
  <c r="AQ108" i="25" s="1"/>
  <c r="K892" i="25" s="1"/>
  <c r="F111" i="25"/>
  <c r="O110" i="25"/>
  <c r="E112" i="25"/>
  <c r="N111" i="25"/>
  <c r="AH109" i="25"/>
  <c r="AP109" i="25" s="1"/>
  <c r="AS109" i="25" s="1"/>
  <c r="M893" i="25" s="1"/>
  <c r="V893" i="25" s="1"/>
  <c r="AM109" i="25"/>
  <c r="B737" i="25"/>
  <c r="M736" i="25"/>
  <c r="B599" i="25"/>
  <c r="B431" i="25"/>
  <c r="M423" i="25"/>
  <c r="B269" i="25"/>
  <c r="M269" i="25" s="1"/>
  <c r="Q592" i="25" l="1"/>
  <c r="R592" i="25"/>
  <c r="S592" i="25"/>
  <c r="S269" i="25"/>
  <c r="Q269" i="25"/>
  <c r="R269" i="25"/>
  <c r="Q423" i="25"/>
  <c r="R423" i="25"/>
  <c r="S423" i="25"/>
  <c r="R736" i="25"/>
  <c r="Q736" i="25"/>
  <c r="S736" i="25"/>
  <c r="AH268" i="25"/>
  <c r="AI268" i="25"/>
  <c r="AO268" i="25" s="1"/>
  <c r="AR268" i="25" s="1"/>
  <c r="AK268" i="25"/>
  <c r="AN268" i="25" s="1"/>
  <c r="AQ268" i="25" s="1"/>
  <c r="AJ268" i="25"/>
  <c r="O269" i="25"/>
  <c r="P269" i="25"/>
  <c r="N269" i="25"/>
  <c r="Y269" i="25"/>
  <c r="AC269" i="25" s="1"/>
  <c r="V269" i="25"/>
  <c r="U269" i="25"/>
  <c r="T269" i="25"/>
  <c r="X269" i="25"/>
  <c r="AA269" i="25" s="1"/>
  <c r="W269" i="25"/>
  <c r="Z269" i="25" s="1"/>
  <c r="AB269" i="25" s="1"/>
  <c r="AD269" i="25" s="1"/>
  <c r="AE269" i="25" s="1"/>
  <c r="AN269" i="25"/>
  <c r="AQ269" i="25" s="1"/>
  <c r="AO269" i="25"/>
  <c r="AR269" i="25" s="1"/>
  <c r="AM268" i="25"/>
  <c r="AL268" i="25"/>
  <c r="O891" i="25"/>
  <c r="AP734" i="25"/>
  <c r="AS734" i="25" s="1"/>
  <c r="X735" i="25"/>
  <c r="AA735" i="25" s="1"/>
  <c r="AN591" i="25"/>
  <c r="AQ591" i="25" s="1"/>
  <c r="N894" i="25"/>
  <c r="Q894" i="25"/>
  <c r="Z894" i="25" s="1"/>
  <c r="T592" i="25"/>
  <c r="U592" i="25"/>
  <c r="N592" i="25"/>
  <c r="O592" i="25"/>
  <c r="P592" i="25"/>
  <c r="Y592" i="25"/>
  <c r="AC592" i="25" s="1"/>
  <c r="V592" i="25"/>
  <c r="X592" i="25"/>
  <c r="AA592" i="25" s="1"/>
  <c r="U736" i="25"/>
  <c r="T736" i="25"/>
  <c r="V736" i="25"/>
  <c r="Y736" i="25"/>
  <c r="AC736" i="25" s="1"/>
  <c r="N736" i="25"/>
  <c r="O736" i="25"/>
  <c r="P736" i="25"/>
  <c r="AJ422" i="25"/>
  <c r="AK422" i="25"/>
  <c r="AN422" i="25" s="1"/>
  <c r="AQ422" i="25" s="1"/>
  <c r="W422" i="25"/>
  <c r="Z422" i="25" s="1"/>
  <c r="AB422" i="25" s="1"/>
  <c r="AD422" i="25" s="1"/>
  <c r="AE422" i="25" s="1"/>
  <c r="AH422" i="25"/>
  <c r="AI422" i="25"/>
  <c r="AL422" i="25"/>
  <c r="AM422" i="25"/>
  <c r="AL735" i="25"/>
  <c r="AM735" i="25"/>
  <c r="AK735" i="25"/>
  <c r="AN735" i="25" s="1"/>
  <c r="AQ735" i="25" s="1"/>
  <c r="AJ735" i="25"/>
  <c r="M593" i="25"/>
  <c r="T423" i="25"/>
  <c r="U423" i="25"/>
  <c r="N423" i="25"/>
  <c r="V423" i="25"/>
  <c r="X423" i="25" s="1"/>
  <c r="AA423" i="25" s="1"/>
  <c r="O423" i="25"/>
  <c r="W423" i="25"/>
  <c r="Z423" i="25" s="1"/>
  <c r="P423" i="25"/>
  <c r="Y423" i="25"/>
  <c r="AC423" i="25" s="1"/>
  <c r="H895" i="25"/>
  <c r="I895" i="25"/>
  <c r="R895" i="25" s="1"/>
  <c r="J895" i="25"/>
  <c r="S895" i="25" s="1"/>
  <c r="AB423" i="25"/>
  <c r="AD423" i="25" s="1"/>
  <c r="AE423" i="25" s="1"/>
  <c r="W735" i="25"/>
  <c r="Z735" i="25" s="1"/>
  <c r="AB735" i="25" s="1"/>
  <c r="AD735" i="25" s="1"/>
  <c r="AE735" i="25" s="1"/>
  <c r="AH735" i="25"/>
  <c r="AI735" i="25"/>
  <c r="AO735" i="25" s="1"/>
  <c r="AR735" i="25" s="1"/>
  <c r="AN109" i="25"/>
  <c r="AQ109" i="25" s="1"/>
  <c r="K893" i="25" s="1"/>
  <c r="E113" i="25"/>
  <c r="N112" i="25"/>
  <c r="F112" i="25"/>
  <c r="O111" i="25"/>
  <c r="AL111" i="25"/>
  <c r="AJ111" i="25"/>
  <c r="AM110" i="25"/>
  <c r="AH110" i="25"/>
  <c r="AP110" i="25" s="1"/>
  <c r="AS110" i="25" s="1"/>
  <c r="T892" i="25"/>
  <c r="O892" i="25"/>
  <c r="AA891" i="25"/>
  <c r="AB891" i="25" s="1"/>
  <c r="AC891" i="25" s="1"/>
  <c r="AD891" i="25" s="1"/>
  <c r="W891" i="25"/>
  <c r="X891" i="25" s="1"/>
  <c r="AK110" i="25"/>
  <c r="AI110" i="25"/>
  <c r="AO110" i="25" s="1"/>
  <c r="AR110" i="25" s="1"/>
  <c r="D112" i="25"/>
  <c r="P111" i="25"/>
  <c r="C113" i="25"/>
  <c r="Y112" i="25"/>
  <c r="AC112" i="25" s="1"/>
  <c r="AD112" i="25" s="1"/>
  <c r="AE112" i="25" s="1"/>
  <c r="B738" i="25"/>
  <c r="M737" i="25"/>
  <c r="B600" i="25"/>
  <c r="M424" i="25"/>
  <c r="B432" i="25"/>
  <c r="B270" i="25"/>
  <c r="M270" i="25" s="1"/>
  <c r="Q270" i="25" l="1"/>
  <c r="R270" i="25"/>
  <c r="S270" i="25"/>
  <c r="Q593" i="25"/>
  <c r="R593" i="25"/>
  <c r="S593" i="25"/>
  <c r="R424" i="25"/>
  <c r="Q424" i="25"/>
  <c r="S424" i="25"/>
  <c r="Q737" i="25"/>
  <c r="R737" i="25"/>
  <c r="S737" i="25"/>
  <c r="AK269" i="25"/>
  <c r="AJ269" i="25"/>
  <c r="AM269" i="25"/>
  <c r="AL269" i="25"/>
  <c r="O270" i="25"/>
  <c r="P270" i="25"/>
  <c r="N270" i="25"/>
  <c r="Y270" i="25"/>
  <c r="AC270" i="25" s="1"/>
  <c r="V270" i="25"/>
  <c r="T270" i="25"/>
  <c r="U270" i="25"/>
  <c r="W270" i="25"/>
  <c r="Z270" i="25" s="1"/>
  <c r="AB270" i="25" s="1"/>
  <c r="AD270" i="25" s="1"/>
  <c r="AE270" i="25" s="1"/>
  <c r="X270" i="25"/>
  <c r="AA270" i="25" s="1"/>
  <c r="AH269" i="25"/>
  <c r="AP269" i="25" s="1"/>
  <c r="AS269" i="25" s="1"/>
  <c r="AI269" i="25"/>
  <c r="AP422" i="25"/>
  <c r="AS422" i="25" s="1"/>
  <c r="M894" i="25"/>
  <c r="V894" i="25" s="1"/>
  <c r="X736" i="25"/>
  <c r="AA736" i="25" s="1"/>
  <c r="AP735" i="25"/>
  <c r="AS735" i="25" s="1"/>
  <c r="N895" i="25"/>
  <c r="Q895" i="25"/>
  <c r="Z895" i="25" s="1"/>
  <c r="AO422" i="25"/>
  <c r="AR422" i="25" s="1"/>
  <c r="L894" i="25" s="1"/>
  <c r="U894" i="25" s="1"/>
  <c r="AL423" i="25"/>
  <c r="AM423" i="25"/>
  <c r="AJ423" i="25"/>
  <c r="AK423" i="25"/>
  <c r="AN423" i="25" s="1"/>
  <c r="AQ423" i="25" s="1"/>
  <c r="AH423" i="25"/>
  <c r="AI423" i="25"/>
  <c r="AO423" i="25" s="1"/>
  <c r="AR423" i="25" s="1"/>
  <c r="AM736" i="25"/>
  <c r="AL736" i="25"/>
  <c r="AM592" i="25"/>
  <c r="AL592" i="25"/>
  <c r="U593" i="25"/>
  <c r="N593" i="25"/>
  <c r="V593" i="25"/>
  <c r="O593" i="25"/>
  <c r="P593" i="25"/>
  <c r="Y593" i="25"/>
  <c r="AC593" i="25" s="1"/>
  <c r="T593" i="25"/>
  <c r="X593" i="25" s="1"/>
  <c r="AA593" i="25" s="1"/>
  <c r="W593" i="25"/>
  <c r="Z593" i="25" s="1"/>
  <c r="W736" i="25"/>
  <c r="Z736" i="25" s="1"/>
  <c r="AB736" i="25" s="1"/>
  <c r="AD736" i="25" s="1"/>
  <c r="AE736" i="25" s="1"/>
  <c r="AI736" i="25"/>
  <c r="AO736" i="25" s="1"/>
  <c r="AR736" i="25" s="1"/>
  <c r="AH736" i="25"/>
  <c r="AK736" i="25"/>
  <c r="AN736" i="25" s="1"/>
  <c r="AQ736" i="25" s="1"/>
  <c r="AJ736" i="25"/>
  <c r="W592" i="25"/>
  <c r="Z592" i="25" s="1"/>
  <c r="AB592" i="25" s="1"/>
  <c r="AD592" i="25" s="1"/>
  <c r="AE592" i="25" s="1"/>
  <c r="AJ592" i="25"/>
  <c r="AK592" i="25"/>
  <c r="AN592" i="25" s="1"/>
  <c r="AQ592" i="25" s="1"/>
  <c r="M594" i="25"/>
  <c r="H896" i="25"/>
  <c r="I896" i="25"/>
  <c r="R896" i="25" s="1"/>
  <c r="J896" i="25"/>
  <c r="S896" i="25" s="1"/>
  <c r="T424" i="25"/>
  <c r="U424" i="25"/>
  <c r="N424" i="25"/>
  <c r="V424" i="25"/>
  <c r="O424" i="25"/>
  <c r="Y424" i="25"/>
  <c r="AC424" i="25" s="1"/>
  <c r="P424" i="25"/>
  <c r="P737" i="25"/>
  <c r="U737" i="25"/>
  <c r="V737" i="25"/>
  <c r="Y737" i="25"/>
  <c r="AC737" i="25" s="1"/>
  <c r="N737" i="25"/>
  <c r="O737" i="25"/>
  <c r="T737" i="25"/>
  <c r="X737" i="25" s="1"/>
  <c r="AA737" i="25" s="1"/>
  <c r="AH592" i="25"/>
  <c r="AP592" i="25" s="1"/>
  <c r="AS592" i="25" s="1"/>
  <c r="AI592" i="25"/>
  <c r="AO592" i="25" s="1"/>
  <c r="AR592" i="25" s="1"/>
  <c r="D113" i="25"/>
  <c r="P112" i="25"/>
  <c r="AM111" i="25"/>
  <c r="AH111" i="25"/>
  <c r="AP111" i="25" s="1"/>
  <c r="AS111" i="25" s="1"/>
  <c r="AN110" i="25"/>
  <c r="AQ110" i="25" s="1"/>
  <c r="K894" i="25" s="1"/>
  <c r="F113" i="25"/>
  <c r="O112" i="25"/>
  <c r="AL112" i="25"/>
  <c r="AJ112" i="25"/>
  <c r="C114" i="25"/>
  <c r="Y113" i="25"/>
  <c r="AC113" i="25" s="1"/>
  <c r="AD113" i="25" s="1"/>
  <c r="AE113" i="25" s="1"/>
  <c r="AA892" i="25"/>
  <c r="AB892" i="25" s="1"/>
  <c r="AC892" i="25" s="1"/>
  <c r="AD892" i="25" s="1"/>
  <c r="W892" i="25"/>
  <c r="X892" i="25" s="1"/>
  <c r="E114" i="25"/>
  <c r="N113" i="25"/>
  <c r="AI111" i="25"/>
  <c r="AO111" i="25" s="1"/>
  <c r="AR111" i="25" s="1"/>
  <c r="L895" i="25" s="1"/>
  <c r="U895" i="25" s="1"/>
  <c r="AK111" i="25"/>
  <c r="T893" i="25"/>
  <c r="O893" i="25"/>
  <c r="B739" i="25"/>
  <c r="M738" i="25"/>
  <c r="B601" i="25"/>
  <c r="M425" i="25"/>
  <c r="B433" i="25"/>
  <c r="B271" i="25"/>
  <c r="M271" i="25" s="1"/>
  <c r="Q425" i="25" l="1"/>
  <c r="R425" i="25"/>
  <c r="S425" i="25"/>
  <c r="S594" i="25"/>
  <c r="Q594" i="25"/>
  <c r="R594" i="25"/>
  <c r="R738" i="25"/>
  <c r="S738" i="25"/>
  <c r="Q738" i="25"/>
  <c r="Q271" i="25"/>
  <c r="S271" i="25"/>
  <c r="R271" i="25"/>
  <c r="AM270" i="25"/>
  <c r="AH270" i="25"/>
  <c r="AP270" i="25" s="1"/>
  <c r="AS270" i="25" s="1"/>
  <c r="AI270" i="25"/>
  <c r="AO270" i="25" s="1"/>
  <c r="AR270" i="25" s="1"/>
  <c r="U271" i="25"/>
  <c r="N271" i="25"/>
  <c r="O271" i="25"/>
  <c r="V271" i="25"/>
  <c r="P271" i="25"/>
  <c r="Y271" i="25"/>
  <c r="AC271" i="25" s="1"/>
  <c r="T271" i="25"/>
  <c r="X271" i="25" s="1"/>
  <c r="AA271" i="25" s="1"/>
  <c r="AN271" i="25"/>
  <c r="AQ271" i="25" s="1"/>
  <c r="W271" i="25"/>
  <c r="Z271" i="25" s="1"/>
  <c r="AB271" i="25" s="1"/>
  <c r="AD271" i="25" s="1"/>
  <c r="AE271" i="25" s="1"/>
  <c r="AP271" i="25"/>
  <c r="AS271" i="25" s="1"/>
  <c r="AK270" i="25"/>
  <c r="AN270" i="25" s="1"/>
  <c r="AQ270" i="25" s="1"/>
  <c r="AJ270" i="25"/>
  <c r="AL270" i="25"/>
  <c r="AJ593" i="25"/>
  <c r="AB593" i="25"/>
  <c r="AD593" i="25" s="1"/>
  <c r="AE593" i="25" s="1"/>
  <c r="AK593" i="25"/>
  <c r="N896" i="25"/>
  <c r="Q896" i="25"/>
  <c r="Z896" i="25" s="1"/>
  <c r="AP736" i="25"/>
  <c r="AS736" i="25" s="1"/>
  <c r="AP423" i="25"/>
  <c r="AS423" i="25" s="1"/>
  <c r="M895" i="25" s="1"/>
  <c r="V895" i="25" s="1"/>
  <c r="X424" i="25"/>
  <c r="AA424" i="25" s="1"/>
  <c r="AL424" i="25"/>
  <c r="AM424" i="25"/>
  <c r="AJ424" i="25"/>
  <c r="AK424" i="25"/>
  <c r="AN424" i="25" s="1"/>
  <c r="AQ424" i="25" s="1"/>
  <c r="N738" i="25"/>
  <c r="T738" i="25"/>
  <c r="U738" i="25"/>
  <c r="V738" i="25"/>
  <c r="O738" i="25"/>
  <c r="P738" i="25"/>
  <c r="X738" i="25"/>
  <c r="AA738" i="25" s="1"/>
  <c r="W738" i="25"/>
  <c r="Z738" i="25" s="1"/>
  <c r="AB738" i="25" s="1"/>
  <c r="AD738" i="25" s="1"/>
  <c r="AE738" i="25" s="1"/>
  <c r="Y738" i="25"/>
  <c r="AC738" i="25" s="1"/>
  <c r="W424" i="25"/>
  <c r="Z424" i="25" s="1"/>
  <c r="AB424" i="25" s="1"/>
  <c r="AD424" i="25" s="1"/>
  <c r="AE424" i="25" s="1"/>
  <c r="AH424" i="25"/>
  <c r="AP424" i="25" s="1"/>
  <c r="AS424" i="25" s="1"/>
  <c r="AI424" i="25"/>
  <c r="AO424" i="25" s="1"/>
  <c r="AR424" i="25" s="1"/>
  <c r="AL593" i="25"/>
  <c r="AM593" i="25"/>
  <c r="AL737" i="25"/>
  <c r="AM737" i="25"/>
  <c r="AJ737" i="25"/>
  <c r="AK737" i="25"/>
  <c r="AN737" i="25" s="1"/>
  <c r="AQ737" i="25" s="1"/>
  <c r="T594" i="25"/>
  <c r="U594" i="25"/>
  <c r="Y594" i="25"/>
  <c r="AC594" i="25" s="1"/>
  <c r="N594" i="25"/>
  <c r="O594" i="25"/>
  <c r="V594" i="25"/>
  <c r="P594" i="25"/>
  <c r="W594" i="25"/>
  <c r="Z594" i="25" s="1"/>
  <c r="W737" i="25"/>
  <c r="Z737" i="25" s="1"/>
  <c r="AB737" i="25" s="1"/>
  <c r="AD737" i="25" s="1"/>
  <c r="AE737" i="25" s="1"/>
  <c r="AH737" i="25"/>
  <c r="AP737" i="25" s="1"/>
  <c r="AS737" i="25" s="1"/>
  <c r="AI737" i="25"/>
  <c r="AO737" i="25" s="1"/>
  <c r="AR737" i="25" s="1"/>
  <c r="AH593" i="25"/>
  <c r="AP593" i="25" s="1"/>
  <c r="AS593" i="25" s="1"/>
  <c r="AI593" i="25"/>
  <c r="AO593" i="25" s="1"/>
  <c r="AR593" i="25" s="1"/>
  <c r="M595" i="25"/>
  <c r="U425" i="25"/>
  <c r="N425" i="25"/>
  <c r="V425" i="25"/>
  <c r="O425" i="25"/>
  <c r="Y425" i="25"/>
  <c r="AC425" i="25" s="1"/>
  <c r="P425" i="25"/>
  <c r="H897" i="25"/>
  <c r="Q897" i="25" s="1"/>
  <c r="I897" i="25"/>
  <c r="R897" i="25" s="1"/>
  <c r="J897" i="25"/>
  <c r="T425" i="25"/>
  <c r="AH112" i="25"/>
  <c r="AP112" i="25" s="1"/>
  <c r="AS112" i="25" s="1"/>
  <c r="M896" i="25" s="1"/>
  <c r="V896" i="25" s="1"/>
  <c r="AM112" i="25"/>
  <c r="AJ113" i="25"/>
  <c r="AL113" i="25"/>
  <c r="E115" i="25"/>
  <c r="N114" i="25"/>
  <c r="F114" i="25"/>
  <c r="O113" i="25"/>
  <c r="T894" i="25"/>
  <c r="O894" i="25"/>
  <c r="AI112" i="25"/>
  <c r="AO112" i="25" s="1"/>
  <c r="AR112" i="25" s="1"/>
  <c r="L896" i="25" s="1"/>
  <c r="U896" i="25" s="1"/>
  <c r="AK112" i="25"/>
  <c r="W893" i="25"/>
  <c r="X893" i="25" s="1"/>
  <c r="AA893" i="25"/>
  <c r="AB893" i="25" s="1"/>
  <c r="AC893" i="25" s="1"/>
  <c r="AD893" i="25" s="1"/>
  <c r="C115" i="25"/>
  <c r="Y114" i="25"/>
  <c r="AC114" i="25" s="1"/>
  <c r="AD114" i="25" s="1"/>
  <c r="AE114" i="25" s="1"/>
  <c r="AN111" i="25"/>
  <c r="AQ111" i="25" s="1"/>
  <c r="K895" i="25" s="1"/>
  <c r="D114" i="25"/>
  <c r="P113" i="25"/>
  <c r="M739" i="25"/>
  <c r="B740" i="25"/>
  <c r="B602" i="25"/>
  <c r="B434" i="25"/>
  <c r="M426" i="25"/>
  <c r="B272" i="25"/>
  <c r="M272" i="25" s="1"/>
  <c r="Q739" i="25" l="1"/>
  <c r="S739" i="25"/>
  <c r="R739" i="25"/>
  <c r="Q595" i="25"/>
  <c r="R595" i="25"/>
  <c r="S595" i="25"/>
  <c r="R272" i="25"/>
  <c r="S272" i="25"/>
  <c r="Q272" i="25"/>
  <c r="Q426" i="25"/>
  <c r="R426" i="25"/>
  <c r="S426" i="25"/>
  <c r="AK271" i="25"/>
  <c r="AM271" i="25"/>
  <c r="AL271" i="25"/>
  <c r="V272" i="25"/>
  <c r="P272" i="25"/>
  <c r="T272" i="25"/>
  <c r="U272" i="25"/>
  <c r="N272" i="25"/>
  <c r="O272" i="25"/>
  <c r="Y272" i="25"/>
  <c r="AC272" i="25" s="1"/>
  <c r="X272" i="25"/>
  <c r="AA272" i="25" s="1"/>
  <c r="W272" i="25"/>
  <c r="Z272" i="25" s="1"/>
  <c r="AB272" i="25" s="1"/>
  <c r="AD272" i="25" s="1"/>
  <c r="AE272" i="25" s="1"/>
  <c r="AN272" i="25"/>
  <c r="AQ272" i="25" s="1"/>
  <c r="AJ271" i="25"/>
  <c r="AI271" i="25"/>
  <c r="AO271" i="25" s="1"/>
  <c r="AR271" i="25" s="1"/>
  <c r="AH271" i="25"/>
  <c r="AN112" i="25"/>
  <c r="AQ112" i="25" s="1"/>
  <c r="K896" i="25" s="1"/>
  <c r="X425" i="25"/>
  <c r="AA425" i="25" s="1"/>
  <c r="X594" i="25"/>
  <c r="AA594" i="25" s="1"/>
  <c r="AB594" i="25" s="1"/>
  <c r="AD594" i="25" s="1"/>
  <c r="AE594" i="25" s="1"/>
  <c r="N897" i="25"/>
  <c r="S897" i="25"/>
  <c r="Z897" i="25" s="1"/>
  <c r="AN593" i="25"/>
  <c r="AQ593" i="25" s="1"/>
  <c r="AM594" i="25"/>
  <c r="AL594" i="25"/>
  <c r="AJ738" i="25"/>
  <c r="AP738" i="25" s="1"/>
  <c r="AS738" i="25" s="1"/>
  <c r="AK738" i="25"/>
  <c r="AK594" i="25"/>
  <c r="AN594" i="25" s="1"/>
  <c r="AQ594" i="25" s="1"/>
  <c r="AJ594" i="25"/>
  <c r="AH594" i="25"/>
  <c r="AP594" i="25" s="1"/>
  <c r="AS594" i="25" s="1"/>
  <c r="AI594" i="25"/>
  <c r="AH738" i="25"/>
  <c r="AI738" i="25"/>
  <c r="AM425" i="25"/>
  <c r="AL425" i="25"/>
  <c r="W425" i="25"/>
  <c r="Z425" i="25" s="1"/>
  <c r="AB425" i="25" s="1"/>
  <c r="AD425" i="25" s="1"/>
  <c r="AE425" i="25" s="1"/>
  <c r="AK425" i="25"/>
  <c r="AN425" i="25" s="1"/>
  <c r="AQ425" i="25" s="1"/>
  <c r="AJ425" i="25"/>
  <c r="O739" i="25"/>
  <c r="Y739" i="25"/>
  <c r="P739" i="25"/>
  <c r="AC739" i="25"/>
  <c r="T739" i="25"/>
  <c r="U739" i="25"/>
  <c r="N739" i="25"/>
  <c r="V739" i="25"/>
  <c r="M596" i="25"/>
  <c r="H898" i="25"/>
  <c r="I898" i="25"/>
  <c r="R898" i="25" s="1"/>
  <c r="J898" i="25"/>
  <c r="S898" i="25" s="1"/>
  <c r="T426" i="25"/>
  <c r="U426" i="25"/>
  <c r="N426" i="25"/>
  <c r="V426" i="25"/>
  <c r="O426" i="25"/>
  <c r="X426" i="25"/>
  <c r="AA426" i="25" s="1"/>
  <c r="P426" i="25"/>
  <c r="Y426" i="25"/>
  <c r="AC426" i="25" s="1"/>
  <c r="AH425" i="25"/>
  <c r="AP425" i="25" s="1"/>
  <c r="AS425" i="25" s="1"/>
  <c r="AI425" i="25"/>
  <c r="AO425" i="25" s="1"/>
  <c r="AR425" i="25" s="1"/>
  <c r="N595" i="25"/>
  <c r="V595" i="25"/>
  <c r="O595" i="25"/>
  <c r="P595" i="25"/>
  <c r="Y595" i="25"/>
  <c r="W595" i="25"/>
  <c r="Z595" i="25" s="1"/>
  <c r="AC595" i="25"/>
  <c r="T595" i="25"/>
  <c r="U595" i="25"/>
  <c r="AL738" i="25"/>
  <c r="AM738" i="25"/>
  <c r="AH113" i="25"/>
  <c r="AP113" i="25" s="1"/>
  <c r="AS113" i="25" s="1"/>
  <c r="M897" i="25" s="1"/>
  <c r="V897" i="25" s="1"/>
  <c r="AM113" i="25"/>
  <c r="AI113" i="25"/>
  <c r="AO113" i="25" s="1"/>
  <c r="AR113" i="25" s="1"/>
  <c r="L897" i="25" s="1"/>
  <c r="U897" i="25" s="1"/>
  <c r="AK113" i="25"/>
  <c r="C116" i="25"/>
  <c r="Y115" i="25"/>
  <c r="AC115" i="25" s="1"/>
  <c r="AD115" i="25" s="1"/>
  <c r="AE115" i="25" s="1"/>
  <c r="F115" i="25"/>
  <c r="O114" i="25"/>
  <c r="AJ114" i="25"/>
  <c r="AL114" i="25"/>
  <c r="E116" i="25"/>
  <c r="N115" i="25"/>
  <c r="D115" i="25"/>
  <c r="P114" i="25"/>
  <c r="T896" i="25"/>
  <c r="AA896" i="25" s="1"/>
  <c r="AB896" i="25" s="1"/>
  <c r="AC896" i="25" s="1"/>
  <c r="AD896" i="25" s="1"/>
  <c r="O896" i="25"/>
  <c r="T895" i="25"/>
  <c r="O895" i="25"/>
  <c r="W894" i="25"/>
  <c r="X894" i="25" s="1"/>
  <c r="AA894" i="25"/>
  <c r="AB894" i="25" s="1"/>
  <c r="AC894" i="25" s="1"/>
  <c r="AD894" i="25" s="1"/>
  <c r="B741" i="25"/>
  <c r="M740" i="25"/>
  <c r="B603" i="25"/>
  <c r="B435" i="25"/>
  <c r="M427" i="25"/>
  <c r="B273" i="25"/>
  <c r="M273" i="25" s="1"/>
  <c r="Q740" i="25" l="1"/>
  <c r="R740" i="25"/>
  <c r="S740" i="25"/>
  <c r="Q273" i="25"/>
  <c r="R273" i="25"/>
  <c r="S273" i="25"/>
  <c r="Q427" i="25"/>
  <c r="R427" i="25"/>
  <c r="S427" i="25"/>
  <c r="Q596" i="25"/>
  <c r="S596" i="25"/>
  <c r="R596" i="25"/>
  <c r="AH272" i="25"/>
  <c r="AP272" i="25" s="1"/>
  <c r="AS272" i="25" s="1"/>
  <c r="AI272" i="25"/>
  <c r="AO272" i="25" s="1"/>
  <c r="AR272" i="25" s="1"/>
  <c r="AM272" i="25"/>
  <c r="AL272" i="25"/>
  <c r="N273" i="25"/>
  <c r="T273" i="25"/>
  <c r="V273" i="25"/>
  <c r="O273" i="25"/>
  <c r="Y273" i="25"/>
  <c r="AC273" i="25" s="1"/>
  <c r="P273" i="25"/>
  <c r="U273" i="25"/>
  <c r="W273" i="25"/>
  <c r="Z273" i="25" s="1"/>
  <c r="AB273" i="25" s="1"/>
  <c r="AD273" i="25" s="1"/>
  <c r="AE273" i="25" s="1"/>
  <c r="X273" i="25"/>
  <c r="AA273" i="25" s="1"/>
  <c r="AN273" i="25"/>
  <c r="AQ273" i="25" s="1"/>
  <c r="AP273" i="25"/>
  <c r="AS273" i="25" s="1"/>
  <c r="AO273" i="25"/>
  <c r="AR273" i="25" s="1"/>
  <c r="AJ272" i="25"/>
  <c r="AK272" i="25"/>
  <c r="X739" i="25"/>
  <c r="AA739" i="25" s="1"/>
  <c r="AO594" i="25"/>
  <c r="AR594" i="25" s="1"/>
  <c r="Q898" i="25"/>
  <c r="Z898" i="25" s="1"/>
  <c r="N898" i="25"/>
  <c r="AN738" i="25"/>
  <c r="AQ738" i="25" s="1"/>
  <c r="AO738" i="25"/>
  <c r="AR738" i="25" s="1"/>
  <c r="AN113" i="25"/>
  <c r="AQ113" i="25" s="1"/>
  <c r="K897" i="25" s="1"/>
  <c r="O897" i="25" s="1"/>
  <c r="X595" i="25"/>
  <c r="AA595" i="25" s="1"/>
  <c r="AB595" i="25" s="1"/>
  <c r="AD595" i="25" s="1"/>
  <c r="AE595" i="25" s="1"/>
  <c r="AL595" i="25"/>
  <c r="AM595" i="25"/>
  <c r="AJ426" i="25"/>
  <c r="AK426" i="25"/>
  <c r="AJ595" i="25"/>
  <c r="AK595" i="25"/>
  <c r="W426" i="25"/>
  <c r="Z426" i="25" s="1"/>
  <c r="AB426" i="25" s="1"/>
  <c r="AD426" i="25" s="1"/>
  <c r="AE426" i="25" s="1"/>
  <c r="AI426" i="25"/>
  <c r="AH426" i="25"/>
  <c r="T596" i="25"/>
  <c r="U596" i="25"/>
  <c r="N596" i="25"/>
  <c r="V596" i="25"/>
  <c r="O596" i="25"/>
  <c r="P596" i="25"/>
  <c r="Y596" i="25"/>
  <c r="AC596" i="25" s="1"/>
  <c r="AL739" i="25"/>
  <c r="AM739" i="25"/>
  <c r="AI595" i="25"/>
  <c r="AO595" i="25" s="1"/>
  <c r="AR595" i="25" s="1"/>
  <c r="AH595" i="25"/>
  <c r="AP595" i="25" s="1"/>
  <c r="AS595" i="25" s="1"/>
  <c r="AJ739" i="25"/>
  <c r="AK739" i="25"/>
  <c r="AN739" i="25" s="1"/>
  <c r="AQ739" i="25" s="1"/>
  <c r="W739" i="25"/>
  <c r="Z739" i="25" s="1"/>
  <c r="AB739" i="25" s="1"/>
  <c r="AD739" i="25" s="1"/>
  <c r="AE739" i="25" s="1"/>
  <c r="AH739" i="25"/>
  <c r="AI739" i="25"/>
  <c r="AO739" i="25" s="1"/>
  <c r="AR739" i="25" s="1"/>
  <c r="T740" i="25"/>
  <c r="U740" i="25"/>
  <c r="N740" i="25"/>
  <c r="V740" i="25"/>
  <c r="O740" i="25"/>
  <c r="Y740" i="25"/>
  <c r="AC740" i="25" s="1"/>
  <c r="P740" i="25"/>
  <c r="W740" i="25"/>
  <c r="Z740" i="25" s="1"/>
  <c r="M597" i="25"/>
  <c r="N427" i="25"/>
  <c r="V427" i="25"/>
  <c r="O427" i="25"/>
  <c r="P427" i="25"/>
  <c r="Y427" i="25"/>
  <c r="AC427" i="25" s="1"/>
  <c r="H899" i="25"/>
  <c r="I899" i="25"/>
  <c r="R899" i="25" s="1"/>
  <c r="J899" i="25"/>
  <c r="S899" i="25" s="1"/>
  <c r="T427" i="25"/>
  <c r="U427" i="25"/>
  <c r="AM426" i="25"/>
  <c r="AL426" i="25"/>
  <c r="AA895" i="25"/>
  <c r="AB895" i="25" s="1"/>
  <c r="AC895" i="25" s="1"/>
  <c r="AD895" i="25" s="1"/>
  <c r="W895" i="25"/>
  <c r="X895" i="25" s="1"/>
  <c r="AM114" i="25"/>
  <c r="AH114" i="25"/>
  <c r="AP114" i="25" s="1"/>
  <c r="AS114" i="25" s="1"/>
  <c r="F116" i="25"/>
  <c r="O115" i="25"/>
  <c r="AK114" i="25"/>
  <c r="AI114" i="25"/>
  <c r="AO114" i="25" s="1"/>
  <c r="AR114" i="25" s="1"/>
  <c r="W896" i="25"/>
  <c r="X896" i="25" s="1"/>
  <c r="D116" i="25"/>
  <c r="P115" i="25"/>
  <c r="C117" i="25"/>
  <c r="Y116" i="25"/>
  <c r="AC116" i="25" s="1"/>
  <c r="AD116" i="25" s="1"/>
  <c r="AE116" i="25" s="1"/>
  <c r="AL115" i="25"/>
  <c r="AJ115" i="25"/>
  <c r="E117" i="25"/>
  <c r="N116" i="25"/>
  <c r="M741" i="25"/>
  <c r="B742" i="25"/>
  <c r="B604" i="25"/>
  <c r="B436" i="25"/>
  <c r="M428" i="25"/>
  <c r="B274" i="25"/>
  <c r="M274" i="25" s="1"/>
  <c r="Q428" i="25" l="1"/>
  <c r="S428" i="25"/>
  <c r="R428" i="25"/>
  <c r="R597" i="25"/>
  <c r="S597" i="25"/>
  <c r="Q597" i="25"/>
  <c r="Q741" i="25"/>
  <c r="S741" i="25"/>
  <c r="R741" i="25"/>
  <c r="R274" i="25"/>
  <c r="Q274" i="25"/>
  <c r="S274" i="25"/>
  <c r="P274" i="25"/>
  <c r="Y274" i="25"/>
  <c r="AC274" i="25" s="1"/>
  <c r="V274" i="25"/>
  <c r="T274" i="25"/>
  <c r="X274" i="25" s="1"/>
  <c r="AA274" i="25" s="1"/>
  <c r="U274" i="25"/>
  <c r="O274" i="25"/>
  <c r="W274" i="25"/>
  <c r="Z274" i="25" s="1"/>
  <c r="AB274" i="25" s="1"/>
  <c r="AD274" i="25" s="1"/>
  <c r="AE274" i="25" s="1"/>
  <c r="N274" i="25"/>
  <c r="AO274" i="25"/>
  <c r="AR274" i="25" s="1"/>
  <c r="AN274" i="25"/>
  <c r="AQ274" i="25" s="1"/>
  <c r="AJ273" i="25"/>
  <c r="AK273" i="25"/>
  <c r="AH273" i="25"/>
  <c r="AI273" i="25"/>
  <c r="AL273" i="25"/>
  <c r="AM273" i="25"/>
  <c r="T897" i="25"/>
  <c r="Q899" i="25"/>
  <c r="Z899" i="25" s="1"/>
  <c r="N899" i="25"/>
  <c r="W427" i="25"/>
  <c r="Z427" i="25" s="1"/>
  <c r="AB427" i="25" s="1"/>
  <c r="AD427" i="25" s="1"/>
  <c r="AE427" i="25" s="1"/>
  <c r="X596" i="25"/>
  <c r="AA596" i="25" s="1"/>
  <c r="AN426" i="25"/>
  <c r="AQ426" i="25" s="1"/>
  <c r="X427" i="25"/>
  <c r="AA427" i="25" s="1"/>
  <c r="X740" i="25"/>
  <c r="AA740" i="25" s="1"/>
  <c r="AB740" i="25" s="1"/>
  <c r="AD740" i="25" s="1"/>
  <c r="AE740" i="25" s="1"/>
  <c r="AN595" i="25"/>
  <c r="AQ595" i="25" s="1"/>
  <c r="AP426" i="25"/>
  <c r="AS426" i="25" s="1"/>
  <c r="M898" i="25" s="1"/>
  <c r="V898" i="25" s="1"/>
  <c r="AP739" i="25"/>
  <c r="AS739" i="25" s="1"/>
  <c r="AO426" i="25"/>
  <c r="AR426" i="25" s="1"/>
  <c r="L898" i="25" s="1"/>
  <c r="U898" i="25" s="1"/>
  <c r="AK427" i="25"/>
  <c r="AJ427" i="25"/>
  <c r="N597" i="25"/>
  <c r="V597" i="25"/>
  <c r="O597" i="25"/>
  <c r="Y597" i="25"/>
  <c r="P597" i="25"/>
  <c r="AC597" i="25"/>
  <c r="W597" i="25"/>
  <c r="Z597" i="25" s="1"/>
  <c r="T597" i="25"/>
  <c r="U597" i="25"/>
  <c r="AI427" i="25"/>
  <c r="AH427" i="25"/>
  <c r="M598" i="25"/>
  <c r="J900" i="25"/>
  <c r="T428" i="25"/>
  <c r="U428" i="25"/>
  <c r="N428" i="25"/>
  <c r="V428" i="25"/>
  <c r="O428" i="25"/>
  <c r="Y428" i="25"/>
  <c r="P428" i="25"/>
  <c r="H900" i="25"/>
  <c r="Q900" i="25" s="1"/>
  <c r="AC428" i="25"/>
  <c r="I900" i="25"/>
  <c r="R900" i="25" s="1"/>
  <c r="T741" i="25"/>
  <c r="U741" i="25"/>
  <c r="N741" i="25"/>
  <c r="V741" i="25"/>
  <c r="O741" i="25"/>
  <c r="Y741" i="25"/>
  <c r="AC741" i="25" s="1"/>
  <c r="P741" i="25"/>
  <c r="AL740" i="25"/>
  <c r="AM740" i="25"/>
  <c r="AI596" i="25"/>
  <c r="AH596" i="25"/>
  <c r="AL596" i="25"/>
  <c r="AM596" i="25"/>
  <c r="AK740" i="25"/>
  <c r="AJ740" i="25"/>
  <c r="W596" i="25"/>
  <c r="Z596" i="25" s="1"/>
  <c r="AB596" i="25" s="1"/>
  <c r="AD596" i="25" s="1"/>
  <c r="AE596" i="25" s="1"/>
  <c r="AK596" i="25"/>
  <c r="AN596" i="25" s="1"/>
  <c r="AQ596" i="25" s="1"/>
  <c r="AJ596" i="25"/>
  <c r="AL427" i="25"/>
  <c r="AM427" i="25"/>
  <c r="AH740" i="25"/>
  <c r="AP740" i="25" s="1"/>
  <c r="AS740" i="25" s="1"/>
  <c r="AI740" i="25"/>
  <c r="AA897" i="25"/>
  <c r="AB897" i="25" s="1"/>
  <c r="AC897" i="25" s="1"/>
  <c r="AD897" i="25" s="1"/>
  <c r="W897" i="25"/>
  <c r="X897" i="25" s="1"/>
  <c r="C118" i="25"/>
  <c r="Y117" i="25"/>
  <c r="AC117" i="25" s="1"/>
  <c r="AD117" i="25" s="1"/>
  <c r="AE117" i="25" s="1"/>
  <c r="AM115" i="25"/>
  <c r="AH115" i="25"/>
  <c r="AP115" i="25" s="1"/>
  <c r="AS115" i="25" s="1"/>
  <c r="D117" i="25"/>
  <c r="P116" i="25"/>
  <c r="AI115" i="25"/>
  <c r="AO115" i="25" s="1"/>
  <c r="AR115" i="25" s="1"/>
  <c r="AK115" i="25"/>
  <c r="F117" i="25"/>
  <c r="O116" i="25"/>
  <c r="AL116" i="25"/>
  <c r="AJ116" i="25"/>
  <c r="E118" i="25"/>
  <c r="N117" i="25"/>
  <c r="AN114" i="25"/>
  <c r="AQ114" i="25" s="1"/>
  <c r="K898" i="25" s="1"/>
  <c r="B743" i="25"/>
  <c r="M742" i="25"/>
  <c r="B605" i="25"/>
  <c r="M429" i="25"/>
  <c r="B437" i="25"/>
  <c r="M430" i="25"/>
  <c r="B275" i="25"/>
  <c r="M275" i="25" s="1"/>
  <c r="Q598" i="25" l="1"/>
  <c r="R598" i="25"/>
  <c r="S598" i="25"/>
  <c r="R742" i="25"/>
  <c r="Q742" i="25"/>
  <c r="S742" i="25"/>
  <c r="S430" i="25"/>
  <c r="R430" i="25"/>
  <c r="Q430" i="25"/>
  <c r="Q275" i="25"/>
  <c r="R275" i="25"/>
  <c r="S275" i="25"/>
  <c r="Q429" i="25"/>
  <c r="S429" i="25"/>
  <c r="R429" i="25"/>
  <c r="AK274" i="25"/>
  <c r="AJ274" i="25"/>
  <c r="AL274" i="25"/>
  <c r="AM274" i="25"/>
  <c r="Y275" i="25"/>
  <c r="V275" i="25"/>
  <c r="N275" i="25"/>
  <c r="U275" i="25"/>
  <c r="AC275" i="25"/>
  <c r="T275" i="25"/>
  <c r="P275" i="25"/>
  <c r="O275" i="25"/>
  <c r="X275" i="25"/>
  <c r="AA275" i="25" s="1"/>
  <c r="W275" i="25"/>
  <c r="Z275" i="25" s="1"/>
  <c r="AB275" i="25" s="1"/>
  <c r="AD275" i="25" s="1"/>
  <c r="AE275" i="25" s="1"/>
  <c r="AP275" i="25"/>
  <c r="AS275" i="25" s="1"/>
  <c r="AH274" i="25"/>
  <c r="AP274" i="25" s="1"/>
  <c r="AS274" i="25" s="1"/>
  <c r="AI274" i="25"/>
  <c r="AO427" i="25"/>
  <c r="AR427" i="25" s="1"/>
  <c r="AN427" i="25"/>
  <c r="AQ427" i="25" s="1"/>
  <c r="L899" i="25"/>
  <c r="U899" i="25" s="1"/>
  <c r="AO740" i="25"/>
  <c r="AR740" i="25" s="1"/>
  <c r="AN740" i="25"/>
  <c r="AQ740" i="25" s="1"/>
  <c r="X741" i="25"/>
  <c r="AA741" i="25" s="1"/>
  <c r="Z900" i="25"/>
  <c r="X428" i="25"/>
  <c r="AA428" i="25" s="1"/>
  <c r="M899" i="25"/>
  <c r="V899" i="25" s="1"/>
  <c r="N900" i="25"/>
  <c r="S900" i="25"/>
  <c r="X597" i="25"/>
  <c r="AA597" i="25" s="1"/>
  <c r="AB597" i="25" s="1"/>
  <c r="AD597" i="25" s="1"/>
  <c r="AE597" i="25" s="1"/>
  <c r="AN115" i="25"/>
  <c r="AQ115" i="25" s="1"/>
  <c r="K899" i="25" s="1"/>
  <c r="O899" i="25" s="1"/>
  <c r="AP596" i="25"/>
  <c r="AS596" i="25" s="1"/>
  <c r="AO596" i="25"/>
  <c r="AR596" i="25" s="1"/>
  <c r="AP427" i="25"/>
  <c r="AS427" i="25" s="1"/>
  <c r="AK428" i="25"/>
  <c r="AJ428" i="25"/>
  <c r="M600" i="25"/>
  <c r="T430" i="25"/>
  <c r="U430" i="25"/>
  <c r="X430" i="25" s="1"/>
  <c r="AA430" i="25" s="1"/>
  <c r="N430" i="25"/>
  <c r="V430" i="25"/>
  <c r="O430" i="25"/>
  <c r="P430" i="25"/>
  <c r="Y430" i="25"/>
  <c r="AC430" i="25" s="1"/>
  <c r="W428" i="25"/>
  <c r="Z428" i="25" s="1"/>
  <c r="AB428" i="25" s="1"/>
  <c r="AD428" i="25" s="1"/>
  <c r="AE428" i="25" s="1"/>
  <c r="AI428" i="25"/>
  <c r="AH428" i="25"/>
  <c r="AP428" i="25" s="1"/>
  <c r="AS428" i="25" s="1"/>
  <c r="W741" i="25"/>
  <c r="Z741" i="25" s="1"/>
  <c r="AB741" i="25" s="1"/>
  <c r="AD741" i="25" s="1"/>
  <c r="AE741" i="25" s="1"/>
  <c r="AH741" i="25"/>
  <c r="AI741" i="25"/>
  <c r="AO741" i="25" s="1"/>
  <c r="AR741" i="25" s="1"/>
  <c r="AM741" i="25"/>
  <c r="AL741" i="25"/>
  <c r="AM428" i="25"/>
  <c r="AL428" i="25"/>
  <c r="AJ741" i="25"/>
  <c r="AK741" i="25"/>
  <c r="AN741" i="25" s="1"/>
  <c r="AQ741" i="25" s="1"/>
  <c r="T598" i="25"/>
  <c r="U598" i="25"/>
  <c r="N598" i="25"/>
  <c r="V598" i="25"/>
  <c r="X598" i="25" s="1"/>
  <c r="AA598" i="25" s="1"/>
  <c r="O598" i="25"/>
  <c r="Y598" i="25"/>
  <c r="AC598" i="25" s="1"/>
  <c r="W598" i="25"/>
  <c r="Z598" i="25" s="1"/>
  <c r="AB598" i="25" s="1"/>
  <c r="AD598" i="25" s="1"/>
  <c r="AE598" i="25" s="1"/>
  <c r="P598" i="25"/>
  <c r="M599" i="25"/>
  <c r="O429" i="25"/>
  <c r="Y429" i="25"/>
  <c r="AC429" i="25" s="1"/>
  <c r="P429" i="25"/>
  <c r="H901" i="25"/>
  <c r="I901" i="25"/>
  <c r="R901" i="25" s="1"/>
  <c r="J901" i="25"/>
  <c r="S901" i="25" s="1"/>
  <c r="T429" i="25"/>
  <c r="X429" i="25" s="1"/>
  <c r="AA429" i="25" s="1"/>
  <c r="U429" i="25"/>
  <c r="N429" i="25"/>
  <c r="V429" i="25"/>
  <c r="AM597" i="25"/>
  <c r="AL597" i="25"/>
  <c r="P742" i="25"/>
  <c r="Y742" i="25"/>
  <c r="W742" i="25"/>
  <c r="Z742" i="25" s="1"/>
  <c r="AC742" i="25"/>
  <c r="T742" i="25"/>
  <c r="X742" i="25" s="1"/>
  <c r="AA742" i="25" s="1"/>
  <c r="U742" i="25"/>
  <c r="N742" i="25"/>
  <c r="V742" i="25"/>
  <c r="O742" i="25"/>
  <c r="AK597" i="25"/>
  <c r="AN597" i="25" s="1"/>
  <c r="AQ597" i="25" s="1"/>
  <c r="AJ597" i="25"/>
  <c r="AH597" i="25"/>
  <c r="AI597" i="25"/>
  <c r="AI116" i="25"/>
  <c r="AO116" i="25" s="1"/>
  <c r="AR116" i="25" s="1"/>
  <c r="AK116" i="25"/>
  <c r="AJ117" i="25"/>
  <c r="AL117" i="25"/>
  <c r="E119" i="25"/>
  <c r="N118" i="25"/>
  <c r="D118" i="25"/>
  <c r="P117" i="25"/>
  <c r="T899" i="25"/>
  <c r="F118" i="25"/>
  <c r="O117" i="25"/>
  <c r="C119" i="25"/>
  <c r="Y118" i="25"/>
  <c r="AC118" i="25" s="1"/>
  <c r="AD118" i="25" s="1"/>
  <c r="AE118" i="25" s="1"/>
  <c r="AH116" i="25"/>
  <c r="AP116" i="25" s="1"/>
  <c r="AS116" i="25" s="1"/>
  <c r="M900" i="25" s="1"/>
  <c r="V900" i="25" s="1"/>
  <c r="AM116" i="25"/>
  <c r="T898" i="25"/>
  <c r="O898" i="25"/>
  <c r="M743" i="25"/>
  <c r="B744" i="25"/>
  <c r="B606" i="25"/>
  <c r="B438" i="25"/>
  <c r="B276" i="25"/>
  <c r="M276" i="25" s="1"/>
  <c r="M431" i="25"/>
  <c r="R599" i="25" l="1"/>
  <c r="Q599" i="25"/>
  <c r="S599" i="25"/>
  <c r="R431" i="25"/>
  <c r="S431" i="25"/>
  <c r="Q431" i="25"/>
  <c r="Q276" i="25"/>
  <c r="R276" i="25"/>
  <c r="S276" i="25"/>
  <c r="Q600" i="25"/>
  <c r="R600" i="25"/>
  <c r="S600" i="25"/>
  <c r="AM275" i="25"/>
  <c r="S743" i="25"/>
  <c r="Q743" i="25"/>
  <c r="R743" i="25"/>
  <c r="AJ275" i="25"/>
  <c r="AK275" i="25"/>
  <c r="AN275" i="25" s="1"/>
  <c r="AQ275" i="25" s="1"/>
  <c r="AL275" i="25"/>
  <c r="T276" i="25"/>
  <c r="O276" i="25"/>
  <c r="U276" i="25"/>
  <c r="V276" i="25"/>
  <c r="P276" i="25"/>
  <c r="N276" i="25"/>
  <c r="Y276" i="25"/>
  <c r="AC276" i="25" s="1"/>
  <c r="X276" i="25"/>
  <c r="AA276" i="25" s="1"/>
  <c r="W276" i="25"/>
  <c r="Z276" i="25" s="1"/>
  <c r="AB276" i="25" s="1"/>
  <c r="AD276" i="25" s="1"/>
  <c r="AE276" i="25" s="1"/>
  <c r="AO276" i="25"/>
  <c r="AR276" i="25" s="1"/>
  <c r="AN276" i="25"/>
  <c r="AQ276" i="25" s="1"/>
  <c r="AI275" i="25"/>
  <c r="AO275" i="25" s="1"/>
  <c r="AR275" i="25" s="1"/>
  <c r="AH275" i="25"/>
  <c r="AB742" i="25"/>
  <c r="AD742" i="25" s="1"/>
  <c r="AE742" i="25" s="1"/>
  <c r="AP741" i="25"/>
  <c r="AS741" i="25" s="1"/>
  <c r="J902" i="25"/>
  <c r="S902" i="25" s="1"/>
  <c r="I902" i="25"/>
  <c r="R902" i="25" s="1"/>
  <c r="H902" i="25"/>
  <c r="AO428" i="25"/>
  <c r="AR428" i="25" s="1"/>
  <c r="L900" i="25"/>
  <c r="U900" i="25" s="1"/>
  <c r="Q901" i="25"/>
  <c r="Z901" i="25" s="1"/>
  <c r="N901" i="25"/>
  <c r="AO597" i="25"/>
  <c r="AR597" i="25" s="1"/>
  <c r="AN428" i="25"/>
  <c r="AQ428" i="25" s="1"/>
  <c r="AP597" i="25"/>
  <c r="AS597" i="25" s="1"/>
  <c r="AH742" i="25"/>
  <c r="AI742" i="25"/>
  <c r="M601" i="25"/>
  <c r="T431" i="25"/>
  <c r="U431" i="25"/>
  <c r="N431" i="25"/>
  <c r="V431" i="25"/>
  <c r="X431" i="25" s="1"/>
  <c r="AA431" i="25" s="1"/>
  <c r="AB431" i="25" s="1"/>
  <c r="AD431" i="25" s="1"/>
  <c r="AE431" i="25" s="1"/>
  <c r="O431" i="25"/>
  <c r="W431" i="25"/>
  <c r="Z431" i="25" s="1"/>
  <c r="P431" i="25"/>
  <c r="Y431" i="25"/>
  <c r="AC431" i="25" s="1"/>
  <c r="AJ598" i="25"/>
  <c r="AK598" i="25"/>
  <c r="AN598" i="25" s="1"/>
  <c r="AQ598" i="25" s="1"/>
  <c r="AH598" i="25"/>
  <c r="AI598" i="25"/>
  <c r="AM598" i="25"/>
  <c r="AL598" i="25"/>
  <c r="AM430" i="25"/>
  <c r="AL430" i="25"/>
  <c r="P599" i="25"/>
  <c r="W599" i="25"/>
  <c r="Z599" i="25" s="1"/>
  <c r="Y599" i="25"/>
  <c r="AC599" i="25" s="1"/>
  <c r="T599" i="25"/>
  <c r="X599" i="25" s="1"/>
  <c r="AA599" i="25" s="1"/>
  <c r="N599" i="25"/>
  <c r="O599" i="25"/>
  <c r="U599" i="25"/>
  <c r="V599" i="25"/>
  <c r="AJ430" i="25"/>
  <c r="AK430" i="25"/>
  <c r="AN430" i="25" s="1"/>
  <c r="AQ430" i="25" s="1"/>
  <c r="AL742" i="25"/>
  <c r="AM742" i="25"/>
  <c r="AM429" i="25"/>
  <c r="AL429" i="25"/>
  <c r="W430" i="25"/>
  <c r="Z430" i="25" s="1"/>
  <c r="AB430" i="25" s="1"/>
  <c r="AD430" i="25" s="1"/>
  <c r="AE430" i="25" s="1"/>
  <c r="AI430" i="25"/>
  <c r="AO430" i="25" s="1"/>
  <c r="AR430" i="25" s="1"/>
  <c r="AH430" i="25"/>
  <c r="AP430" i="25" s="1"/>
  <c r="AS430" i="25" s="1"/>
  <c r="W429" i="25"/>
  <c r="Z429" i="25" s="1"/>
  <c r="AB429" i="25" s="1"/>
  <c r="AD429" i="25" s="1"/>
  <c r="AE429" i="25" s="1"/>
  <c r="AK429" i="25"/>
  <c r="AN429" i="25" s="1"/>
  <c r="AQ429" i="25" s="1"/>
  <c r="AJ429" i="25"/>
  <c r="T600" i="25"/>
  <c r="U600" i="25"/>
  <c r="N600" i="25"/>
  <c r="V600" i="25"/>
  <c r="O600" i="25"/>
  <c r="Y600" i="25"/>
  <c r="AC600" i="25" s="1"/>
  <c r="P600" i="25"/>
  <c r="X600" i="25"/>
  <c r="AA600" i="25" s="1"/>
  <c r="T743" i="25"/>
  <c r="U743" i="25"/>
  <c r="N743" i="25"/>
  <c r="V743" i="25"/>
  <c r="O743" i="25"/>
  <c r="Y743" i="25"/>
  <c r="AC743" i="25" s="1"/>
  <c r="P743" i="25"/>
  <c r="AJ742" i="25"/>
  <c r="AK742" i="25"/>
  <c r="AN742" i="25" s="1"/>
  <c r="AQ742" i="25" s="1"/>
  <c r="AH429" i="25"/>
  <c r="AP429" i="25" s="1"/>
  <c r="AS429" i="25" s="1"/>
  <c r="AI429" i="25"/>
  <c r="AO429" i="25" s="1"/>
  <c r="AR429" i="25" s="1"/>
  <c r="AI117" i="25"/>
  <c r="AO117" i="25" s="1"/>
  <c r="AR117" i="25" s="1"/>
  <c r="L901" i="25" s="1"/>
  <c r="U901" i="25" s="1"/>
  <c r="AK117" i="25"/>
  <c r="D119" i="25"/>
  <c r="P118" i="25"/>
  <c r="AJ118" i="25"/>
  <c r="AL118" i="25"/>
  <c r="C120" i="25"/>
  <c r="Y119" i="25"/>
  <c r="AC119" i="25" s="1"/>
  <c r="AD119" i="25" s="1"/>
  <c r="AE119" i="25" s="1"/>
  <c r="AH117" i="25"/>
  <c r="AP117" i="25" s="1"/>
  <c r="AS117" i="25" s="1"/>
  <c r="M901" i="25" s="1"/>
  <c r="V901" i="25" s="1"/>
  <c r="AM117" i="25"/>
  <c r="E120" i="25"/>
  <c r="N119" i="25"/>
  <c r="F119" i="25"/>
  <c r="O118" i="25"/>
  <c r="AA898" i="25"/>
  <c r="AB898" i="25" s="1"/>
  <c r="AC898" i="25" s="1"/>
  <c r="AD898" i="25" s="1"/>
  <c r="W898" i="25"/>
  <c r="X898" i="25" s="1"/>
  <c r="AA899" i="25"/>
  <c r="AB899" i="25" s="1"/>
  <c r="AC899" i="25" s="1"/>
  <c r="AD899" i="25" s="1"/>
  <c r="W899" i="25"/>
  <c r="X899" i="25" s="1"/>
  <c r="AN116" i="25"/>
  <c r="AQ116" i="25" s="1"/>
  <c r="K900" i="25" s="1"/>
  <c r="B745" i="25"/>
  <c r="M744" i="25"/>
  <c r="B607" i="25"/>
  <c r="B439" i="25"/>
  <c r="M432" i="25"/>
  <c r="B277" i="25"/>
  <c r="M277" i="25" s="1"/>
  <c r="Q601" i="25" l="1"/>
  <c r="R601" i="25"/>
  <c r="S601" i="25"/>
  <c r="S277" i="25"/>
  <c r="Q277" i="25"/>
  <c r="R277" i="25"/>
  <c r="R432" i="25"/>
  <c r="Q432" i="25"/>
  <c r="S432" i="25"/>
  <c r="R744" i="25"/>
  <c r="Q744" i="25"/>
  <c r="S744" i="25"/>
  <c r="Y277" i="25"/>
  <c r="AC277" i="25" s="1"/>
  <c r="V277" i="25"/>
  <c r="T277" i="25"/>
  <c r="U277" i="25"/>
  <c r="P277" i="25"/>
  <c r="N277" i="25"/>
  <c r="O277" i="25"/>
  <c r="W277" i="25"/>
  <c r="Z277" i="25" s="1"/>
  <c r="AB277" i="25" s="1"/>
  <c r="AD277" i="25" s="1"/>
  <c r="AE277" i="25" s="1"/>
  <c r="X277" i="25"/>
  <c r="AA277" i="25" s="1"/>
  <c r="AP277" i="25"/>
  <c r="AS277" i="25" s="1"/>
  <c r="AH276" i="25"/>
  <c r="AP276" i="25" s="1"/>
  <c r="AS276" i="25" s="1"/>
  <c r="AI276" i="25"/>
  <c r="AM276" i="25"/>
  <c r="AL276" i="25"/>
  <c r="AJ276" i="25"/>
  <c r="AK276" i="25"/>
  <c r="AB599" i="25"/>
  <c r="AD599" i="25" s="1"/>
  <c r="AE599" i="25" s="1"/>
  <c r="H903" i="25"/>
  <c r="AO742" i="25"/>
  <c r="AR742" i="25" s="1"/>
  <c r="AP742" i="25"/>
  <c r="AS742" i="25" s="1"/>
  <c r="N902" i="25"/>
  <c r="Q902" i="25"/>
  <c r="Z902" i="25" s="1"/>
  <c r="AL599" i="25"/>
  <c r="X743" i="25"/>
  <c r="AA743" i="25" s="1"/>
  <c r="AO598" i="25"/>
  <c r="AR598" i="25" s="1"/>
  <c r="J903" i="25"/>
  <c r="S903" i="25" s="1"/>
  <c r="AP598" i="25"/>
  <c r="AS598" i="25" s="1"/>
  <c r="I903" i="25"/>
  <c r="R903" i="25" s="1"/>
  <c r="W600" i="25"/>
  <c r="Z600" i="25" s="1"/>
  <c r="AB600" i="25" s="1"/>
  <c r="AD600" i="25" s="1"/>
  <c r="AE600" i="25" s="1"/>
  <c r="AJ600" i="25"/>
  <c r="AK600" i="25"/>
  <c r="AN600" i="25" s="1"/>
  <c r="AQ600" i="25" s="1"/>
  <c r="AJ743" i="25"/>
  <c r="AK743" i="25"/>
  <c r="AH600" i="25"/>
  <c r="AI600" i="25"/>
  <c r="AJ599" i="25"/>
  <c r="AK599" i="25"/>
  <c r="W743" i="25"/>
  <c r="Z743" i="25" s="1"/>
  <c r="AB743" i="25" s="1"/>
  <c r="AD743" i="25" s="1"/>
  <c r="AE743" i="25" s="1"/>
  <c r="AH743" i="25"/>
  <c r="AP743" i="25" s="1"/>
  <c r="AS743" i="25" s="1"/>
  <c r="AI743" i="25"/>
  <c r="AL600" i="25"/>
  <c r="AM600" i="25"/>
  <c r="AL431" i="25"/>
  <c r="AM431" i="25"/>
  <c r="AL743" i="25"/>
  <c r="AM743" i="25"/>
  <c r="AI599" i="25"/>
  <c r="AO599" i="25" s="1"/>
  <c r="AR599" i="25" s="1"/>
  <c r="AH599" i="25"/>
  <c r="AP599" i="25" s="1"/>
  <c r="AS599" i="25" s="1"/>
  <c r="AK431" i="25"/>
  <c r="AJ431" i="25"/>
  <c r="AI431" i="25"/>
  <c r="AO431" i="25" s="1"/>
  <c r="AR431" i="25" s="1"/>
  <c r="AH431" i="25"/>
  <c r="AP431" i="25" s="1"/>
  <c r="AS431" i="25" s="1"/>
  <c r="P744" i="25"/>
  <c r="T744" i="25"/>
  <c r="U744" i="25"/>
  <c r="N744" i="25"/>
  <c r="O744" i="25"/>
  <c r="V744" i="25"/>
  <c r="Y744" i="25"/>
  <c r="AC744" i="25" s="1"/>
  <c r="AM599" i="25"/>
  <c r="T601" i="25"/>
  <c r="U601" i="25"/>
  <c r="N601" i="25"/>
  <c r="O601" i="25"/>
  <c r="P601" i="25"/>
  <c r="V601" i="25"/>
  <c r="Y601" i="25"/>
  <c r="AC601" i="25" s="1"/>
  <c r="W601" i="25"/>
  <c r="Z601" i="25" s="1"/>
  <c r="M602" i="25"/>
  <c r="N432" i="25"/>
  <c r="V432" i="25"/>
  <c r="O432" i="25"/>
  <c r="Y432" i="25"/>
  <c r="AC432" i="25" s="1"/>
  <c r="P432" i="25"/>
  <c r="H904" i="25"/>
  <c r="I904" i="25"/>
  <c r="R904" i="25" s="1"/>
  <c r="J904" i="25"/>
  <c r="S904" i="25" s="1"/>
  <c r="T432" i="25"/>
  <c r="U432" i="25"/>
  <c r="E121" i="25"/>
  <c r="N120" i="25"/>
  <c r="D120" i="25"/>
  <c r="P119" i="25"/>
  <c r="AM118" i="25"/>
  <c r="AH118" i="25"/>
  <c r="AP118" i="25" s="1"/>
  <c r="AS118" i="25" s="1"/>
  <c r="M902" i="25" s="1"/>
  <c r="V902" i="25" s="1"/>
  <c r="C121" i="25"/>
  <c r="Y120" i="25"/>
  <c r="AC120" i="25" s="1"/>
  <c r="AD120" i="25" s="1"/>
  <c r="AE120" i="25" s="1"/>
  <c r="F120" i="25"/>
  <c r="O119" i="25"/>
  <c r="AL119" i="25"/>
  <c r="AJ119" i="25"/>
  <c r="AK118" i="25"/>
  <c r="AI118" i="25"/>
  <c r="AO118" i="25" s="1"/>
  <c r="AR118" i="25" s="1"/>
  <c r="L902" i="25" s="1"/>
  <c r="U902" i="25" s="1"/>
  <c r="AN117" i="25"/>
  <c r="AQ117" i="25" s="1"/>
  <c r="K901" i="25" s="1"/>
  <c r="O900" i="25"/>
  <c r="T900" i="25"/>
  <c r="M745" i="25"/>
  <c r="B746" i="25"/>
  <c r="B608" i="25"/>
  <c r="B440" i="25"/>
  <c r="M433" i="25"/>
  <c r="B278" i="25"/>
  <c r="M278" i="25" s="1"/>
  <c r="Q745" i="25" l="1"/>
  <c r="R745" i="25"/>
  <c r="S745" i="25"/>
  <c r="Q278" i="25"/>
  <c r="R278" i="25"/>
  <c r="S278" i="25"/>
  <c r="R433" i="25"/>
  <c r="S433" i="25"/>
  <c r="Q433" i="25"/>
  <c r="S602" i="25"/>
  <c r="Q602" i="25"/>
  <c r="R602" i="25"/>
  <c r="AI277" i="25"/>
  <c r="AO277" i="25" s="1"/>
  <c r="AR277" i="25" s="1"/>
  <c r="AH277" i="25"/>
  <c r="P278" i="25"/>
  <c r="Y278" i="25"/>
  <c r="AC278" i="25" s="1"/>
  <c r="N278" i="25"/>
  <c r="T278" i="25"/>
  <c r="X278" i="25" s="1"/>
  <c r="AA278" i="25" s="1"/>
  <c r="V278" i="25"/>
  <c r="O278" i="25"/>
  <c r="U278" i="25"/>
  <c r="AB278" i="25"/>
  <c r="AD278" i="25" s="1"/>
  <c r="AE278" i="25" s="1"/>
  <c r="AL277" i="25"/>
  <c r="AM277" i="25"/>
  <c r="AJ277" i="25"/>
  <c r="AK277" i="25"/>
  <c r="AN277" i="25" s="1"/>
  <c r="AQ277" i="25" s="1"/>
  <c r="X432" i="25"/>
  <c r="AA432" i="25" s="1"/>
  <c r="AN599" i="25"/>
  <c r="AQ599" i="25" s="1"/>
  <c r="AO600" i="25"/>
  <c r="AR600" i="25" s="1"/>
  <c r="N904" i="25"/>
  <c r="Q904" i="25"/>
  <c r="Z904" i="25" s="1"/>
  <c r="X744" i="25"/>
  <c r="AA744" i="25" s="1"/>
  <c r="AP600" i="25"/>
  <c r="AS600" i="25" s="1"/>
  <c r="X601" i="25"/>
  <c r="AA601" i="25" s="1"/>
  <c r="AB601" i="25" s="1"/>
  <c r="AD601" i="25" s="1"/>
  <c r="AE601" i="25" s="1"/>
  <c r="AN431" i="25"/>
  <c r="AQ431" i="25" s="1"/>
  <c r="AN743" i="25"/>
  <c r="AQ743" i="25" s="1"/>
  <c r="N903" i="25"/>
  <c r="Q903" i="25"/>
  <c r="Z903" i="25" s="1"/>
  <c r="AO743" i="25"/>
  <c r="AR743" i="25" s="1"/>
  <c r="AM432" i="25"/>
  <c r="AL432" i="25"/>
  <c r="O602" i="25"/>
  <c r="Y602" i="25"/>
  <c r="AC602" i="25" s="1"/>
  <c r="P602" i="25"/>
  <c r="U602" i="25"/>
  <c r="V602" i="25"/>
  <c r="N602" i="25"/>
  <c r="T602" i="25"/>
  <c r="AK432" i="25"/>
  <c r="AN432" i="25" s="1"/>
  <c r="AQ432" i="25" s="1"/>
  <c r="AJ432" i="25"/>
  <c r="W432" i="25"/>
  <c r="Z432" i="25" s="1"/>
  <c r="AB432" i="25" s="1"/>
  <c r="AD432" i="25" s="1"/>
  <c r="AE432" i="25" s="1"/>
  <c r="AI432" i="25"/>
  <c r="AO432" i="25" s="1"/>
  <c r="AR432" i="25" s="1"/>
  <c r="AH432" i="25"/>
  <c r="AL744" i="25"/>
  <c r="AM744" i="25"/>
  <c r="U745" i="25"/>
  <c r="N745" i="25"/>
  <c r="V745" i="25"/>
  <c r="O745" i="25"/>
  <c r="Y745" i="25"/>
  <c r="AC745" i="25" s="1"/>
  <c r="P745" i="25"/>
  <c r="T745" i="25"/>
  <c r="X745" i="25" s="1"/>
  <c r="AA745" i="25" s="1"/>
  <c r="AJ744" i="25"/>
  <c r="AK744" i="25"/>
  <c r="AN744" i="25" s="1"/>
  <c r="AQ744" i="25" s="1"/>
  <c r="AL601" i="25"/>
  <c r="AM601" i="25"/>
  <c r="W744" i="25"/>
  <c r="Z744" i="25" s="1"/>
  <c r="AB744" i="25" s="1"/>
  <c r="AD744" i="25" s="1"/>
  <c r="AE744" i="25" s="1"/>
  <c r="AH744" i="25"/>
  <c r="AI744" i="25"/>
  <c r="AO744" i="25" s="1"/>
  <c r="AR744" i="25" s="1"/>
  <c r="AK601" i="25"/>
  <c r="AJ601" i="25"/>
  <c r="M603" i="25"/>
  <c r="J905" i="25"/>
  <c r="T433" i="25"/>
  <c r="X433" i="25" s="1"/>
  <c r="AA433" i="25" s="1"/>
  <c r="U433" i="25"/>
  <c r="N433" i="25"/>
  <c r="V433" i="25"/>
  <c r="O433" i="25"/>
  <c r="Y433" i="25"/>
  <c r="P433" i="25"/>
  <c r="H905" i="25"/>
  <c r="Q905" i="25" s="1"/>
  <c r="AC433" i="25"/>
  <c r="I905" i="25"/>
  <c r="R905" i="25" s="1"/>
  <c r="AH601" i="25"/>
  <c r="AP601" i="25" s="1"/>
  <c r="AS601" i="25" s="1"/>
  <c r="AI601" i="25"/>
  <c r="AO601" i="25" s="1"/>
  <c r="AR601" i="25" s="1"/>
  <c r="T901" i="25"/>
  <c r="O901" i="25"/>
  <c r="C122" i="25"/>
  <c r="Y121" i="25"/>
  <c r="AC121" i="25" s="1"/>
  <c r="AD121" i="25" s="1"/>
  <c r="AE121" i="25" s="1"/>
  <c r="D121" i="25"/>
  <c r="P120" i="25"/>
  <c r="AN118" i="25"/>
  <c r="AQ118" i="25" s="1"/>
  <c r="K902" i="25" s="1"/>
  <c r="AI119" i="25"/>
  <c r="AO119" i="25" s="1"/>
  <c r="AR119" i="25" s="1"/>
  <c r="L903" i="25" s="1"/>
  <c r="U903" i="25" s="1"/>
  <c r="AK119" i="25"/>
  <c r="AL120" i="25"/>
  <c r="AJ120" i="25"/>
  <c r="AM119" i="25"/>
  <c r="AH119" i="25"/>
  <c r="AP119" i="25" s="1"/>
  <c r="AS119" i="25" s="1"/>
  <c r="M903" i="25" s="1"/>
  <c r="V903" i="25" s="1"/>
  <c r="AA900" i="25"/>
  <c r="AB900" i="25" s="1"/>
  <c r="AC900" i="25" s="1"/>
  <c r="AD900" i="25" s="1"/>
  <c r="W900" i="25"/>
  <c r="X900" i="25" s="1"/>
  <c r="F121" i="25"/>
  <c r="O120" i="25"/>
  <c r="E122" i="25"/>
  <c r="N121" i="25"/>
  <c r="B747" i="25"/>
  <c r="M746" i="25"/>
  <c r="B609" i="25"/>
  <c r="B441" i="25"/>
  <c r="M434" i="25"/>
  <c r="B279" i="25"/>
  <c r="M279" i="25" s="1"/>
  <c r="Q279" i="25" l="1"/>
  <c r="S279" i="25"/>
  <c r="R279" i="25"/>
  <c r="Q603" i="25"/>
  <c r="R603" i="25"/>
  <c r="S603" i="25"/>
  <c r="Q434" i="25"/>
  <c r="R434" i="25"/>
  <c r="S434" i="25"/>
  <c r="R746" i="25"/>
  <c r="Q746" i="25"/>
  <c r="S746" i="25"/>
  <c r="AL278" i="25"/>
  <c r="W278" i="25"/>
  <c r="Z278" i="25" s="1"/>
  <c r="AK278" i="25"/>
  <c r="AN278" i="25" s="1"/>
  <c r="AQ278" i="25" s="1"/>
  <c r="AJ278" i="25"/>
  <c r="AH278" i="25"/>
  <c r="AP278" i="25" s="1"/>
  <c r="AS278" i="25" s="1"/>
  <c r="AI278" i="25"/>
  <c r="AO278" i="25" s="1"/>
  <c r="AR278" i="25" s="1"/>
  <c r="V279" i="25"/>
  <c r="T279" i="25"/>
  <c r="N279" i="25"/>
  <c r="P279" i="25"/>
  <c r="U279" i="25"/>
  <c r="O279" i="25"/>
  <c r="AH279" i="25" s="1"/>
  <c r="AP279" i="25"/>
  <c r="AS279" i="25" s="1"/>
  <c r="Y279" i="25"/>
  <c r="AC279" i="25" s="1"/>
  <c r="X279" i="25"/>
  <c r="AA279" i="25" s="1"/>
  <c r="AB279" i="25"/>
  <c r="AD279" i="25" s="1"/>
  <c r="AE279" i="25" s="1"/>
  <c r="AM278" i="25"/>
  <c r="N905" i="25"/>
  <c r="S905" i="25"/>
  <c r="Z905" i="25"/>
  <c r="AN601" i="25"/>
  <c r="AQ601" i="25" s="1"/>
  <c r="AP432" i="25"/>
  <c r="AS432" i="25" s="1"/>
  <c r="AP744" i="25"/>
  <c r="AS744" i="25" s="1"/>
  <c r="X602" i="25"/>
  <c r="AA602" i="25" s="1"/>
  <c r="AM433" i="25"/>
  <c r="AL433" i="25"/>
  <c r="AL745" i="25"/>
  <c r="AM745" i="25"/>
  <c r="W602" i="25"/>
  <c r="Z602" i="25" s="1"/>
  <c r="AJ602" i="25"/>
  <c r="AK602" i="25"/>
  <c r="T603" i="25"/>
  <c r="U603" i="25"/>
  <c r="N603" i="25"/>
  <c r="V603" i="25"/>
  <c r="O603" i="25"/>
  <c r="Y603" i="25"/>
  <c r="P603" i="25"/>
  <c r="AC603" i="25"/>
  <c r="AJ745" i="25"/>
  <c r="AK745" i="25"/>
  <c r="AN745" i="25" s="1"/>
  <c r="AQ745" i="25" s="1"/>
  <c r="AH602" i="25"/>
  <c r="AP602" i="25" s="1"/>
  <c r="AS602" i="25" s="1"/>
  <c r="AI602" i="25"/>
  <c r="W745" i="25"/>
  <c r="Z745" i="25" s="1"/>
  <c r="AB745" i="25" s="1"/>
  <c r="AD745" i="25" s="1"/>
  <c r="AE745" i="25" s="1"/>
  <c r="AI745" i="25"/>
  <c r="AO745" i="25" s="1"/>
  <c r="AR745" i="25" s="1"/>
  <c r="AH745" i="25"/>
  <c r="W433" i="25"/>
  <c r="Z433" i="25" s="1"/>
  <c r="AB433" i="25" s="1"/>
  <c r="AD433" i="25" s="1"/>
  <c r="AE433" i="25" s="1"/>
  <c r="AK433" i="25"/>
  <c r="AN433" i="25" s="1"/>
  <c r="AQ433" i="25" s="1"/>
  <c r="AJ433" i="25"/>
  <c r="T746" i="25"/>
  <c r="U746" i="25"/>
  <c r="N746" i="25"/>
  <c r="V746" i="25"/>
  <c r="O746" i="25"/>
  <c r="W746" i="25"/>
  <c r="Z746" i="25" s="1"/>
  <c r="AB746" i="25" s="1"/>
  <c r="P746" i="25"/>
  <c r="X746" i="25"/>
  <c r="AA746" i="25" s="1"/>
  <c r="Y746" i="25"/>
  <c r="AC746" i="25" s="1"/>
  <c r="M604" i="25"/>
  <c r="O434" i="25"/>
  <c r="P434" i="25"/>
  <c r="Y434" i="25"/>
  <c r="AC434" i="25" s="1"/>
  <c r="H906" i="25"/>
  <c r="I906" i="25"/>
  <c r="R906" i="25" s="1"/>
  <c r="J906" i="25"/>
  <c r="S906" i="25" s="1"/>
  <c r="T434" i="25"/>
  <c r="X434" i="25" s="1"/>
  <c r="AA434" i="25" s="1"/>
  <c r="U434" i="25"/>
  <c r="N434" i="25"/>
  <c r="V434" i="25"/>
  <c r="AH433" i="25"/>
  <c r="AP433" i="25" s="1"/>
  <c r="AS433" i="25" s="1"/>
  <c r="AI433" i="25"/>
  <c r="AO433" i="25" s="1"/>
  <c r="AR433" i="25" s="1"/>
  <c r="AL602" i="25"/>
  <c r="AM602" i="25"/>
  <c r="F122" i="25"/>
  <c r="O121" i="25"/>
  <c r="T902" i="25"/>
  <c r="O902" i="25"/>
  <c r="AI120" i="25"/>
  <c r="AO120" i="25" s="1"/>
  <c r="AR120" i="25" s="1"/>
  <c r="L904" i="25" s="1"/>
  <c r="U904" i="25" s="1"/>
  <c r="AK120" i="25"/>
  <c r="D122" i="25"/>
  <c r="P121" i="25"/>
  <c r="C123" i="25"/>
  <c r="Y122" i="25"/>
  <c r="AC122" i="25" s="1"/>
  <c r="AD122" i="25" s="1"/>
  <c r="AE122" i="25" s="1"/>
  <c r="AJ121" i="25"/>
  <c r="AL121" i="25"/>
  <c r="E123" i="25"/>
  <c r="N122" i="25"/>
  <c r="AH120" i="25"/>
  <c r="AP120" i="25" s="1"/>
  <c r="AS120" i="25" s="1"/>
  <c r="M904" i="25" s="1"/>
  <c r="V904" i="25" s="1"/>
  <c r="AM120" i="25"/>
  <c r="AN119" i="25"/>
  <c r="AQ119" i="25" s="1"/>
  <c r="K903" i="25" s="1"/>
  <c r="AA901" i="25"/>
  <c r="AB901" i="25" s="1"/>
  <c r="AC901" i="25" s="1"/>
  <c r="AD901" i="25" s="1"/>
  <c r="W901" i="25"/>
  <c r="X901" i="25" s="1"/>
  <c r="M747" i="25"/>
  <c r="B748" i="25"/>
  <c r="B610" i="25"/>
  <c r="B442" i="25"/>
  <c r="B280" i="25"/>
  <c r="M280" i="25" s="1"/>
  <c r="M435" i="25"/>
  <c r="S604" i="25" l="1"/>
  <c r="Q604" i="25"/>
  <c r="R604" i="25"/>
  <c r="Q435" i="25"/>
  <c r="S435" i="25"/>
  <c r="R435" i="25"/>
  <c r="R280" i="25"/>
  <c r="S280" i="25"/>
  <c r="Q280" i="25"/>
  <c r="Q747" i="25"/>
  <c r="S747" i="25"/>
  <c r="R747" i="25"/>
  <c r="AI279" i="25"/>
  <c r="AK279" i="25"/>
  <c r="AN279" i="25" s="1"/>
  <c r="AQ279" i="25" s="1"/>
  <c r="W279" i="25"/>
  <c r="Z279" i="25" s="1"/>
  <c r="AM279" i="25"/>
  <c r="AL279" i="25"/>
  <c r="AO279" i="25" s="1"/>
  <c r="AR279" i="25" s="1"/>
  <c r="AJ279" i="25"/>
  <c r="U280" i="25"/>
  <c r="O280" i="25"/>
  <c r="P280" i="25"/>
  <c r="T280" i="25"/>
  <c r="N280" i="25"/>
  <c r="Y280" i="25"/>
  <c r="AC280" i="25" s="1"/>
  <c r="V280" i="25"/>
  <c r="X280" i="25" s="1"/>
  <c r="AA280" i="25" s="1"/>
  <c r="W280" i="25"/>
  <c r="Z280" i="25" s="1"/>
  <c r="AB280" i="25" s="1"/>
  <c r="AD280" i="25" s="1"/>
  <c r="AE280" i="25" s="1"/>
  <c r="AD746" i="25"/>
  <c r="AE746" i="25" s="1"/>
  <c r="X603" i="25"/>
  <c r="AA603" i="25" s="1"/>
  <c r="Q906" i="25"/>
  <c r="Z906" i="25" s="1"/>
  <c r="N906" i="25"/>
  <c r="AN602" i="25"/>
  <c r="AQ602" i="25" s="1"/>
  <c r="AP745" i="25"/>
  <c r="AS745" i="25" s="1"/>
  <c r="AB602" i="25"/>
  <c r="AD602" i="25" s="1"/>
  <c r="AE602" i="25" s="1"/>
  <c r="AO602" i="25"/>
  <c r="AR602" i="25" s="1"/>
  <c r="AJ434" i="25"/>
  <c r="AK434" i="25"/>
  <c r="W603" i="25"/>
  <c r="Z603" i="25" s="1"/>
  <c r="AB603" i="25" s="1"/>
  <c r="AD603" i="25" s="1"/>
  <c r="AE603" i="25" s="1"/>
  <c r="AH603" i="25"/>
  <c r="AI603" i="25"/>
  <c r="M605" i="25"/>
  <c r="T435" i="25"/>
  <c r="U435" i="25"/>
  <c r="N435" i="25"/>
  <c r="V435" i="25"/>
  <c r="O435" i="25"/>
  <c r="P435" i="25"/>
  <c r="Y435" i="25"/>
  <c r="AC435" i="25" s="1"/>
  <c r="H907" i="25"/>
  <c r="AJ746" i="25"/>
  <c r="AK746" i="25"/>
  <c r="W434" i="25"/>
  <c r="Z434" i="25" s="1"/>
  <c r="AB434" i="25" s="1"/>
  <c r="AD434" i="25" s="1"/>
  <c r="AE434" i="25" s="1"/>
  <c r="AI434" i="25"/>
  <c r="AH434" i="25"/>
  <c r="AP434" i="25" s="1"/>
  <c r="AS434" i="25" s="1"/>
  <c r="AH746" i="25"/>
  <c r="AI746" i="25"/>
  <c r="N747" i="25"/>
  <c r="V747" i="25"/>
  <c r="O747" i="25"/>
  <c r="Y747" i="25"/>
  <c r="AC747" i="25" s="1"/>
  <c r="P747" i="25"/>
  <c r="T747" i="25"/>
  <c r="U747" i="25"/>
  <c r="X747" i="25" s="1"/>
  <c r="AA747" i="25" s="1"/>
  <c r="AC604" i="25"/>
  <c r="W604" i="25"/>
  <c r="Z604" i="25" s="1"/>
  <c r="AB604" i="25" s="1"/>
  <c r="AD604" i="25" s="1"/>
  <c r="AE604" i="25" s="1"/>
  <c r="T604" i="25"/>
  <c r="X604" i="25" s="1"/>
  <c r="AA604" i="25" s="1"/>
  <c r="U604" i="25"/>
  <c r="V604" i="25"/>
  <c r="Y604" i="25"/>
  <c r="O604" i="25"/>
  <c r="N604" i="25"/>
  <c r="P604" i="25"/>
  <c r="AL603" i="25"/>
  <c r="AM603" i="25"/>
  <c r="AM434" i="25"/>
  <c r="AL434" i="25"/>
  <c r="AL746" i="25"/>
  <c r="AM746" i="25"/>
  <c r="AJ603" i="25"/>
  <c r="AK603" i="25"/>
  <c r="AN603" i="25" s="1"/>
  <c r="AQ603" i="25" s="1"/>
  <c r="D123" i="25"/>
  <c r="P122" i="25"/>
  <c r="AN120" i="25"/>
  <c r="AQ120" i="25" s="1"/>
  <c r="K904" i="25" s="1"/>
  <c r="AI121" i="25"/>
  <c r="AO121" i="25" s="1"/>
  <c r="AR121" i="25" s="1"/>
  <c r="L905" i="25" s="1"/>
  <c r="U905" i="25" s="1"/>
  <c r="AK121" i="25"/>
  <c r="E124" i="25"/>
  <c r="N123" i="25"/>
  <c r="AJ122" i="25"/>
  <c r="AL122" i="25"/>
  <c r="AA902" i="25"/>
  <c r="AB902" i="25" s="1"/>
  <c r="AC902" i="25" s="1"/>
  <c r="AD902" i="25" s="1"/>
  <c r="W902" i="25"/>
  <c r="X902" i="25" s="1"/>
  <c r="AH121" i="25"/>
  <c r="AP121" i="25" s="1"/>
  <c r="AS121" i="25" s="1"/>
  <c r="M905" i="25" s="1"/>
  <c r="V905" i="25" s="1"/>
  <c r="AM121" i="25"/>
  <c r="T903" i="25"/>
  <c r="O903" i="25"/>
  <c r="C124" i="25"/>
  <c r="Y123" i="25"/>
  <c r="AC123" i="25" s="1"/>
  <c r="AD123" i="25" s="1"/>
  <c r="AE123" i="25" s="1"/>
  <c r="F123" i="25"/>
  <c r="O122" i="25"/>
  <c r="B749" i="25"/>
  <c r="M748" i="25"/>
  <c r="B611" i="25"/>
  <c r="B443" i="25"/>
  <c r="M436" i="25"/>
  <c r="B281" i="25"/>
  <c r="M281" i="25" s="1"/>
  <c r="Q281" i="25" l="1"/>
  <c r="R281" i="25"/>
  <c r="S281" i="25"/>
  <c r="Q436" i="25"/>
  <c r="S436" i="25"/>
  <c r="R436" i="25"/>
  <c r="R748" i="25"/>
  <c r="S748" i="25"/>
  <c r="Q748" i="25"/>
  <c r="S605" i="25"/>
  <c r="Q605" i="25"/>
  <c r="R605" i="25"/>
  <c r="AL280" i="25"/>
  <c r="AM280" i="25"/>
  <c r="AI280" i="25"/>
  <c r="AO280" i="25" s="1"/>
  <c r="AR280" i="25" s="1"/>
  <c r="AH280" i="25"/>
  <c r="AP280" i="25" s="1"/>
  <c r="AS280" i="25" s="1"/>
  <c r="AJ280" i="25"/>
  <c r="AK280" i="25"/>
  <c r="AN280" i="25" s="1"/>
  <c r="AQ280" i="25" s="1"/>
  <c r="N281" i="25"/>
  <c r="P281" i="25"/>
  <c r="V281" i="25"/>
  <c r="Y281" i="25"/>
  <c r="AC281" i="25" s="1"/>
  <c r="T281" i="25"/>
  <c r="U281" i="25"/>
  <c r="O281" i="25"/>
  <c r="X281" i="25"/>
  <c r="AA281" i="25" s="1"/>
  <c r="W281" i="25"/>
  <c r="Z281" i="25" s="1"/>
  <c r="AB281" i="25"/>
  <c r="AD281" i="25" s="1"/>
  <c r="AE281" i="25" s="1"/>
  <c r="I907" i="25"/>
  <c r="R907" i="25" s="1"/>
  <c r="AN746" i="25"/>
  <c r="AQ746" i="25" s="1"/>
  <c r="Q907" i="25"/>
  <c r="AO603" i="25"/>
  <c r="AR603" i="25" s="1"/>
  <c r="AO746" i="25"/>
  <c r="AR746" i="25" s="1"/>
  <c r="W435" i="25"/>
  <c r="Z435" i="25" s="1"/>
  <c r="AB435" i="25" s="1"/>
  <c r="AD435" i="25" s="1"/>
  <c r="AE435" i="25" s="1"/>
  <c r="AP603" i="25"/>
  <c r="AS603" i="25" s="1"/>
  <c r="AP746" i="25"/>
  <c r="AS746" i="25" s="1"/>
  <c r="X435" i="25"/>
  <c r="AA435" i="25" s="1"/>
  <c r="AN434" i="25"/>
  <c r="AQ434" i="25" s="1"/>
  <c r="AO434" i="25"/>
  <c r="AR434" i="25" s="1"/>
  <c r="J907" i="25"/>
  <c r="S907" i="25" s="1"/>
  <c r="AK435" i="25"/>
  <c r="AJ435" i="25"/>
  <c r="AL604" i="25"/>
  <c r="AM604" i="25"/>
  <c r="AI435" i="25"/>
  <c r="AH435" i="25"/>
  <c r="AJ604" i="25"/>
  <c r="AK604" i="25"/>
  <c r="AN604" i="25" s="1"/>
  <c r="AQ604" i="25" s="1"/>
  <c r="U605" i="25"/>
  <c r="N605" i="25"/>
  <c r="V605" i="25"/>
  <c r="O605" i="25"/>
  <c r="Y605" i="25"/>
  <c r="P605" i="25"/>
  <c r="AC605" i="25"/>
  <c r="T605" i="25"/>
  <c r="X605" i="25" s="1"/>
  <c r="AA605" i="25" s="1"/>
  <c r="T748" i="25"/>
  <c r="U748" i="25"/>
  <c r="N748" i="25"/>
  <c r="V748" i="25"/>
  <c r="O748" i="25"/>
  <c r="Y748" i="25"/>
  <c r="AC748" i="25" s="1"/>
  <c r="P748" i="25"/>
  <c r="W748" i="25"/>
  <c r="Z748" i="25" s="1"/>
  <c r="AL747" i="25"/>
  <c r="AM747" i="25"/>
  <c r="AI604" i="25"/>
  <c r="AO604" i="25" s="1"/>
  <c r="AR604" i="25" s="1"/>
  <c r="AH604" i="25"/>
  <c r="AP604" i="25" s="1"/>
  <c r="AS604" i="25" s="1"/>
  <c r="AJ747" i="25"/>
  <c r="AK747" i="25"/>
  <c r="W747" i="25"/>
  <c r="Z747" i="25" s="1"/>
  <c r="AB747" i="25" s="1"/>
  <c r="AD747" i="25" s="1"/>
  <c r="AE747" i="25" s="1"/>
  <c r="AI747" i="25"/>
  <c r="AH747" i="25"/>
  <c r="M606" i="25"/>
  <c r="H908" i="25"/>
  <c r="Q908" i="25" s="1"/>
  <c r="I908" i="25"/>
  <c r="R908" i="25" s="1"/>
  <c r="J908" i="25"/>
  <c r="T436" i="25"/>
  <c r="U436" i="25"/>
  <c r="N436" i="25"/>
  <c r="V436" i="25"/>
  <c r="O436" i="25"/>
  <c r="Y436" i="25"/>
  <c r="AC436" i="25" s="1"/>
  <c r="P436" i="25"/>
  <c r="AL435" i="25"/>
  <c r="AM435" i="25"/>
  <c r="AL123" i="25"/>
  <c r="AJ123" i="25"/>
  <c r="E125" i="25"/>
  <c r="N124" i="25"/>
  <c r="AN121" i="25"/>
  <c r="AQ121" i="25" s="1"/>
  <c r="K905" i="25" s="1"/>
  <c r="T904" i="25"/>
  <c r="O904" i="25"/>
  <c r="W903" i="25"/>
  <c r="X903" i="25" s="1"/>
  <c r="AA903" i="25"/>
  <c r="AB903" i="25" s="1"/>
  <c r="AC903" i="25" s="1"/>
  <c r="AD903" i="25" s="1"/>
  <c r="AM122" i="25"/>
  <c r="AH122" i="25"/>
  <c r="AP122" i="25" s="1"/>
  <c r="AS122" i="25" s="1"/>
  <c r="M906" i="25" s="1"/>
  <c r="V906" i="25" s="1"/>
  <c r="F124" i="25"/>
  <c r="O123" i="25"/>
  <c r="AK122" i="25"/>
  <c r="AI122" i="25"/>
  <c r="AO122" i="25" s="1"/>
  <c r="AR122" i="25" s="1"/>
  <c r="L906" i="25" s="1"/>
  <c r="U906" i="25" s="1"/>
  <c r="C125" i="25"/>
  <c r="Y124" i="25"/>
  <c r="AC124" i="25" s="1"/>
  <c r="AD124" i="25" s="1"/>
  <c r="AE124" i="25" s="1"/>
  <c r="D124" i="25"/>
  <c r="P123" i="25"/>
  <c r="M749" i="25"/>
  <c r="B750" i="25"/>
  <c r="B612" i="25"/>
  <c r="B444" i="25"/>
  <c r="M437" i="25"/>
  <c r="B282" i="25"/>
  <c r="M282" i="25" s="1"/>
  <c r="R282" i="25" l="1"/>
  <c r="S282" i="25"/>
  <c r="Q282" i="25"/>
  <c r="Q437" i="25"/>
  <c r="S437" i="25"/>
  <c r="R437" i="25"/>
  <c r="Q749" i="25"/>
  <c r="S749" i="25"/>
  <c r="R749" i="25"/>
  <c r="Q606" i="25"/>
  <c r="R606" i="25"/>
  <c r="S606" i="25"/>
  <c r="AJ281" i="25"/>
  <c r="AK281" i="25"/>
  <c r="AN281" i="25" s="1"/>
  <c r="AQ281" i="25" s="1"/>
  <c r="AI281" i="25"/>
  <c r="AO281" i="25" s="1"/>
  <c r="AR281" i="25" s="1"/>
  <c r="AH281" i="25"/>
  <c r="AP281" i="25" s="1"/>
  <c r="AS281" i="25" s="1"/>
  <c r="T282" i="25"/>
  <c r="V282" i="25"/>
  <c r="O282" i="25"/>
  <c r="P282" i="25"/>
  <c r="Y282" i="25"/>
  <c r="AC282" i="25" s="1"/>
  <c r="N282" i="25"/>
  <c r="U282" i="25"/>
  <c r="W282" i="25"/>
  <c r="Z282" i="25" s="1"/>
  <c r="X282" i="25"/>
  <c r="AA282" i="25" s="1"/>
  <c r="AB282" i="25"/>
  <c r="AD282" i="25" s="1"/>
  <c r="AE282" i="25" s="1"/>
  <c r="AL281" i="25"/>
  <c r="AM281" i="25"/>
  <c r="X748" i="25"/>
  <c r="AA748" i="25" s="1"/>
  <c r="AB748" i="25" s="1"/>
  <c r="AD748" i="25" s="1"/>
  <c r="AE748" i="25" s="1"/>
  <c r="AN435" i="25"/>
  <c r="AQ435" i="25" s="1"/>
  <c r="N907" i="25"/>
  <c r="AP747" i="25"/>
  <c r="AS747" i="25" s="1"/>
  <c r="AO747" i="25"/>
  <c r="AR747" i="25" s="1"/>
  <c r="AP435" i="25"/>
  <c r="AS435" i="25" s="1"/>
  <c r="Z907" i="25"/>
  <c r="X436" i="25"/>
  <c r="AA436" i="25" s="1"/>
  <c r="AO435" i="25"/>
  <c r="AR435" i="25" s="1"/>
  <c r="N908" i="25"/>
  <c r="S908" i="25"/>
  <c r="Z908" i="25" s="1"/>
  <c r="AN747" i="25"/>
  <c r="AQ747" i="25" s="1"/>
  <c r="M607" i="25"/>
  <c r="U437" i="25"/>
  <c r="N437" i="25"/>
  <c r="V437" i="25"/>
  <c r="O437" i="25"/>
  <c r="Y437" i="25"/>
  <c r="P437" i="25"/>
  <c r="AC437" i="25"/>
  <c r="T437" i="25"/>
  <c r="X437" i="25" s="1"/>
  <c r="AA437" i="25" s="1"/>
  <c r="T606" i="25"/>
  <c r="U606" i="25"/>
  <c r="N606" i="25"/>
  <c r="V606" i="25"/>
  <c r="X606" i="25" s="1"/>
  <c r="AA606" i="25" s="1"/>
  <c r="Y606" i="25"/>
  <c r="AC606" i="25" s="1"/>
  <c r="O606" i="25"/>
  <c r="P606" i="25"/>
  <c r="AL748" i="25"/>
  <c r="AM748" i="25"/>
  <c r="W605" i="25"/>
  <c r="Z605" i="25" s="1"/>
  <c r="AB605" i="25" s="1"/>
  <c r="AD605" i="25" s="1"/>
  <c r="AE605" i="25" s="1"/>
  <c r="AH605" i="25"/>
  <c r="AI605" i="25"/>
  <c r="AM436" i="25"/>
  <c r="AL436" i="25"/>
  <c r="AK436" i="25"/>
  <c r="AJ436" i="25"/>
  <c r="AK748" i="25"/>
  <c r="AN748" i="25" s="1"/>
  <c r="AQ748" i="25" s="1"/>
  <c r="AJ748" i="25"/>
  <c r="AL605" i="25"/>
  <c r="AM605" i="25"/>
  <c r="P749" i="25"/>
  <c r="T749" i="25"/>
  <c r="X749" i="25" s="1"/>
  <c r="AA749" i="25" s="1"/>
  <c r="U749" i="25"/>
  <c r="V749" i="25"/>
  <c r="Y749" i="25"/>
  <c r="AC749" i="25" s="1"/>
  <c r="N749" i="25"/>
  <c r="O749" i="25"/>
  <c r="W436" i="25"/>
  <c r="Z436" i="25" s="1"/>
  <c r="AB436" i="25" s="1"/>
  <c r="AD436" i="25" s="1"/>
  <c r="AE436" i="25" s="1"/>
  <c r="AI436" i="25"/>
  <c r="AH436" i="25"/>
  <c r="AP436" i="25" s="1"/>
  <c r="AS436" i="25" s="1"/>
  <c r="AH748" i="25"/>
  <c r="AI748" i="25"/>
  <c r="AO748" i="25" s="1"/>
  <c r="AR748" i="25" s="1"/>
  <c r="AJ605" i="25"/>
  <c r="AK605" i="25"/>
  <c r="AN605" i="25" s="1"/>
  <c r="AQ605" i="25" s="1"/>
  <c r="AN122" i="25"/>
  <c r="AQ122" i="25" s="1"/>
  <c r="K906" i="25" s="1"/>
  <c r="AA904" i="25"/>
  <c r="AB904" i="25" s="1"/>
  <c r="AC904" i="25" s="1"/>
  <c r="AD904" i="25" s="1"/>
  <c r="W904" i="25"/>
  <c r="X904" i="25" s="1"/>
  <c r="C126" i="25"/>
  <c r="Y125" i="25"/>
  <c r="AC125" i="25" s="1"/>
  <c r="AD125" i="25" s="1"/>
  <c r="AE125" i="25" s="1"/>
  <c r="AM123" i="25"/>
  <c r="AH123" i="25"/>
  <c r="AP123" i="25" s="1"/>
  <c r="AS123" i="25" s="1"/>
  <c r="M907" i="25" s="1"/>
  <c r="V907" i="25" s="1"/>
  <c r="T905" i="25"/>
  <c r="O905" i="25"/>
  <c r="F125" i="25"/>
  <c r="O124" i="25"/>
  <c r="AL124" i="25"/>
  <c r="AJ124" i="25"/>
  <c r="E126" i="25"/>
  <c r="N125" i="25"/>
  <c r="AI123" i="25"/>
  <c r="AO123" i="25" s="1"/>
  <c r="AR123" i="25" s="1"/>
  <c r="L907" i="25" s="1"/>
  <c r="U907" i="25" s="1"/>
  <c r="AK123" i="25"/>
  <c r="D125" i="25"/>
  <c r="P124" i="25"/>
  <c r="M750" i="25"/>
  <c r="B751" i="25"/>
  <c r="B613" i="25"/>
  <c r="B445" i="25"/>
  <c r="B283" i="25"/>
  <c r="M283" i="25" s="1"/>
  <c r="M438" i="25"/>
  <c r="R750" i="25" l="1"/>
  <c r="Q750" i="25"/>
  <c r="S750" i="25"/>
  <c r="S438" i="25"/>
  <c r="Q438" i="25"/>
  <c r="R438" i="25"/>
  <c r="Q283" i="25"/>
  <c r="R283" i="25"/>
  <c r="S283" i="25"/>
  <c r="R607" i="25"/>
  <c r="S607" i="25"/>
  <c r="Q607" i="25"/>
  <c r="AH282" i="25"/>
  <c r="AP282" i="25" s="1"/>
  <c r="AS282" i="25" s="1"/>
  <c r="AI282" i="25"/>
  <c r="AO282" i="25" s="1"/>
  <c r="AR282" i="25" s="1"/>
  <c r="AJ282" i="25"/>
  <c r="AK282" i="25"/>
  <c r="AN282" i="25" s="1"/>
  <c r="AQ282" i="25" s="1"/>
  <c r="U283" i="25"/>
  <c r="V283" i="25"/>
  <c r="AC283" i="25"/>
  <c r="O283" i="25"/>
  <c r="Y283" i="25"/>
  <c r="P283" i="25"/>
  <c r="W283" i="25"/>
  <c r="Z283" i="25" s="1"/>
  <c r="AB283" i="25" s="1"/>
  <c r="AD283" i="25" s="1"/>
  <c r="AE283" i="25" s="1"/>
  <c r="N283" i="25"/>
  <c r="AL283" i="25" s="1"/>
  <c r="T283" i="25"/>
  <c r="X283" i="25" s="1"/>
  <c r="AA283" i="25" s="1"/>
  <c r="AL282" i="25"/>
  <c r="AM282" i="25"/>
  <c r="AO605" i="25"/>
  <c r="AR605" i="25" s="1"/>
  <c r="H909" i="25"/>
  <c r="AP605" i="25"/>
  <c r="AS605" i="25" s="1"/>
  <c r="AN436" i="25"/>
  <c r="AQ436" i="25" s="1"/>
  <c r="J909" i="25"/>
  <c r="S909" i="25" s="1"/>
  <c r="AP748" i="25"/>
  <c r="AS748" i="25" s="1"/>
  <c r="AO436" i="25"/>
  <c r="AR436" i="25" s="1"/>
  <c r="I909" i="25"/>
  <c r="R909" i="25" s="1"/>
  <c r="M608" i="25"/>
  <c r="T438" i="25"/>
  <c r="X438" i="25" s="1"/>
  <c r="AA438" i="25" s="1"/>
  <c r="U438" i="25"/>
  <c r="N438" i="25"/>
  <c r="V438" i="25"/>
  <c r="O438" i="25"/>
  <c r="Y438" i="25"/>
  <c r="AC438" i="25" s="1"/>
  <c r="P438" i="25"/>
  <c r="W749" i="25"/>
  <c r="Z749" i="25" s="1"/>
  <c r="AB749" i="25" s="1"/>
  <c r="AD749" i="25" s="1"/>
  <c r="AE749" i="25" s="1"/>
  <c r="AH749" i="25"/>
  <c r="AI749" i="25"/>
  <c r="AO749" i="25" s="1"/>
  <c r="AR749" i="25" s="1"/>
  <c r="AM606" i="25"/>
  <c r="AL606" i="25"/>
  <c r="W606" i="25"/>
  <c r="Z606" i="25" s="1"/>
  <c r="AB606" i="25" s="1"/>
  <c r="AD606" i="25" s="1"/>
  <c r="AE606" i="25" s="1"/>
  <c r="AH606" i="25"/>
  <c r="AI606" i="25"/>
  <c r="AL749" i="25"/>
  <c r="AM749" i="25"/>
  <c r="AJ749" i="25"/>
  <c r="AK749" i="25"/>
  <c r="AN749" i="25" s="1"/>
  <c r="AQ749" i="25" s="1"/>
  <c r="AM437" i="25"/>
  <c r="AL437" i="25"/>
  <c r="N750" i="25"/>
  <c r="V750" i="25"/>
  <c r="O750" i="25"/>
  <c r="P750" i="25"/>
  <c r="W750" i="25"/>
  <c r="Z750" i="25" s="1"/>
  <c r="AB750" i="25" s="1"/>
  <c r="AD750" i="25" s="1"/>
  <c r="AE750" i="25" s="1"/>
  <c r="Y750" i="25"/>
  <c r="AC750" i="25" s="1"/>
  <c r="T750" i="25"/>
  <c r="X750" i="25" s="1"/>
  <c r="AA750" i="25" s="1"/>
  <c r="U750" i="25"/>
  <c r="AK606" i="25"/>
  <c r="AN606" i="25" s="1"/>
  <c r="AQ606" i="25" s="1"/>
  <c r="AJ606" i="25"/>
  <c r="W437" i="25"/>
  <c r="Z437" i="25" s="1"/>
  <c r="AB437" i="25" s="1"/>
  <c r="AD437" i="25" s="1"/>
  <c r="AE437" i="25" s="1"/>
  <c r="AK437" i="25"/>
  <c r="AN437" i="25" s="1"/>
  <c r="AQ437" i="25" s="1"/>
  <c r="AJ437" i="25"/>
  <c r="AH437" i="25"/>
  <c r="AI437" i="25"/>
  <c r="AO437" i="25" s="1"/>
  <c r="AR437" i="25" s="1"/>
  <c r="P607" i="25"/>
  <c r="Y607" i="25"/>
  <c r="AC607" i="25" s="1"/>
  <c r="W607" i="25"/>
  <c r="Z607" i="25" s="1"/>
  <c r="T607" i="25"/>
  <c r="X607" i="25" s="1"/>
  <c r="AA607" i="25" s="1"/>
  <c r="N607" i="25"/>
  <c r="O607" i="25"/>
  <c r="U607" i="25"/>
  <c r="V607" i="25"/>
  <c r="W905" i="25"/>
  <c r="X905" i="25" s="1"/>
  <c r="AA905" i="25"/>
  <c r="AB905" i="25" s="1"/>
  <c r="AC905" i="25" s="1"/>
  <c r="AD905" i="25" s="1"/>
  <c r="C127" i="25"/>
  <c r="Y126" i="25"/>
  <c r="AC126" i="25" s="1"/>
  <c r="AD126" i="25" s="1"/>
  <c r="AE126" i="25" s="1"/>
  <c r="AJ125" i="25"/>
  <c r="AL125" i="25"/>
  <c r="AH124" i="25"/>
  <c r="AP124" i="25" s="1"/>
  <c r="AS124" i="25" s="1"/>
  <c r="M908" i="25" s="1"/>
  <c r="V908" i="25" s="1"/>
  <c r="AM124" i="25"/>
  <c r="E127" i="25"/>
  <c r="N126" i="25"/>
  <c r="F126" i="25"/>
  <c r="O125" i="25"/>
  <c r="AI124" i="25"/>
  <c r="AO124" i="25" s="1"/>
  <c r="AR124" i="25" s="1"/>
  <c r="L908" i="25" s="1"/>
  <c r="U908" i="25" s="1"/>
  <c r="AK124" i="25"/>
  <c r="D126" i="25"/>
  <c r="P125" i="25"/>
  <c r="AN123" i="25"/>
  <c r="AQ123" i="25" s="1"/>
  <c r="K907" i="25" s="1"/>
  <c r="O906" i="25"/>
  <c r="T906" i="25"/>
  <c r="M751" i="25"/>
  <c r="B752" i="25"/>
  <c r="B614" i="25"/>
  <c r="B446" i="25"/>
  <c r="B284" i="25"/>
  <c r="M284" i="25" s="1"/>
  <c r="M439" i="25"/>
  <c r="Q284" i="25" l="1"/>
  <c r="R284" i="25"/>
  <c r="S284" i="25"/>
  <c r="S751" i="25"/>
  <c r="R751" i="25"/>
  <c r="Q751" i="25"/>
  <c r="R608" i="25"/>
  <c r="S608" i="25"/>
  <c r="Q608" i="25"/>
  <c r="R439" i="25"/>
  <c r="S439" i="25"/>
  <c r="Q439" i="25"/>
  <c r="AM283" i="25"/>
  <c r="P284" i="25"/>
  <c r="Y284" i="25"/>
  <c r="AC284" i="25" s="1"/>
  <c r="N284" i="25"/>
  <c r="V284" i="25"/>
  <c r="U284" i="25"/>
  <c r="T284" i="25"/>
  <c r="O284" i="25"/>
  <c r="X284" i="25"/>
  <c r="AA284" i="25" s="1"/>
  <c r="W284" i="25"/>
  <c r="Z284" i="25" s="1"/>
  <c r="AB284" i="25" s="1"/>
  <c r="AD284" i="25" s="1"/>
  <c r="AE284" i="25" s="1"/>
  <c r="AO284" i="25"/>
  <c r="AR284" i="25" s="1"/>
  <c r="AP284" i="25"/>
  <c r="AS284" i="25" s="1"/>
  <c r="AN284" i="25"/>
  <c r="AQ284" i="25" s="1"/>
  <c r="AH283" i="25"/>
  <c r="AP283" i="25" s="1"/>
  <c r="AS283" i="25" s="1"/>
  <c r="AI283" i="25"/>
  <c r="AO283" i="25" s="1"/>
  <c r="AR283" i="25" s="1"/>
  <c r="AJ283" i="25"/>
  <c r="AK283" i="25"/>
  <c r="AN283" i="25" s="1"/>
  <c r="AQ283" i="25" s="1"/>
  <c r="AB607" i="25"/>
  <c r="AD607" i="25" s="1"/>
  <c r="AE607" i="25" s="1"/>
  <c r="AP437" i="25"/>
  <c r="AS437" i="25" s="1"/>
  <c r="AO606" i="25"/>
  <c r="AR606" i="25" s="1"/>
  <c r="J910" i="25"/>
  <c r="S910" i="25" s="1"/>
  <c r="I910" i="25"/>
  <c r="R910" i="25" s="1"/>
  <c r="AP749" i="25"/>
  <c r="AS749" i="25" s="1"/>
  <c r="H910" i="25"/>
  <c r="Q909" i="25"/>
  <c r="Z909" i="25" s="1"/>
  <c r="N909" i="25"/>
  <c r="AP606" i="25"/>
  <c r="AS606" i="25" s="1"/>
  <c r="AK750" i="25"/>
  <c r="AJ750" i="25"/>
  <c r="M609" i="25"/>
  <c r="N439" i="25"/>
  <c r="V439" i="25"/>
  <c r="O439" i="25"/>
  <c r="P439" i="25"/>
  <c r="Y439" i="25"/>
  <c r="AC439" i="25" s="1"/>
  <c r="T439" i="25"/>
  <c r="U439" i="25"/>
  <c r="AH750" i="25"/>
  <c r="AP750" i="25" s="1"/>
  <c r="AS750" i="25" s="1"/>
  <c r="AI750" i="25"/>
  <c r="AL607" i="25"/>
  <c r="AM607" i="25"/>
  <c r="AM438" i="25"/>
  <c r="AL438" i="25"/>
  <c r="AJ607" i="25"/>
  <c r="AK607" i="25"/>
  <c r="AJ438" i="25"/>
  <c r="AK438" i="25"/>
  <c r="AN438" i="25" s="1"/>
  <c r="AQ438" i="25" s="1"/>
  <c r="W438" i="25"/>
  <c r="Z438" i="25" s="1"/>
  <c r="AB438" i="25" s="1"/>
  <c r="AD438" i="25" s="1"/>
  <c r="AE438" i="25" s="1"/>
  <c r="AI438" i="25"/>
  <c r="AO438" i="25" s="1"/>
  <c r="AR438" i="25" s="1"/>
  <c r="AH438" i="25"/>
  <c r="P751" i="25"/>
  <c r="T751" i="25"/>
  <c r="U751" i="25"/>
  <c r="X751" i="25" s="1"/>
  <c r="AA751" i="25" s="1"/>
  <c r="N751" i="25"/>
  <c r="V751" i="25"/>
  <c r="O751" i="25"/>
  <c r="Y751" i="25"/>
  <c r="AC751" i="25" s="1"/>
  <c r="AH607" i="25"/>
  <c r="AP607" i="25" s="1"/>
  <c r="AS607" i="25" s="1"/>
  <c r="AI607" i="25"/>
  <c r="AL750" i="25"/>
  <c r="AM750" i="25"/>
  <c r="T608" i="25"/>
  <c r="U608" i="25"/>
  <c r="N608" i="25"/>
  <c r="V608" i="25"/>
  <c r="O608" i="25"/>
  <c r="P608" i="25"/>
  <c r="Y608" i="25"/>
  <c r="AC608" i="25"/>
  <c r="W608" i="25"/>
  <c r="Z608" i="25" s="1"/>
  <c r="AI125" i="25"/>
  <c r="AO125" i="25" s="1"/>
  <c r="AR125" i="25" s="1"/>
  <c r="L909" i="25" s="1"/>
  <c r="U909" i="25" s="1"/>
  <c r="AK125" i="25"/>
  <c r="D127" i="25"/>
  <c r="P126" i="25"/>
  <c r="AN124" i="25"/>
  <c r="AQ124" i="25" s="1"/>
  <c r="K908" i="25" s="1"/>
  <c r="AH125" i="25"/>
  <c r="AP125" i="25" s="1"/>
  <c r="AS125" i="25" s="1"/>
  <c r="M909" i="25" s="1"/>
  <c r="V909" i="25" s="1"/>
  <c r="AM125" i="25"/>
  <c r="AA906" i="25"/>
  <c r="AB906" i="25" s="1"/>
  <c r="AC906" i="25" s="1"/>
  <c r="AD906" i="25" s="1"/>
  <c r="W906" i="25"/>
  <c r="X906" i="25" s="1"/>
  <c r="F127" i="25"/>
  <c r="O126" i="25"/>
  <c r="C128" i="25"/>
  <c r="Y127" i="25"/>
  <c r="AC127" i="25" s="1"/>
  <c r="AD127" i="25" s="1"/>
  <c r="AE127" i="25" s="1"/>
  <c r="AJ126" i="25"/>
  <c r="AL126" i="25"/>
  <c r="T907" i="25"/>
  <c r="O907" i="25"/>
  <c r="E128" i="25"/>
  <c r="N127" i="25"/>
  <c r="M752" i="25"/>
  <c r="B753" i="25"/>
  <c r="B615" i="25"/>
  <c r="B447" i="25"/>
  <c r="M440" i="25"/>
  <c r="B285" i="25"/>
  <c r="M285" i="25" s="1"/>
  <c r="R752" i="25" l="1"/>
  <c r="S752" i="25"/>
  <c r="Q752" i="25"/>
  <c r="S285" i="25"/>
  <c r="Q285" i="25"/>
  <c r="R285" i="25"/>
  <c r="R440" i="25"/>
  <c r="Q440" i="25"/>
  <c r="S440" i="25"/>
  <c r="Q609" i="25"/>
  <c r="R609" i="25"/>
  <c r="S609" i="25"/>
  <c r="AM284" i="25"/>
  <c r="AL284" i="25"/>
  <c r="AI284" i="25"/>
  <c r="AH284" i="25"/>
  <c r="AJ284" i="25"/>
  <c r="AK284" i="25"/>
  <c r="N285" i="25"/>
  <c r="Y285" i="25"/>
  <c r="AC285" i="25" s="1"/>
  <c r="P285" i="25"/>
  <c r="O285" i="25"/>
  <c r="V285" i="25"/>
  <c r="U285" i="25"/>
  <c r="T285" i="25"/>
  <c r="X285" i="25"/>
  <c r="AA285" i="25" s="1"/>
  <c r="W285" i="25"/>
  <c r="Z285" i="25" s="1"/>
  <c r="AB285" i="25" s="1"/>
  <c r="AD285" i="25" s="1"/>
  <c r="AE285" i="25" s="1"/>
  <c r="AP285" i="25"/>
  <c r="AS285" i="25" s="1"/>
  <c r="AP438" i="25"/>
  <c r="AS438" i="25" s="1"/>
  <c r="X439" i="25"/>
  <c r="AA439" i="25" s="1"/>
  <c r="Q910" i="25"/>
  <c r="Z910" i="25" s="1"/>
  <c r="N910" i="25"/>
  <c r="J911" i="25"/>
  <c r="S911" i="25" s="1"/>
  <c r="AO750" i="25"/>
  <c r="AR750" i="25" s="1"/>
  <c r="I911" i="25"/>
  <c r="R911" i="25" s="1"/>
  <c r="X608" i="25"/>
  <c r="AA608" i="25" s="1"/>
  <c r="AB608" i="25" s="1"/>
  <c r="AD608" i="25" s="1"/>
  <c r="AE608" i="25" s="1"/>
  <c r="H911" i="25"/>
  <c r="AN607" i="25"/>
  <c r="AQ607" i="25" s="1"/>
  <c r="AN750" i="25"/>
  <c r="AQ750" i="25" s="1"/>
  <c r="AO607" i="25"/>
  <c r="AR607" i="25" s="1"/>
  <c r="W439" i="25"/>
  <c r="Z439" i="25" s="1"/>
  <c r="AB439" i="25" s="1"/>
  <c r="AD439" i="25" s="1"/>
  <c r="AE439" i="25" s="1"/>
  <c r="AH608" i="25"/>
  <c r="AI608" i="25"/>
  <c r="U752" i="25"/>
  <c r="N752" i="25"/>
  <c r="V752" i="25"/>
  <c r="O752" i="25"/>
  <c r="P752" i="25"/>
  <c r="T752" i="25"/>
  <c r="Y752" i="25"/>
  <c r="AC752" i="25" s="1"/>
  <c r="AL439" i="25"/>
  <c r="AM439" i="25"/>
  <c r="AL608" i="25"/>
  <c r="AM608" i="25"/>
  <c r="AL751" i="25"/>
  <c r="AM751" i="25"/>
  <c r="AK439" i="25"/>
  <c r="AJ439" i="25"/>
  <c r="O609" i="25"/>
  <c r="P609" i="25"/>
  <c r="Y609" i="25"/>
  <c r="AC609" i="25" s="1"/>
  <c r="N609" i="25"/>
  <c r="U609" i="25"/>
  <c r="X609" i="25" s="1"/>
  <c r="AA609" i="25" s="1"/>
  <c r="T609" i="25"/>
  <c r="V609" i="25"/>
  <c r="AJ608" i="25"/>
  <c r="AK608" i="25"/>
  <c r="AN608" i="25" s="1"/>
  <c r="AQ608" i="25" s="1"/>
  <c r="AJ751" i="25"/>
  <c r="AK751" i="25"/>
  <c r="AN751" i="25" s="1"/>
  <c r="AQ751" i="25" s="1"/>
  <c r="AI439" i="25"/>
  <c r="AH439" i="25"/>
  <c r="M610" i="25"/>
  <c r="J912" i="25"/>
  <c r="S912" i="25" s="1"/>
  <c r="T440" i="25"/>
  <c r="X440" i="25" s="1"/>
  <c r="AA440" i="25" s="1"/>
  <c r="U440" i="25"/>
  <c r="N440" i="25"/>
  <c r="V440" i="25"/>
  <c r="O440" i="25"/>
  <c r="Y440" i="25"/>
  <c r="P440" i="25"/>
  <c r="AC440" i="25"/>
  <c r="H912" i="25"/>
  <c r="I912" i="25"/>
  <c r="R912" i="25" s="1"/>
  <c r="W751" i="25"/>
  <c r="Z751" i="25" s="1"/>
  <c r="AB751" i="25" s="1"/>
  <c r="AD751" i="25" s="1"/>
  <c r="AE751" i="25" s="1"/>
  <c r="AH751" i="25"/>
  <c r="AI751" i="25"/>
  <c r="AO751" i="25" s="1"/>
  <c r="AR751" i="25" s="1"/>
  <c r="T908" i="25"/>
  <c r="O908" i="25"/>
  <c r="AK126" i="25"/>
  <c r="AI126" i="25"/>
  <c r="AO126" i="25" s="1"/>
  <c r="AR126" i="25" s="1"/>
  <c r="L910" i="25" s="1"/>
  <c r="U910" i="25" s="1"/>
  <c r="AA907" i="25"/>
  <c r="AB907" i="25" s="1"/>
  <c r="AC907" i="25" s="1"/>
  <c r="AD907" i="25" s="1"/>
  <c r="W907" i="25"/>
  <c r="X907" i="25" s="1"/>
  <c r="AL127" i="25"/>
  <c r="AJ127" i="25"/>
  <c r="AM126" i="25"/>
  <c r="AH126" i="25"/>
  <c r="AP126" i="25" s="1"/>
  <c r="AS126" i="25" s="1"/>
  <c r="M910" i="25" s="1"/>
  <c r="V910" i="25" s="1"/>
  <c r="D128" i="25"/>
  <c r="P127" i="25"/>
  <c r="C129" i="25"/>
  <c r="Y128" i="25"/>
  <c r="AC128" i="25" s="1"/>
  <c r="AD128" i="25" s="1"/>
  <c r="AE128" i="25" s="1"/>
  <c r="E129" i="25"/>
  <c r="N128" i="25"/>
  <c r="F128" i="25"/>
  <c r="O127" i="25"/>
  <c r="AN125" i="25"/>
  <c r="AQ125" i="25" s="1"/>
  <c r="K909" i="25" s="1"/>
  <c r="M753" i="25"/>
  <c r="B754" i="25"/>
  <c r="B616" i="25"/>
  <c r="B448" i="25"/>
  <c r="M441" i="25"/>
  <c r="B286" i="25"/>
  <c r="M286" i="25" s="1"/>
  <c r="Q610" i="25" l="1"/>
  <c r="R610" i="25"/>
  <c r="S610" i="25"/>
  <c r="Q286" i="25"/>
  <c r="R286" i="25"/>
  <c r="S286" i="25"/>
  <c r="R441" i="25"/>
  <c r="Q441" i="25"/>
  <c r="S441" i="25"/>
  <c r="Q753" i="25"/>
  <c r="R753" i="25"/>
  <c r="S753" i="25"/>
  <c r="AJ285" i="25"/>
  <c r="AK285" i="25"/>
  <c r="AN285" i="25" s="1"/>
  <c r="AQ285" i="25" s="1"/>
  <c r="AI285" i="25"/>
  <c r="AO285" i="25" s="1"/>
  <c r="AR285" i="25" s="1"/>
  <c r="AH285" i="25"/>
  <c r="N286" i="25"/>
  <c r="V286" i="25"/>
  <c r="Y286" i="25"/>
  <c r="AC286" i="25" s="1"/>
  <c r="P286" i="25"/>
  <c r="O286" i="25"/>
  <c r="U286" i="25"/>
  <c r="T286" i="25"/>
  <c r="X286" i="25" s="1"/>
  <c r="AA286" i="25" s="1"/>
  <c r="AB286" i="25"/>
  <c r="AD286" i="25" s="1"/>
  <c r="AE286" i="25" s="1"/>
  <c r="AP286" i="25"/>
  <c r="AS286" i="25" s="1"/>
  <c r="AL285" i="25"/>
  <c r="AM285" i="25"/>
  <c r="AO608" i="25"/>
  <c r="AR608" i="25" s="1"/>
  <c r="AP608" i="25"/>
  <c r="AS608" i="25" s="1"/>
  <c r="AN439" i="25"/>
  <c r="AQ439" i="25" s="1"/>
  <c r="N912" i="25"/>
  <c r="Q912" i="25"/>
  <c r="Z912" i="25" s="1"/>
  <c r="AP751" i="25"/>
  <c r="AS751" i="25" s="1"/>
  <c r="AP439" i="25"/>
  <c r="AS439" i="25" s="1"/>
  <c r="AO439" i="25"/>
  <c r="AR439" i="25" s="1"/>
  <c r="N911" i="25"/>
  <c r="Q911" i="25"/>
  <c r="Z911" i="25" s="1"/>
  <c r="X752" i="25"/>
  <c r="AA752" i="25" s="1"/>
  <c r="AM440" i="25"/>
  <c r="AL440" i="25"/>
  <c r="AL609" i="25"/>
  <c r="AM609" i="25"/>
  <c r="W752" i="25"/>
  <c r="Z752" i="25" s="1"/>
  <c r="AB752" i="25" s="1"/>
  <c r="AD752" i="25" s="1"/>
  <c r="AE752" i="25" s="1"/>
  <c r="AH752" i="25"/>
  <c r="AI752" i="25"/>
  <c r="AJ609" i="25"/>
  <c r="AK609" i="25"/>
  <c r="T610" i="25"/>
  <c r="U610" i="25"/>
  <c r="N610" i="25"/>
  <c r="V610" i="25"/>
  <c r="O610" i="25"/>
  <c r="Y610" i="25"/>
  <c r="AC610" i="25" s="1"/>
  <c r="P610" i="25"/>
  <c r="W609" i="25"/>
  <c r="Z609" i="25" s="1"/>
  <c r="AB609" i="25" s="1"/>
  <c r="AD609" i="25" s="1"/>
  <c r="AE609" i="25" s="1"/>
  <c r="AH609" i="25"/>
  <c r="AP609" i="25" s="1"/>
  <c r="AS609" i="25" s="1"/>
  <c r="AI609" i="25"/>
  <c r="AO609" i="25" s="1"/>
  <c r="AR609" i="25" s="1"/>
  <c r="M611" i="25"/>
  <c r="P441" i="25"/>
  <c r="J913" i="25"/>
  <c r="T441" i="25"/>
  <c r="X441" i="25" s="1"/>
  <c r="AA441" i="25" s="1"/>
  <c r="U441" i="25"/>
  <c r="N441" i="25"/>
  <c r="V441" i="25"/>
  <c r="O441" i="25"/>
  <c r="Y441" i="25"/>
  <c r="AC441" i="25" s="1"/>
  <c r="T753" i="25"/>
  <c r="N753" i="25"/>
  <c r="V753" i="25"/>
  <c r="O753" i="25"/>
  <c r="Y753" i="25"/>
  <c r="AC753" i="25" s="1"/>
  <c r="P753" i="25"/>
  <c r="U753" i="25"/>
  <c r="AK440" i="25"/>
  <c r="AN440" i="25" s="1"/>
  <c r="AQ440" i="25" s="1"/>
  <c r="AJ440" i="25"/>
  <c r="AL752" i="25"/>
  <c r="AM752" i="25"/>
  <c r="W440" i="25"/>
  <c r="Z440" i="25" s="1"/>
  <c r="AB440" i="25" s="1"/>
  <c r="AD440" i="25" s="1"/>
  <c r="AE440" i="25" s="1"/>
  <c r="AI440" i="25"/>
  <c r="AO440" i="25" s="1"/>
  <c r="AR440" i="25" s="1"/>
  <c r="AH440" i="25"/>
  <c r="AJ752" i="25"/>
  <c r="AK752" i="25"/>
  <c r="AN752" i="25" s="1"/>
  <c r="AQ752" i="25" s="1"/>
  <c r="AJ128" i="25"/>
  <c r="AL128" i="25"/>
  <c r="C130" i="25"/>
  <c r="Y129" i="25"/>
  <c r="AC129" i="25" s="1"/>
  <c r="AD129" i="25" s="1"/>
  <c r="AE129" i="25" s="1"/>
  <c r="E130" i="25"/>
  <c r="N129" i="25"/>
  <c r="AI127" i="25"/>
  <c r="AO127" i="25" s="1"/>
  <c r="AR127" i="25" s="1"/>
  <c r="L911" i="25" s="1"/>
  <c r="U911" i="25" s="1"/>
  <c r="AK127" i="25"/>
  <c r="T909" i="25"/>
  <c r="O909" i="25"/>
  <c r="D129" i="25"/>
  <c r="P128" i="25"/>
  <c r="AN126" i="25"/>
  <c r="AQ126" i="25" s="1"/>
  <c r="K910" i="25" s="1"/>
  <c r="AM127" i="25"/>
  <c r="AH127" i="25"/>
  <c r="AP127" i="25" s="1"/>
  <c r="AS127" i="25" s="1"/>
  <c r="M911" i="25" s="1"/>
  <c r="V911" i="25" s="1"/>
  <c r="F129" i="25"/>
  <c r="O128" i="25"/>
  <c r="AA908" i="25"/>
  <c r="AB908" i="25" s="1"/>
  <c r="AC908" i="25" s="1"/>
  <c r="AD908" i="25" s="1"/>
  <c r="W908" i="25"/>
  <c r="X908" i="25" s="1"/>
  <c r="M754" i="25"/>
  <c r="B755" i="25"/>
  <c r="B617" i="25"/>
  <c r="B449" i="25"/>
  <c r="B287" i="25"/>
  <c r="M287" i="25" s="1"/>
  <c r="M442" i="25"/>
  <c r="R754" i="25" l="1"/>
  <c r="Q754" i="25"/>
  <c r="S754" i="25"/>
  <c r="Q442" i="25"/>
  <c r="R442" i="25"/>
  <c r="S442" i="25"/>
  <c r="Q287" i="25"/>
  <c r="S287" i="25"/>
  <c r="R287" i="25"/>
  <c r="Q611" i="25"/>
  <c r="R611" i="25"/>
  <c r="S611" i="25"/>
  <c r="AM286" i="25"/>
  <c r="AL286" i="25"/>
  <c r="AJ286" i="25"/>
  <c r="AK286" i="25"/>
  <c r="AN286" i="25" s="1"/>
  <c r="AQ286" i="25" s="1"/>
  <c r="U287" i="25"/>
  <c r="T287" i="25"/>
  <c r="X287" i="25" s="1"/>
  <c r="AA287" i="25" s="1"/>
  <c r="N287" i="25"/>
  <c r="V287" i="25"/>
  <c r="AC287" i="25"/>
  <c r="Y287" i="25"/>
  <c r="O287" i="25"/>
  <c r="P287" i="25"/>
  <c r="AK287" i="25" s="1"/>
  <c r="W287" i="25"/>
  <c r="Z287" i="25" s="1"/>
  <c r="AB287" i="25" s="1"/>
  <c r="AD287" i="25" s="1"/>
  <c r="AE287" i="25" s="1"/>
  <c r="W286" i="25"/>
  <c r="Z286" i="25" s="1"/>
  <c r="AH286" i="25"/>
  <c r="AI286" i="25"/>
  <c r="AO286" i="25" s="1"/>
  <c r="AR286" i="25" s="1"/>
  <c r="X753" i="25"/>
  <c r="AA753" i="25" s="1"/>
  <c r="S913" i="25"/>
  <c r="AN609" i="25"/>
  <c r="AQ609" i="25" s="1"/>
  <c r="I913" i="25"/>
  <c r="R913" i="25" s="1"/>
  <c r="AO752" i="25"/>
  <c r="AR752" i="25" s="1"/>
  <c r="AP440" i="25"/>
  <c r="AS440" i="25" s="1"/>
  <c r="H913" i="25"/>
  <c r="Q913" i="25" s="1"/>
  <c r="Z913" i="25" s="1"/>
  <c r="X610" i="25"/>
  <c r="AA610" i="25" s="1"/>
  <c r="AP752" i="25"/>
  <c r="AS752" i="25" s="1"/>
  <c r="W441" i="25"/>
  <c r="Z441" i="25" s="1"/>
  <c r="AB441" i="25" s="1"/>
  <c r="AD441" i="25" s="1"/>
  <c r="AE441" i="25" s="1"/>
  <c r="AJ441" i="25"/>
  <c r="AK441" i="25"/>
  <c r="AH441" i="25"/>
  <c r="AI441" i="25"/>
  <c r="AL610" i="25"/>
  <c r="W754" i="25"/>
  <c r="Z754" i="25" s="1"/>
  <c r="AB754" i="25" s="1"/>
  <c r="AD754" i="25" s="1"/>
  <c r="AE754" i="25" s="1"/>
  <c r="Y754" i="25"/>
  <c r="AC754" i="25"/>
  <c r="T754" i="25"/>
  <c r="X754" i="25" s="1"/>
  <c r="AA754" i="25" s="1"/>
  <c r="U754" i="25"/>
  <c r="N754" i="25"/>
  <c r="V754" i="25"/>
  <c r="O754" i="25"/>
  <c r="P754" i="25"/>
  <c r="AJ753" i="25"/>
  <c r="AK753" i="25"/>
  <c r="AL753" i="25"/>
  <c r="AM753" i="25"/>
  <c r="P611" i="25"/>
  <c r="Y611" i="25"/>
  <c r="W611" i="25"/>
  <c r="Z611" i="25" s="1"/>
  <c r="AC611" i="25"/>
  <c r="T611" i="25"/>
  <c r="N611" i="25"/>
  <c r="U611" i="25"/>
  <c r="O611" i="25"/>
  <c r="V611" i="25"/>
  <c r="AJ610" i="25"/>
  <c r="AK610" i="25"/>
  <c r="W753" i="25"/>
  <c r="Z753" i="25" s="1"/>
  <c r="AB753" i="25" s="1"/>
  <c r="AD753" i="25" s="1"/>
  <c r="AE753" i="25" s="1"/>
  <c r="AH753" i="25"/>
  <c r="AP753" i="25" s="1"/>
  <c r="AS753" i="25" s="1"/>
  <c r="AI753" i="25"/>
  <c r="AO753" i="25" s="1"/>
  <c r="AR753" i="25" s="1"/>
  <c r="W610" i="25"/>
  <c r="Z610" i="25" s="1"/>
  <c r="AB610" i="25" s="1"/>
  <c r="AD610" i="25" s="1"/>
  <c r="AE610" i="25" s="1"/>
  <c r="AH610" i="25"/>
  <c r="AI610" i="25"/>
  <c r="AO610" i="25" s="1"/>
  <c r="AR610" i="25" s="1"/>
  <c r="AM610" i="25"/>
  <c r="M612" i="25"/>
  <c r="T442" i="25"/>
  <c r="X442" i="25" s="1"/>
  <c r="AA442" i="25" s="1"/>
  <c r="U442" i="25"/>
  <c r="N442" i="25"/>
  <c r="V442" i="25"/>
  <c r="O442" i="25"/>
  <c r="P442" i="25"/>
  <c r="Y442" i="25"/>
  <c r="AC442" i="25" s="1"/>
  <c r="H914" i="25"/>
  <c r="I914" i="25"/>
  <c r="R914" i="25" s="1"/>
  <c r="J914" i="25"/>
  <c r="S914" i="25" s="1"/>
  <c r="AL441" i="25"/>
  <c r="AM441" i="25"/>
  <c r="AN127" i="25"/>
  <c r="AQ127" i="25" s="1"/>
  <c r="K911" i="25" s="1"/>
  <c r="AL129" i="25"/>
  <c r="AJ129" i="25"/>
  <c r="T910" i="25"/>
  <c r="O910" i="25"/>
  <c r="E131" i="25"/>
  <c r="N130" i="25"/>
  <c r="D130" i="25"/>
  <c r="P129" i="25"/>
  <c r="C131" i="25"/>
  <c r="Y130" i="25"/>
  <c r="AC130" i="25" s="1"/>
  <c r="AD130" i="25" s="1"/>
  <c r="AE130" i="25" s="1"/>
  <c r="F130" i="25"/>
  <c r="O129" i="25"/>
  <c r="AI128" i="25"/>
  <c r="AO128" i="25" s="1"/>
  <c r="AR128" i="25" s="1"/>
  <c r="L912" i="25" s="1"/>
  <c r="U912" i="25" s="1"/>
  <c r="AK128" i="25"/>
  <c r="AH128" i="25"/>
  <c r="AP128" i="25" s="1"/>
  <c r="AS128" i="25" s="1"/>
  <c r="M912" i="25" s="1"/>
  <c r="V912" i="25" s="1"/>
  <c r="AM128" i="25"/>
  <c r="AA909" i="25"/>
  <c r="AB909" i="25" s="1"/>
  <c r="AC909" i="25" s="1"/>
  <c r="AD909" i="25" s="1"/>
  <c r="W909" i="25"/>
  <c r="X909" i="25" s="1"/>
  <c r="M755" i="25"/>
  <c r="B756" i="25"/>
  <c r="B618" i="25"/>
  <c r="B450" i="25"/>
  <c r="B288" i="25"/>
  <c r="M288" i="25" s="1"/>
  <c r="M443" i="25"/>
  <c r="Q443" i="25" l="1"/>
  <c r="R443" i="25"/>
  <c r="S443" i="25"/>
  <c r="R288" i="25"/>
  <c r="S288" i="25"/>
  <c r="Q288" i="25"/>
  <c r="Q755" i="25"/>
  <c r="S755" i="25"/>
  <c r="R755" i="25"/>
  <c r="S612" i="25"/>
  <c r="Q612" i="25"/>
  <c r="R612" i="25"/>
  <c r="AJ287" i="25"/>
  <c r="AM287" i="25"/>
  <c r="AN287" i="25" s="1"/>
  <c r="AQ287" i="25" s="1"/>
  <c r="AL287" i="25"/>
  <c r="V288" i="25"/>
  <c r="U288" i="25"/>
  <c r="T288" i="25"/>
  <c r="P288" i="25"/>
  <c r="Y288" i="25"/>
  <c r="AC288" i="25" s="1"/>
  <c r="O288" i="25"/>
  <c r="X288" i="25"/>
  <c r="AA288" i="25" s="1"/>
  <c r="N288" i="25"/>
  <c r="W288" i="25"/>
  <c r="Z288" i="25" s="1"/>
  <c r="AB288" i="25" s="1"/>
  <c r="AD288" i="25" s="1"/>
  <c r="AE288" i="25" s="1"/>
  <c r="AO288" i="25"/>
  <c r="AR288" i="25" s="1"/>
  <c r="AP288" i="25"/>
  <c r="AS288" i="25" s="1"/>
  <c r="AI287" i="25"/>
  <c r="AO287" i="25" s="1"/>
  <c r="AR287" i="25" s="1"/>
  <c r="AH287" i="25"/>
  <c r="AP287" i="25" s="1"/>
  <c r="AS287" i="25" s="1"/>
  <c r="Q914" i="25"/>
  <c r="Z914" i="25" s="1"/>
  <c r="N914" i="25"/>
  <c r="AO441" i="25"/>
  <c r="AR441" i="25" s="1"/>
  <c r="AN610" i="25"/>
  <c r="AQ610" i="25" s="1"/>
  <c r="X611" i="25"/>
  <c r="AA611" i="25" s="1"/>
  <c r="AB611" i="25" s="1"/>
  <c r="AD611" i="25" s="1"/>
  <c r="AE611" i="25" s="1"/>
  <c r="AP441" i="25"/>
  <c r="AS441" i="25" s="1"/>
  <c r="AN441" i="25"/>
  <c r="AQ441" i="25" s="1"/>
  <c r="AP610" i="25"/>
  <c r="AS610" i="25" s="1"/>
  <c r="AN753" i="25"/>
  <c r="AQ753" i="25" s="1"/>
  <c r="N913" i="25"/>
  <c r="M613" i="25"/>
  <c r="T443" i="25"/>
  <c r="U443" i="25"/>
  <c r="N443" i="25"/>
  <c r="V443" i="25"/>
  <c r="O443" i="25"/>
  <c r="P443" i="25"/>
  <c r="Y443" i="25"/>
  <c r="AC443" i="25" s="1"/>
  <c r="AM611" i="25"/>
  <c r="AL611" i="25"/>
  <c r="T755" i="25"/>
  <c r="U755" i="25"/>
  <c r="O755" i="25"/>
  <c r="Y755" i="25"/>
  <c r="P755" i="25"/>
  <c r="AC755" i="25"/>
  <c r="N755" i="25"/>
  <c r="V755" i="25"/>
  <c r="AL442" i="25"/>
  <c r="AM442" i="25"/>
  <c r="AK611" i="25"/>
  <c r="AN611" i="25" s="1"/>
  <c r="AQ611" i="25" s="1"/>
  <c r="AJ611" i="25"/>
  <c r="AL754" i="25"/>
  <c r="AM754" i="25"/>
  <c r="AH754" i="25"/>
  <c r="AI754" i="25"/>
  <c r="AO754" i="25" s="1"/>
  <c r="AR754" i="25" s="1"/>
  <c r="AJ442" i="25"/>
  <c r="AK442" i="25"/>
  <c r="AN442" i="25" s="1"/>
  <c r="AQ442" i="25" s="1"/>
  <c r="W442" i="25"/>
  <c r="Z442" i="25" s="1"/>
  <c r="AB442" i="25" s="1"/>
  <c r="AD442" i="25" s="1"/>
  <c r="AE442" i="25" s="1"/>
  <c r="AH442" i="25"/>
  <c r="AI442" i="25"/>
  <c r="AH611" i="25"/>
  <c r="AI611" i="25"/>
  <c r="AO611" i="25" s="1"/>
  <c r="AR611" i="25" s="1"/>
  <c r="T612" i="25"/>
  <c r="U612" i="25"/>
  <c r="N612" i="25"/>
  <c r="V612" i="25"/>
  <c r="O612" i="25"/>
  <c r="P612" i="25"/>
  <c r="Y612" i="25"/>
  <c r="W612" i="25"/>
  <c r="Z612" i="25" s="1"/>
  <c r="AC612" i="25"/>
  <c r="AJ754" i="25"/>
  <c r="AK754" i="25"/>
  <c r="AN754" i="25" s="1"/>
  <c r="AQ754" i="25" s="1"/>
  <c r="D131" i="25"/>
  <c r="P130" i="25"/>
  <c r="AJ130" i="25"/>
  <c r="AL130" i="25"/>
  <c r="E132" i="25"/>
  <c r="N131" i="25"/>
  <c r="AN128" i="25"/>
  <c r="AQ128" i="25" s="1"/>
  <c r="K912" i="25" s="1"/>
  <c r="AM129" i="25"/>
  <c r="AH129" i="25"/>
  <c r="AP129" i="25" s="1"/>
  <c r="AS129" i="25" s="1"/>
  <c r="M913" i="25" s="1"/>
  <c r="V913" i="25" s="1"/>
  <c r="F131" i="25"/>
  <c r="O130" i="25"/>
  <c r="AA910" i="25"/>
  <c r="AB910" i="25" s="1"/>
  <c r="AC910" i="25" s="1"/>
  <c r="AD910" i="25" s="1"/>
  <c r="W910" i="25"/>
  <c r="X910" i="25" s="1"/>
  <c r="C132" i="25"/>
  <c r="Y131" i="25"/>
  <c r="AC131" i="25" s="1"/>
  <c r="AD131" i="25" s="1"/>
  <c r="AE131" i="25" s="1"/>
  <c r="AK129" i="25"/>
  <c r="AI129" i="25"/>
  <c r="AO129" i="25" s="1"/>
  <c r="AR129" i="25" s="1"/>
  <c r="L913" i="25" s="1"/>
  <c r="U913" i="25" s="1"/>
  <c r="O911" i="25"/>
  <c r="T911" i="25"/>
  <c r="B757" i="25"/>
  <c r="M756" i="25"/>
  <c r="B619" i="25"/>
  <c r="B451" i="25"/>
  <c r="B289" i="25"/>
  <c r="M289" i="25" s="1"/>
  <c r="M444" i="25"/>
  <c r="S756" i="25" l="1"/>
  <c r="Q756" i="25"/>
  <c r="R756" i="25"/>
  <c r="S613" i="25"/>
  <c r="Q613" i="25"/>
  <c r="R613" i="25"/>
  <c r="Q289" i="25"/>
  <c r="R289" i="25"/>
  <c r="S289" i="25"/>
  <c r="Q444" i="25"/>
  <c r="S444" i="25"/>
  <c r="R444" i="25"/>
  <c r="AH288" i="25"/>
  <c r="AI288" i="25"/>
  <c r="Y289" i="25"/>
  <c r="AC289" i="25" s="1"/>
  <c r="T289" i="25"/>
  <c r="V289" i="25"/>
  <c r="U289" i="25"/>
  <c r="P289" i="25"/>
  <c r="O289" i="25"/>
  <c r="N289" i="25"/>
  <c r="X289" i="25"/>
  <c r="AA289" i="25" s="1"/>
  <c r="AB289" i="25" s="1"/>
  <c r="AD289" i="25" s="1"/>
  <c r="AE289" i="25" s="1"/>
  <c r="AL288" i="25"/>
  <c r="AM288" i="25"/>
  <c r="AJ288" i="25"/>
  <c r="AK288" i="25"/>
  <c r="AN288" i="25" s="1"/>
  <c r="AQ288" i="25" s="1"/>
  <c r="AP442" i="25"/>
  <c r="AS442" i="25" s="1"/>
  <c r="X755" i="25"/>
  <c r="AA755" i="25" s="1"/>
  <c r="J915" i="25"/>
  <c r="S915" i="25" s="1"/>
  <c r="I915" i="25"/>
  <c r="R915" i="25" s="1"/>
  <c r="W443" i="25"/>
  <c r="Z443" i="25" s="1"/>
  <c r="AB443" i="25" s="1"/>
  <c r="AD443" i="25" s="1"/>
  <c r="AE443" i="25" s="1"/>
  <c r="H915" i="25"/>
  <c r="X612" i="25"/>
  <c r="AA612" i="25" s="1"/>
  <c r="AB612" i="25" s="1"/>
  <c r="AD612" i="25" s="1"/>
  <c r="AE612" i="25" s="1"/>
  <c r="AP754" i="25"/>
  <c r="AS754" i="25" s="1"/>
  <c r="X443" i="25"/>
  <c r="AA443" i="25" s="1"/>
  <c r="AP611" i="25"/>
  <c r="AS611" i="25" s="1"/>
  <c r="AO442" i="25"/>
  <c r="AR442" i="25" s="1"/>
  <c r="W756" i="25"/>
  <c r="Z756" i="25" s="1"/>
  <c r="AB756" i="25" s="1"/>
  <c r="AD756" i="25" s="1"/>
  <c r="AE756" i="25" s="1"/>
  <c r="T756" i="25"/>
  <c r="X756" i="25" s="1"/>
  <c r="U756" i="25"/>
  <c r="O756" i="25"/>
  <c r="P756" i="25"/>
  <c r="V756" i="25"/>
  <c r="Y756" i="25"/>
  <c r="AC756" i="25" s="1"/>
  <c r="N756" i="25"/>
  <c r="AA756" i="25"/>
  <c r="AM755" i="25"/>
  <c r="AL755" i="25"/>
  <c r="AL443" i="25"/>
  <c r="AM443" i="25"/>
  <c r="AM612" i="25"/>
  <c r="AL612" i="25"/>
  <c r="AJ755" i="25"/>
  <c r="AK755" i="25"/>
  <c r="AJ443" i="25"/>
  <c r="AK443" i="25"/>
  <c r="AN443" i="25" s="1"/>
  <c r="AQ443" i="25" s="1"/>
  <c r="AJ612" i="25"/>
  <c r="AK612" i="25"/>
  <c r="AN612" i="25" s="1"/>
  <c r="AQ612" i="25" s="1"/>
  <c r="AH443" i="25"/>
  <c r="AI443" i="25"/>
  <c r="M614" i="25"/>
  <c r="N444" i="25"/>
  <c r="V444" i="25"/>
  <c r="O444" i="25"/>
  <c r="Y444" i="25"/>
  <c r="AC444" i="25" s="1"/>
  <c r="P444" i="25"/>
  <c r="H916" i="25"/>
  <c r="Q916" i="25" s="1"/>
  <c r="I916" i="25"/>
  <c r="R916" i="25" s="1"/>
  <c r="J916" i="25"/>
  <c r="T444" i="25"/>
  <c r="U444" i="25"/>
  <c r="AH612" i="25"/>
  <c r="AI612" i="25"/>
  <c r="AO612" i="25" s="1"/>
  <c r="AR612" i="25" s="1"/>
  <c r="W755" i="25"/>
  <c r="Z755" i="25" s="1"/>
  <c r="AB755" i="25" s="1"/>
  <c r="AD755" i="25" s="1"/>
  <c r="AE755" i="25" s="1"/>
  <c r="AI755" i="25"/>
  <c r="AO755" i="25" s="1"/>
  <c r="AR755" i="25" s="1"/>
  <c r="AH755" i="25"/>
  <c r="AP755" i="25" s="1"/>
  <c r="AS755" i="25" s="1"/>
  <c r="O613" i="25"/>
  <c r="Y613" i="25"/>
  <c r="AC613" i="25" s="1"/>
  <c r="P613" i="25"/>
  <c r="W613" i="25"/>
  <c r="Z613" i="25" s="1"/>
  <c r="U613" i="25"/>
  <c r="V613" i="25"/>
  <c r="N613" i="25"/>
  <c r="T613" i="25"/>
  <c r="O912" i="25"/>
  <c r="T912" i="25"/>
  <c r="AJ131" i="25"/>
  <c r="AL131" i="25"/>
  <c r="E133" i="25"/>
  <c r="N132" i="25"/>
  <c r="AA911" i="25"/>
  <c r="AB911" i="25" s="1"/>
  <c r="AC911" i="25" s="1"/>
  <c r="AD911" i="25" s="1"/>
  <c r="W911" i="25"/>
  <c r="X911" i="25" s="1"/>
  <c r="AM130" i="25"/>
  <c r="AH130" i="25"/>
  <c r="AP130" i="25" s="1"/>
  <c r="AS130" i="25" s="1"/>
  <c r="M914" i="25" s="1"/>
  <c r="V914" i="25" s="1"/>
  <c r="AN129" i="25"/>
  <c r="AQ129" i="25" s="1"/>
  <c r="K913" i="25" s="1"/>
  <c r="C133" i="25"/>
  <c r="Y132" i="25"/>
  <c r="AC132" i="25" s="1"/>
  <c r="AD132" i="25" s="1"/>
  <c r="AE132" i="25" s="1"/>
  <c r="F132" i="25"/>
  <c r="O131" i="25"/>
  <c r="AI130" i="25"/>
  <c r="AO130" i="25" s="1"/>
  <c r="AR130" i="25" s="1"/>
  <c r="L914" i="25" s="1"/>
  <c r="U914" i="25" s="1"/>
  <c r="AK130" i="25"/>
  <c r="D132" i="25"/>
  <c r="P131" i="25"/>
  <c r="M757" i="25"/>
  <c r="B758" i="25"/>
  <c r="B620" i="25"/>
  <c r="B452" i="25"/>
  <c r="M445" i="25"/>
  <c r="B290" i="25"/>
  <c r="M290" i="25" s="1"/>
  <c r="AH289" i="25" l="1"/>
  <c r="Q757" i="25"/>
  <c r="S757" i="25"/>
  <c r="R757" i="25"/>
  <c r="R290" i="25"/>
  <c r="Q290" i="25"/>
  <c r="S290" i="25"/>
  <c r="Q614" i="25"/>
  <c r="R614" i="25"/>
  <c r="S614" i="25"/>
  <c r="Q445" i="25"/>
  <c r="S445" i="25"/>
  <c r="R445" i="25"/>
  <c r="AI289" i="25"/>
  <c r="W289" i="25"/>
  <c r="Z289" i="25" s="1"/>
  <c r="AJ289" i="25"/>
  <c r="AP289" i="25" s="1"/>
  <c r="AS289" i="25" s="1"/>
  <c r="AK289" i="25"/>
  <c r="AN289" i="25" s="1"/>
  <c r="AQ289" i="25" s="1"/>
  <c r="AL289" i="25"/>
  <c r="AO289" i="25" s="1"/>
  <c r="AR289" i="25" s="1"/>
  <c r="AM289" i="25"/>
  <c r="P290" i="25"/>
  <c r="V290" i="25"/>
  <c r="Y290" i="25"/>
  <c r="AC290" i="25" s="1"/>
  <c r="T290" i="25"/>
  <c r="N290" i="25"/>
  <c r="U290" i="25"/>
  <c r="O290" i="25"/>
  <c r="W290" i="25"/>
  <c r="Z290" i="25" s="1"/>
  <c r="AB290" i="25" s="1"/>
  <c r="AD290" i="25" s="1"/>
  <c r="AE290" i="25" s="1"/>
  <c r="X290" i="25"/>
  <c r="AA290" i="25" s="1"/>
  <c r="AP290" i="25"/>
  <c r="AS290" i="25" s="1"/>
  <c r="AO290" i="25"/>
  <c r="AR290" i="25" s="1"/>
  <c r="AN290" i="25"/>
  <c r="AQ290" i="25" s="1"/>
  <c r="X613" i="25"/>
  <c r="AA613" i="25" s="1"/>
  <c r="AB613" i="25" s="1"/>
  <c r="AD613" i="25" s="1"/>
  <c r="AE613" i="25" s="1"/>
  <c r="AP443" i="25"/>
  <c r="AS443" i="25" s="1"/>
  <c r="Q915" i="25"/>
  <c r="Z915" i="25" s="1"/>
  <c r="N915" i="25"/>
  <c r="X444" i="25"/>
  <c r="AA444" i="25" s="1"/>
  <c r="AN130" i="25"/>
  <c r="AQ130" i="25" s="1"/>
  <c r="K914" i="25" s="1"/>
  <c r="T914" i="25" s="1"/>
  <c r="N916" i="25"/>
  <c r="S916" i="25"/>
  <c r="AN755" i="25"/>
  <c r="AQ755" i="25" s="1"/>
  <c r="AP612" i="25"/>
  <c r="AS612" i="25" s="1"/>
  <c r="Z916" i="25"/>
  <c r="AO443" i="25"/>
  <c r="AR443" i="25" s="1"/>
  <c r="AL613" i="25"/>
  <c r="AM613" i="25"/>
  <c r="AJ613" i="25"/>
  <c r="AK613" i="25"/>
  <c r="AL444" i="25"/>
  <c r="AM444" i="25"/>
  <c r="AL756" i="25"/>
  <c r="AM756" i="25"/>
  <c r="AI613" i="25"/>
  <c r="AO613" i="25" s="1"/>
  <c r="AR613" i="25" s="1"/>
  <c r="AH613" i="25"/>
  <c r="AP613" i="25" s="1"/>
  <c r="AS613" i="25" s="1"/>
  <c r="AJ444" i="25"/>
  <c r="AK444" i="25"/>
  <c r="T614" i="25"/>
  <c r="U614" i="25"/>
  <c r="N614" i="25"/>
  <c r="V614" i="25"/>
  <c r="O614" i="25"/>
  <c r="Y614" i="25"/>
  <c r="AC614" i="25" s="1"/>
  <c r="P614" i="25"/>
  <c r="W614" i="25"/>
  <c r="Z614" i="25" s="1"/>
  <c r="W444" i="25"/>
  <c r="Z444" i="25" s="1"/>
  <c r="AB444" i="25" s="1"/>
  <c r="AD444" i="25" s="1"/>
  <c r="AE444" i="25" s="1"/>
  <c r="AH444" i="25"/>
  <c r="AP444" i="25" s="1"/>
  <c r="AS444" i="25" s="1"/>
  <c r="AI444" i="25"/>
  <c r="AO444" i="25" s="1"/>
  <c r="AR444" i="25" s="1"/>
  <c r="N757" i="25"/>
  <c r="V757" i="25"/>
  <c r="O757" i="25"/>
  <c r="Y757" i="25"/>
  <c r="AC757" i="25" s="1"/>
  <c r="W757" i="25"/>
  <c r="Z757" i="25" s="1"/>
  <c r="AB757" i="25" s="1"/>
  <c r="AD757" i="25" s="1"/>
  <c r="AE757" i="25" s="1"/>
  <c r="T757" i="25"/>
  <c r="X757" i="25" s="1"/>
  <c r="AA757" i="25" s="1"/>
  <c r="U757" i="25"/>
  <c r="P757" i="25"/>
  <c r="M615" i="25"/>
  <c r="T445" i="25"/>
  <c r="U445" i="25"/>
  <c r="N445" i="25"/>
  <c r="V445" i="25"/>
  <c r="O445" i="25"/>
  <c r="Y445" i="25"/>
  <c r="AC445" i="25" s="1"/>
  <c r="P445" i="25"/>
  <c r="H917" i="25"/>
  <c r="I917" i="25"/>
  <c r="R917" i="25" s="1"/>
  <c r="AJ756" i="25"/>
  <c r="AK756" i="25"/>
  <c r="AN756" i="25" s="1"/>
  <c r="AQ756" i="25" s="1"/>
  <c r="AH756" i="25"/>
  <c r="AI756" i="25"/>
  <c r="AO756" i="25" s="1"/>
  <c r="AR756" i="25" s="1"/>
  <c r="AH131" i="25"/>
  <c r="AP131" i="25" s="1"/>
  <c r="AS131" i="25" s="1"/>
  <c r="M915" i="25" s="1"/>
  <c r="V915" i="25" s="1"/>
  <c r="AM131" i="25"/>
  <c r="AJ132" i="25"/>
  <c r="AL132" i="25"/>
  <c r="E134" i="25"/>
  <c r="N133" i="25"/>
  <c r="F133" i="25"/>
  <c r="O132" i="25"/>
  <c r="C134" i="25"/>
  <c r="Y133" i="25"/>
  <c r="AC133" i="25" s="1"/>
  <c r="AD133" i="25" s="1"/>
  <c r="AE133" i="25" s="1"/>
  <c r="AI131" i="25"/>
  <c r="AO131" i="25" s="1"/>
  <c r="AR131" i="25" s="1"/>
  <c r="L915" i="25" s="1"/>
  <c r="U915" i="25" s="1"/>
  <c r="AK131" i="25"/>
  <c r="T913" i="25"/>
  <c r="O913" i="25"/>
  <c r="D133" i="25"/>
  <c r="P132" i="25"/>
  <c r="AA912" i="25"/>
  <c r="AB912" i="25" s="1"/>
  <c r="AC912" i="25" s="1"/>
  <c r="AD912" i="25" s="1"/>
  <c r="W912" i="25"/>
  <c r="X912" i="25" s="1"/>
  <c r="M758" i="25"/>
  <c r="B759" i="25"/>
  <c r="B621" i="25"/>
  <c r="B453" i="25"/>
  <c r="B291" i="25"/>
  <c r="M291" i="25" s="1"/>
  <c r="M446" i="25"/>
  <c r="Q291" i="25" l="1"/>
  <c r="R291" i="25"/>
  <c r="S291" i="25"/>
  <c r="S446" i="25"/>
  <c r="R446" i="25"/>
  <c r="Q446" i="25"/>
  <c r="R758" i="25"/>
  <c r="Q758" i="25"/>
  <c r="S758" i="25"/>
  <c r="R615" i="25"/>
  <c r="Q615" i="25"/>
  <c r="S615" i="25"/>
  <c r="AL290" i="25"/>
  <c r="AM290" i="25"/>
  <c r="AJ290" i="25"/>
  <c r="AK290" i="25"/>
  <c r="AH290" i="25"/>
  <c r="AI290" i="25"/>
  <c r="T291" i="25"/>
  <c r="V291" i="25"/>
  <c r="O291" i="25"/>
  <c r="P291" i="25"/>
  <c r="AC291" i="25"/>
  <c r="Y291" i="25"/>
  <c r="U291" i="25"/>
  <c r="X291" i="25" s="1"/>
  <c r="AA291" i="25" s="1"/>
  <c r="N291" i="25"/>
  <c r="W291" i="25"/>
  <c r="Z291" i="25" s="1"/>
  <c r="AB291" i="25" s="1"/>
  <c r="AD291" i="25" s="1"/>
  <c r="AE291" i="25" s="1"/>
  <c r="AP291" i="25"/>
  <c r="AS291" i="25" s="1"/>
  <c r="AO291" i="25"/>
  <c r="AR291" i="25" s="1"/>
  <c r="O914" i="25"/>
  <c r="AP756" i="25"/>
  <c r="AS756" i="25" s="1"/>
  <c r="Q917" i="25"/>
  <c r="X445" i="25"/>
  <c r="AA445" i="25" s="1"/>
  <c r="X614" i="25"/>
  <c r="AA614" i="25" s="1"/>
  <c r="AB614" i="25" s="1"/>
  <c r="AD614" i="25" s="1"/>
  <c r="AE614" i="25" s="1"/>
  <c r="J917" i="25"/>
  <c r="S917" i="25" s="1"/>
  <c r="AN444" i="25"/>
  <c r="AQ444" i="25" s="1"/>
  <c r="AN613" i="25"/>
  <c r="AQ613" i="25" s="1"/>
  <c r="W445" i="25"/>
  <c r="Z445" i="25" s="1"/>
  <c r="AJ445" i="25"/>
  <c r="AK445" i="25"/>
  <c r="AJ757" i="25"/>
  <c r="AK757" i="25"/>
  <c r="AL614" i="25"/>
  <c r="AM614" i="25"/>
  <c r="M616" i="25"/>
  <c r="O446" i="25"/>
  <c r="P446" i="25"/>
  <c r="Y446" i="25"/>
  <c r="AC446" i="25" s="1"/>
  <c r="H918" i="25"/>
  <c r="T446" i="25"/>
  <c r="U446" i="25"/>
  <c r="N446" i="25"/>
  <c r="V446" i="25"/>
  <c r="X446" i="25" s="1"/>
  <c r="AA446" i="25" s="1"/>
  <c r="AH445" i="25"/>
  <c r="AI445" i="25"/>
  <c r="AK614" i="25"/>
  <c r="AN614" i="25" s="1"/>
  <c r="AQ614" i="25" s="1"/>
  <c r="AJ614" i="25"/>
  <c r="AL445" i="25"/>
  <c r="AM445" i="25"/>
  <c r="AI614" i="25"/>
  <c r="AO614" i="25" s="1"/>
  <c r="AR614" i="25" s="1"/>
  <c r="AH614" i="25"/>
  <c r="T758" i="25"/>
  <c r="U758" i="25"/>
  <c r="V758" i="25"/>
  <c r="N758" i="25"/>
  <c r="X758" i="25"/>
  <c r="AA758" i="25" s="1"/>
  <c r="O758" i="25"/>
  <c r="Y758" i="25"/>
  <c r="P758" i="25"/>
  <c r="W758" i="25"/>
  <c r="Z758" i="25" s="1"/>
  <c r="AB758" i="25" s="1"/>
  <c r="AD758" i="25" s="1"/>
  <c r="AE758" i="25" s="1"/>
  <c r="AC758" i="25"/>
  <c r="T615" i="25"/>
  <c r="U615" i="25"/>
  <c r="N615" i="25"/>
  <c r="V615" i="25"/>
  <c r="Y615" i="25"/>
  <c r="AC615" i="25" s="1"/>
  <c r="P615" i="25"/>
  <c r="O615" i="25"/>
  <c r="W615" i="25"/>
  <c r="Z615" i="25" s="1"/>
  <c r="AM757" i="25"/>
  <c r="AL757" i="25"/>
  <c r="AI757" i="25"/>
  <c r="AH757" i="25"/>
  <c r="AP757" i="25" s="1"/>
  <c r="AS757" i="25" s="1"/>
  <c r="AI132" i="25"/>
  <c r="AO132" i="25" s="1"/>
  <c r="AR132" i="25" s="1"/>
  <c r="L916" i="25" s="1"/>
  <c r="U916" i="25" s="1"/>
  <c r="AK132" i="25"/>
  <c r="AM132" i="25"/>
  <c r="AH132" i="25"/>
  <c r="AP132" i="25" s="1"/>
  <c r="AS132" i="25" s="1"/>
  <c r="M916" i="25" s="1"/>
  <c r="V916" i="25" s="1"/>
  <c r="F134" i="25"/>
  <c r="O133" i="25"/>
  <c r="AL133" i="25"/>
  <c r="AJ133" i="25"/>
  <c r="D134" i="25"/>
  <c r="P133" i="25"/>
  <c r="W913" i="25"/>
  <c r="X913" i="25" s="1"/>
  <c r="AA913" i="25"/>
  <c r="AB913" i="25" s="1"/>
  <c r="AC913" i="25" s="1"/>
  <c r="AD913" i="25" s="1"/>
  <c r="E135" i="25"/>
  <c r="N134" i="25"/>
  <c r="C135" i="25"/>
  <c r="Y134" i="25"/>
  <c r="AC134" i="25" s="1"/>
  <c r="AD134" i="25" s="1"/>
  <c r="AE134" i="25" s="1"/>
  <c r="AN131" i="25"/>
  <c r="AQ131" i="25" s="1"/>
  <c r="K915" i="25" s="1"/>
  <c r="W914" i="25"/>
  <c r="X914" i="25" s="1"/>
  <c r="AA914" i="25"/>
  <c r="AB914" i="25" s="1"/>
  <c r="AC914" i="25" s="1"/>
  <c r="AD914" i="25" s="1"/>
  <c r="M759" i="25"/>
  <c r="B760" i="25"/>
  <c r="B622" i="25"/>
  <c r="B454" i="25"/>
  <c r="B292" i="25"/>
  <c r="M292" i="25" s="1"/>
  <c r="M447" i="25"/>
  <c r="S759" i="25" l="1"/>
  <c r="Q759" i="25"/>
  <c r="R759" i="25"/>
  <c r="R616" i="25"/>
  <c r="S616" i="25"/>
  <c r="Q616" i="25"/>
  <c r="R447" i="25"/>
  <c r="S447" i="25"/>
  <c r="Q447" i="25"/>
  <c r="Q292" i="25"/>
  <c r="R292" i="25"/>
  <c r="S292" i="25"/>
  <c r="AM291" i="25"/>
  <c r="AL291" i="25"/>
  <c r="AK291" i="25"/>
  <c r="AN291" i="25" s="1"/>
  <c r="AQ291" i="25" s="1"/>
  <c r="AJ291" i="25"/>
  <c r="AC292" i="25"/>
  <c r="U292" i="25"/>
  <c r="P292" i="25"/>
  <c r="O292" i="25"/>
  <c r="Y292" i="25"/>
  <c r="T292" i="25"/>
  <c r="X292" i="25" s="1"/>
  <c r="AA292" i="25" s="1"/>
  <c r="V292" i="25"/>
  <c r="N292" i="25"/>
  <c r="W292" i="25"/>
  <c r="Z292" i="25" s="1"/>
  <c r="AB292" i="25" s="1"/>
  <c r="AD292" i="25" s="1"/>
  <c r="AE292" i="25" s="1"/>
  <c r="AN292" i="25"/>
  <c r="AQ292" i="25" s="1"/>
  <c r="AI291" i="25"/>
  <c r="AH291" i="25"/>
  <c r="AO757" i="25"/>
  <c r="AR757" i="25" s="1"/>
  <c r="J918" i="25"/>
  <c r="S918" i="25" s="1"/>
  <c r="I918" i="25"/>
  <c r="R918" i="25" s="1"/>
  <c r="Q918" i="25"/>
  <c r="N918" i="25"/>
  <c r="AN757" i="25"/>
  <c r="AQ757" i="25" s="1"/>
  <c r="AP614" i="25"/>
  <c r="AS614" i="25" s="1"/>
  <c r="AN445" i="25"/>
  <c r="AQ445" i="25" s="1"/>
  <c r="N917" i="25"/>
  <c r="X615" i="25"/>
  <c r="AA615" i="25" s="1"/>
  <c r="Z917" i="25"/>
  <c r="AO445" i="25"/>
  <c r="AR445" i="25" s="1"/>
  <c r="AB445" i="25"/>
  <c r="AD445" i="25" s="1"/>
  <c r="AE445" i="25" s="1"/>
  <c r="AB615" i="25"/>
  <c r="AD615" i="25" s="1"/>
  <c r="AE615" i="25" s="1"/>
  <c r="AP445" i="25"/>
  <c r="AS445" i="25" s="1"/>
  <c r="AI615" i="25"/>
  <c r="AH615" i="25"/>
  <c r="AJ615" i="25"/>
  <c r="AK615" i="25"/>
  <c r="P616" i="25"/>
  <c r="Y616" i="25"/>
  <c r="AC616" i="25"/>
  <c r="T616" i="25"/>
  <c r="X616" i="25" s="1"/>
  <c r="AA616" i="25" s="1"/>
  <c r="N616" i="25"/>
  <c r="O616" i="25"/>
  <c r="U616" i="25"/>
  <c r="V616" i="25"/>
  <c r="AL446" i="25"/>
  <c r="AM446" i="25"/>
  <c r="AJ446" i="25"/>
  <c r="AK446" i="25"/>
  <c r="AN446" i="25" s="1"/>
  <c r="AQ446" i="25" s="1"/>
  <c r="W446" i="25"/>
  <c r="Z446" i="25" s="1"/>
  <c r="AB446" i="25" s="1"/>
  <c r="AD446" i="25" s="1"/>
  <c r="AE446" i="25" s="1"/>
  <c r="AH446" i="25"/>
  <c r="AP446" i="25" s="1"/>
  <c r="AS446" i="25" s="1"/>
  <c r="AI446" i="25"/>
  <c r="O759" i="25"/>
  <c r="P759" i="25"/>
  <c r="Y759" i="25"/>
  <c r="T759" i="25"/>
  <c r="X759" i="25" s="1"/>
  <c r="AA759" i="25" s="1"/>
  <c r="U759" i="25"/>
  <c r="V759" i="25"/>
  <c r="N759" i="25"/>
  <c r="AC759" i="25"/>
  <c r="AJ758" i="25"/>
  <c r="AK758" i="25"/>
  <c r="AN758" i="25" s="1"/>
  <c r="AQ758" i="25" s="1"/>
  <c r="AL758" i="25"/>
  <c r="AM758" i="25"/>
  <c r="M617" i="25"/>
  <c r="T447" i="25"/>
  <c r="U447" i="25"/>
  <c r="N447" i="25"/>
  <c r="V447" i="25"/>
  <c r="X447" i="25" s="1"/>
  <c r="AA447" i="25" s="1"/>
  <c r="O447" i="25"/>
  <c r="P447" i="25"/>
  <c r="Y447" i="25"/>
  <c r="AC447" i="25" s="1"/>
  <c r="H919" i="25"/>
  <c r="J919" i="25"/>
  <c r="S919" i="25" s="1"/>
  <c r="AM615" i="25"/>
  <c r="AL615" i="25"/>
  <c r="AH758" i="25"/>
  <c r="AP758" i="25" s="1"/>
  <c r="AS758" i="25" s="1"/>
  <c r="AI758" i="25"/>
  <c r="C136" i="25"/>
  <c r="Y135" i="25"/>
  <c r="AC135" i="25" s="1"/>
  <c r="AD135" i="25" s="1"/>
  <c r="AE135" i="25" s="1"/>
  <c r="AM133" i="25"/>
  <c r="AH133" i="25"/>
  <c r="AP133" i="25" s="1"/>
  <c r="AS133" i="25" s="1"/>
  <c r="M917" i="25" s="1"/>
  <c r="V917" i="25" s="1"/>
  <c r="AJ134" i="25"/>
  <c r="AL134" i="25"/>
  <c r="E136" i="25"/>
  <c r="N135" i="25"/>
  <c r="F135" i="25"/>
  <c r="O134" i="25"/>
  <c r="AK133" i="25"/>
  <c r="AI133" i="25"/>
  <c r="AO133" i="25" s="1"/>
  <c r="AR133" i="25" s="1"/>
  <c r="L917" i="25" s="1"/>
  <c r="U917" i="25" s="1"/>
  <c r="AN132" i="25"/>
  <c r="AQ132" i="25" s="1"/>
  <c r="K916" i="25" s="1"/>
  <c r="T915" i="25"/>
  <c r="O915" i="25"/>
  <c r="D135" i="25"/>
  <c r="P134" i="25"/>
  <c r="M760" i="25"/>
  <c r="B761" i="25"/>
  <c r="B623" i="25"/>
  <c r="B455" i="25"/>
  <c r="B293" i="25"/>
  <c r="M293" i="25" s="1"/>
  <c r="M448" i="25"/>
  <c r="AI292" i="25" l="1"/>
  <c r="S293" i="25"/>
  <c r="Q293" i="25"/>
  <c r="R293" i="25"/>
  <c r="R448" i="25"/>
  <c r="Q448" i="25"/>
  <c r="S448" i="25"/>
  <c r="R760" i="25"/>
  <c r="Q760" i="25"/>
  <c r="S760" i="25"/>
  <c r="Q617" i="25"/>
  <c r="R617" i="25"/>
  <c r="S617" i="25"/>
  <c r="AL292" i="25"/>
  <c r="AO292" i="25" s="1"/>
  <c r="AR292" i="25" s="1"/>
  <c r="AM292" i="25"/>
  <c r="N293" i="25"/>
  <c r="V293" i="25"/>
  <c r="U293" i="25"/>
  <c r="Y293" i="25"/>
  <c r="AC293" i="25" s="1"/>
  <c r="O293" i="25"/>
  <c r="P293" i="25"/>
  <c r="AI293" i="25" s="1"/>
  <c r="T293" i="25"/>
  <c r="X293" i="25"/>
  <c r="AA293" i="25" s="1"/>
  <c r="W293" i="25"/>
  <c r="Z293" i="25" s="1"/>
  <c r="AB293" i="25" s="1"/>
  <c r="AD293" i="25" s="1"/>
  <c r="AE293" i="25" s="1"/>
  <c r="AJ292" i="25"/>
  <c r="AP292" i="25" s="1"/>
  <c r="AS292" i="25" s="1"/>
  <c r="AK292" i="25"/>
  <c r="AH616" i="25"/>
  <c r="AH292" i="25"/>
  <c r="AO615" i="25"/>
  <c r="AR615" i="25" s="1"/>
  <c r="N919" i="25"/>
  <c r="Q919" i="25"/>
  <c r="Z919" i="25" s="1"/>
  <c r="W447" i="25"/>
  <c r="Z447" i="25" s="1"/>
  <c r="AB447" i="25" s="1"/>
  <c r="AD447" i="25" s="1"/>
  <c r="AE447" i="25" s="1"/>
  <c r="Z918" i="25"/>
  <c r="AN615" i="25"/>
  <c r="AQ615" i="25" s="1"/>
  <c r="AO758" i="25"/>
  <c r="AR758" i="25" s="1"/>
  <c r="I919" i="25"/>
  <c r="R919" i="25" s="1"/>
  <c r="AO446" i="25"/>
  <c r="AR446" i="25" s="1"/>
  <c r="AP615" i="25"/>
  <c r="AS615" i="25" s="1"/>
  <c r="AH447" i="25"/>
  <c r="AI447" i="25"/>
  <c r="AL759" i="25"/>
  <c r="AM759" i="25"/>
  <c r="AJ759" i="25"/>
  <c r="AK759" i="25"/>
  <c r="W759" i="25"/>
  <c r="Z759" i="25" s="1"/>
  <c r="AB759" i="25" s="1"/>
  <c r="AD759" i="25" s="1"/>
  <c r="AE759" i="25" s="1"/>
  <c r="AH759" i="25"/>
  <c r="AI759" i="25"/>
  <c r="AO759" i="25" s="1"/>
  <c r="AR759" i="25" s="1"/>
  <c r="AI616" i="25"/>
  <c r="T760" i="25"/>
  <c r="X760" i="25" s="1"/>
  <c r="AA760" i="25" s="1"/>
  <c r="P760" i="25"/>
  <c r="W760" i="25"/>
  <c r="Z760" i="25" s="1"/>
  <c r="AB760" i="25" s="1"/>
  <c r="AD760" i="25" s="1"/>
  <c r="AE760" i="25" s="1"/>
  <c r="U760" i="25"/>
  <c r="V760" i="25"/>
  <c r="N760" i="25"/>
  <c r="O760" i="25"/>
  <c r="Y760" i="25"/>
  <c r="AC760" i="25" s="1"/>
  <c r="T617" i="25"/>
  <c r="U617" i="25"/>
  <c r="N617" i="25"/>
  <c r="V617" i="25"/>
  <c r="X617" i="25" s="1"/>
  <c r="AA617" i="25" s="1"/>
  <c r="O617" i="25"/>
  <c r="Y617" i="25"/>
  <c r="AC617" i="25" s="1"/>
  <c r="P617" i="25"/>
  <c r="AL447" i="25"/>
  <c r="AM447" i="25"/>
  <c r="AJ447" i="25"/>
  <c r="AK447" i="25"/>
  <c r="AN447" i="25" s="1"/>
  <c r="AQ447" i="25" s="1"/>
  <c r="AL616" i="25"/>
  <c r="AM616" i="25"/>
  <c r="M618" i="25"/>
  <c r="P448" i="25"/>
  <c r="H920" i="25"/>
  <c r="I920" i="25"/>
  <c r="R920" i="25" s="1"/>
  <c r="J920" i="25"/>
  <c r="S920" i="25" s="1"/>
  <c r="T448" i="25"/>
  <c r="X448" i="25" s="1"/>
  <c r="AA448" i="25" s="1"/>
  <c r="U448" i="25"/>
  <c r="N448" i="25"/>
  <c r="V448" i="25"/>
  <c r="O448" i="25"/>
  <c r="Y448" i="25"/>
  <c r="AC448" i="25" s="1"/>
  <c r="W616" i="25"/>
  <c r="Z616" i="25" s="1"/>
  <c r="AB616" i="25" s="1"/>
  <c r="AD616" i="25" s="1"/>
  <c r="AE616" i="25" s="1"/>
  <c r="AJ616" i="25"/>
  <c r="AP616" i="25" s="1"/>
  <c r="AS616" i="25" s="1"/>
  <c r="AK616" i="25"/>
  <c r="AJ135" i="25"/>
  <c r="AL135" i="25"/>
  <c r="E137" i="25"/>
  <c r="N136" i="25"/>
  <c r="T916" i="25"/>
  <c r="O916" i="25"/>
  <c r="D136" i="25"/>
  <c r="P135" i="25"/>
  <c r="W915" i="25"/>
  <c r="X915" i="25" s="1"/>
  <c r="AA915" i="25"/>
  <c r="AB915" i="25" s="1"/>
  <c r="AC915" i="25" s="1"/>
  <c r="AD915" i="25" s="1"/>
  <c r="AN133" i="25"/>
  <c r="AQ133" i="25" s="1"/>
  <c r="K917" i="25" s="1"/>
  <c r="AM134" i="25"/>
  <c r="AH134" i="25"/>
  <c r="AP134" i="25" s="1"/>
  <c r="AS134" i="25" s="1"/>
  <c r="M918" i="25" s="1"/>
  <c r="V918" i="25" s="1"/>
  <c r="AI134" i="25"/>
  <c r="AO134" i="25" s="1"/>
  <c r="AR134" i="25" s="1"/>
  <c r="L918" i="25" s="1"/>
  <c r="U918" i="25" s="1"/>
  <c r="AK134" i="25"/>
  <c r="F136" i="25"/>
  <c r="O135" i="25"/>
  <c r="C137" i="25"/>
  <c r="Y136" i="25"/>
  <c r="AC136" i="25" s="1"/>
  <c r="AD136" i="25" s="1"/>
  <c r="AE136" i="25" s="1"/>
  <c r="M761" i="25"/>
  <c r="B762" i="25"/>
  <c r="B624" i="25"/>
  <c r="B456" i="25"/>
  <c r="M449" i="25"/>
  <c r="B294" i="25"/>
  <c r="M294" i="25" s="1"/>
  <c r="AH293" i="25" l="1"/>
  <c r="Q618" i="25"/>
  <c r="R618" i="25"/>
  <c r="S618" i="25"/>
  <c r="Q294" i="25"/>
  <c r="R294" i="25"/>
  <c r="S294" i="25"/>
  <c r="Q761" i="25"/>
  <c r="R761" i="25"/>
  <c r="S761" i="25"/>
  <c r="R449" i="25"/>
  <c r="Q449" i="25"/>
  <c r="S449" i="25"/>
  <c r="V294" i="25"/>
  <c r="P294" i="25"/>
  <c r="Y294" i="25"/>
  <c r="AC294" i="25" s="1"/>
  <c r="O294" i="25"/>
  <c r="U294" i="25"/>
  <c r="T294" i="25"/>
  <c r="W294" i="25"/>
  <c r="Z294" i="25" s="1"/>
  <c r="N294" i="25"/>
  <c r="AO294" i="25"/>
  <c r="AR294" i="25" s="1"/>
  <c r="X294" i="25"/>
  <c r="AA294" i="25" s="1"/>
  <c r="AB294" i="25" s="1"/>
  <c r="AD294" i="25" s="1"/>
  <c r="AE294" i="25" s="1"/>
  <c r="AL293" i="25"/>
  <c r="AO293" i="25" s="1"/>
  <c r="AR293" i="25" s="1"/>
  <c r="AM293" i="25"/>
  <c r="AJ293" i="25"/>
  <c r="AP293" i="25" s="1"/>
  <c r="AS293" i="25" s="1"/>
  <c r="AK293" i="25"/>
  <c r="AN293" i="25" s="1"/>
  <c r="AQ293" i="25" s="1"/>
  <c r="AO616" i="25"/>
  <c r="AR616" i="25" s="1"/>
  <c r="AO447" i="25"/>
  <c r="AR447" i="25" s="1"/>
  <c r="AP447" i="25"/>
  <c r="AS447" i="25" s="1"/>
  <c r="N920" i="25"/>
  <c r="Q920" i="25"/>
  <c r="Z920" i="25" s="1"/>
  <c r="AP759" i="25"/>
  <c r="AS759" i="25" s="1"/>
  <c r="AN616" i="25"/>
  <c r="AQ616" i="25" s="1"/>
  <c r="AN759" i="25"/>
  <c r="AQ759" i="25" s="1"/>
  <c r="W448" i="25"/>
  <c r="Z448" i="25" s="1"/>
  <c r="AB448" i="25" s="1"/>
  <c r="AD448" i="25" s="1"/>
  <c r="AE448" i="25" s="1"/>
  <c r="AH448" i="25"/>
  <c r="AI448" i="25"/>
  <c r="AM617" i="25"/>
  <c r="AL617" i="25"/>
  <c r="AJ760" i="25"/>
  <c r="AK760" i="25"/>
  <c r="AH760" i="25"/>
  <c r="AI760" i="25"/>
  <c r="T618" i="25"/>
  <c r="U618" i="25"/>
  <c r="N618" i="25"/>
  <c r="O618" i="25"/>
  <c r="P618" i="25"/>
  <c r="V618" i="25"/>
  <c r="Y618" i="25"/>
  <c r="AC618" i="25" s="1"/>
  <c r="M619" i="25"/>
  <c r="T449" i="25"/>
  <c r="X449" i="25" s="1"/>
  <c r="AA449" i="25" s="1"/>
  <c r="U449" i="25"/>
  <c r="N449" i="25"/>
  <c r="V449" i="25"/>
  <c r="O449" i="25"/>
  <c r="Y449" i="25"/>
  <c r="P449" i="25"/>
  <c r="AC449" i="25"/>
  <c r="AL448" i="25"/>
  <c r="AM448" i="25"/>
  <c r="AL760" i="25"/>
  <c r="AM760" i="25"/>
  <c r="AJ448" i="25"/>
  <c r="AK448" i="25"/>
  <c r="AK617" i="25"/>
  <c r="AN617" i="25" s="1"/>
  <c r="AQ617" i="25" s="1"/>
  <c r="AJ617" i="25"/>
  <c r="P761" i="25"/>
  <c r="W761" i="25"/>
  <c r="Z761" i="25" s="1"/>
  <c r="AB761" i="25" s="1"/>
  <c r="AD761" i="25" s="1"/>
  <c r="AE761" i="25" s="1"/>
  <c r="T761" i="25"/>
  <c r="X761" i="25" s="1"/>
  <c r="AA761" i="25" s="1"/>
  <c r="U761" i="25"/>
  <c r="V761" i="25"/>
  <c r="N761" i="25"/>
  <c r="O761" i="25"/>
  <c r="Y761" i="25"/>
  <c r="AC761" i="25" s="1"/>
  <c r="W617" i="25"/>
  <c r="Z617" i="25" s="1"/>
  <c r="AB617" i="25" s="1"/>
  <c r="AD617" i="25" s="1"/>
  <c r="AE617" i="25" s="1"/>
  <c r="AH617" i="25"/>
  <c r="AP617" i="25" s="1"/>
  <c r="AS617" i="25" s="1"/>
  <c r="AI617" i="25"/>
  <c r="AO617" i="25" s="1"/>
  <c r="AR617" i="25" s="1"/>
  <c r="AI135" i="25"/>
  <c r="AO135" i="25" s="1"/>
  <c r="AR135" i="25" s="1"/>
  <c r="L919" i="25" s="1"/>
  <c r="U919" i="25" s="1"/>
  <c r="AK135" i="25"/>
  <c r="AN134" i="25"/>
  <c r="AQ134" i="25" s="1"/>
  <c r="K918" i="25" s="1"/>
  <c r="AA916" i="25"/>
  <c r="AB916" i="25" s="1"/>
  <c r="AC916" i="25" s="1"/>
  <c r="AD916" i="25" s="1"/>
  <c r="W916" i="25"/>
  <c r="X916" i="25" s="1"/>
  <c r="AJ136" i="25"/>
  <c r="AL136" i="25"/>
  <c r="T917" i="25"/>
  <c r="O917" i="25"/>
  <c r="E138" i="25"/>
  <c r="N137" i="25"/>
  <c r="C138" i="25"/>
  <c r="Y137" i="25"/>
  <c r="AC137" i="25" s="1"/>
  <c r="AD137" i="25" s="1"/>
  <c r="AE137" i="25" s="1"/>
  <c r="F137" i="25"/>
  <c r="O136" i="25"/>
  <c r="D137" i="25"/>
  <c r="P136" i="25"/>
  <c r="AH135" i="25"/>
  <c r="AP135" i="25" s="1"/>
  <c r="AS135" i="25" s="1"/>
  <c r="M919" i="25" s="1"/>
  <c r="V919" i="25" s="1"/>
  <c r="AM135" i="25"/>
  <c r="M762" i="25"/>
  <c r="B763" i="25"/>
  <c r="B625" i="25"/>
  <c r="B457" i="25"/>
  <c r="B295" i="25"/>
  <c r="M295" i="25" s="1"/>
  <c r="M450" i="25"/>
  <c r="Q450" i="25" l="1"/>
  <c r="R450" i="25"/>
  <c r="S450" i="25"/>
  <c r="Q295" i="25"/>
  <c r="S295" i="25"/>
  <c r="R295" i="25"/>
  <c r="Q619" i="25"/>
  <c r="R619" i="25"/>
  <c r="S619" i="25"/>
  <c r="R762" i="25"/>
  <c r="Q762" i="25"/>
  <c r="S762" i="25"/>
  <c r="AH294" i="25"/>
  <c r="AP294" i="25" s="1"/>
  <c r="AS294" i="25" s="1"/>
  <c r="AL618" i="25"/>
  <c r="AM294" i="25"/>
  <c r="T295" i="25"/>
  <c r="P295" i="25"/>
  <c r="N295" i="25"/>
  <c r="U295" i="25"/>
  <c r="V295" i="25"/>
  <c r="O295" i="25"/>
  <c r="AM295" i="25" s="1"/>
  <c r="Y295" i="25"/>
  <c r="AC295" i="25" s="1"/>
  <c r="W295" i="25"/>
  <c r="Z295" i="25" s="1"/>
  <c r="AB295" i="25"/>
  <c r="AD295" i="25" s="1"/>
  <c r="AE295" i="25" s="1"/>
  <c r="X295" i="25"/>
  <c r="AA295" i="25" s="1"/>
  <c r="AL294" i="25"/>
  <c r="AK294" i="25"/>
  <c r="AN294" i="25" s="1"/>
  <c r="AQ294" i="25" s="1"/>
  <c r="AJ294" i="25"/>
  <c r="AI294" i="25"/>
  <c r="H921" i="25"/>
  <c r="Q921" i="25" s="1"/>
  <c r="AP760" i="25"/>
  <c r="AS760" i="25" s="1"/>
  <c r="AN760" i="25"/>
  <c r="AQ760" i="25" s="1"/>
  <c r="AO448" i="25"/>
  <c r="AR448" i="25" s="1"/>
  <c r="AN448" i="25"/>
  <c r="AQ448" i="25" s="1"/>
  <c r="J921" i="25"/>
  <c r="X618" i="25"/>
  <c r="AA618" i="25" s="1"/>
  <c r="AP448" i="25"/>
  <c r="AS448" i="25" s="1"/>
  <c r="I921" i="25"/>
  <c r="R921" i="25" s="1"/>
  <c r="AO760" i="25"/>
  <c r="AR760" i="25" s="1"/>
  <c r="AM761" i="25"/>
  <c r="AL761" i="25"/>
  <c r="AH449" i="25"/>
  <c r="AI449" i="25"/>
  <c r="O619" i="25"/>
  <c r="P619" i="25"/>
  <c r="Y619" i="25"/>
  <c r="AC619" i="25"/>
  <c r="W619" i="25"/>
  <c r="Z619" i="25" s="1"/>
  <c r="AB619" i="25" s="1"/>
  <c r="AD619" i="25" s="1"/>
  <c r="AE619" i="25" s="1"/>
  <c r="U619" i="25"/>
  <c r="X619" i="25" s="1"/>
  <c r="AA619" i="25" s="1"/>
  <c r="V619" i="25"/>
  <c r="N619" i="25"/>
  <c r="T619" i="25"/>
  <c r="AJ761" i="25"/>
  <c r="AK761" i="25"/>
  <c r="AN761" i="25" s="1"/>
  <c r="AQ761" i="25" s="1"/>
  <c r="M620" i="25"/>
  <c r="T450" i="25"/>
  <c r="X450" i="25" s="1"/>
  <c r="AA450" i="25" s="1"/>
  <c r="U450" i="25"/>
  <c r="N450" i="25"/>
  <c r="V450" i="25"/>
  <c r="O450" i="25"/>
  <c r="P450" i="25"/>
  <c r="Y450" i="25"/>
  <c r="AC450" i="25" s="1"/>
  <c r="AH761" i="25"/>
  <c r="AP761" i="25" s="1"/>
  <c r="AS761" i="25" s="1"/>
  <c r="AI761" i="25"/>
  <c r="AO761" i="25" s="1"/>
  <c r="AR761" i="25" s="1"/>
  <c r="AM618" i="25"/>
  <c r="AJ618" i="25"/>
  <c r="AK618" i="25"/>
  <c r="AN618" i="25" s="1"/>
  <c r="AQ618" i="25" s="1"/>
  <c r="AL449" i="25"/>
  <c r="AO449" i="25" s="1"/>
  <c r="AR449" i="25" s="1"/>
  <c r="AM449" i="25"/>
  <c r="W618" i="25"/>
  <c r="Z618" i="25" s="1"/>
  <c r="AB618" i="25" s="1"/>
  <c r="AD618" i="25" s="1"/>
  <c r="AE618" i="25" s="1"/>
  <c r="AH618" i="25"/>
  <c r="AP618" i="25" s="1"/>
  <c r="AS618" i="25" s="1"/>
  <c r="AI618" i="25"/>
  <c r="AO618" i="25" s="1"/>
  <c r="AR618" i="25" s="1"/>
  <c r="O762" i="25"/>
  <c r="P762" i="25"/>
  <c r="Y762" i="25"/>
  <c r="T762" i="25"/>
  <c r="X762" i="25" s="1"/>
  <c r="AA762" i="25" s="1"/>
  <c r="U762" i="25"/>
  <c r="V762" i="25"/>
  <c r="N762" i="25"/>
  <c r="AC762" i="25"/>
  <c r="W449" i="25"/>
  <c r="Z449" i="25" s="1"/>
  <c r="AB449" i="25" s="1"/>
  <c r="AD449" i="25" s="1"/>
  <c r="AE449" i="25" s="1"/>
  <c r="AJ449" i="25"/>
  <c r="AK449" i="25"/>
  <c r="AN449" i="25" s="1"/>
  <c r="AQ449" i="25" s="1"/>
  <c r="D138" i="25"/>
  <c r="P137" i="25"/>
  <c r="AA917" i="25"/>
  <c r="AB917" i="25" s="1"/>
  <c r="AC917" i="25" s="1"/>
  <c r="AD917" i="25" s="1"/>
  <c r="W917" i="25"/>
  <c r="X917" i="25" s="1"/>
  <c r="F138" i="25"/>
  <c r="O137" i="25"/>
  <c r="AM136" i="25"/>
  <c r="AH136" i="25"/>
  <c r="AP136" i="25" s="1"/>
  <c r="AS136" i="25" s="1"/>
  <c r="M920" i="25" s="1"/>
  <c r="V920" i="25" s="1"/>
  <c r="C139" i="25"/>
  <c r="Y138" i="25"/>
  <c r="AC138" i="25" s="1"/>
  <c r="AD138" i="25" s="1"/>
  <c r="AE138" i="25" s="1"/>
  <c r="AL137" i="25"/>
  <c r="AJ137" i="25"/>
  <c r="T918" i="25"/>
  <c r="O918" i="25"/>
  <c r="E139" i="25"/>
  <c r="N138" i="25"/>
  <c r="AN135" i="25"/>
  <c r="AQ135" i="25" s="1"/>
  <c r="K919" i="25" s="1"/>
  <c r="AI136" i="25"/>
  <c r="AO136" i="25" s="1"/>
  <c r="AR136" i="25" s="1"/>
  <c r="L920" i="25" s="1"/>
  <c r="U920" i="25" s="1"/>
  <c r="AK136" i="25"/>
  <c r="M763" i="25"/>
  <c r="B764" i="25"/>
  <c r="B626" i="25"/>
  <c r="B627" i="25" s="1"/>
  <c r="B458" i="25"/>
  <c r="M451" i="25"/>
  <c r="B296" i="25"/>
  <c r="M296" i="25" s="1"/>
  <c r="Q763" i="25" l="1"/>
  <c r="S763" i="25"/>
  <c r="R763" i="25"/>
  <c r="S620" i="25"/>
  <c r="Q620" i="25"/>
  <c r="R620" i="25"/>
  <c r="R296" i="25"/>
  <c r="S296" i="25"/>
  <c r="Q296" i="25"/>
  <c r="Q451" i="25"/>
  <c r="S451" i="25"/>
  <c r="R451" i="25"/>
  <c r="AL295" i="25"/>
  <c r="N296" i="25"/>
  <c r="P296" i="25"/>
  <c r="AK296" i="25" s="1"/>
  <c r="Y296" i="25"/>
  <c r="AC296" i="25" s="1"/>
  <c r="O296" i="25"/>
  <c r="U296" i="25"/>
  <c r="T296" i="25"/>
  <c r="V296" i="25"/>
  <c r="X296" i="25"/>
  <c r="AA296" i="25" s="1"/>
  <c r="W296" i="25"/>
  <c r="Z296" i="25" s="1"/>
  <c r="AB296" i="25" s="1"/>
  <c r="AD296" i="25" s="1"/>
  <c r="AE296" i="25" s="1"/>
  <c r="AI295" i="25"/>
  <c r="AO295" i="25" s="1"/>
  <c r="AR295" i="25" s="1"/>
  <c r="AH295" i="25"/>
  <c r="AP295" i="25" s="1"/>
  <c r="AS295" i="25" s="1"/>
  <c r="AK295" i="25"/>
  <c r="AN295" i="25" s="1"/>
  <c r="AQ295" i="25" s="1"/>
  <c r="AJ295" i="25"/>
  <c r="N921" i="25"/>
  <c r="S921" i="25"/>
  <c r="AP449" i="25"/>
  <c r="AS449" i="25" s="1"/>
  <c r="J922" i="25"/>
  <c r="S922" i="25" s="1"/>
  <c r="I922" i="25"/>
  <c r="R922" i="25" s="1"/>
  <c r="H922" i="25"/>
  <c r="Z921" i="25"/>
  <c r="W450" i="25"/>
  <c r="Z450" i="25" s="1"/>
  <c r="AB450" i="25" s="1"/>
  <c r="AD450" i="25" s="1"/>
  <c r="AE450" i="25" s="1"/>
  <c r="AH450" i="25"/>
  <c r="AI450" i="25"/>
  <c r="AH619" i="25"/>
  <c r="AI619" i="25"/>
  <c r="T620" i="25"/>
  <c r="X620" i="25" s="1"/>
  <c r="AA620" i="25" s="1"/>
  <c r="U620" i="25"/>
  <c r="O620" i="25"/>
  <c r="V620" i="25"/>
  <c r="Y620" i="25"/>
  <c r="AC620" i="25" s="1"/>
  <c r="N620" i="25"/>
  <c r="P620" i="25"/>
  <c r="W620" i="25"/>
  <c r="Z620" i="25" s="1"/>
  <c r="AB620" i="25" s="1"/>
  <c r="AD620" i="25" s="1"/>
  <c r="AE620" i="25" s="1"/>
  <c r="T763" i="25"/>
  <c r="P763" i="25"/>
  <c r="U763" i="25"/>
  <c r="V763" i="25"/>
  <c r="N763" i="25"/>
  <c r="Y763" i="25"/>
  <c r="AC763" i="25" s="1"/>
  <c r="O763" i="25"/>
  <c r="X763" i="25"/>
  <c r="AA763" i="25" s="1"/>
  <c r="AL762" i="25"/>
  <c r="AM762" i="25"/>
  <c r="W762" i="25"/>
  <c r="Z762" i="25" s="1"/>
  <c r="AB762" i="25" s="1"/>
  <c r="AD762" i="25" s="1"/>
  <c r="AE762" i="25" s="1"/>
  <c r="AJ762" i="25"/>
  <c r="AK762" i="25"/>
  <c r="AN762" i="25" s="1"/>
  <c r="AQ762" i="25" s="1"/>
  <c r="AL619" i="25"/>
  <c r="AM619" i="25"/>
  <c r="AH762" i="25"/>
  <c r="AI762" i="25"/>
  <c r="AO762" i="25" s="1"/>
  <c r="AR762" i="25" s="1"/>
  <c r="AL450" i="25"/>
  <c r="AM450" i="25"/>
  <c r="AJ619" i="25"/>
  <c r="AK619" i="25"/>
  <c r="AN619" i="25" s="1"/>
  <c r="AQ619" i="25" s="1"/>
  <c r="M621" i="25"/>
  <c r="N451" i="25"/>
  <c r="V451" i="25"/>
  <c r="O451" i="25"/>
  <c r="P451" i="25"/>
  <c r="Y451" i="25"/>
  <c r="AC451" i="25" s="1"/>
  <c r="H923" i="25"/>
  <c r="I923" i="25"/>
  <c r="R923" i="25" s="1"/>
  <c r="J923" i="25"/>
  <c r="S923" i="25" s="1"/>
  <c r="T451" i="25"/>
  <c r="U451" i="25"/>
  <c r="AJ450" i="25"/>
  <c r="AK450" i="25"/>
  <c r="AN450" i="25" s="1"/>
  <c r="AQ450" i="25" s="1"/>
  <c r="AM137" i="25"/>
  <c r="AH137" i="25"/>
  <c r="AP137" i="25" s="1"/>
  <c r="AS137" i="25" s="1"/>
  <c r="M921" i="25" s="1"/>
  <c r="V921" i="25" s="1"/>
  <c r="E140" i="25"/>
  <c r="N139" i="25"/>
  <c r="W918" i="25"/>
  <c r="X918" i="25" s="1"/>
  <c r="AA918" i="25"/>
  <c r="AB918" i="25" s="1"/>
  <c r="AC918" i="25" s="1"/>
  <c r="AD918" i="25" s="1"/>
  <c r="F139" i="25"/>
  <c r="O138" i="25"/>
  <c r="AJ138" i="25"/>
  <c r="AL138" i="25"/>
  <c r="AK137" i="25"/>
  <c r="AI137" i="25"/>
  <c r="AO137" i="25" s="1"/>
  <c r="AR137" i="25" s="1"/>
  <c r="L921" i="25" s="1"/>
  <c r="U921" i="25" s="1"/>
  <c r="AN136" i="25"/>
  <c r="AQ136" i="25" s="1"/>
  <c r="K920" i="25" s="1"/>
  <c r="O919" i="25"/>
  <c r="T919" i="25"/>
  <c r="C140" i="25"/>
  <c r="Y139" i="25"/>
  <c r="AC139" i="25" s="1"/>
  <c r="AD139" i="25" s="1"/>
  <c r="AE139" i="25" s="1"/>
  <c r="D139" i="25"/>
  <c r="P138" i="25"/>
  <c r="B765" i="25"/>
  <c r="M764" i="25"/>
  <c r="B628" i="25"/>
  <c r="B459" i="25"/>
  <c r="M452" i="25"/>
  <c r="B297" i="25"/>
  <c r="M297" i="25" s="1"/>
  <c r="R764" i="25" l="1"/>
  <c r="Q764" i="25"/>
  <c r="S764" i="25"/>
  <c r="S621" i="25"/>
  <c r="Q621" i="25"/>
  <c r="R621" i="25"/>
  <c r="Q452" i="25"/>
  <c r="S452" i="25"/>
  <c r="R452" i="25"/>
  <c r="Q297" i="25"/>
  <c r="R297" i="25"/>
  <c r="S297" i="25"/>
  <c r="AL296" i="25"/>
  <c r="AM296" i="25"/>
  <c r="AN296" i="25" s="1"/>
  <c r="AQ296" i="25" s="1"/>
  <c r="O297" i="25"/>
  <c r="N297" i="25"/>
  <c r="U297" i="25"/>
  <c r="T297" i="25"/>
  <c r="P297" i="25"/>
  <c r="Y297" i="25"/>
  <c r="AC297" i="25" s="1"/>
  <c r="V297" i="25"/>
  <c r="X297" i="25" s="1"/>
  <c r="AA297" i="25" s="1"/>
  <c r="W297" i="25"/>
  <c r="Z297" i="25" s="1"/>
  <c r="AB297" i="25" s="1"/>
  <c r="AD297" i="25" s="1"/>
  <c r="AE297" i="25" s="1"/>
  <c r="AI296" i="25"/>
  <c r="AO296" i="25" s="1"/>
  <c r="AR296" i="25" s="1"/>
  <c r="AH296" i="25"/>
  <c r="AP296" i="25" s="1"/>
  <c r="AS296" i="25" s="1"/>
  <c r="AJ296" i="25"/>
  <c r="Q923" i="25"/>
  <c r="Z923" i="25" s="1"/>
  <c r="N923" i="25"/>
  <c r="Q922" i="25"/>
  <c r="Z922" i="25" s="1"/>
  <c r="N922" i="25"/>
  <c r="W451" i="25"/>
  <c r="Z451" i="25" s="1"/>
  <c r="AO619" i="25"/>
  <c r="AR619" i="25" s="1"/>
  <c r="AP619" i="25"/>
  <c r="AS619" i="25" s="1"/>
  <c r="X451" i="25"/>
  <c r="AA451" i="25" s="1"/>
  <c r="AP762" i="25"/>
  <c r="AS762" i="25" s="1"/>
  <c r="AO450" i="25"/>
  <c r="AR450" i="25" s="1"/>
  <c r="AP450" i="25"/>
  <c r="AS450" i="25" s="1"/>
  <c r="M622" i="25"/>
  <c r="T452" i="25"/>
  <c r="U452" i="25"/>
  <c r="N452" i="25"/>
  <c r="V452" i="25"/>
  <c r="O452" i="25"/>
  <c r="Y452" i="25"/>
  <c r="P452" i="25"/>
  <c r="AC452" i="25"/>
  <c r="AH451" i="25"/>
  <c r="AI451" i="25"/>
  <c r="W763" i="25"/>
  <c r="Z763" i="25" s="1"/>
  <c r="AB763" i="25" s="1"/>
  <c r="AD763" i="25" s="1"/>
  <c r="AE763" i="25" s="1"/>
  <c r="AH763" i="25"/>
  <c r="AI763" i="25"/>
  <c r="AL620" i="25"/>
  <c r="AM620" i="25"/>
  <c r="AJ620" i="25"/>
  <c r="AK620" i="25"/>
  <c r="AN620" i="25" s="1"/>
  <c r="AQ620" i="25" s="1"/>
  <c r="AM763" i="25"/>
  <c r="AL763" i="25"/>
  <c r="O764" i="25"/>
  <c r="Y764" i="25"/>
  <c r="AC764" i="25" s="1"/>
  <c r="P764" i="25"/>
  <c r="N764" i="25"/>
  <c r="T764" i="25"/>
  <c r="X764" i="25" s="1"/>
  <c r="AA764" i="25" s="1"/>
  <c r="V764" i="25"/>
  <c r="U764" i="25"/>
  <c r="AL451" i="25"/>
  <c r="AM451" i="25"/>
  <c r="AJ451" i="25"/>
  <c r="AP451" i="25" s="1"/>
  <c r="AS451" i="25" s="1"/>
  <c r="AK451" i="25"/>
  <c r="P621" i="25"/>
  <c r="V621" i="25"/>
  <c r="Y621" i="25"/>
  <c r="AC621" i="25" s="1"/>
  <c r="N621" i="25"/>
  <c r="O621" i="25"/>
  <c r="T621" i="25"/>
  <c r="X621" i="25" s="1"/>
  <c r="AA621" i="25" s="1"/>
  <c r="U621" i="25"/>
  <c r="W621" i="25"/>
  <c r="Z621" i="25" s="1"/>
  <c r="AJ763" i="25"/>
  <c r="AK763" i="25"/>
  <c r="AN763" i="25" s="1"/>
  <c r="AQ763" i="25" s="1"/>
  <c r="AH620" i="25"/>
  <c r="AP620" i="25" s="1"/>
  <c r="AS620" i="25" s="1"/>
  <c r="AI620" i="25"/>
  <c r="AO620" i="25" s="1"/>
  <c r="AR620" i="25" s="1"/>
  <c r="AA919" i="25"/>
  <c r="AB919" i="25" s="1"/>
  <c r="AC919" i="25" s="1"/>
  <c r="AD919" i="25" s="1"/>
  <c r="W919" i="25"/>
  <c r="X919" i="25" s="1"/>
  <c r="D140" i="25"/>
  <c r="P139" i="25"/>
  <c r="C141" i="25"/>
  <c r="Y140" i="25"/>
  <c r="AC140" i="25" s="1"/>
  <c r="AD140" i="25" s="1"/>
  <c r="AE140" i="25" s="1"/>
  <c r="AM138" i="25"/>
  <c r="AH138" i="25"/>
  <c r="AP138" i="25" s="1"/>
  <c r="AS138" i="25" s="1"/>
  <c r="M922" i="25" s="1"/>
  <c r="V922" i="25" s="1"/>
  <c r="F140" i="25"/>
  <c r="O139" i="25"/>
  <c r="O920" i="25"/>
  <c r="T920" i="25"/>
  <c r="AJ139" i="25"/>
  <c r="AL139" i="25"/>
  <c r="AI138" i="25"/>
  <c r="AO138" i="25" s="1"/>
  <c r="AR138" i="25" s="1"/>
  <c r="L922" i="25" s="1"/>
  <c r="U922" i="25" s="1"/>
  <c r="AK138" i="25"/>
  <c r="AN137" i="25"/>
  <c r="AQ137" i="25" s="1"/>
  <c r="K921" i="25" s="1"/>
  <c r="E141" i="25"/>
  <c r="N140" i="25"/>
  <c r="M765" i="25"/>
  <c r="B766" i="25"/>
  <c r="B629" i="25"/>
  <c r="B460" i="25"/>
  <c r="M453" i="25"/>
  <c r="B298" i="25"/>
  <c r="M298" i="25" s="1"/>
  <c r="Q453" i="25" l="1"/>
  <c r="S453" i="25"/>
  <c r="R453" i="25"/>
  <c r="Q622" i="25"/>
  <c r="R622" i="25"/>
  <c r="S622" i="25"/>
  <c r="Q765" i="25"/>
  <c r="S765" i="25"/>
  <c r="R765" i="25"/>
  <c r="R298" i="25"/>
  <c r="Q298" i="25"/>
  <c r="S298" i="25"/>
  <c r="AK297" i="25"/>
  <c r="AN297" i="25" s="1"/>
  <c r="AQ297" i="25" s="1"/>
  <c r="AJ297" i="25"/>
  <c r="T298" i="25"/>
  <c r="P298" i="25"/>
  <c r="Y298" i="25"/>
  <c r="AC298" i="25" s="1"/>
  <c r="W298" i="25"/>
  <c r="Z298" i="25" s="1"/>
  <c r="V298" i="25"/>
  <c r="O298" i="25"/>
  <c r="N298" i="25"/>
  <c r="U298" i="25"/>
  <c r="X298" i="25"/>
  <c r="AA298" i="25" s="1"/>
  <c r="AB298" i="25" s="1"/>
  <c r="AD298" i="25" s="1"/>
  <c r="AE298" i="25" s="1"/>
  <c r="AP298" i="25"/>
  <c r="AS298" i="25" s="1"/>
  <c r="AL297" i="25"/>
  <c r="AM297" i="25"/>
  <c r="AH297" i="25"/>
  <c r="AP297" i="25" s="1"/>
  <c r="AS297" i="25" s="1"/>
  <c r="AI297" i="25"/>
  <c r="AO297" i="25" s="1"/>
  <c r="AR297" i="25" s="1"/>
  <c r="AN451" i="25"/>
  <c r="AQ451" i="25" s="1"/>
  <c r="AO763" i="25"/>
  <c r="AR763" i="25" s="1"/>
  <c r="I924" i="25"/>
  <c r="R924" i="25" s="1"/>
  <c r="AP763" i="25"/>
  <c r="AS763" i="25" s="1"/>
  <c r="H924" i="25"/>
  <c r="Q924" i="25" s="1"/>
  <c r="X452" i="25"/>
  <c r="AA452" i="25" s="1"/>
  <c r="J924" i="25"/>
  <c r="AB451" i="25"/>
  <c r="AD451" i="25" s="1"/>
  <c r="AE451" i="25" s="1"/>
  <c r="AB621" i="25"/>
  <c r="AD621" i="25" s="1"/>
  <c r="AE621" i="25" s="1"/>
  <c r="AO451" i="25"/>
  <c r="AR451" i="25" s="1"/>
  <c r="AM621" i="25"/>
  <c r="AL621" i="25"/>
  <c r="AJ764" i="25"/>
  <c r="AK764" i="25"/>
  <c r="AJ621" i="25"/>
  <c r="AK621" i="25"/>
  <c r="AH621" i="25"/>
  <c r="AI621" i="25"/>
  <c r="W764" i="25"/>
  <c r="Z764" i="25" s="1"/>
  <c r="AB764" i="25" s="1"/>
  <c r="AD764" i="25" s="1"/>
  <c r="AE764" i="25" s="1"/>
  <c r="AH764" i="25"/>
  <c r="AI764" i="25"/>
  <c r="M623" i="25"/>
  <c r="P453" i="25"/>
  <c r="T453" i="25"/>
  <c r="U453" i="25"/>
  <c r="N453" i="25"/>
  <c r="V453" i="25"/>
  <c r="O453" i="25"/>
  <c r="Y453" i="25"/>
  <c r="AC453" i="25" s="1"/>
  <c r="AJ452" i="25"/>
  <c r="AK452" i="25"/>
  <c r="AN452" i="25" s="1"/>
  <c r="AQ452" i="25" s="1"/>
  <c r="W452" i="25"/>
  <c r="Z452" i="25" s="1"/>
  <c r="AB452" i="25" s="1"/>
  <c r="AD452" i="25" s="1"/>
  <c r="AE452" i="25" s="1"/>
  <c r="AH452" i="25"/>
  <c r="AI452" i="25"/>
  <c r="N765" i="25"/>
  <c r="P765" i="25"/>
  <c r="T765" i="25"/>
  <c r="X765" i="25" s="1"/>
  <c r="AA765" i="25" s="1"/>
  <c r="V765" i="25"/>
  <c r="O765" i="25"/>
  <c r="U765" i="25"/>
  <c r="Y765" i="25"/>
  <c r="AC765" i="25" s="1"/>
  <c r="AL452" i="25"/>
  <c r="AM452" i="25"/>
  <c r="AL764" i="25"/>
  <c r="AM764" i="25"/>
  <c r="U622" i="25"/>
  <c r="N622" i="25"/>
  <c r="V622" i="25"/>
  <c r="P622" i="25"/>
  <c r="Y622" i="25"/>
  <c r="AC622" i="25" s="1"/>
  <c r="O622" i="25"/>
  <c r="T622" i="25"/>
  <c r="X622" i="25"/>
  <c r="AA622" i="25" s="1"/>
  <c r="AN138" i="25"/>
  <c r="AQ138" i="25" s="1"/>
  <c r="K922" i="25" s="1"/>
  <c r="C142" i="25"/>
  <c r="Y141" i="25"/>
  <c r="AC141" i="25" s="1"/>
  <c r="AD141" i="25" s="1"/>
  <c r="AE141" i="25" s="1"/>
  <c r="AA920" i="25"/>
  <c r="AB920" i="25" s="1"/>
  <c r="AC920" i="25" s="1"/>
  <c r="AD920" i="25" s="1"/>
  <c r="W920" i="25"/>
  <c r="X920" i="25" s="1"/>
  <c r="AI139" i="25"/>
  <c r="AO139" i="25" s="1"/>
  <c r="AR139" i="25" s="1"/>
  <c r="L923" i="25" s="1"/>
  <c r="U923" i="25" s="1"/>
  <c r="AK139" i="25"/>
  <c r="AJ140" i="25"/>
  <c r="AL140" i="25"/>
  <c r="D141" i="25"/>
  <c r="P140" i="25"/>
  <c r="E142" i="25"/>
  <c r="N141" i="25"/>
  <c r="AH139" i="25"/>
  <c r="AP139" i="25" s="1"/>
  <c r="AS139" i="25" s="1"/>
  <c r="M923" i="25" s="1"/>
  <c r="V923" i="25" s="1"/>
  <c r="AM139" i="25"/>
  <c r="T921" i="25"/>
  <c r="O921" i="25"/>
  <c r="F141" i="25"/>
  <c r="O140" i="25"/>
  <c r="M766" i="25"/>
  <c r="B767" i="25"/>
  <c r="B630" i="25"/>
  <c r="B461" i="25"/>
  <c r="M454" i="25"/>
  <c r="B299" i="25"/>
  <c r="M299" i="25" s="1"/>
  <c r="R766" i="25" l="1"/>
  <c r="Q766" i="25"/>
  <c r="S766" i="25"/>
  <c r="R623" i="25"/>
  <c r="S623" i="25"/>
  <c r="Q623" i="25"/>
  <c r="Q299" i="25"/>
  <c r="R299" i="25"/>
  <c r="S299" i="25"/>
  <c r="S454" i="25"/>
  <c r="Q454" i="25"/>
  <c r="R454" i="25"/>
  <c r="AL298" i="25"/>
  <c r="AI298" i="25"/>
  <c r="AO298" i="25" s="1"/>
  <c r="AR298" i="25" s="1"/>
  <c r="AH298" i="25"/>
  <c r="AM298" i="25"/>
  <c r="AJ298" i="25"/>
  <c r="AK298" i="25"/>
  <c r="AN298" i="25" s="1"/>
  <c r="AQ298" i="25" s="1"/>
  <c r="N299" i="25"/>
  <c r="P299" i="25"/>
  <c r="U299" i="25"/>
  <c r="Y299" i="25"/>
  <c r="AC299" i="25" s="1"/>
  <c r="O299" i="25"/>
  <c r="AH299" i="25" s="1"/>
  <c r="T299" i="25"/>
  <c r="W299" i="25"/>
  <c r="Z299" i="25" s="1"/>
  <c r="V299" i="25"/>
  <c r="X299" i="25"/>
  <c r="AA299" i="25" s="1"/>
  <c r="AB299" i="25"/>
  <c r="AD299" i="25" s="1"/>
  <c r="AE299" i="25" s="1"/>
  <c r="AN299" i="25"/>
  <c r="AQ299" i="25" s="1"/>
  <c r="N924" i="25"/>
  <c r="S924" i="25"/>
  <c r="AN764" i="25"/>
  <c r="AQ764" i="25" s="1"/>
  <c r="AO764" i="25"/>
  <c r="AR764" i="25" s="1"/>
  <c r="Z924" i="25"/>
  <c r="X453" i="25"/>
  <c r="AA453" i="25" s="1"/>
  <c r="AP764" i="25"/>
  <c r="AS764" i="25" s="1"/>
  <c r="J925" i="25"/>
  <c r="S925" i="25" s="1"/>
  <c r="I925" i="25"/>
  <c r="R925" i="25" s="1"/>
  <c r="AO621" i="25"/>
  <c r="AR621" i="25" s="1"/>
  <c r="AO452" i="25"/>
  <c r="AR452" i="25" s="1"/>
  <c r="H925" i="25"/>
  <c r="AP621" i="25"/>
  <c r="AS621" i="25" s="1"/>
  <c r="AP452" i="25"/>
  <c r="AS452" i="25" s="1"/>
  <c r="AN621" i="25"/>
  <c r="AQ621" i="25" s="1"/>
  <c r="W453" i="25"/>
  <c r="Z453" i="25" s="1"/>
  <c r="AB453" i="25" s="1"/>
  <c r="AD453" i="25" s="1"/>
  <c r="AE453" i="25" s="1"/>
  <c r="AJ453" i="25"/>
  <c r="AK453" i="25"/>
  <c r="W622" i="25"/>
  <c r="Z622" i="25" s="1"/>
  <c r="AB622" i="25" s="1"/>
  <c r="AD622" i="25" s="1"/>
  <c r="AE622" i="25" s="1"/>
  <c r="AI622" i="25"/>
  <c r="AH622" i="25"/>
  <c r="AH453" i="25"/>
  <c r="AP453" i="25" s="1"/>
  <c r="AS453" i="25" s="1"/>
  <c r="AI453" i="25"/>
  <c r="M624" i="25"/>
  <c r="U454" i="25"/>
  <c r="N454" i="25"/>
  <c r="V454" i="25"/>
  <c r="O454" i="25"/>
  <c r="P454" i="25"/>
  <c r="Y454" i="25"/>
  <c r="AC454" i="25" s="1"/>
  <c r="T454" i="25"/>
  <c r="X454" i="25" s="1"/>
  <c r="AA454" i="25" s="1"/>
  <c r="AL765" i="25"/>
  <c r="AM765" i="25"/>
  <c r="U623" i="25"/>
  <c r="N623" i="25"/>
  <c r="O623" i="25"/>
  <c r="P623" i="25"/>
  <c r="Y623" i="25"/>
  <c r="AC623" i="25" s="1"/>
  <c r="T623" i="25"/>
  <c r="V623" i="25"/>
  <c r="AL622" i="25"/>
  <c r="AM622" i="25"/>
  <c r="W765" i="25"/>
  <c r="Z765" i="25" s="1"/>
  <c r="AB765" i="25" s="1"/>
  <c r="AD765" i="25" s="1"/>
  <c r="AE765" i="25" s="1"/>
  <c r="AH765" i="25"/>
  <c r="AI765" i="25"/>
  <c r="AJ765" i="25"/>
  <c r="AK765" i="25"/>
  <c r="AN765" i="25" s="1"/>
  <c r="AQ765" i="25" s="1"/>
  <c r="N766" i="25"/>
  <c r="V766" i="25"/>
  <c r="O766" i="25"/>
  <c r="P766" i="25"/>
  <c r="W766" i="25"/>
  <c r="Z766" i="25" s="1"/>
  <c r="Y766" i="25"/>
  <c r="AC766" i="25"/>
  <c r="T766" i="25"/>
  <c r="X766" i="25" s="1"/>
  <c r="AA766" i="25" s="1"/>
  <c r="U766" i="25"/>
  <c r="AJ622" i="25"/>
  <c r="AK622" i="25"/>
  <c r="AN622" i="25" s="1"/>
  <c r="AQ622" i="25" s="1"/>
  <c r="AL453" i="25"/>
  <c r="AM453" i="25"/>
  <c r="W921" i="25"/>
  <c r="X921" i="25" s="1"/>
  <c r="AA921" i="25"/>
  <c r="AB921" i="25" s="1"/>
  <c r="AC921" i="25" s="1"/>
  <c r="AD921" i="25" s="1"/>
  <c r="AN139" i="25"/>
  <c r="AQ139" i="25" s="1"/>
  <c r="K923" i="25" s="1"/>
  <c r="AI140" i="25"/>
  <c r="AO140" i="25" s="1"/>
  <c r="AR140" i="25" s="1"/>
  <c r="L924" i="25" s="1"/>
  <c r="U924" i="25" s="1"/>
  <c r="AK140" i="25"/>
  <c r="F142" i="25"/>
  <c r="O141" i="25"/>
  <c r="D142" i="25"/>
  <c r="P141" i="25"/>
  <c r="C143" i="25"/>
  <c r="Y142" i="25"/>
  <c r="AC142" i="25" s="1"/>
  <c r="AD142" i="25" s="1"/>
  <c r="AE142" i="25" s="1"/>
  <c r="AL141" i="25"/>
  <c r="AJ141" i="25"/>
  <c r="E143" i="25"/>
  <c r="N142" i="25"/>
  <c r="AM140" i="25"/>
  <c r="AH140" i="25"/>
  <c r="AP140" i="25" s="1"/>
  <c r="AS140" i="25" s="1"/>
  <c r="M924" i="25" s="1"/>
  <c r="V924" i="25" s="1"/>
  <c r="O922" i="25"/>
  <c r="T922" i="25"/>
  <c r="M767" i="25"/>
  <c r="B768" i="25"/>
  <c r="B462" i="25"/>
  <c r="M455" i="25"/>
  <c r="B300" i="25"/>
  <c r="M300" i="25" s="1"/>
  <c r="R624" i="25" l="1"/>
  <c r="S624" i="25"/>
  <c r="Q624" i="25"/>
  <c r="R455" i="25"/>
  <c r="S455" i="25"/>
  <c r="Q455" i="25"/>
  <c r="S767" i="25"/>
  <c r="Q767" i="25"/>
  <c r="R767" i="25"/>
  <c r="Q300" i="25"/>
  <c r="R300" i="25"/>
  <c r="S300" i="25"/>
  <c r="AI299" i="25"/>
  <c r="N300" i="25"/>
  <c r="U300" i="25"/>
  <c r="Y300" i="25"/>
  <c r="AC300" i="25" s="1"/>
  <c r="P300" i="25"/>
  <c r="T300" i="25"/>
  <c r="O300" i="25"/>
  <c r="V300" i="25"/>
  <c r="X300" i="25" s="1"/>
  <c r="AA300" i="25" s="1"/>
  <c r="W300" i="25"/>
  <c r="Z300" i="25" s="1"/>
  <c r="AB300" i="25" s="1"/>
  <c r="AD300" i="25" s="1"/>
  <c r="AE300" i="25" s="1"/>
  <c r="AL299" i="25"/>
  <c r="AO299" i="25" s="1"/>
  <c r="AR299" i="25" s="1"/>
  <c r="AM299" i="25"/>
  <c r="AJ299" i="25"/>
  <c r="AP299" i="25" s="1"/>
  <c r="AS299" i="25" s="1"/>
  <c r="AK299" i="25"/>
  <c r="AL623" i="25"/>
  <c r="AB766" i="25"/>
  <c r="AD766" i="25" s="1"/>
  <c r="AE766" i="25" s="1"/>
  <c r="H926" i="25"/>
  <c r="AO453" i="25"/>
  <c r="AR453" i="25" s="1"/>
  <c r="W454" i="25"/>
  <c r="Z454" i="25" s="1"/>
  <c r="AB454" i="25" s="1"/>
  <c r="AD454" i="25" s="1"/>
  <c r="AE454" i="25" s="1"/>
  <c r="AP622" i="25"/>
  <c r="AS622" i="25" s="1"/>
  <c r="AO765" i="25"/>
  <c r="AR765" i="25" s="1"/>
  <c r="AO622" i="25"/>
  <c r="AR622" i="25" s="1"/>
  <c r="Q925" i="25"/>
  <c r="Z925" i="25" s="1"/>
  <c r="N925" i="25"/>
  <c r="AP765" i="25"/>
  <c r="AS765" i="25" s="1"/>
  <c r="X623" i="25"/>
  <c r="AA623" i="25" s="1"/>
  <c r="J926" i="25"/>
  <c r="S926" i="25" s="1"/>
  <c r="AN453" i="25"/>
  <c r="AQ453" i="25" s="1"/>
  <c r="I926" i="25"/>
  <c r="R926" i="25" s="1"/>
  <c r="AK766" i="25"/>
  <c r="AN766" i="25" s="1"/>
  <c r="AQ766" i="25" s="1"/>
  <c r="AJ766" i="25"/>
  <c r="AH766" i="25"/>
  <c r="AI766" i="25"/>
  <c r="AL766" i="25"/>
  <c r="AM766" i="25"/>
  <c r="AM623" i="25"/>
  <c r="T767" i="25"/>
  <c r="U767" i="25"/>
  <c r="O767" i="25"/>
  <c r="Y767" i="25"/>
  <c r="P767" i="25"/>
  <c r="V767" i="25"/>
  <c r="AC767" i="25"/>
  <c r="N767" i="25"/>
  <c r="AK623" i="25"/>
  <c r="AN623" i="25" s="1"/>
  <c r="AQ623" i="25" s="1"/>
  <c r="AJ623" i="25"/>
  <c r="AL454" i="25"/>
  <c r="AM454" i="25"/>
  <c r="AJ454" i="25"/>
  <c r="AK454" i="25"/>
  <c r="AN454" i="25" s="1"/>
  <c r="AQ454" i="25" s="1"/>
  <c r="M625" i="25"/>
  <c r="J927" i="25"/>
  <c r="S927" i="25" s="1"/>
  <c r="T455" i="25"/>
  <c r="U455" i="25"/>
  <c r="N455" i="25"/>
  <c r="V455" i="25"/>
  <c r="X455" i="25" s="1"/>
  <c r="AA455" i="25" s="1"/>
  <c r="O455" i="25"/>
  <c r="P455" i="25"/>
  <c r="Y455" i="25"/>
  <c r="AC455" i="25" s="1"/>
  <c r="H927" i="25"/>
  <c r="W623" i="25"/>
  <c r="Z623" i="25" s="1"/>
  <c r="AB623" i="25" s="1"/>
  <c r="AD623" i="25" s="1"/>
  <c r="AE623" i="25" s="1"/>
  <c r="AI623" i="25"/>
  <c r="AO623" i="25" s="1"/>
  <c r="AR623" i="25" s="1"/>
  <c r="AH623" i="25"/>
  <c r="AP623" i="25" s="1"/>
  <c r="AS623" i="25" s="1"/>
  <c r="AH454" i="25"/>
  <c r="AP454" i="25" s="1"/>
  <c r="AS454" i="25" s="1"/>
  <c r="AI454" i="25"/>
  <c r="AO454" i="25" s="1"/>
  <c r="AR454" i="25" s="1"/>
  <c r="P624" i="25"/>
  <c r="Y624" i="25"/>
  <c r="AC624" i="25" s="1"/>
  <c r="W624" i="25"/>
  <c r="Z624" i="25" s="1"/>
  <c r="O624" i="25"/>
  <c r="T624" i="25"/>
  <c r="U624" i="25"/>
  <c r="N624" i="25"/>
  <c r="V624" i="25"/>
  <c r="D143" i="25"/>
  <c r="P142" i="25"/>
  <c r="AM141" i="25"/>
  <c r="AH141" i="25"/>
  <c r="AP141" i="25" s="1"/>
  <c r="AS141" i="25" s="1"/>
  <c r="M925" i="25" s="1"/>
  <c r="V925" i="25" s="1"/>
  <c r="F143" i="25"/>
  <c r="O142" i="25"/>
  <c r="AN140" i="25"/>
  <c r="AQ140" i="25" s="1"/>
  <c r="K924" i="25" s="1"/>
  <c r="E144" i="25"/>
  <c r="N143" i="25"/>
  <c r="T923" i="25"/>
  <c r="O923" i="25"/>
  <c r="AJ142" i="25"/>
  <c r="AL142" i="25"/>
  <c r="AA922" i="25"/>
  <c r="AB922" i="25" s="1"/>
  <c r="AC922" i="25" s="1"/>
  <c r="AD922" i="25" s="1"/>
  <c r="W922" i="25"/>
  <c r="X922" i="25" s="1"/>
  <c r="C144" i="25"/>
  <c r="Y143" i="25"/>
  <c r="AC143" i="25" s="1"/>
  <c r="AD143" i="25" s="1"/>
  <c r="AE143" i="25" s="1"/>
  <c r="AK141" i="25"/>
  <c r="AI141" i="25"/>
  <c r="AO141" i="25" s="1"/>
  <c r="AR141" i="25" s="1"/>
  <c r="L925" i="25" s="1"/>
  <c r="U925" i="25" s="1"/>
  <c r="B769" i="25"/>
  <c r="M768" i="25"/>
  <c r="B463" i="25"/>
  <c r="B301" i="25"/>
  <c r="M301" i="25" s="1"/>
  <c r="M456" i="25"/>
  <c r="Q625" i="25" l="1"/>
  <c r="R625" i="25"/>
  <c r="S625" i="25"/>
  <c r="R768" i="25"/>
  <c r="S768" i="25"/>
  <c r="Q768" i="25"/>
  <c r="R456" i="25"/>
  <c r="Q456" i="25"/>
  <c r="S456" i="25"/>
  <c r="S301" i="25"/>
  <c r="Q301" i="25"/>
  <c r="R301" i="25"/>
  <c r="AI300" i="25"/>
  <c r="AO300" i="25" s="1"/>
  <c r="AR300" i="25" s="1"/>
  <c r="AH300" i="25"/>
  <c r="AP300" i="25" s="1"/>
  <c r="AS300" i="25" s="1"/>
  <c r="P301" i="25"/>
  <c r="AI301" i="25" s="1"/>
  <c r="U301" i="25"/>
  <c r="Y301" i="25"/>
  <c r="AC301" i="25" s="1"/>
  <c r="O301" i="25"/>
  <c r="V301" i="25"/>
  <c r="T301" i="25"/>
  <c r="X301" i="25" s="1"/>
  <c r="AA301" i="25" s="1"/>
  <c r="N301" i="25"/>
  <c r="AB301" i="25"/>
  <c r="AD301" i="25" s="1"/>
  <c r="AE301" i="25" s="1"/>
  <c r="AN301" i="25"/>
  <c r="AQ301" i="25" s="1"/>
  <c r="AL300" i="25"/>
  <c r="AM300" i="25"/>
  <c r="AJ300" i="25"/>
  <c r="AK300" i="25"/>
  <c r="AN300" i="25" s="1"/>
  <c r="AQ300" i="25" s="1"/>
  <c r="Q927" i="25"/>
  <c r="AN141" i="25"/>
  <c r="AQ141" i="25" s="1"/>
  <c r="K925" i="25" s="1"/>
  <c r="X624" i="25"/>
  <c r="AA624" i="25" s="1"/>
  <c r="AB624" i="25" s="1"/>
  <c r="AD624" i="25" s="1"/>
  <c r="AE624" i="25" s="1"/>
  <c r="I927" i="25"/>
  <c r="R927" i="25" s="1"/>
  <c r="AO766" i="25"/>
  <c r="AR766" i="25" s="1"/>
  <c r="N926" i="25"/>
  <c r="Q926" i="25"/>
  <c r="Z926" i="25" s="1"/>
  <c r="W455" i="25"/>
  <c r="Z455" i="25" s="1"/>
  <c r="AB455" i="25" s="1"/>
  <c r="AD455" i="25" s="1"/>
  <c r="AE455" i="25" s="1"/>
  <c r="X767" i="25"/>
  <c r="AA767" i="25" s="1"/>
  <c r="AP766" i="25"/>
  <c r="AS766" i="25" s="1"/>
  <c r="W767" i="25"/>
  <c r="Z767" i="25" s="1"/>
  <c r="AH767" i="25"/>
  <c r="AI767" i="25"/>
  <c r="AH455" i="25"/>
  <c r="AI455" i="25"/>
  <c r="AK624" i="25"/>
  <c r="AN624" i="25" s="1"/>
  <c r="AQ624" i="25" s="1"/>
  <c r="AJ624" i="25"/>
  <c r="AL455" i="25"/>
  <c r="AM455" i="25"/>
  <c r="AJ455" i="25"/>
  <c r="AK455" i="25"/>
  <c r="AN455" i="25" s="1"/>
  <c r="AQ455" i="25" s="1"/>
  <c r="AL624" i="25"/>
  <c r="AM624" i="25"/>
  <c r="U625" i="25"/>
  <c r="N625" i="25"/>
  <c r="V625" i="25"/>
  <c r="P625" i="25"/>
  <c r="AC625" i="25"/>
  <c r="T625" i="25"/>
  <c r="Y625" i="25"/>
  <c r="O625" i="25"/>
  <c r="N768" i="25"/>
  <c r="V768" i="25"/>
  <c r="O768" i="25"/>
  <c r="Y768" i="25"/>
  <c r="AC768" i="25" s="1"/>
  <c r="P768" i="25"/>
  <c r="W768" i="25"/>
  <c r="Z768" i="25" s="1"/>
  <c r="AB768" i="25" s="1"/>
  <c r="AD768" i="25" s="1"/>
  <c r="AE768" i="25" s="1"/>
  <c r="T768" i="25"/>
  <c r="X768" i="25" s="1"/>
  <c r="AA768" i="25" s="1"/>
  <c r="U768" i="25"/>
  <c r="AH624" i="25"/>
  <c r="AP624" i="25" s="1"/>
  <c r="AS624" i="25" s="1"/>
  <c r="AI624" i="25"/>
  <c r="AO624" i="25" s="1"/>
  <c r="AR624" i="25" s="1"/>
  <c r="AL767" i="25"/>
  <c r="AM767" i="25"/>
  <c r="M626" i="25"/>
  <c r="N456" i="25"/>
  <c r="V456" i="25"/>
  <c r="O456" i="25"/>
  <c r="Y456" i="25"/>
  <c r="AC456" i="25" s="1"/>
  <c r="P456" i="25"/>
  <c r="H928" i="25"/>
  <c r="J928" i="25"/>
  <c r="S928" i="25" s="1"/>
  <c r="T456" i="25"/>
  <c r="X456" i="25" s="1"/>
  <c r="AA456" i="25" s="1"/>
  <c r="U456" i="25"/>
  <c r="AJ767" i="25"/>
  <c r="AK767" i="25"/>
  <c r="AN767" i="25" s="1"/>
  <c r="AQ767" i="25" s="1"/>
  <c r="C145" i="25"/>
  <c r="Y144" i="25"/>
  <c r="AC144" i="25" s="1"/>
  <c r="AD144" i="25" s="1"/>
  <c r="AE144" i="25" s="1"/>
  <c r="E145" i="25"/>
  <c r="N144" i="25"/>
  <c r="T924" i="25"/>
  <c r="O924" i="25"/>
  <c r="AM142" i="25"/>
  <c r="AH142" i="25"/>
  <c r="AP142" i="25" s="1"/>
  <c r="AS142" i="25" s="1"/>
  <c r="M926" i="25" s="1"/>
  <c r="V926" i="25" s="1"/>
  <c r="F144" i="25"/>
  <c r="O143" i="25"/>
  <c r="T925" i="25"/>
  <c r="O925" i="25"/>
  <c r="AA923" i="25"/>
  <c r="AB923" i="25" s="1"/>
  <c r="AC923" i="25" s="1"/>
  <c r="AD923" i="25" s="1"/>
  <c r="W923" i="25"/>
  <c r="X923" i="25" s="1"/>
  <c r="AI142" i="25"/>
  <c r="AO142" i="25" s="1"/>
  <c r="AR142" i="25" s="1"/>
  <c r="L926" i="25" s="1"/>
  <c r="U926" i="25" s="1"/>
  <c r="AK142" i="25"/>
  <c r="AJ143" i="25"/>
  <c r="AL143" i="25"/>
  <c r="D144" i="25"/>
  <c r="P143" i="25"/>
  <c r="M769" i="25"/>
  <c r="B770" i="25"/>
  <c r="B464" i="25"/>
  <c r="B302" i="25"/>
  <c r="M302" i="25" s="1"/>
  <c r="M457" i="25"/>
  <c r="Q769" i="25" l="1"/>
  <c r="S769" i="25"/>
  <c r="R769" i="25"/>
  <c r="Q626" i="25"/>
  <c r="R626" i="25"/>
  <c r="S626" i="25"/>
  <c r="R457" i="25"/>
  <c r="Q457" i="25"/>
  <c r="S457" i="25"/>
  <c r="Q302" i="25"/>
  <c r="R302" i="25"/>
  <c r="S302" i="25"/>
  <c r="AH301" i="25"/>
  <c r="N302" i="25"/>
  <c r="U302" i="25"/>
  <c r="T302" i="25"/>
  <c r="P302" i="25"/>
  <c r="W302" i="25"/>
  <c r="Z302" i="25" s="1"/>
  <c r="O302" i="25"/>
  <c r="V302" i="25"/>
  <c r="Y302" i="25"/>
  <c r="AC302" i="25" s="1"/>
  <c r="AB302" i="25"/>
  <c r="AD302" i="25" s="1"/>
  <c r="AE302" i="25" s="1"/>
  <c r="X302" i="25"/>
  <c r="AA302" i="25" s="1"/>
  <c r="AO302" i="25"/>
  <c r="AR302" i="25" s="1"/>
  <c r="AP302" i="25"/>
  <c r="AS302" i="25" s="1"/>
  <c r="AN302" i="25"/>
  <c r="AQ302" i="25" s="1"/>
  <c r="W301" i="25"/>
  <c r="Z301" i="25" s="1"/>
  <c r="AJ301" i="25"/>
  <c r="AP301" i="25" s="1"/>
  <c r="AS301" i="25" s="1"/>
  <c r="AK301" i="25"/>
  <c r="AL301" i="25"/>
  <c r="AO301" i="25" s="1"/>
  <c r="AR301" i="25" s="1"/>
  <c r="AM301" i="25"/>
  <c r="AP455" i="25"/>
  <c r="AS455" i="25" s="1"/>
  <c r="AO767" i="25"/>
  <c r="AR767" i="25" s="1"/>
  <c r="AP767" i="25"/>
  <c r="AS767" i="25" s="1"/>
  <c r="I928" i="25"/>
  <c r="R928" i="25" s="1"/>
  <c r="AB767" i="25"/>
  <c r="AD767" i="25" s="1"/>
  <c r="AE767" i="25" s="1"/>
  <c r="N927" i="25"/>
  <c r="Q928" i="25"/>
  <c r="Z928" i="25" s="1"/>
  <c r="N928" i="25"/>
  <c r="Z927" i="25"/>
  <c r="X625" i="25"/>
  <c r="AA625" i="25" s="1"/>
  <c r="AO455" i="25"/>
  <c r="AR455" i="25" s="1"/>
  <c r="M627" i="25"/>
  <c r="T457" i="25"/>
  <c r="U457" i="25"/>
  <c r="N457" i="25"/>
  <c r="V457" i="25"/>
  <c r="O457" i="25"/>
  <c r="Y457" i="25"/>
  <c r="P457" i="25"/>
  <c r="AC457" i="25"/>
  <c r="AL456" i="25"/>
  <c r="AM456" i="25"/>
  <c r="AH625" i="25"/>
  <c r="AI625" i="25"/>
  <c r="AO625" i="25" s="1"/>
  <c r="AR625" i="25" s="1"/>
  <c r="AJ456" i="25"/>
  <c r="AK456" i="25"/>
  <c r="U626" i="25"/>
  <c r="T626" i="25"/>
  <c r="X626" i="25" s="1"/>
  <c r="AA626" i="25" s="1"/>
  <c r="V626" i="25"/>
  <c r="Y626" i="25"/>
  <c r="AC626" i="25" s="1"/>
  <c r="P626" i="25"/>
  <c r="N626" i="25"/>
  <c r="O626" i="25"/>
  <c r="AL768" i="25"/>
  <c r="AM768" i="25"/>
  <c r="AL625" i="25"/>
  <c r="AM625" i="25"/>
  <c r="W625" i="25"/>
  <c r="Z625" i="25" s="1"/>
  <c r="AB625" i="25" s="1"/>
  <c r="AD625" i="25" s="1"/>
  <c r="AE625" i="25" s="1"/>
  <c r="AJ625" i="25"/>
  <c r="AK625" i="25"/>
  <c r="AN625" i="25" s="1"/>
  <c r="AQ625" i="25" s="1"/>
  <c r="W456" i="25"/>
  <c r="Z456" i="25" s="1"/>
  <c r="AB456" i="25" s="1"/>
  <c r="AD456" i="25" s="1"/>
  <c r="AE456" i="25" s="1"/>
  <c r="AH456" i="25"/>
  <c r="AI456" i="25"/>
  <c r="T769" i="25"/>
  <c r="U769" i="25"/>
  <c r="N769" i="25"/>
  <c r="V769" i="25"/>
  <c r="O769" i="25"/>
  <c r="Y769" i="25"/>
  <c r="AC769" i="25" s="1"/>
  <c r="P769" i="25"/>
  <c r="AJ768" i="25"/>
  <c r="AK768" i="25"/>
  <c r="AN768" i="25" s="1"/>
  <c r="AQ768" i="25" s="1"/>
  <c r="AH768" i="25"/>
  <c r="AI768" i="25"/>
  <c r="AO768" i="25" s="1"/>
  <c r="AR768" i="25" s="1"/>
  <c r="W924" i="25"/>
  <c r="X924" i="25" s="1"/>
  <c r="AA924" i="25"/>
  <c r="AB924" i="25" s="1"/>
  <c r="AC924" i="25" s="1"/>
  <c r="AD924" i="25" s="1"/>
  <c r="AN142" i="25"/>
  <c r="AQ142" i="25" s="1"/>
  <c r="K926" i="25" s="1"/>
  <c r="AJ144" i="25"/>
  <c r="AL144" i="25"/>
  <c r="D145" i="25"/>
  <c r="P144" i="25"/>
  <c r="AA925" i="25"/>
  <c r="AB925" i="25" s="1"/>
  <c r="AC925" i="25" s="1"/>
  <c r="AD925" i="25" s="1"/>
  <c r="W925" i="25"/>
  <c r="X925" i="25" s="1"/>
  <c r="E146" i="25"/>
  <c r="N145" i="25"/>
  <c r="AI143" i="25"/>
  <c r="AO143" i="25" s="1"/>
  <c r="AR143" i="25" s="1"/>
  <c r="L927" i="25" s="1"/>
  <c r="U927" i="25" s="1"/>
  <c r="AK143" i="25"/>
  <c r="AH143" i="25"/>
  <c r="AP143" i="25" s="1"/>
  <c r="AS143" i="25" s="1"/>
  <c r="M927" i="25" s="1"/>
  <c r="V927" i="25" s="1"/>
  <c r="AM143" i="25"/>
  <c r="F145" i="25"/>
  <c r="O144" i="25"/>
  <c r="C146" i="25"/>
  <c r="Y145" i="25"/>
  <c r="AC145" i="25" s="1"/>
  <c r="AD145" i="25" s="1"/>
  <c r="AE145" i="25" s="1"/>
  <c r="B771" i="25"/>
  <c r="M770" i="25"/>
  <c r="B465" i="25"/>
  <c r="B466" i="25" s="1"/>
  <c r="M458" i="25"/>
  <c r="B303" i="25"/>
  <c r="M303" i="25" s="1"/>
  <c r="Q627" i="25" l="1"/>
  <c r="R627" i="25"/>
  <c r="S627" i="25"/>
  <c r="Q303" i="25"/>
  <c r="S303" i="25"/>
  <c r="R303" i="25"/>
  <c r="Q458" i="25"/>
  <c r="R458" i="25"/>
  <c r="S458" i="25"/>
  <c r="R770" i="25"/>
  <c r="Q770" i="25"/>
  <c r="S770" i="25"/>
  <c r="AL302" i="25"/>
  <c r="AM302" i="25"/>
  <c r="O303" i="25"/>
  <c r="P303" i="25"/>
  <c r="Y303" i="25"/>
  <c r="AC303" i="25" s="1"/>
  <c r="V303" i="25"/>
  <c r="T303" i="25"/>
  <c r="X303" i="25"/>
  <c r="AA303" i="25" s="1"/>
  <c r="AN303" i="25"/>
  <c r="AQ303" i="25" s="1"/>
  <c r="N303" i="25"/>
  <c r="U303" i="25"/>
  <c r="W303" i="25"/>
  <c r="Z303" i="25" s="1"/>
  <c r="AB303" i="25" s="1"/>
  <c r="AD303" i="25" s="1"/>
  <c r="AE303" i="25" s="1"/>
  <c r="AH302" i="25"/>
  <c r="AI302" i="25"/>
  <c r="AJ302" i="25"/>
  <c r="AK302" i="25"/>
  <c r="I929" i="25"/>
  <c r="R929" i="25" s="1"/>
  <c r="AP625" i="25"/>
  <c r="AS625" i="25" s="1"/>
  <c r="H929" i="25"/>
  <c r="X457" i="25"/>
  <c r="AA457" i="25" s="1"/>
  <c r="J929" i="25"/>
  <c r="S929" i="25" s="1"/>
  <c r="X769" i="25"/>
  <c r="AA769" i="25" s="1"/>
  <c r="AP768" i="25"/>
  <c r="AS768" i="25" s="1"/>
  <c r="AO456" i="25"/>
  <c r="AR456" i="25" s="1"/>
  <c r="AP456" i="25"/>
  <c r="AS456" i="25" s="1"/>
  <c r="AI626" i="25"/>
  <c r="AN456" i="25"/>
  <c r="AQ456" i="25" s="1"/>
  <c r="M628" i="25"/>
  <c r="O458" i="25"/>
  <c r="Y458" i="25"/>
  <c r="AC458" i="25" s="1"/>
  <c r="P458" i="25"/>
  <c r="T458" i="25"/>
  <c r="U458" i="25"/>
  <c r="N458" i="25"/>
  <c r="V458" i="25"/>
  <c r="X458" i="25" s="1"/>
  <c r="AA458" i="25" s="1"/>
  <c r="W458" i="25"/>
  <c r="Z458" i="25" s="1"/>
  <c r="AL769" i="25"/>
  <c r="AM769" i="25"/>
  <c r="AL626" i="25"/>
  <c r="AM626" i="25"/>
  <c r="AJ769" i="25"/>
  <c r="AK769" i="25"/>
  <c r="AN769" i="25" s="1"/>
  <c r="AQ769" i="25" s="1"/>
  <c r="AK626" i="25"/>
  <c r="AJ626" i="25"/>
  <c r="W457" i="25"/>
  <c r="Z457" i="25" s="1"/>
  <c r="AB457" i="25" s="1"/>
  <c r="AD457" i="25" s="1"/>
  <c r="AE457" i="25" s="1"/>
  <c r="AJ457" i="25"/>
  <c r="AK457" i="25"/>
  <c r="AH457" i="25"/>
  <c r="AI457" i="25"/>
  <c r="W770" i="25"/>
  <c r="Z770" i="25" s="1"/>
  <c r="AB770" i="25" s="1"/>
  <c r="AD770" i="25" s="1"/>
  <c r="AE770" i="25" s="1"/>
  <c r="T770" i="25"/>
  <c r="U770" i="25"/>
  <c r="N770" i="25"/>
  <c r="V770" i="25"/>
  <c r="X770" i="25" s="1"/>
  <c r="AA770" i="25" s="1"/>
  <c r="P770" i="25"/>
  <c r="Y770" i="25"/>
  <c r="AC770" i="25" s="1"/>
  <c r="O770" i="25"/>
  <c r="AL457" i="25"/>
  <c r="AM457" i="25"/>
  <c r="W769" i="25"/>
  <c r="Z769" i="25" s="1"/>
  <c r="AB769" i="25" s="1"/>
  <c r="AD769" i="25" s="1"/>
  <c r="AE769" i="25" s="1"/>
  <c r="AI769" i="25"/>
  <c r="AO769" i="25" s="1"/>
  <c r="AR769" i="25" s="1"/>
  <c r="AH769" i="25"/>
  <c r="AP769" i="25" s="1"/>
  <c r="AS769" i="25" s="1"/>
  <c r="W626" i="25"/>
  <c r="Z626" i="25" s="1"/>
  <c r="AB626" i="25" s="1"/>
  <c r="AD626" i="25" s="1"/>
  <c r="AE626" i="25" s="1"/>
  <c r="AH626" i="25"/>
  <c r="AP626" i="25" s="1"/>
  <c r="AS626" i="25" s="1"/>
  <c r="O627" i="25"/>
  <c r="Y627" i="25"/>
  <c r="AC627" i="25" s="1"/>
  <c r="P627" i="25"/>
  <c r="U627" i="25"/>
  <c r="V627" i="25"/>
  <c r="X627" i="25" s="1"/>
  <c r="AA627" i="25" s="1"/>
  <c r="N627" i="25"/>
  <c r="T627" i="25"/>
  <c r="AI144" i="25"/>
  <c r="AO144" i="25" s="1"/>
  <c r="AR144" i="25" s="1"/>
  <c r="L928" i="25" s="1"/>
  <c r="U928" i="25" s="1"/>
  <c r="AK144" i="25"/>
  <c r="D146" i="25"/>
  <c r="P145" i="25"/>
  <c r="AN143" i="25"/>
  <c r="AQ143" i="25" s="1"/>
  <c r="K927" i="25" s="1"/>
  <c r="AL145" i="25"/>
  <c r="AJ145" i="25"/>
  <c r="T926" i="25"/>
  <c r="O926" i="25"/>
  <c r="C147" i="25"/>
  <c r="Y146" i="25"/>
  <c r="AC146" i="25" s="1"/>
  <c r="AD146" i="25" s="1"/>
  <c r="AE146" i="25" s="1"/>
  <c r="E147" i="25"/>
  <c r="N146" i="25"/>
  <c r="F146" i="25"/>
  <c r="O145" i="25"/>
  <c r="AM144" i="25"/>
  <c r="AH144" i="25"/>
  <c r="AP144" i="25" s="1"/>
  <c r="AS144" i="25" s="1"/>
  <c r="M928" i="25" s="1"/>
  <c r="V928" i="25" s="1"/>
  <c r="M771" i="25"/>
  <c r="B772" i="25"/>
  <c r="B467" i="25"/>
  <c r="M466" i="25"/>
  <c r="B304" i="25"/>
  <c r="M304" i="25" s="1"/>
  <c r="M459" i="25"/>
  <c r="S628" i="25" l="1"/>
  <c r="Q628" i="25"/>
  <c r="R628" i="25"/>
  <c r="Q771" i="25"/>
  <c r="S771" i="25"/>
  <c r="R771" i="25"/>
  <c r="Q459" i="25"/>
  <c r="R459" i="25"/>
  <c r="S459" i="25"/>
  <c r="Q466" i="25"/>
  <c r="R466" i="25"/>
  <c r="S466" i="25"/>
  <c r="R304" i="25"/>
  <c r="S304" i="25"/>
  <c r="Q304" i="25"/>
  <c r="AK303" i="25"/>
  <c r="AJ303" i="25"/>
  <c r="U304" i="25"/>
  <c r="T304" i="25"/>
  <c r="O304" i="25"/>
  <c r="N304" i="25"/>
  <c r="V304" i="25"/>
  <c r="Y304" i="25"/>
  <c r="AC304" i="25" s="1"/>
  <c r="P304" i="25"/>
  <c r="X304" i="25"/>
  <c r="AA304" i="25" s="1"/>
  <c r="W304" i="25"/>
  <c r="Z304" i="25" s="1"/>
  <c r="AB304" i="25" s="1"/>
  <c r="AD304" i="25" s="1"/>
  <c r="AE304" i="25" s="1"/>
  <c r="AO304" i="25"/>
  <c r="AR304" i="25" s="1"/>
  <c r="AN304" i="25"/>
  <c r="AQ304" i="25" s="1"/>
  <c r="AL303" i="25"/>
  <c r="AH303" i="25"/>
  <c r="AP303" i="25" s="1"/>
  <c r="AS303" i="25" s="1"/>
  <c r="AI303" i="25"/>
  <c r="AO303" i="25" s="1"/>
  <c r="AR303" i="25" s="1"/>
  <c r="AM303" i="25"/>
  <c r="AB458" i="25"/>
  <c r="AD458" i="25" s="1"/>
  <c r="AE458" i="25" s="1"/>
  <c r="H930" i="25"/>
  <c r="AO457" i="25"/>
  <c r="AR457" i="25" s="1"/>
  <c r="AN457" i="25"/>
  <c r="AQ457" i="25" s="1"/>
  <c r="AP457" i="25"/>
  <c r="AS457" i="25" s="1"/>
  <c r="Q929" i="25"/>
  <c r="Z929" i="25" s="1"/>
  <c r="N929" i="25"/>
  <c r="J930" i="25"/>
  <c r="S930" i="25" s="1"/>
  <c r="AO626" i="25"/>
  <c r="AR626" i="25" s="1"/>
  <c r="AN626" i="25"/>
  <c r="AQ626" i="25" s="1"/>
  <c r="I930" i="25"/>
  <c r="R930" i="25" s="1"/>
  <c r="AK627" i="25"/>
  <c r="AJ627" i="25"/>
  <c r="AL770" i="25"/>
  <c r="AM770" i="25"/>
  <c r="AL458" i="25"/>
  <c r="AM458" i="25"/>
  <c r="AH770" i="25"/>
  <c r="AI770" i="25"/>
  <c r="AJ458" i="25"/>
  <c r="AK458" i="25"/>
  <c r="AN458" i="25" s="1"/>
  <c r="AQ458" i="25" s="1"/>
  <c r="M629" i="25"/>
  <c r="U459" i="25"/>
  <c r="N459" i="25"/>
  <c r="V459" i="25"/>
  <c r="O459" i="25"/>
  <c r="Y459" i="25"/>
  <c r="AC459" i="25" s="1"/>
  <c r="P459" i="25"/>
  <c r="T459" i="25"/>
  <c r="T466" i="25"/>
  <c r="U466" i="25"/>
  <c r="N466" i="25"/>
  <c r="V466" i="25"/>
  <c r="O466" i="25"/>
  <c r="Y466" i="25"/>
  <c r="AC466" i="25" s="1"/>
  <c r="P466" i="25"/>
  <c r="AK770" i="25"/>
  <c r="AN770" i="25" s="1"/>
  <c r="AQ770" i="25" s="1"/>
  <c r="AJ770" i="25"/>
  <c r="AH458" i="25"/>
  <c r="AP458" i="25" s="1"/>
  <c r="AS458" i="25" s="1"/>
  <c r="AI458" i="25"/>
  <c r="AO458" i="25" s="1"/>
  <c r="AR458" i="25" s="1"/>
  <c r="W627" i="25"/>
  <c r="Z627" i="25" s="1"/>
  <c r="AB627" i="25" s="1"/>
  <c r="AD627" i="25" s="1"/>
  <c r="AE627" i="25" s="1"/>
  <c r="AH627" i="25"/>
  <c r="AP627" i="25" s="1"/>
  <c r="AS627" i="25" s="1"/>
  <c r="AI627" i="25"/>
  <c r="AM627" i="25"/>
  <c r="AL627" i="25"/>
  <c r="U771" i="25"/>
  <c r="N771" i="25"/>
  <c r="V771" i="25"/>
  <c r="O771" i="25"/>
  <c r="Y771" i="25"/>
  <c r="P771" i="25"/>
  <c r="AC771" i="25"/>
  <c r="T771" i="25"/>
  <c r="X771" i="25" s="1"/>
  <c r="AA771" i="25" s="1"/>
  <c r="T628" i="25"/>
  <c r="U628" i="25"/>
  <c r="O628" i="25"/>
  <c r="Y628" i="25"/>
  <c r="AC628" i="25" s="1"/>
  <c r="N628" i="25"/>
  <c r="P628" i="25"/>
  <c r="W628" i="25"/>
  <c r="Z628" i="25" s="1"/>
  <c r="V628" i="25"/>
  <c r="AA926" i="25"/>
  <c r="AB926" i="25" s="1"/>
  <c r="AC926" i="25" s="1"/>
  <c r="AD926" i="25" s="1"/>
  <c r="W926" i="25"/>
  <c r="X926" i="25" s="1"/>
  <c r="F147" i="25"/>
  <c r="O146" i="25"/>
  <c r="T927" i="25"/>
  <c r="O927" i="25"/>
  <c r="AK145" i="25"/>
  <c r="AI145" i="25"/>
  <c r="AO145" i="25" s="1"/>
  <c r="AR145" i="25" s="1"/>
  <c r="L929" i="25" s="1"/>
  <c r="U929" i="25" s="1"/>
  <c r="AM145" i="25"/>
  <c r="AH145" i="25"/>
  <c r="AP145" i="25" s="1"/>
  <c r="AS145" i="25" s="1"/>
  <c r="M929" i="25" s="1"/>
  <c r="V929" i="25" s="1"/>
  <c r="D147" i="25"/>
  <c r="P146" i="25"/>
  <c r="AJ146" i="25"/>
  <c r="AL146" i="25"/>
  <c r="E148" i="25"/>
  <c r="N147" i="25"/>
  <c r="C148" i="25"/>
  <c r="Y147" i="25"/>
  <c r="AC147" i="25" s="1"/>
  <c r="AD147" i="25" s="1"/>
  <c r="AE147" i="25" s="1"/>
  <c r="AN144" i="25"/>
  <c r="AQ144" i="25" s="1"/>
  <c r="K928" i="25" s="1"/>
  <c r="M772" i="25"/>
  <c r="B773" i="25"/>
  <c r="B468" i="25"/>
  <c r="M467" i="25"/>
  <c r="M460" i="25"/>
  <c r="B305" i="25"/>
  <c r="M305" i="25" s="1"/>
  <c r="S629" i="25" l="1"/>
  <c r="Q629" i="25"/>
  <c r="R629" i="25"/>
  <c r="Q467" i="25"/>
  <c r="S467" i="25"/>
  <c r="R467" i="25"/>
  <c r="Q305" i="25"/>
  <c r="R305" i="25"/>
  <c r="S305" i="25"/>
  <c r="Q460" i="25"/>
  <c r="S460" i="25"/>
  <c r="R460" i="25"/>
  <c r="Q772" i="25"/>
  <c r="S772" i="25"/>
  <c r="R772" i="25"/>
  <c r="AI304" i="25"/>
  <c r="AH304" i="25"/>
  <c r="AP304" i="25" s="1"/>
  <c r="AS304" i="25" s="1"/>
  <c r="AL304" i="25"/>
  <c r="AM304" i="25"/>
  <c r="O305" i="25"/>
  <c r="V305" i="25"/>
  <c r="Y305" i="25"/>
  <c r="AC305" i="25" s="1"/>
  <c r="P305" i="25"/>
  <c r="X305" i="25"/>
  <c r="AA305" i="25" s="1"/>
  <c r="U305" i="25"/>
  <c r="N305" i="25"/>
  <c r="T305" i="25"/>
  <c r="W305" i="25"/>
  <c r="Z305" i="25" s="1"/>
  <c r="AB305" i="25" s="1"/>
  <c r="AD305" i="25" s="1"/>
  <c r="AE305" i="25" s="1"/>
  <c r="AJ304" i="25"/>
  <c r="AK304" i="25"/>
  <c r="J931" i="25"/>
  <c r="S931" i="25" s="1"/>
  <c r="I931" i="25"/>
  <c r="R931" i="25" s="1"/>
  <c r="H931" i="25"/>
  <c r="X628" i="25"/>
  <c r="AA628" i="25" s="1"/>
  <c r="AB628" i="25" s="1"/>
  <c r="AD628" i="25" s="1"/>
  <c r="AE628" i="25" s="1"/>
  <c r="AN627" i="25"/>
  <c r="AQ627" i="25" s="1"/>
  <c r="AO627" i="25"/>
  <c r="AR627" i="25" s="1"/>
  <c r="AO770" i="25"/>
  <c r="AR770" i="25" s="1"/>
  <c r="X466" i="25"/>
  <c r="AA466" i="25" s="1"/>
  <c r="AP770" i="25"/>
  <c r="AS770" i="25" s="1"/>
  <c r="Q930" i="25"/>
  <c r="Z930" i="25" s="1"/>
  <c r="N930" i="25"/>
  <c r="X459" i="25"/>
  <c r="AA459" i="25" s="1"/>
  <c r="AM628" i="25"/>
  <c r="AL628" i="25"/>
  <c r="AL466" i="25"/>
  <c r="AM466" i="25"/>
  <c r="AJ466" i="25"/>
  <c r="AK466" i="25"/>
  <c r="AN466" i="25" s="1"/>
  <c r="AQ466" i="25" s="1"/>
  <c r="AL459" i="25"/>
  <c r="AM459" i="25"/>
  <c r="M630" i="25"/>
  <c r="T460" i="25"/>
  <c r="U460" i="25"/>
  <c r="N460" i="25"/>
  <c r="V460" i="25"/>
  <c r="O460" i="25"/>
  <c r="Y460" i="25"/>
  <c r="P460" i="25"/>
  <c r="AC460" i="25"/>
  <c r="AJ771" i="25"/>
  <c r="AK771" i="25"/>
  <c r="W459" i="25"/>
  <c r="Z459" i="25" s="1"/>
  <c r="AB459" i="25" s="1"/>
  <c r="AD459" i="25" s="1"/>
  <c r="AE459" i="25" s="1"/>
  <c r="AJ459" i="25"/>
  <c r="AK459" i="25"/>
  <c r="AN459" i="25" s="1"/>
  <c r="AQ459" i="25" s="1"/>
  <c r="AL771" i="25"/>
  <c r="AM771" i="25"/>
  <c r="W466" i="25"/>
  <c r="Z466" i="25" s="1"/>
  <c r="AH466" i="25"/>
  <c r="AI466" i="25"/>
  <c r="AO466" i="25" s="1"/>
  <c r="AR466" i="25" s="1"/>
  <c r="AH459" i="25"/>
  <c r="AP459" i="25" s="1"/>
  <c r="AS459" i="25" s="1"/>
  <c r="AI459" i="25"/>
  <c r="AO459" i="25" s="1"/>
  <c r="AR459" i="25" s="1"/>
  <c r="W629" i="25"/>
  <c r="Z629" i="25" s="1"/>
  <c r="T629" i="25"/>
  <c r="N629" i="25"/>
  <c r="O629" i="25"/>
  <c r="P629" i="25"/>
  <c r="V629" i="25"/>
  <c r="U629" i="25"/>
  <c r="Y629" i="25"/>
  <c r="AC629" i="25" s="1"/>
  <c r="AJ628" i="25"/>
  <c r="AK628" i="25"/>
  <c r="AN628" i="25" s="1"/>
  <c r="AQ628" i="25" s="1"/>
  <c r="W771" i="25"/>
  <c r="Z771" i="25" s="1"/>
  <c r="AB771" i="25" s="1"/>
  <c r="AD771" i="25" s="1"/>
  <c r="AE771" i="25" s="1"/>
  <c r="AH771" i="25"/>
  <c r="AP771" i="25" s="1"/>
  <c r="AS771" i="25" s="1"/>
  <c r="AI771" i="25"/>
  <c r="AO771" i="25" s="1"/>
  <c r="AR771" i="25" s="1"/>
  <c r="U467" i="25"/>
  <c r="N467" i="25"/>
  <c r="V467" i="25"/>
  <c r="O467" i="25"/>
  <c r="Y467" i="25"/>
  <c r="AC467" i="25" s="1"/>
  <c r="P467" i="25"/>
  <c r="T467" i="25"/>
  <c r="T772" i="25"/>
  <c r="U772" i="25"/>
  <c r="X772" i="25" s="1"/>
  <c r="AA772" i="25" s="1"/>
  <c r="N772" i="25"/>
  <c r="V772" i="25"/>
  <c r="P772" i="25"/>
  <c r="Y772" i="25"/>
  <c r="AC772" i="25" s="1"/>
  <c r="O772" i="25"/>
  <c r="W772" i="25"/>
  <c r="Z772" i="25" s="1"/>
  <c r="AH628" i="25"/>
  <c r="AI628" i="25"/>
  <c r="AO628" i="25" s="1"/>
  <c r="AR628" i="25" s="1"/>
  <c r="AN145" i="25"/>
  <c r="AQ145" i="25" s="1"/>
  <c r="K929" i="25" s="1"/>
  <c r="C149" i="25"/>
  <c r="Y148" i="25"/>
  <c r="AC148" i="25" s="1"/>
  <c r="AD148" i="25" s="1"/>
  <c r="AE148" i="25" s="1"/>
  <c r="E149" i="25"/>
  <c r="N148" i="25"/>
  <c r="AA927" i="25"/>
  <c r="AB927" i="25" s="1"/>
  <c r="AC927" i="25" s="1"/>
  <c r="AD927" i="25" s="1"/>
  <c r="W927" i="25"/>
  <c r="X927" i="25" s="1"/>
  <c r="AI146" i="25"/>
  <c r="AO146" i="25" s="1"/>
  <c r="AR146" i="25" s="1"/>
  <c r="L930" i="25" s="1"/>
  <c r="U930" i="25" s="1"/>
  <c r="AK146" i="25"/>
  <c r="AM146" i="25"/>
  <c r="AH146" i="25"/>
  <c r="AP146" i="25" s="1"/>
  <c r="AS146" i="25" s="1"/>
  <c r="M930" i="25" s="1"/>
  <c r="V930" i="25" s="1"/>
  <c r="AJ147" i="25"/>
  <c r="AL147" i="25"/>
  <c r="T928" i="25"/>
  <c r="O928" i="25"/>
  <c r="D148" i="25"/>
  <c r="P147" i="25"/>
  <c r="F148" i="25"/>
  <c r="O147" i="25"/>
  <c r="M773" i="25"/>
  <c r="B774" i="25"/>
  <c r="B469" i="25"/>
  <c r="M468" i="25"/>
  <c r="B306" i="25"/>
  <c r="M306" i="25" s="1"/>
  <c r="M461" i="25"/>
  <c r="Q773" i="25" l="1"/>
  <c r="S773" i="25"/>
  <c r="R773" i="25"/>
  <c r="Q461" i="25"/>
  <c r="S461" i="25"/>
  <c r="R461" i="25"/>
  <c r="Q630" i="25"/>
  <c r="R630" i="25"/>
  <c r="S630" i="25"/>
  <c r="R306" i="25"/>
  <c r="Q306" i="25"/>
  <c r="S306" i="25"/>
  <c r="Q468" i="25"/>
  <c r="S468" i="25"/>
  <c r="R468" i="25"/>
  <c r="AJ305" i="25"/>
  <c r="AK305" i="25"/>
  <c r="AL305" i="25"/>
  <c r="AM305" i="25"/>
  <c r="AN305" i="25" s="1"/>
  <c r="AQ305" i="25" s="1"/>
  <c r="AI305" i="25"/>
  <c r="AO305" i="25" s="1"/>
  <c r="AR305" i="25" s="1"/>
  <c r="AH305" i="25"/>
  <c r="AP305" i="25" s="1"/>
  <c r="AS305" i="25" s="1"/>
  <c r="N306" i="25"/>
  <c r="U306" i="25"/>
  <c r="Y306" i="25"/>
  <c r="AC306" i="25" s="1"/>
  <c r="P306" i="25"/>
  <c r="W306" i="25"/>
  <c r="Z306" i="25" s="1"/>
  <c r="V306" i="25"/>
  <c r="O306" i="25"/>
  <c r="T306" i="25"/>
  <c r="X306" i="25"/>
  <c r="AA306" i="25" s="1"/>
  <c r="AB306" i="25" s="1"/>
  <c r="AD306" i="25" s="1"/>
  <c r="AE306" i="25" s="1"/>
  <c r="AN306" i="25"/>
  <c r="AQ306" i="25" s="1"/>
  <c r="AP306" i="25"/>
  <c r="AS306" i="25" s="1"/>
  <c r="X629" i="25"/>
  <c r="AA629" i="25" s="1"/>
  <c r="AB629" i="25" s="1"/>
  <c r="AD629" i="25" s="1"/>
  <c r="AE629" i="25" s="1"/>
  <c r="Q931" i="25"/>
  <c r="Z931" i="25" s="1"/>
  <c r="N931" i="25"/>
  <c r="AP628" i="25"/>
  <c r="AS628" i="25" s="1"/>
  <c r="X460" i="25"/>
  <c r="AA460" i="25" s="1"/>
  <c r="H932" i="25"/>
  <c r="Q932" i="25" s="1"/>
  <c r="AB772" i="25"/>
  <c r="AD772" i="25" s="1"/>
  <c r="AE772" i="25" s="1"/>
  <c r="J932" i="25"/>
  <c r="S932" i="25" s="1"/>
  <c r="AB466" i="25"/>
  <c r="AD466" i="25" s="1"/>
  <c r="AE466" i="25" s="1"/>
  <c r="AN771" i="25"/>
  <c r="AQ771" i="25" s="1"/>
  <c r="I932" i="25"/>
  <c r="X467" i="25"/>
  <c r="AA467" i="25" s="1"/>
  <c r="AP466" i="25"/>
  <c r="AS466" i="25" s="1"/>
  <c r="W460" i="25"/>
  <c r="Z460" i="25" s="1"/>
  <c r="AL467" i="25"/>
  <c r="AM467" i="25"/>
  <c r="AL772" i="25"/>
  <c r="AM772" i="25"/>
  <c r="AJ467" i="25"/>
  <c r="AK467" i="25"/>
  <c r="AN467" i="25" s="1"/>
  <c r="AQ467" i="25" s="1"/>
  <c r="AK772" i="25"/>
  <c r="AJ772" i="25"/>
  <c r="W467" i="25"/>
  <c r="Z467" i="25" s="1"/>
  <c r="AB467" i="25" s="1"/>
  <c r="AD467" i="25" s="1"/>
  <c r="AE467" i="25" s="1"/>
  <c r="AH467" i="25"/>
  <c r="AI467" i="25"/>
  <c r="AO467" i="25" s="1"/>
  <c r="AR467" i="25" s="1"/>
  <c r="AJ629" i="25"/>
  <c r="AK629" i="25"/>
  <c r="AN629" i="25" s="1"/>
  <c r="AQ629" i="25" s="1"/>
  <c r="T468" i="25"/>
  <c r="U468" i="25"/>
  <c r="N468" i="25"/>
  <c r="V468" i="25"/>
  <c r="X468" i="25" s="1"/>
  <c r="AA468" i="25" s="1"/>
  <c r="O468" i="25"/>
  <c r="P468" i="25"/>
  <c r="Y468" i="25"/>
  <c r="AC468" i="25" s="1"/>
  <c r="AH772" i="25"/>
  <c r="AP772" i="25" s="1"/>
  <c r="AS772" i="25" s="1"/>
  <c r="AI772" i="25"/>
  <c r="AO772" i="25" s="1"/>
  <c r="AR772" i="25" s="1"/>
  <c r="AL629" i="25"/>
  <c r="AM629" i="25"/>
  <c r="AI629" i="25"/>
  <c r="AO629" i="25" s="1"/>
  <c r="AR629" i="25" s="1"/>
  <c r="AH629" i="25"/>
  <c r="AP629" i="25" s="1"/>
  <c r="AS629" i="25" s="1"/>
  <c r="AH460" i="25"/>
  <c r="AI460" i="25"/>
  <c r="O461" i="25"/>
  <c r="Y461" i="25"/>
  <c r="AC461" i="25" s="1"/>
  <c r="P461" i="25"/>
  <c r="H933" i="25"/>
  <c r="Q933" i="25" s="1"/>
  <c r="T461" i="25"/>
  <c r="U461" i="25"/>
  <c r="V461" i="25"/>
  <c r="N461" i="25"/>
  <c r="AL460" i="25"/>
  <c r="AM460" i="25"/>
  <c r="P773" i="25"/>
  <c r="Y773" i="25"/>
  <c r="AC773" i="25" s="1"/>
  <c r="W773" i="25"/>
  <c r="Z773" i="25" s="1"/>
  <c r="AB773" i="25" s="1"/>
  <c r="AD773" i="25" s="1"/>
  <c r="AE773" i="25" s="1"/>
  <c r="T773" i="25"/>
  <c r="X773" i="25" s="1"/>
  <c r="AA773" i="25" s="1"/>
  <c r="N773" i="25"/>
  <c r="V773" i="25"/>
  <c r="O773" i="25"/>
  <c r="U773" i="25"/>
  <c r="AJ460" i="25"/>
  <c r="AK460" i="25"/>
  <c r="AN460" i="25" s="1"/>
  <c r="AQ460" i="25" s="1"/>
  <c r="N630" i="25"/>
  <c r="V630" i="25"/>
  <c r="O630" i="25"/>
  <c r="P630" i="25"/>
  <c r="Y630" i="25"/>
  <c r="AC630" i="25" s="1"/>
  <c r="T630" i="25"/>
  <c r="U630" i="25"/>
  <c r="X630" i="25" s="1"/>
  <c r="AA630" i="25" s="1"/>
  <c r="D149" i="25"/>
  <c r="P148" i="25"/>
  <c r="AJ148" i="25"/>
  <c r="AL148" i="25"/>
  <c r="AA928" i="25"/>
  <c r="AB928" i="25" s="1"/>
  <c r="AC928" i="25" s="1"/>
  <c r="AD928" i="25" s="1"/>
  <c r="W928" i="25"/>
  <c r="X928" i="25" s="1"/>
  <c r="E150" i="25"/>
  <c r="N149" i="25"/>
  <c r="C150" i="25"/>
  <c r="Y149" i="25"/>
  <c r="AC149" i="25" s="1"/>
  <c r="AD149" i="25" s="1"/>
  <c r="AE149" i="25" s="1"/>
  <c r="AH147" i="25"/>
  <c r="AP147" i="25" s="1"/>
  <c r="AS147" i="25" s="1"/>
  <c r="M931" i="25" s="1"/>
  <c r="V931" i="25" s="1"/>
  <c r="AM147" i="25"/>
  <c r="F149" i="25"/>
  <c r="O148" i="25"/>
  <c r="AI147" i="25"/>
  <c r="AO147" i="25" s="1"/>
  <c r="AR147" i="25" s="1"/>
  <c r="L931" i="25" s="1"/>
  <c r="U931" i="25" s="1"/>
  <c r="AK147" i="25"/>
  <c r="AN146" i="25"/>
  <c r="AQ146" i="25" s="1"/>
  <c r="K930" i="25" s="1"/>
  <c r="T929" i="25"/>
  <c r="O929" i="25"/>
  <c r="B775" i="25"/>
  <c r="M774" i="25"/>
  <c r="B470" i="25"/>
  <c r="M469" i="25"/>
  <c r="M462" i="25"/>
  <c r="B307" i="25"/>
  <c r="M307" i="25" s="1"/>
  <c r="Q307" i="25" l="1"/>
  <c r="R307" i="25"/>
  <c r="S307" i="25"/>
  <c r="S462" i="25"/>
  <c r="R462" i="25"/>
  <c r="Q462" i="25"/>
  <c r="Q469" i="25"/>
  <c r="S469" i="25"/>
  <c r="R469" i="25"/>
  <c r="R774" i="25"/>
  <c r="Q774" i="25"/>
  <c r="S774" i="25"/>
  <c r="AM306" i="25"/>
  <c r="AL306" i="25"/>
  <c r="AJ306" i="25"/>
  <c r="AK306" i="25"/>
  <c r="Y307" i="25"/>
  <c r="AC307" i="25" s="1"/>
  <c r="O307" i="25"/>
  <c r="V307" i="25"/>
  <c r="W307" i="25"/>
  <c r="Z307" i="25" s="1"/>
  <c r="T307" i="25"/>
  <c r="P307" i="25"/>
  <c r="N307" i="25"/>
  <c r="U307" i="25"/>
  <c r="AN307" i="25"/>
  <c r="AQ307" i="25" s="1"/>
  <c r="X307" i="25"/>
  <c r="AA307" i="25" s="1"/>
  <c r="AB307" i="25" s="1"/>
  <c r="AD307" i="25" s="1"/>
  <c r="AE307" i="25" s="1"/>
  <c r="AH306" i="25"/>
  <c r="AI306" i="25"/>
  <c r="AO306" i="25" s="1"/>
  <c r="AR306" i="25" s="1"/>
  <c r="X461" i="25"/>
  <c r="AA461" i="25" s="1"/>
  <c r="AO460" i="25"/>
  <c r="AR460" i="25" s="1"/>
  <c r="N932" i="25"/>
  <c r="R932" i="25"/>
  <c r="W461" i="25"/>
  <c r="Z461" i="25" s="1"/>
  <c r="AB461" i="25" s="1"/>
  <c r="AD461" i="25" s="1"/>
  <c r="AE461" i="25" s="1"/>
  <c r="J933" i="25"/>
  <c r="S933" i="25" s="1"/>
  <c r="AP460" i="25"/>
  <c r="AS460" i="25" s="1"/>
  <c r="I933" i="25"/>
  <c r="AP467" i="25"/>
  <c r="AS467" i="25" s="1"/>
  <c r="AB460" i="25"/>
  <c r="AD460" i="25" s="1"/>
  <c r="AE460" i="25" s="1"/>
  <c r="AN772" i="25"/>
  <c r="AQ772" i="25" s="1"/>
  <c r="Z932" i="25"/>
  <c r="AH773" i="25"/>
  <c r="AI773" i="25"/>
  <c r="AH468" i="25"/>
  <c r="AI468" i="25"/>
  <c r="T462" i="25"/>
  <c r="U462" i="25"/>
  <c r="N462" i="25"/>
  <c r="V462" i="25"/>
  <c r="O462" i="25"/>
  <c r="Y462" i="25"/>
  <c r="AC462" i="25" s="1"/>
  <c r="P462" i="25"/>
  <c r="AL630" i="25"/>
  <c r="AM630" i="25"/>
  <c r="AL468" i="25"/>
  <c r="AM468" i="25"/>
  <c r="N469" i="25"/>
  <c r="V469" i="25"/>
  <c r="O469" i="25"/>
  <c r="P469" i="25"/>
  <c r="Y469" i="25"/>
  <c r="AC469" i="25" s="1"/>
  <c r="T469" i="25"/>
  <c r="U469" i="25"/>
  <c r="X469" i="25" s="1"/>
  <c r="AA469" i="25" s="1"/>
  <c r="AL461" i="25"/>
  <c r="AM461" i="25"/>
  <c r="AJ630" i="25"/>
  <c r="AK630" i="25"/>
  <c r="W630" i="25"/>
  <c r="Z630" i="25" s="1"/>
  <c r="AB630" i="25" s="1"/>
  <c r="AD630" i="25" s="1"/>
  <c r="AE630" i="25" s="1"/>
  <c r="AH630" i="25"/>
  <c r="AP630" i="25" s="1"/>
  <c r="AS630" i="25" s="1"/>
  <c r="AI630" i="25"/>
  <c r="AO630" i="25" s="1"/>
  <c r="AR630" i="25" s="1"/>
  <c r="U774" i="25"/>
  <c r="N774" i="25"/>
  <c r="V774" i="25"/>
  <c r="O774" i="25"/>
  <c r="Y774" i="25"/>
  <c r="P774" i="25"/>
  <c r="AC774" i="25"/>
  <c r="T774" i="25"/>
  <c r="AL773" i="25"/>
  <c r="AM773" i="25"/>
  <c r="AJ461" i="25"/>
  <c r="AK461" i="25"/>
  <c r="AN461" i="25" s="1"/>
  <c r="AQ461" i="25" s="1"/>
  <c r="AJ773" i="25"/>
  <c r="AK773" i="25"/>
  <c r="AH461" i="25"/>
  <c r="AI461" i="25"/>
  <c r="W468" i="25"/>
  <c r="Z468" i="25" s="1"/>
  <c r="AB468" i="25" s="1"/>
  <c r="AD468" i="25" s="1"/>
  <c r="AE468" i="25" s="1"/>
  <c r="AJ468" i="25"/>
  <c r="AK468" i="25"/>
  <c r="AN468" i="25" s="1"/>
  <c r="AQ468" i="25" s="1"/>
  <c r="AL149" i="25"/>
  <c r="AJ149" i="25"/>
  <c r="E151" i="25"/>
  <c r="N150" i="25"/>
  <c r="AN147" i="25"/>
  <c r="AQ147" i="25" s="1"/>
  <c r="K931" i="25" s="1"/>
  <c r="AM148" i="25"/>
  <c r="AH148" i="25"/>
  <c r="AP148" i="25" s="1"/>
  <c r="AS148" i="25" s="1"/>
  <c r="M932" i="25" s="1"/>
  <c r="V932" i="25" s="1"/>
  <c r="F150" i="25"/>
  <c r="O149" i="25"/>
  <c r="AA929" i="25"/>
  <c r="AB929" i="25" s="1"/>
  <c r="AC929" i="25" s="1"/>
  <c r="AD929" i="25" s="1"/>
  <c r="W929" i="25"/>
  <c r="X929" i="25" s="1"/>
  <c r="AI148" i="25"/>
  <c r="AO148" i="25" s="1"/>
  <c r="AR148" i="25" s="1"/>
  <c r="L932" i="25" s="1"/>
  <c r="U932" i="25" s="1"/>
  <c r="AK148" i="25"/>
  <c r="T930" i="25"/>
  <c r="O930" i="25"/>
  <c r="C151" i="25"/>
  <c r="Y150" i="25"/>
  <c r="AC150" i="25" s="1"/>
  <c r="AD150" i="25" s="1"/>
  <c r="AE150" i="25" s="1"/>
  <c r="D150" i="25"/>
  <c r="P149" i="25"/>
  <c r="M775" i="25"/>
  <c r="B776" i="25"/>
  <c r="B471" i="25"/>
  <c r="M470" i="25"/>
  <c r="B308" i="25"/>
  <c r="M308" i="25" s="1"/>
  <c r="M463" i="25"/>
  <c r="S470" i="25" l="1"/>
  <c r="Q470" i="25"/>
  <c r="R470" i="25"/>
  <c r="Q308" i="25"/>
  <c r="R308" i="25"/>
  <c r="S308" i="25"/>
  <c r="S775" i="25"/>
  <c r="Q775" i="25"/>
  <c r="R775" i="25"/>
  <c r="R463" i="25"/>
  <c r="S463" i="25"/>
  <c r="Q463" i="25"/>
  <c r="AH307" i="25"/>
  <c r="AP307" i="25" s="1"/>
  <c r="AS307" i="25" s="1"/>
  <c r="AI307" i="25"/>
  <c r="AO307" i="25" s="1"/>
  <c r="AR307" i="25" s="1"/>
  <c r="U308" i="25"/>
  <c r="P308" i="25"/>
  <c r="Y308" i="25"/>
  <c r="AC308" i="25" s="1"/>
  <c r="O308" i="25"/>
  <c r="V308" i="25"/>
  <c r="N308" i="25"/>
  <c r="T308" i="25"/>
  <c r="X308" i="25" s="1"/>
  <c r="AA308" i="25" s="1"/>
  <c r="W308" i="25"/>
  <c r="Z308" i="25" s="1"/>
  <c r="AB308" i="25" s="1"/>
  <c r="AD308" i="25" s="1"/>
  <c r="AE308" i="25" s="1"/>
  <c r="AL307" i="25"/>
  <c r="AM307" i="25"/>
  <c r="AK307" i="25"/>
  <c r="AJ307" i="25"/>
  <c r="X774" i="25"/>
  <c r="AA774" i="25" s="1"/>
  <c r="J934" i="25"/>
  <c r="S934" i="25" s="1"/>
  <c r="I934" i="25"/>
  <c r="R934" i="25" s="1"/>
  <c r="H934" i="25"/>
  <c r="X462" i="25"/>
  <c r="AA462" i="25" s="1"/>
  <c r="AO468" i="25"/>
  <c r="AR468" i="25" s="1"/>
  <c r="AO461" i="25"/>
  <c r="AR461" i="25" s="1"/>
  <c r="AP468" i="25"/>
  <c r="AS468" i="25" s="1"/>
  <c r="AP461" i="25"/>
  <c r="AS461" i="25" s="1"/>
  <c r="AN630" i="25"/>
  <c r="AQ630" i="25" s="1"/>
  <c r="AO773" i="25"/>
  <c r="AR773" i="25" s="1"/>
  <c r="AN773" i="25"/>
  <c r="AQ773" i="25" s="1"/>
  <c r="AP773" i="25"/>
  <c r="AS773" i="25" s="1"/>
  <c r="N933" i="25"/>
  <c r="R933" i="25"/>
  <c r="Z933" i="25" s="1"/>
  <c r="AL469" i="25"/>
  <c r="AM469" i="25"/>
  <c r="W774" i="25"/>
  <c r="Z774" i="25" s="1"/>
  <c r="AB774" i="25" s="1"/>
  <c r="AD774" i="25" s="1"/>
  <c r="AE774" i="25" s="1"/>
  <c r="AK774" i="25"/>
  <c r="AJ774" i="25"/>
  <c r="AJ469" i="25"/>
  <c r="AK469" i="25"/>
  <c r="AL462" i="25"/>
  <c r="AM462" i="25"/>
  <c r="AL774" i="25"/>
  <c r="AM774" i="25"/>
  <c r="W469" i="25"/>
  <c r="Z469" i="25" s="1"/>
  <c r="AB469" i="25" s="1"/>
  <c r="AD469" i="25" s="1"/>
  <c r="AE469" i="25" s="1"/>
  <c r="AH469" i="25"/>
  <c r="AP469" i="25" s="1"/>
  <c r="AS469" i="25" s="1"/>
  <c r="AI469" i="25"/>
  <c r="AO469" i="25" s="1"/>
  <c r="AR469" i="25" s="1"/>
  <c r="AJ462" i="25"/>
  <c r="AK462" i="25"/>
  <c r="AN462" i="25" s="1"/>
  <c r="AQ462" i="25" s="1"/>
  <c r="AH774" i="25"/>
  <c r="AP774" i="25" s="1"/>
  <c r="AS774" i="25" s="1"/>
  <c r="AI774" i="25"/>
  <c r="AO774" i="25" s="1"/>
  <c r="AR774" i="25" s="1"/>
  <c r="W462" i="25"/>
  <c r="Z462" i="25" s="1"/>
  <c r="AB462" i="25" s="1"/>
  <c r="AD462" i="25" s="1"/>
  <c r="AE462" i="25" s="1"/>
  <c r="AH462" i="25"/>
  <c r="AP462" i="25" s="1"/>
  <c r="AS462" i="25" s="1"/>
  <c r="AI462" i="25"/>
  <c r="AO462" i="25" s="1"/>
  <c r="AR462" i="25" s="1"/>
  <c r="T463" i="25"/>
  <c r="U463" i="25"/>
  <c r="N463" i="25"/>
  <c r="V463" i="25"/>
  <c r="X463" i="25" s="1"/>
  <c r="AA463" i="25" s="1"/>
  <c r="O463" i="25"/>
  <c r="Y463" i="25"/>
  <c r="AC463" i="25" s="1"/>
  <c r="P463" i="25"/>
  <c r="T470" i="25"/>
  <c r="U470" i="25"/>
  <c r="N470" i="25"/>
  <c r="V470" i="25"/>
  <c r="O470" i="25"/>
  <c r="P470" i="25"/>
  <c r="Y470" i="25"/>
  <c r="AC470" i="25" s="1"/>
  <c r="T775" i="25"/>
  <c r="U775" i="25"/>
  <c r="N775" i="25"/>
  <c r="V775" i="25"/>
  <c r="P775" i="25"/>
  <c r="O775" i="25"/>
  <c r="Y775" i="25"/>
  <c r="AC775" i="25" s="1"/>
  <c r="W930" i="25"/>
  <c r="X930" i="25" s="1"/>
  <c r="AA930" i="25"/>
  <c r="AB930" i="25" s="1"/>
  <c r="AC930" i="25" s="1"/>
  <c r="AD930" i="25" s="1"/>
  <c r="C152" i="25"/>
  <c r="Y151" i="25"/>
  <c r="AC151" i="25" s="1"/>
  <c r="AD151" i="25" s="1"/>
  <c r="AE151" i="25" s="1"/>
  <c r="F151" i="25"/>
  <c r="O150" i="25"/>
  <c r="AN148" i="25"/>
  <c r="AQ148" i="25" s="1"/>
  <c r="K932" i="25" s="1"/>
  <c r="T931" i="25"/>
  <c r="O931" i="25"/>
  <c r="AJ150" i="25"/>
  <c r="AL150" i="25"/>
  <c r="E152" i="25"/>
  <c r="N151" i="25"/>
  <c r="AK149" i="25"/>
  <c r="AI149" i="25"/>
  <c r="AO149" i="25" s="1"/>
  <c r="AR149" i="25" s="1"/>
  <c r="L933" i="25" s="1"/>
  <c r="U933" i="25" s="1"/>
  <c r="D151" i="25"/>
  <c r="P150" i="25"/>
  <c r="AM149" i="25"/>
  <c r="AH149" i="25"/>
  <c r="AP149" i="25" s="1"/>
  <c r="AS149" i="25" s="1"/>
  <c r="M933" i="25" s="1"/>
  <c r="V933" i="25" s="1"/>
  <c r="M776" i="25"/>
  <c r="B777" i="25"/>
  <c r="B472" i="25"/>
  <c r="M471" i="25"/>
  <c r="M464" i="25"/>
  <c r="B309" i="25"/>
  <c r="M309" i="25" s="1"/>
  <c r="R776" i="25" l="1"/>
  <c r="Q776" i="25"/>
  <c r="S776" i="25"/>
  <c r="S309" i="25"/>
  <c r="Q309" i="25"/>
  <c r="R309" i="25"/>
  <c r="R464" i="25"/>
  <c r="Q464" i="25"/>
  <c r="S464" i="25"/>
  <c r="R471" i="25"/>
  <c r="S471" i="25"/>
  <c r="Q471" i="25"/>
  <c r="AH308" i="25"/>
  <c r="AI308" i="25"/>
  <c r="T309" i="25"/>
  <c r="N309" i="25"/>
  <c r="O309" i="25"/>
  <c r="U309" i="25"/>
  <c r="Y309" i="25"/>
  <c r="AC309" i="25" s="1"/>
  <c r="P309" i="25"/>
  <c r="V309" i="25"/>
  <c r="X309" i="25" s="1"/>
  <c r="AA309" i="25" s="1"/>
  <c r="W309" i="25"/>
  <c r="Z309" i="25" s="1"/>
  <c r="AB309" i="25" s="1"/>
  <c r="AD309" i="25" s="1"/>
  <c r="AE309" i="25" s="1"/>
  <c r="AP309" i="25"/>
  <c r="AS309" i="25" s="1"/>
  <c r="AN309" i="25"/>
  <c r="AQ309" i="25" s="1"/>
  <c r="AK308" i="25"/>
  <c r="AN308" i="25" s="1"/>
  <c r="AQ308" i="25" s="1"/>
  <c r="AJ308" i="25"/>
  <c r="AP308" i="25" s="1"/>
  <c r="AS308" i="25" s="1"/>
  <c r="AL308" i="25"/>
  <c r="AO308" i="25" s="1"/>
  <c r="AR308" i="25" s="1"/>
  <c r="AM308" i="25"/>
  <c r="H935" i="25"/>
  <c r="N934" i="25"/>
  <c r="Q934" i="25"/>
  <c r="Z934" i="25" s="1"/>
  <c r="AN774" i="25"/>
  <c r="AQ774" i="25" s="1"/>
  <c r="X775" i="25"/>
  <c r="AA775" i="25" s="1"/>
  <c r="X470" i="25"/>
  <c r="AA470" i="25" s="1"/>
  <c r="W470" i="25"/>
  <c r="Z470" i="25" s="1"/>
  <c r="J935" i="25"/>
  <c r="S935" i="25" s="1"/>
  <c r="I935" i="25"/>
  <c r="R935" i="25" s="1"/>
  <c r="AN469" i="25"/>
  <c r="AQ469" i="25" s="1"/>
  <c r="AL463" i="25"/>
  <c r="AM463" i="25"/>
  <c r="W463" i="25"/>
  <c r="Z463" i="25" s="1"/>
  <c r="AB463" i="25" s="1"/>
  <c r="AD463" i="25" s="1"/>
  <c r="AE463" i="25" s="1"/>
  <c r="AJ463" i="25"/>
  <c r="AK463" i="25"/>
  <c r="AH463" i="25"/>
  <c r="AP463" i="25" s="1"/>
  <c r="AS463" i="25" s="1"/>
  <c r="AI463" i="25"/>
  <c r="AJ470" i="25"/>
  <c r="AK470" i="25"/>
  <c r="O464" i="25"/>
  <c r="Y464" i="25"/>
  <c r="AC464" i="25" s="1"/>
  <c r="P464" i="25"/>
  <c r="T464" i="25"/>
  <c r="X464" i="25" s="1"/>
  <c r="AA464" i="25" s="1"/>
  <c r="U464" i="25"/>
  <c r="N464" i="25"/>
  <c r="V464" i="25"/>
  <c r="P471" i="25"/>
  <c r="AC471" i="25"/>
  <c r="T471" i="25"/>
  <c r="U471" i="25"/>
  <c r="N471" i="25"/>
  <c r="V471" i="25"/>
  <c r="O471" i="25"/>
  <c r="Y471" i="25"/>
  <c r="N776" i="25"/>
  <c r="V776" i="25"/>
  <c r="O776" i="25"/>
  <c r="Y776" i="25"/>
  <c r="AC776" i="25" s="1"/>
  <c r="P776" i="25"/>
  <c r="W776" i="25"/>
  <c r="Z776" i="25" s="1"/>
  <c r="T776" i="25"/>
  <c r="U776" i="25"/>
  <c r="AH470" i="25"/>
  <c r="AP470" i="25" s="1"/>
  <c r="AS470" i="25" s="1"/>
  <c r="AI470" i="25"/>
  <c r="W775" i="25"/>
  <c r="Z775" i="25" s="1"/>
  <c r="AB775" i="25" s="1"/>
  <c r="AD775" i="25" s="1"/>
  <c r="AE775" i="25" s="1"/>
  <c r="AH775" i="25"/>
  <c r="AI775" i="25"/>
  <c r="AL775" i="25"/>
  <c r="AM775" i="25"/>
  <c r="AL470" i="25"/>
  <c r="AM470" i="25"/>
  <c r="AJ775" i="25"/>
  <c r="AK775" i="25"/>
  <c r="D152" i="25"/>
  <c r="P151" i="25"/>
  <c r="AA931" i="25"/>
  <c r="AB931" i="25" s="1"/>
  <c r="AC931" i="25" s="1"/>
  <c r="AD931" i="25" s="1"/>
  <c r="W931" i="25"/>
  <c r="X931" i="25" s="1"/>
  <c r="T932" i="25"/>
  <c r="O932" i="25"/>
  <c r="AN149" i="25"/>
  <c r="AQ149" i="25" s="1"/>
  <c r="K933" i="25" s="1"/>
  <c r="AM150" i="25"/>
  <c r="AH150" i="25"/>
  <c r="AP150" i="25" s="1"/>
  <c r="AS150" i="25" s="1"/>
  <c r="M934" i="25" s="1"/>
  <c r="V934" i="25" s="1"/>
  <c r="AJ151" i="25"/>
  <c r="AL151" i="25"/>
  <c r="F152" i="25"/>
  <c r="O151" i="25"/>
  <c r="C153" i="25"/>
  <c r="Y152" i="25"/>
  <c r="AC152" i="25" s="1"/>
  <c r="AD152" i="25" s="1"/>
  <c r="AE152" i="25" s="1"/>
  <c r="E153" i="25"/>
  <c r="N152" i="25"/>
  <c r="AI150" i="25"/>
  <c r="AO150" i="25" s="1"/>
  <c r="AR150" i="25" s="1"/>
  <c r="L934" i="25" s="1"/>
  <c r="U934" i="25" s="1"/>
  <c r="AK150" i="25"/>
  <c r="B778" i="25"/>
  <c r="M777" i="25"/>
  <c r="B473" i="25"/>
  <c r="M472" i="25"/>
  <c r="B310" i="25"/>
  <c r="M310" i="25" s="1"/>
  <c r="M465" i="25"/>
  <c r="R472" i="25" l="1"/>
  <c r="Q472" i="25"/>
  <c r="S472" i="25"/>
  <c r="Q777" i="25"/>
  <c r="R777" i="25"/>
  <c r="S777" i="25"/>
  <c r="R465" i="25"/>
  <c r="Q465" i="25"/>
  <c r="S465" i="25"/>
  <c r="Q310" i="25"/>
  <c r="R310" i="25"/>
  <c r="S310" i="25"/>
  <c r="Y310" i="25"/>
  <c r="AC310" i="25" s="1"/>
  <c r="O310" i="25"/>
  <c r="V310" i="25"/>
  <c r="N310" i="25"/>
  <c r="U310" i="25"/>
  <c r="P310" i="25"/>
  <c r="T310" i="25"/>
  <c r="X310" i="25" s="1"/>
  <c r="AA310" i="25" s="1"/>
  <c r="AB310" i="25"/>
  <c r="AD310" i="25" s="1"/>
  <c r="AE310" i="25" s="1"/>
  <c r="AK309" i="25"/>
  <c r="AJ309" i="25"/>
  <c r="AM309" i="25"/>
  <c r="AL309" i="25"/>
  <c r="AH309" i="25"/>
  <c r="AI309" i="25"/>
  <c r="AO309" i="25" s="1"/>
  <c r="AR309" i="25" s="1"/>
  <c r="AN470" i="25"/>
  <c r="AQ470" i="25" s="1"/>
  <c r="AO775" i="25"/>
  <c r="AR775" i="25" s="1"/>
  <c r="J936" i="25"/>
  <c r="S936" i="25" s="1"/>
  <c r="AP775" i="25"/>
  <c r="AS775" i="25" s="1"/>
  <c r="W464" i="25"/>
  <c r="Z464" i="25" s="1"/>
  <c r="AB464" i="25" s="1"/>
  <c r="AD464" i="25" s="1"/>
  <c r="AE464" i="25" s="1"/>
  <c r="I936" i="25"/>
  <c r="R936" i="25" s="1"/>
  <c r="AO463" i="25"/>
  <c r="AR463" i="25" s="1"/>
  <c r="AN775" i="25"/>
  <c r="AQ775" i="25" s="1"/>
  <c r="H936" i="25"/>
  <c r="AO470" i="25"/>
  <c r="AR470" i="25" s="1"/>
  <c r="X776" i="25"/>
  <c r="AA776" i="25" s="1"/>
  <c r="AB776" i="25" s="1"/>
  <c r="AD776" i="25" s="1"/>
  <c r="AE776" i="25" s="1"/>
  <c r="X471" i="25"/>
  <c r="AA471" i="25" s="1"/>
  <c r="AN463" i="25"/>
  <c r="AQ463" i="25" s="1"/>
  <c r="AB470" i="25"/>
  <c r="AD470" i="25" s="1"/>
  <c r="AE470" i="25" s="1"/>
  <c r="N935" i="25"/>
  <c r="Q935" i="25"/>
  <c r="Z935" i="25" s="1"/>
  <c r="AL464" i="25"/>
  <c r="AM464" i="25"/>
  <c r="AJ464" i="25"/>
  <c r="AK464" i="25"/>
  <c r="AN464" i="25" s="1"/>
  <c r="AQ464" i="25" s="1"/>
  <c r="AL776" i="25"/>
  <c r="AM776" i="25"/>
  <c r="AH464" i="25"/>
  <c r="AI464" i="25"/>
  <c r="T777" i="25"/>
  <c r="X777" i="25" s="1"/>
  <c r="AA777" i="25" s="1"/>
  <c r="U777" i="25"/>
  <c r="N777" i="25"/>
  <c r="V777" i="25"/>
  <c r="O777" i="25"/>
  <c r="P777" i="25"/>
  <c r="Y777" i="25"/>
  <c r="AC777" i="25" s="1"/>
  <c r="W777" i="25"/>
  <c r="Z777" i="25" s="1"/>
  <c r="AB777" i="25" s="1"/>
  <c r="AD777" i="25" s="1"/>
  <c r="AE777" i="25" s="1"/>
  <c r="AJ776" i="25"/>
  <c r="AK776" i="25"/>
  <c r="AN776" i="25" s="1"/>
  <c r="AQ776" i="25" s="1"/>
  <c r="AL471" i="25"/>
  <c r="AM471" i="25"/>
  <c r="T465" i="25"/>
  <c r="U465" i="25"/>
  <c r="N465" i="25"/>
  <c r="V465" i="25"/>
  <c r="O465" i="25"/>
  <c r="Y465" i="25"/>
  <c r="P465" i="25"/>
  <c r="AC465" i="25"/>
  <c r="H937" i="25"/>
  <c r="Q937" i="25" s="1"/>
  <c r="AH776" i="25"/>
  <c r="AP776" i="25" s="1"/>
  <c r="AS776" i="25" s="1"/>
  <c r="AI776" i="25"/>
  <c r="AO776" i="25" s="1"/>
  <c r="AR776" i="25" s="1"/>
  <c r="W471" i="25"/>
  <c r="Z471" i="25" s="1"/>
  <c r="AB471" i="25" s="1"/>
  <c r="AD471" i="25" s="1"/>
  <c r="AE471" i="25" s="1"/>
  <c r="AJ471" i="25"/>
  <c r="AK471" i="25"/>
  <c r="U472" i="25"/>
  <c r="N472" i="25"/>
  <c r="V472" i="25"/>
  <c r="O472" i="25"/>
  <c r="P472" i="25"/>
  <c r="Y472" i="25"/>
  <c r="AC472" i="25" s="1"/>
  <c r="T472" i="25"/>
  <c r="X472" i="25" s="1"/>
  <c r="AA472" i="25" s="1"/>
  <c r="AH471" i="25"/>
  <c r="AI471" i="25"/>
  <c r="T933" i="25"/>
  <c r="O933" i="25"/>
  <c r="C154" i="25"/>
  <c r="Y153" i="25"/>
  <c r="AC153" i="25" s="1"/>
  <c r="AD153" i="25" s="1"/>
  <c r="AE153" i="25" s="1"/>
  <c r="AH151" i="25"/>
  <c r="AP151" i="25" s="1"/>
  <c r="AS151" i="25" s="1"/>
  <c r="M935" i="25" s="1"/>
  <c r="V935" i="25" s="1"/>
  <c r="AM151" i="25"/>
  <c r="W932" i="25"/>
  <c r="X932" i="25" s="1"/>
  <c r="AA932" i="25"/>
  <c r="AB932" i="25" s="1"/>
  <c r="AC932" i="25" s="1"/>
  <c r="AD932" i="25" s="1"/>
  <c r="F153" i="25"/>
  <c r="O152" i="25"/>
  <c r="AN150" i="25"/>
  <c r="AQ150" i="25" s="1"/>
  <c r="K934" i="25" s="1"/>
  <c r="AJ152" i="25"/>
  <c r="AL152" i="25"/>
  <c r="AI151" i="25"/>
  <c r="AO151" i="25" s="1"/>
  <c r="AR151" i="25" s="1"/>
  <c r="L935" i="25" s="1"/>
  <c r="U935" i="25" s="1"/>
  <c r="AK151" i="25"/>
  <c r="E154" i="25"/>
  <c r="N153" i="25"/>
  <c r="D153" i="25"/>
  <c r="P152" i="25"/>
  <c r="M778" i="25"/>
  <c r="B779" i="25"/>
  <c r="B474" i="25"/>
  <c r="M473" i="25"/>
  <c r="B311" i="25"/>
  <c r="M311" i="25" s="1"/>
  <c r="Q311" i="25" l="1"/>
  <c r="S311" i="25"/>
  <c r="R311" i="25"/>
  <c r="R473" i="25"/>
  <c r="Q473" i="25"/>
  <c r="S473" i="25"/>
  <c r="R778" i="25"/>
  <c r="Q778" i="25"/>
  <c r="S778" i="25"/>
  <c r="AI310" i="25"/>
  <c r="AH310" i="25"/>
  <c r="N311" i="25"/>
  <c r="U311" i="25"/>
  <c r="P311" i="25"/>
  <c r="V311" i="25"/>
  <c r="X311" i="25" s="1"/>
  <c r="AA311" i="25" s="1"/>
  <c r="T311" i="25"/>
  <c r="O311" i="25"/>
  <c r="Y311" i="25"/>
  <c r="AC311" i="25" s="1"/>
  <c r="W311" i="25"/>
  <c r="Z311" i="25" s="1"/>
  <c r="AB311" i="25" s="1"/>
  <c r="AD311" i="25" s="1"/>
  <c r="AE311" i="25" s="1"/>
  <c r="AN311" i="25"/>
  <c r="AQ311" i="25" s="1"/>
  <c r="AO311" i="25"/>
  <c r="AR311" i="25" s="1"/>
  <c r="W310" i="25"/>
  <c r="Z310" i="25" s="1"/>
  <c r="AJ310" i="25"/>
  <c r="AP310" i="25" s="1"/>
  <c r="AS310" i="25" s="1"/>
  <c r="AK310" i="25"/>
  <c r="AN310" i="25" s="1"/>
  <c r="AQ310" i="25" s="1"/>
  <c r="AL310" i="25"/>
  <c r="AO310" i="25" s="1"/>
  <c r="AR310" i="25" s="1"/>
  <c r="AM310" i="25"/>
  <c r="AO464" i="25"/>
  <c r="AR464" i="25" s="1"/>
  <c r="Q936" i="25"/>
  <c r="Z936" i="25" s="1"/>
  <c r="N936" i="25"/>
  <c r="AO471" i="25"/>
  <c r="AR471" i="25" s="1"/>
  <c r="X465" i="25"/>
  <c r="AA465" i="25" s="1"/>
  <c r="AP464" i="25"/>
  <c r="AS464" i="25" s="1"/>
  <c r="AP471" i="25"/>
  <c r="AS471" i="25" s="1"/>
  <c r="J937" i="25"/>
  <c r="S937" i="25" s="1"/>
  <c r="AN471" i="25"/>
  <c r="AQ471" i="25" s="1"/>
  <c r="I937" i="25"/>
  <c r="W472" i="25"/>
  <c r="Z472" i="25" s="1"/>
  <c r="AB472" i="25" s="1"/>
  <c r="AD472" i="25" s="1"/>
  <c r="AE472" i="25" s="1"/>
  <c r="AJ472" i="25"/>
  <c r="AK472" i="25"/>
  <c r="P473" i="25"/>
  <c r="Y473" i="25"/>
  <c r="AC473" i="25" s="1"/>
  <c r="T473" i="25"/>
  <c r="X473" i="25" s="1"/>
  <c r="AA473" i="25" s="1"/>
  <c r="U473" i="25"/>
  <c r="N473" i="25"/>
  <c r="V473" i="25"/>
  <c r="O473" i="25"/>
  <c r="AL465" i="25"/>
  <c r="AM465" i="25"/>
  <c r="AH472" i="25"/>
  <c r="AI472" i="25"/>
  <c r="W465" i="25"/>
  <c r="Z465" i="25" s="1"/>
  <c r="AB465" i="25" s="1"/>
  <c r="AD465" i="25" s="1"/>
  <c r="AE465" i="25" s="1"/>
  <c r="AJ465" i="25"/>
  <c r="AP465" i="25" s="1"/>
  <c r="AS465" i="25" s="1"/>
  <c r="AK465" i="25"/>
  <c r="AH465" i="25"/>
  <c r="AI465" i="25"/>
  <c r="AO465" i="25" s="1"/>
  <c r="AR465" i="25" s="1"/>
  <c r="AH777" i="25"/>
  <c r="AI777" i="25"/>
  <c r="H938" i="25"/>
  <c r="I938" i="25"/>
  <c r="R938" i="25" s="1"/>
  <c r="J938" i="25"/>
  <c r="S938" i="25" s="1"/>
  <c r="T778" i="25"/>
  <c r="U778" i="25"/>
  <c r="O778" i="25"/>
  <c r="Y778" i="25"/>
  <c r="AC778" i="25" s="1"/>
  <c r="P778" i="25"/>
  <c r="N778" i="25"/>
  <c r="V778" i="25"/>
  <c r="AL777" i="25"/>
  <c r="AM777" i="25"/>
  <c r="AL472" i="25"/>
  <c r="AM472" i="25"/>
  <c r="AJ777" i="25"/>
  <c r="AK777" i="25"/>
  <c r="AN777" i="25" s="1"/>
  <c r="AQ777" i="25" s="1"/>
  <c r="E155" i="25"/>
  <c r="N154" i="25"/>
  <c r="AI152" i="25"/>
  <c r="AO152" i="25" s="1"/>
  <c r="AR152" i="25" s="1"/>
  <c r="L936" i="25" s="1"/>
  <c r="U936" i="25" s="1"/>
  <c r="AK152" i="25"/>
  <c r="C155" i="25"/>
  <c r="Y154" i="25"/>
  <c r="AC154" i="25" s="1"/>
  <c r="AD154" i="25" s="1"/>
  <c r="AE154" i="25" s="1"/>
  <c r="O934" i="25"/>
  <c r="T934" i="25"/>
  <c r="D154" i="25"/>
  <c r="P153" i="25"/>
  <c r="AM152" i="25"/>
  <c r="AH152" i="25"/>
  <c r="AP152" i="25" s="1"/>
  <c r="AS152" i="25" s="1"/>
  <c r="M936" i="25" s="1"/>
  <c r="V936" i="25" s="1"/>
  <c r="AN151" i="25"/>
  <c r="AQ151" i="25" s="1"/>
  <c r="K935" i="25" s="1"/>
  <c r="AL153" i="25"/>
  <c r="AJ153" i="25"/>
  <c r="F154" i="25"/>
  <c r="O153" i="25"/>
  <c r="AA933" i="25"/>
  <c r="AB933" i="25" s="1"/>
  <c r="AC933" i="25" s="1"/>
  <c r="AD933" i="25" s="1"/>
  <c r="W933" i="25"/>
  <c r="X933" i="25" s="1"/>
  <c r="B780" i="25"/>
  <c r="M779" i="25"/>
  <c r="B475" i="25"/>
  <c r="M475" i="25" s="1"/>
  <c r="M474" i="25"/>
  <c r="B312" i="25"/>
  <c r="M312" i="25" s="1"/>
  <c r="Q475" i="25" l="1"/>
  <c r="R475" i="25"/>
  <c r="S475" i="25"/>
  <c r="R312" i="25"/>
  <c r="S312" i="25"/>
  <c r="Q312" i="25"/>
  <c r="Q474" i="25"/>
  <c r="R474" i="25"/>
  <c r="S474" i="25"/>
  <c r="Q779" i="25"/>
  <c r="S779" i="25"/>
  <c r="R779" i="25"/>
  <c r="AH311" i="25"/>
  <c r="AP311" i="25" s="1"/>
  <c r="AS311" i="25" s="1"/>
  <c r="AI311" i="25"/>
  <c r="AL311" i="25"/>
  <c r="AM311" i="25"/>
  <c r="T312" i="25"/>
  <c r="Y312" i="25"/>
  <c r="AC312" i="25" s="1"/>
  <c r="P312" i="25"/>
  <c r="W312" i="25"/>
  <c r="Z312" i="25" s="1"/>
  <c r="V312" i="25"/>
  <c r="O312" i="25"/>
  <c r="AM312" i="25" s="1"/>
  <c r="N312" i="25"/>
  <c r="AL312" i="25" s="1"/>
  <c r="U312" i="25"/>
  <c r="X312" i="25" s="1"/>
  <c r="AA312" i="25" s="1"/>
  <c r="AB312" i="25"/>
  <c r="AD312" i="25" s="1"/>
  <c r="AE312" i="25" s="1"/>
  <c r="AJ311" i="25"/>
  <c r="AK311" i="25"/>
  <c r="AP777" i="25"/>
  <c r="AS777" i="25" s="1"/>
  <c r="X778" i="25"/>
  <c r="AA778" i="25" s="1"/>
  <c r="N937" i="25"/>
  <c r="R937" i="25"/>
  <c r="Z937" i="25" s="1"/>
  <c r="AN465" i="25"/>
  <c r="AQ465" i="25" s="1"/>
  <c r="Q938" i="25"/>
  <c r="Z938" i="25" s="1"/>
  <c r="N938" i="25"/>
  <c r="AO472" i="25"/>
  <c r="AR472" i="25" s="1"/>
  <c r="W778" i="25"/>
  <c r="Z778" i="25" s="1"/>
  <c r="AB778" i="25" s="1"/>
  <c r="AD778" i="25" s="1"/>
  <c r="AE778" i="25" s="1"/>
  <c r="AO777" i="25"/>
  <c r="AR777" i="25" s="1"/>
  <c r="AP472" i="25"/>
  <c r="AS472" i="25" s="1"/>
  <c r="AN472" i="25"/>
  <c r="AQ472" i="25" s="1"/>
  <c r="AL473" i="25"/>
  <c r="AM473" i="25"/>
  <c r="U474" i="25"/>
  <c r="N474" i="25"/>
  <c r="V474" i="25"/>
  <c r="O474" i="25"/>
  <c r="P474" i="25"/>
  <c r="Y474" i="25"/>
  <c r="AC474" i="25" s="1"/>
  <c r="W474" i="25"/>
  <c r="Z474" i="25" s="1"/>
  <c r="AB474" i="25" s="1"/>
  <c r="AD474" i="25" s="1"/>
  <c r="AE474" i="25" s="1"/>
  <c r="T474" i="25"/>
  <c r="X474" i="25" s="1"/>
  <c r="AA474" i="25" s="1"/>
  <c r="AL778" i="25"/>
  <c r="AM778" i="25"/>
  <c r="AJ473" i="25"/>
  <c r="AK473" i="25"/>
  <c r="AN473" i="25" s="1"/>
  <c r="AQ473" i="25" s="1"/>
  <c r="AJ778" i="25"/>
  <c r="AK778" i="25"/>
  <c r="AN778" i="25" s="1"/>
  <c r="AQ778" i="25" s="1"/>
  <c r="W473" i="25"/>
  <c r="Z473" i="25" s="1"/>
  <c r="AB473" i="25" s="1"/>
  <c r="AD473" i="25" s="1"/>
  <c r="AE473" i="25" s="1"/>
  <c r="AH473" i="25"/>
  <c r="AP473" i="25" s="1"/>
  <c r="AS473" i="25" s="1"/>
  <c r="AI473" i="25"/>
  <c r="M631" i="25"/>
  <c r="T475" i="25"/>
  <c r="U475" i="25"/>
  <c r="N475" i="25"/>
  <c r="V475" i="25"/>
  <c r="O475" i="25"/>
  <c r="Y475" i="25"/>
  <c r="P475" i="25"/>
  <c r="AC475" i="25"/>
  <c r="U779" i="25"/>
  <c r="N779" i="25"/>
  <c r="V779" i="25"/>
  <c r="O779" i="25"/>
  <c r="Y779" i="25"/>
  <c r="P779" i="25"/>
  <c r="AC779" i="25"/>
  <c r="H939" i="25"/>
  <c r="J939" i="25"/>
  <c r="S939" i="25" s="1"/>
  <c r="I939" i="25"/>
  <c r="R939" i="25" s="1"/>
  <c r="T779" i="25"/>
  <c r="X779" i="25" s="1"/>
  <c r="AA779" i="25" s="1"/>
  <c r="AH778" i="25"/>
  <c r="AP778" i="25" s="1"/>
  <c r="AS778" i="25" s="1"/>
  <c r="AI778" i="25"/>
  <c r="AO778" i="25" s="1"/>
  <c r="AR778" i="25" s="1"/>
  <c r="F155" i="25"/>
  <c r="O154" i="25"/>
  <c r="W934" i="25"/>
  <c r="X934" i="25" s="1"/>
  <c r="AA934" i="25"/>
  <c r="AB934" i="25" s="1"/>
  <c r="AC934" i="25" s="1"/>
  <c r="AD934" i="25" s="1"/>
  <c r="T935" i="25"/>
  <c r="O935" i="25"/>
  <c r="C156" i="25"/>
  <c r="Y155" i="25"/>
  <c r="AC155" i="25" s="1"/>
  <c r="AD155" i="25" s="1"/>
  <c r="AE155" i="25" s="1"/>
  <c r="AN152" i="25"/>
  <c r="AQ152" i="25" s="1"/>
  <c r="K936" i="25" s="1"/>
  <c r="AJ154" i="25"/>
  <c r="AL154" i="25"/>
  <c r="AK153" i="25"/>
  <c r="AI153" i="25"/>
  <c r="AO153" i="25" s="1"/>
  <c r="AR153" i="25" s="1"/>
  <c r="L937" i="25" s="1"/>
  <c r="U937" i="25" s="1"/>
  <c r="AM153" i="25"/>
  <c r="AH153" i="25"/>
  <c r="AP153" i="25" s="1"/>
  <c r="AS153" i="25" s="1"/>
  <c r="M937" i="25" s="1"/>
  <c r="V937" i="25" s="1"/>
  <c r="D155" i="25"/>
  <c r="P154" i="25"/>
  <c r="E156" i="25"/>
  <c r="N155" i="25"/>
  <c r="M780" i="25"/>
  <c r="B781" i="25"/>
  <c r="B313" i="25"/>
  <c r="M313" i="25" s="1"/>
  <c r="R631" i="25" l="1"/>
  <c r="Q631" i="25"/>
  <c r="S631" i="25"/>
  <c r="Q313" i="25"/>
  <c r="R313" i="25"/>
  <c r="S313" i="25"/>
  <c r="Q780" i="25"/>
  <c r="R780" i="25"/>
  <c r="S780" i="25"/>
  <c r="P313" i="25"/>
  <c r="T313" i="25"/>
  <c r="V313" i="25"/>
  <c r="O313" i="25"/>
  <c r="N313" i="25"/>
  <c r="AC313" i="25"/>
  <c r="U313" i="25"/>
  <c r="Y313" i="25"/>
  <c r="W313" i="25"/>
  <c r="Z313" i="25" s="1"/>
  <c r="AB313" i="25" s="1"/>
  <c r="AD313" i="25" s="1"/>
  <c r="AE313" i="25" s="1"/>
  <c r="X313" i="25"/>
  <c r="AA313" i="25" s="1"/>
  <c r="AO313" i="25"/>
  <c r="AR313" i="25" s="1"/>
  <c r="AN313" i="25"/>
  <c r="AQ313" i="25" s="1"/>
  <c r="AI312" i="25"/>
  <c r="AO312" i="25" s="1"/>
  <c r="AR312" i="25" s="1"/>
  <c r="AH312" i="25"/>
  <c r="AP312" i="25" s="1"/>
  <c r="AS312" i="25" s="1"/>
  <c r="AJ312" i="25"/>
  <c r="AK312" i="25"/>
  <c r="AN312" i="25" s="1"/>
  <c r="AQ312" i="25" s="1"/>
  <c r="AO473" i="25"/>
  <c r="AR473" i="25" s="1"/>
  <c r="W779" i="25"/>
  <c r="Z779" i="25" s="1"/>
  <c r="AB779" i="25" s="1"/>
  <c r="AD779" i="25" s="1"/>
  <c r="AE779" i="25" s="1"/>
  <c r="X475" i="25"/>
  <c r="AA475" i="25" s="1"/>
  <c r="N939" i="25"/>
  <c r="Q939" i="25"/>
  <c r="Z939" i="25" s="1"/>
  <c r="I940" i="25"/>
  <c r="J940" i="25"/>
  <c r="S940" i="25" s="1"/>
  <c r="T780" i="25"/>
  <c r="U780" i="25"/>
  <c r="N780" i="25"/>
  <c r="V780" i="25"/>
  <c r="P780" i="25"/>
  <c r="O780" i="25"/>
  <c r="H940" i="25"/>
  <c r="Q940" i="25" s="1"/>
  <c r="Y780" i="25"/>
  <c r="AC780" i="25" s="1"/>
  <c r="W780" i="25"/>
  <c r="Z780" i="25" s="1"/>
  <c r="AH475" i="25"/>
  <c r="AP475" i="25" s="1"/>
  <c r="AS475" i="25" s="1"/>
  <c r="AI475" i="25"/>
  <c r="AL475" i="25"/>
  <c r="AM475" i="25"/>
  <c r="AJ779" i="25"/>
  <c r="AK779" i="25"/>
  <c r="AN779" i="25" s="1"/>
  <c r="AQ779" i="25" s="1"/>
  <c r="W475" i="25"/>
  <c r="Z475" i="25" s="1"/>
  <c r="AB475" i="25" s="1"/>
  <c r="AD475" i="25" s="1"/>
  <c r="AE475" i="25" s="1"/>
  <c r="AJ475" i="25"/>
  <c r="AK475" i="25"/>
  <c r="AN475" i="25" s="1"/>
  <c r="AQ475" i="25" s="1"/>
  <c r="AL474" i="25"/>
  <c r="AM474" i="25"/>
  <c r="AM779" i="25"/>
  <c r="AL779" i="25"/>
  <c r="M788" i="25"/>
  <c r="T631" i="25"/>
  <c r="N631" i="25"/>
  <c r="V631" i="25"/>
  <c r="P631" i="25"/>
  <c r="U631" i="25"/>
  <c r="O631" i="25"/>
  <c r="Y631" i="25"/>
  <c r="AC631" i="25" s="1"/>
  <c r="AJ474" i="25"/>
  <c r="AK474" i="25"/>
  <c r="AN474" i="25" s="1"/>
  <c r="AQ474" i="25" s="1"/>
  <c r="AI779" i="25"/>
  <c r="AO779" i="25" s="1"/>
  <c r="AR779" i="25" s="1"/>
  <c r="AH779" i="25"/>
  <c r="AP779" i="25" s="1"/>
  <c r="AS779" i="25" s="1"/>
  <c r="AH474" i="25"/>
  <c r="AI474" i="25"/>
  <c r="AO474" i="25" s="1"/>
  <c r="AR474" i="25" s="1"/>
  <c r="D156" i="25"/>
  <c r="P155" i="25"/>
  <c r="AA935" i="25"/>
  <c r="AB935" i="25" s="1"/>
  <c r="AC935" i="25" s="1"/>
  <c r="AD935" i="25" s="1"/>
  <c r="W935" i="25"/>
  <c r="X935" i="25" s="1"/>
  <c r="AN153" i="25"/>
  <c r="AQ153" i="25" s="1"/>
  <c r="K937" i="25" s="1"/>
  <c r="C157" i="25"/>
  <c r="Y156" i="25"/>
  <c r="AC156" i="25" s="1"/>
  <c r="AD156" i="25" s="1"/>
  <c r="AE156" i="25" s="1"/>
  <c r="E157" i="25"/>
  <c r="N156" i="25"/>
  <c r="AM154" i="25"/>
  <c r="AH154" i="25"/>
  <c r="AP154" i="25" s="1"/>
  <c r="AS154" i="25" s="1"/>
  <c r="M938" i="25" s="1"/>
  <c r="V938" i="25" s="1"/>
  <c r="AJ155" i="25"/>
  <c r="AL155" i="25"/>
  <c r="AI154" i="25"/>
  <c r="AO154" i="25" s="1"/>
  <c r="AR154" i="25" s="1"/>
  <c r="L938" i="25" s="1"/>
  <c r="U938" i="25" s="1"/>
  <c r="AK154" i="25"/>
  <c r="T936" i="25"/>
  <c r="O936" i="25"/>
  <c r="F156" i="25"/>
  <c r="O155" i="25"/>
  <c r="B782" i="25"/>
  <c r="M781" i="25"/>
  <c r="B314" i="25"/>
  <c r="M314" i="25" s="1"/>
  <c r="Q788" i="25" l="1"/>
  <c r="R788" i="25"/>
  <c r="S788" i="25"/>
  <c r="R314" i="25"/>
  <c r="S314" i="25"/>
  <c r="Q314" i="25"/>
  <c r="Q781" i="25"/>
  <c r="S781" i="25"/>
  <c r="R781" i="25"/>
  <c r="AK313" i="25"/>
  <c r="AJ313" i="25"/>
  <c r="AL313" i="25"/>
  <c r="AM313" i="25"/>
  <c r="T314" i="25"/>
  <c r="P314" i="25"/>
  <c r="O314" i="25"/>
  <c r="AM314" i="25" s="1"/>
  <c r="N314" i="25"/>
  <c r="U314" i="25"/>
  <c r="V314" i="25"/>
  <c r="Y314" i="25"/>
  <c r="AC314" i="25" s="1"/>
  <c r="W314" i="25"/>
  <c r="Z314" i="25" s="1"/>
  <c r="AB314" i="25" s="1"/>
  <c r="AD314" i="25" s="1"/>
  <c r="AE314" i="25" s="1"/>
  <c r="X314" i="25"/>
  <c r="AA314" i="25" s="1"/>
  <c r="AP314" i="25"/>
  <c r="AS314" i="25" s="1"/>
  <c r="AI313" i="25"/>
  <c r="AH313" i="25"/>
  <c r="AP313" i="25" s="1"/>
  <c r="AS313" i="25" s="1"/>
  <c r="X780" i="25"/>
  <c r="AA780" i="25" s="1"/>
  <c r="AB780" i="25" s="1"/>
  <c r="AD780" i="25" s="1"/>
  <c r="AE780" i="25" s="1"/>
  <c r="Z940" i="25"/>
  <c r="N940" i="25"/>
  <c r="R940" i="25"/>
  <c r="X631" i="25"/>
  <c r="AA631" i="25" s="1"/>
  <c r="AO475" i="25"/>
  <c r="AR475" i="25" s="1"/>
  <c r="AP474" i="25"/>
  <c r="AS474" i="25" s="1"/>
  <c r="AL631" i="25"/>
  <c r="AM631" i="25"/>
  <c r="T788" i="25"/>
  <c r="X788" i="25" s="1"/>
  <c r="AA788" i="25" s="1"/>
  <c r="U788" i="25"/>
  <c r="N788" i="25"/>
  <c r="V788" i="25"/>
  <c r="O788" i="25"/>
  <c r="Y788" i="25"/>
  <c r="AC788" i="25" s="1"/>
  <c r="P788" i="25"/>
  <c r="AJ631" i="25"/>
  <c r="AK631" i="25"/>
  <c r="AN631" i="25" s="1"/>
  <c r="AQ631" i="25" s="1"/>
  <c r="P781" i="25"/>
  <c r="H941" i="25"/>
  <c r="Q941" i="25" s="1"/>
  <c r="I941" i="25"/>
  <c r="J941" i="25"/>
  <c r="S941" i="25" s="1"/>
  <c r="T781" i="25"/>
  <c r="N781" i="25"/>
  <c r="V781" i="25"/>
  <c r="Y781" i="25"/>
  <c r="AC781" i="25" s="1"/>
  <c r="O781" i="25"/>
  <c r="U781" i="25"/>
  <c r="W631" i="25"/>
  <c r="Z631" i="25" s="1"/>
  <c r="AB631" i="25" s="1"/>
  <c r="AD631" i="25" s="1"/>
  <c r="AE631" i="25" s="1"/>
  <c r="AH631" i="25"/>
  <c r="AP631" i="25" s="1"/>
  <c r="AS631" i="25" s="1"/>
  <c r="AI631" i="25"/>
  <c r="AO631" i="25" s="1"/>
  <c r="AR631" i="25" s="1"/>
  <c r="AL780" i="25"/>
  <c r="AM780" i="25"/>
  <c r="AH780" i="25"/>
  <c r="AI780" i="25"/>
  <c r="AJ780" i="25"/>
  <c r="AK780" i="25"/>
  <c r="AN780" i="25" s="1"/>
  <c r="AQ780" i="25" s="1"/>
  <c r="AA936" i="25"/>
  <c r="AB936" i="25" s="1"/>
  <c r="AC936" i="25" s="1"/>
  <c r="AD936" i="25" s="1"/>
  <c r="W936" i="25"/>
  <c r="X936" i="25" s="1"/>
  <c r="E158" i="25"/>
  <c r="N157" i="25"/>
  <c r="C158" i="25"/>
  <c r="Y157" i="25"/>
  <c r="AC157" i="25" s="1"/>
  <c r="AD157" i="25" s="1"/>
  <c r="AE157" i="25" s="1"/>
  <c r="T937" i="25"/>
  <c r="O937" i="25"/>
  <c r="AN154" i="25"/>
  <c r="AQ154" i="25" s="1"/>
  <c r="K938" i="25" s="1"/>
  <c r="AI155" i="25"/>
  <c r="AO155" i="25" s="1"/>
  <c r="AR155" i="25" s="1"/>
  <c r="L939" i="25" s="1"/>
  <c r="U939" i="25" s="1"/>
  <c r="AK155" i="25"/>
  <c r="AH155" i="25"/>
  <c r="AP155" i="25" s="1"/>
  <c r="AS155" i="25" s="1"/>
  <c r="M939" i="25" s="1"/>
  <c r="V939" i="25" s="1"/>
  <c r="AM155" i="25"/>
  <c r="F157" i="25"/>
  <c r="O156" i="25"/>
  <c r="AJ156" i="25"/>
  <c r="AL156" i="25"/>
  <c r="D157" i="25"/>
  <c r="P156" i="25"/>
  <c r="M782" i="25"/>
  <c r="B783" i="25"/>
  <c r="B315" i="25"/>
  <c r="M315" i="25" s="1"/>
  <c r="Q315" i="25" l="1"/>
  <c r="R315" i="25"/>
  <c r="S315" i="25"/>
  <c r="R782" i="25"/>
  <c r="S782" i="25"/>
  <c r="Q782" i="25"/>
  <c r="AL314" i="25"/>
  <c r="AJ314" i="25"/>
  <c r="AK314" i="25"/>
  <c r="AN314" i="25" s="1"/>
  <c r="AQ314" i="25" s="1"/>
  <c r="N315" i="25"/>
  <c r="Y315" i="25"/>
  <c r="AC315" i="25" s="1"/>
  <c r="P315" i="25"/>
  <c r="O315" i="25"/>
  <c r="V315" i="25"/>
  <c r="U315" i="25"/>
  <c r="T315" i="25"/>
  <c r="X315" i="25" s="1"/>
  <c r="AA315" i="25" s="1"/>
  <c r="AP315" i="25"/>
  <c r="AS315" i="25" s="1"/>
  <c r="W315" i="25"/>
  <c r="Z315" i="25" s="1"/>
  <c r="AB315" i="25" s="1"/>
  <c r="AD315" i="25" s="1"/>
  <c r="AE315" i="25" s="1"/>
  <c r="AI314" i="25"/>
  <c r="AO314" i="25" s="1"/>
  <c r="AR314" i="25" s="1"/>
  <c r="AH314" i="25"/>
  <c r="X781" i="25"/>
  <c r="AA781" i="25" s="1"/>
  <c r="AO780" i="25"/>
  <c r="AR780" i="25" s="1"/>
  <c r="AP780" i="25"/>
  <c r="AS780" i="25" s="1"/>
  <c r="N941" i="25"/>
  <c r="R941" i="25"/>
  <c r="Z941" i="25" s="1"/>
  <c r="AL781" i="25"/>
  <c r="AM781" i="25"/>
  <c r="AJ781" i="25"/>
  <c r="AK781" i="25"/>
  <c r="AN781" i="25" s="1"/>
  <c r="AQ781" i="25" s="1"/>
  <c r="W781" i="25"/>
  <c r="Z781" i="25" s="1"/>
  <c r="AB781" i="25" s="1"/>
  <c r="AD781" i="25" s="1"/>
  <c r="AE781" i="25" s="1"/>
  <c r="AI781" i="25"/>
  <c r="AO781" i="25" s="1"/>
  <c r="AR781" i="25" s="1"/>
  <c r="AH781" i="25"/>
  <c r="AP781" i="25" s="1"/>
  <c r="AS781" i="25" s="1"/>
  <c r="W788" i="25"/>
  <c r="Z788" i="25" s="1"/>
  <c r="AB788" i="25" s="1"/>
  <c r="AD788" i="25" s="1"/>
  <c r="AE788" i="25" s="1"/>
  <c r="AL788" i="25"/>
  <c r="AM788" i="25"/>
  <c r="N782" i="25"/>
  <c r="V782" i="25"/>
  <c r="O782" i="25"/>
  <c r="P782" i="25"/>
  <c r="Y782" i="25"/>
  <c r="H942" i="25"/>
  <c r="AC782" i="25"/>
  <c r="I942" i="25"/>
  <c r="R942" i="25" s="1"/>
  <c r="T782" i="25"/>
  <c r="X782" i="25" s="1"/>
  <c r="AA782" i="25" s="1"/>
  <c r="J942" i="25"/>
  <c r="S942" i="25" s="1"/>
  <c r="U782" i="25"/>
  <c r="AI788" i="25"/>
  <c r="AO788" i="25" s="1"/>
  <c r="AR788" i="25" s="1"/>
  <c r="AH788" i="25"/>
  <c r="AJ788" i="25"/>
  <c r="AK788" i="25"/>
  <c r="AN788" i="25" s="1"/>
  <c r="AQ788" i="25" s="1"/>
  <c r="AM156" i="25"/>
  <c r="AH156" i="25"/>
  <c r="AP156" i="25" s="1"/>
  <c r="AS156" i="25" s="1"/>
  <c r="M940" i="25" s="1"/>
  <c r="V940" i="25" s="1"/>
  <c r="W937" i="25"/>
  <c r="X937" i="25" s="1"/>
  <c r="AA937" i="25"/>
  <c r="AB937" i="25" s="1"/>
  <c r="AC937" i="25" s="1"/>
  <c r="AD937" i="25" s="1"/>
  <c r="C159" i="25"/>
  <c r="Y158" i="25"/>
  <c r="AC158" i="25" s="1"/>
  <c r="AD158" i="25" s="1"/>
  <c r="AE158" i="25" s="1"/>
  <c r="AL157" i="25"/>
  <c r="AJ157" i="25"/>
  <c r="AI156" i="25"/>
  <c r="AO156" i="25" s="1"/>
  <c r="AR156" i="25" s="1"/>
  <c r="L940" i="25" s="1"/>
  <c r="U940" i="25" s="1"/>
  <c r="AK156" i="25"/>
  <c r="AN155" i="25"/>
  <c r="AQ155" i="25" s="1"/>
  <c r="K939" i="25" s="1"/>
  <c r="E159" i="25"/>
  <c r="N158" i="25"/>
  <c r="F158" i="25"/>
  <c r="O157" i="25"/>
  <c r="D158" i="25"/>
  <c r="P157" i="25"/>
  <c r="T938" i="25"/>
  <c r="O938" i="25"/>
  <c r="B784" i="25"/>
  <c r="M783" i="25"/>
  <c r="B316" i="25"/>
  <c r="M316" i="25" s="1"/>
  <c r="Q316" i="25" l="1"/>
  <c r="R316" i="25"/>
  <c r="S316" i="25"/>
  <c r="S783" i="25"/>
  <c r="Q783" i="25"/>
  <c r="R783" i="25"/>
  <c r="AK315" i="25"/>
  <c r="AH315" i="25"/>
  <c r="AI315" i="25"/>
  <c r="AJ315" i="25"/>
  <c r="V316" i="25"/>
  <c r="U316" i="25"/>
  <c r="T316" i="25"/>
  <c r="O316" i="25"/>
  <c r="N316" i="25"/>
  <c r="W316" i="25"/>
  <c r="Z316" i="25" s="1"/>
  <c r="Y316" i="25"/>
  <c r="AC316" i="25" s="1"/>
  <c r="P316" i="25"/>
  <c r="X316" i="25"/>
  <c r="AA316" i="25" s="1"/>
  <c r="AB316" i="25" s="1"/>
  <c r="AD316" i="25" s="1"/>
  <c r="AE316" i="25" s="1"/>
  <c r="AP316" i="25"/>
  <c r="AS316" i="25" s="1"/>
  <c r="AN316" i="25"/>
  <c r="AQ316" i="25" s="1"/>
  <c r="AM315" i="25"/>
  <c r="AN315" i="25" s="1"/>
  <c r="AQ315" i="25" s="1"/>
  <c r="AL315" i="25"/>
  <c r="AO315" i="25" s="1"/>
  <c r="AR315" i="25" s="1"/>
  <c r="W782" i="25"/>
  <c r="Z782" i="25" s="1"/>
  <c r="AB782" i="25" s="1"/>
  <c r="AD782" i="25" s="1"/>
  <c r="AE782" i="25" s="1"/>
  <c r="AP788" i="25"/>
  <c r="AS788" i="25" s="1"/>
  <c r="Q942" i="25"/>
  <c r="Z942" i="25" s="1"/>
  <c r="N942" i="25"/>
  <c r="AN156" i="25"/>
  <c r="AQ156" i="25" s="1"/>
  <c r="K940" i="25" s="1"/>
  <c r="T940" i="25" s="1"/>
  <c r="AL782" i="25"/>
  <c r="AM782" i="25"/>
  <c r="I943" i="25"/>
  <c r="R943" i="25" s="1"/>
  <c r="J943" i="25"/>
  <c r="S943" i="25" s="1"/>
  <c r="T783" i="25"/>
  <c r="U783" i="25"/>
  <c r="N783" i="25"/>
  <c r="V783" i="25"/>
  <c r="P783" i="25"/>
  <c r="AC783" i="25"/>
  <c r="O783" i="25"/>
  <c r="H943" i="25"/>
  <c r="Y783" i="25"/>
  <c r="W783" i="25"/>
  <c r="Z783" i="25" s="1"/>
  <c r="AJ782" i="25"/>
  <c r="AK782" i="25"/>
  <c r="AN782" i="25" s="1"/>
  <c r="AQ782" i="25" s="1"/>
  <c r="AH782" i="25"/>
  <c r="AI782" i="25"/>
  <c r="AO782" i="25" s="1"/>
  <c r="AR782" i="25" s="1"/>
  <c r="AK157" i="25"/>
  <c r="AI157" i="25"/>
  <c r="AO157" i="25" s="1"/>
  <c r="AR157" i="25" s="1"/>
  <c r="L941" i="25" s="1"/>
  <c r="U941" i="25" s="1"/>
  <c r="D159" i="25"/>
  <c r="P158" i="25"/>
  <c r="AJ158" i="25"/>
  <c r="AL158" i="25"/>
  <c r="C160" i="25"/>
  <c r="Y159" i="25"/>
  <c r="AC159" i="25" s="1"/>
  <c r="AD159" i="25" s="1"/>
  <c r="AE159" i="25" s="1"/>
  <c r="AM157" i="25"/>
  <c r="AH157" i="25"/>
  <c r="AP157" i="25" s="1"/>
  <c r="AS157" i="25" s="1"/>
  <c r="M941" i="25" s="1"/>
  <c r="V941" i="25" s="1"/>
  <c r="E160" i="25"/>
  <c r="N159" i="25"/>
  <c r="F159" i="25"/>
  <c r="O158" i="25"/>
  <c r="T939" i="25"/>
  <c r="O939" i="25"/>
  <c r="AA938" i="25"/>
  <c r="AB938" i="25" s="1"/>
  <c r="AC938" i="25" s="1"/>
  <c r="AD938" i="25" s="1"/>
  <c r="W938" i="25"/>
  <c r="X938" i="25" s="1"/>
  <c r="M784" i="25"/>
  <c r="B785" i="25"/>
  <c r="B317" i="25"/>
  <c r="M317" i="25" s="1"/>
  <c r="S317" i="25" l="1"/>
  <c r="Q317" i="25"/>
  <c r="R317" i="25"/>
  <c r="R784" i="25"/>
  <c r="Q784" i="25"/>
  <c r="S784" i="25"/>
  <c r="AL316" i="25"/>
  <c r="AM316" i="25"/>
  <c r="P317" i="25"/>
  <c r="Y317" i="25"/>
  <c r="AC317" i="25" s="1"/>
  <c r="V317" i="25"/>
  <c r="O317" i="25"/>
  <c r="AM317" i="25" s="1"/>
  <c r="AN317" i="25"/>
  <c r="AQ317" i="25" s="1"/>
  <c r="N317" i="25"/>
  <c r="AJ317" i="25" s="1"/>
  <c r="U317" i="25"/>
  <c r="T317" i="25"/>
  <c r="W317" i="25"/>
  <c r="Z317" i="25" s="1"/>
  <c r="AB317" i="25" s="1"/>
  <c r="AD317" i="25" s="1"/>
  <c r="AE317" i="25" s="1"/>
  <c r="X317" i="25"/>
  <c r="AA317" i="25" s="1"/>
  <c r="AI316" i="25"/>
  <c r="AO316" i="25" s="1"/>
  <c r="AR316" i="25" s="1"/>
  <c r="AH316" i="25"/>
  <c r="AJ316" i="25"/>
  <c r="AK316" i="25"/>
  <c r="O940" i="25"/>
  <c r="AP782" i="25"/>
  <c r="AS782" i="25" s="1"/>
  <c r="X783" i="25"/>
  <c r="AA783" i="25" s="1"/>
  <c r="AB783" i="25" s="1"/>
  <c r="AD783" i="25" s="1"/>
  <c r="AE783" i="25" s="1"/>
  <c r="Q943" i="25"/>
  <c r="Z943" i="25" s="1"/>
  <c r="N943" i="25"/>
  <c r="AI783" i="25"/>
  <c r="AH783" i="25"/>
  <c r="AP783" i="25" s="1"/>
  <c r="AS783" i="25" s="1"/>
  <c r="AL783" i="25"/>
  <c r="AM783" i="25"/>
  <c r="AJ783" i="25"/>
  <c r="AK783" i="25"/>
  <c r="AN783" i="25" s="1"/>
  <c r="AQ783" i="25" s="1"/>
  <c r="O784" i="25"/>
  <c r="Y784" i="25"/>
  <c r="AC784" i="25" s="1"/>
  <c r="P784" i="25"/>
  <c r="H944" i="25"/>
  <c r="I944" i="25"/>
  <c r="R944" i="25" s="1"/>
  <c r="J944" i="25"/>
  <c r="S944" i="25" s="1"/>
  <c r="U784" i="25"/>
  <c r="V784" i="25"/>
  <c r="N784" i="25"/>
  <c r="T784" i="25"/>
  <c r="W784" i="25"/>
  <c r="Z784" i="25" s="1"/>
  <c r="C161" i="25"/>
  <c r="Y160" i="25"/>
  <c r="AC160" i="25" s="1"/>
  <c r="AD160" i="25" s="1"/>
  <c r="AE160" i="25" s="1"/>
  <c r="F160" i="25"/>
  <c r="O159" i="25"/>
  <c r="AM158" i="25"/>
  <c r="AH158" i="25"/>
  <c r="AP158" i="25" s="1"/>
  <c r="AS158" i="25" s="1"/>
  <c r="M942" i="25" s="1"/>
  <c r="V942" i="25" s="1"/>
  <c r="AA940" i="25"/>
  <c r="AB940" i="25" s="1"/>
  <c r="AC940" i="25" s="1"/>
  <c r="AD940" i="25" s="1"/>
  <c r="W940" i="25"/>
  <c r="X940" i="25" s="1"/>
  <c r="AI158" i="25"/>
  <c r="AO158" i="25" s="1"/>
  <c r="AR158" i="25" s="1"/>
  <c r="L942" i="25" s="1"/>
  <c r="U942" i="25" s="1"/>
  <c r="AK158" i="25"/>
  <c r="AJ159" i="25"/>
  <c r="AL159" i="25"/>
  <c r="E161" i="25"/>
  <c r="N160" i="25"/>
  <c r="D160" i="25"/>
  <c r="P159" i="25"/>
  <c r="W939" i="25"/>
  <c r="X939" i="25" s="1"/>
  <c r="AA939" i="25"/>
  <c r="AB939" i="25" s="1"/>
  <c r="AC939" i="25" s="1"/>
  <c r="AD939" i="25" s="1"/>
  <c r="AN157" i="25"/>
  <c r="AQ157" i="25" s="1"/>
  <c r="K941" i="25" s="1"/>
  <c r="B786" i="25"/>
  <c r="M785" i="25"/>
  <c r="B318" i="25"/>
  <c r="M318" i="25" s="1"/>
  <c r="Q318" i="25" l="1"/>
  <c r="R318" i="25"/>
  <c r="S318" i="25"/>
  <c r="Q785" i="25"/>
  <c r="S785" i="25"/>
  <c r="R785" i="25"/>
  <c r="AL317" i="25"/>
  <c r="T318" i="25"/>
  <c r="O318" i="25"/>
  <c r="N318" i="25"/>
  <c r="U318" i="25"/>
  <c r="V318" i="25"/>
  <c r="Y318" i="25"/>
  <c r="AC318" i="25" s="1"/>
  <c r="P318" i="25"/>
  <c r="W318" i="25"/>
  <c r="Z318" i="25" s="1"/>
  <c r="AB318" i="25" s="1"/>
  <c r="AD318" i="25" s="1"/>
  <c r="AE318" i="25" s="1"/>
  <c r="X318" i="25"/>
  <c r="AA318" i="25" s="1"/>
  <c r="AP318" i="25"/>
  <c r="AS318" i="25" s="1"/>
  <c r="AK317" i="25"/>
  <c r="AI317" i="25"/>
  <c r="AO317" i="25" s="1"/>
  <c r="AR317" i="25" s="1"/>
  <c r="AH317" i="25"/>
  <c r="AP317" i="25" s="1"/>
  <c r="AS317" i="25" s="1"/>
  <c r="N944" i="25"/>
  <c r="Q944" i="25"/>
  <c r="Z944" i="25" s="1"/>
  <c r="AO783" i="25"/>
  <c r="AR783" i="25" s="1"/>
  <c r="X784" i="25"/>
  <c r="AA784" i="25" s="1"/>
  <c r="AB784" i="25" s="1"/>
  <c r="AD784" i="25" s="1"/>
  <c r="AE784" i="25" s="1"/>
  <c r="AL784" i="25"/>
  <c r="AM784" i="25"/>
  <c r="AJ784" i="25"/>
  <c r="AK784" i="25"/>
  <c r="AH784" i="25"/>
  <c r="AI784" i="25"/>
  <c r="U785" i="25"/>
  <c r="N785" i="25"/>
  <c r="V785" i="25"/>
  <c r="O785" i="25"/>
  <c r="Y785" i="25"/>
  <c r="AC785" i="25" s="1"/>
  <c r="P785" i="25"/>
  <c r="H945" i="25"/>
  <c r="J945" i="25"/>
  <c r="S945" i="25" s="1"/>
  <c r="I945" i="25"/>
  <c r="R945" i="25" s="1"/>
  <c r="T785" i="25"/>
  <c r="AJ160" i="25"/>
  <c r="AL160" i="25"/>
  <c r="E162" i="25"/>
  <c r="N162" i="25" s="1"/>
  <c r="N161" i="25"/>
  <c r="AH159" i="25"/>
  <c r="AP159" i="25" s="1"/>
  <c r="AS159" i="25" s="1"/>
  <c r="M943" i="25" s="1"/>
  <c r="V943" i="25" s="1"/>
  <c r="AM159" i="25"/>
  <c r="AI159" i="25"/>
  <c r="AO159" i="25" s="1"/>
  <c r="AR159" i="25" s="1"/>
  <c r="L943" i="25" s="1"/>
  <c r="U943" i="25" s="1"/>
  <c r="AK159" i="25"/>
  <c r="D161" i="25"/>
  <c r="P160" i="25"/>
  <c r="T941" i="25"/>
  <c r="O941" i="25"/>
  <c r="F161" i="25"/>
  <c r="O160" i="25"/>
  <c r="AN158" i="25"/>
  <c r="AQ158" i="25" s="1"/>
  <c r="K942" i="25" s="1"/>
  <c r="C162" i="25"/>
  <c r="Y162" i="25" s="1"/>
  <c r="AC162" i="25" s="1"/>
  <c r="AD162" i="25" s="1"/>
  <c r="AE162" i="25" s="1"/>
  <c r="Y161" i="25"/>
  <c r="AC161" i="25" s="1"/>
  <c r="AD161" i="25" s="1"/>
  <c r="AE161" i="25" s="1"/>
  <c r="M786" i="25"/>
  <c r="B787" i="25"/>
  <c r="R786" i="25" l="1"/>
  <c r="S786" i="25"/>
  <c r="Q786" i="25"/>
  <c r="AJ318" i="25"/>
  <c r="AK318" i="25"/>
  <c r="AN318" i="25" s="1"/>
  <c r="AQ318" i="25" s="1"/>
  <c r="AL318" i="25"/>
  <c r="AM318" i="25"/>
  <c r="AH318" i="25"/>
  <c r="AI318" i="25"/>
  <c r="AO318" i="25" s="1"/>
  <c r="AR318" i="25" s="1"/>
  <c r="AN159" i="25"/>
  <c r="AQ159" i="25" s="1"/>
  <c r="K943" i="25" s="1"/>
  <c r="X785" i="25"/>
  <c r="AA785" i="25" s="1"/>
  <c r="AO784" i="25"/>
  <c r="AR784" i="25" s="1"/>
  <c r="Q945" i="25"/>
  <c r="Z945" i="25" s="1"/>
  <c r="N945" i="25"/>
  <c r="AP784" i="25"/>
  <c r="AS784" i="25" s="1"/>
  <c r="AN784" i="25"/>
  <c r="AQ784" i="25" s="1"/>
  <c r="AJ785" i="25"/>
  <c r="AK785" i="25"/>
  <c r="AN785" i="25" s="1"/>
  <c r="AQ785" i="25" s="1"/>
  <c r="AL785" i="25"/>
  <c r="AM785" i="25"/>
  <c r="W785" i="25"/>
  <c r="Z785" i="25" s="1"/>
  <c r="AB785" i="25" s="1"/>
  <c r="AD785" i="25" s="1"/>
  <c r="AE785" i="25" s="1"/>
  <c r="AI785" i="25"/>
  <c r="AO785" i="25" s="1"/>
  <c r="AR785" i="25" s="1"/>
  <c r="AH785" i="25"/>
  <c r="J946" i="25"/>
  <c r="S946" i="25" s="1"/>
  <c r="T786" i="25"/>
  <c r="X786" i="25" s="1"/>
  <c r="AA786" i="25" s="1"/>
  <c r="U786" i="25"/>
  <c r="N786" i="25"/>
  <c r="V786" i="25"/>
  <c r="O786" i="25"/>
  <c r="H946" i="25"/>
  <c r="AC786" i="25"/>
  <c r="P786" i="25"/>
  <c r="I946" i="25"/>
  <c r="R946" i="25" s="1"/>
  <c r="Y786" i="25"/>
  <c r="T943" i="25"/>
  <c r="O943" i="25"/>
  <c r="AM160" i="25"/>
  <c r="AH160" i="25"/>
  <c r="AP160" i="25" s="1"/>
  <c r="AS160" i="25" s="1"/>
  <c r="M944" i="25" s="1"/>
  <c r="V944" i="25" s="1"/>
  <c r="AL161" i="25"/>
  <c r="AJ161" i="25"/>
  <c r="AJ162" i="25"/>
  <c r="AL162" i="25"/>
  <c r="O942" i="25"/>
  <c r="T942" i="25"/>
  <c r="F162" i="25"/>
  <c r="O162" i="25" s="1"/>
  <c r="O161" i="25"/>
  <c r="AA941" i="25"/>
  <c r="AB941" i="25" s="1"/>
  <c r="AC941" i="25" s="1"/>
  <c r="AD941" i="25" s="1"/>
  <c r="W941" i="25"/>
  <c r="X941" i="25" s="1"/>
  <c r="AI160" i="25"/>
  <c r="AO160" i="25" s="1"/>
  <c r="AR160" i="25" s="1"/>
  <c r="L944" i="25" s="1"/>
  <c r="U944" i="25" s="1"/>
  <c r="AK160" i="25"/>
  <c r="D162" i="25"/>
  <c r="P162" i="25" s="1"/>
  <c r="P161" i="25"/>
  <c r="M787" i="25"/>
  <c r="Q787" i="25" l="1"/>
  <c r="S787" i="25"/>
  <c r="R787" i="25"/>
  <c r="N946" i="25"/>
  <c r="Q946" i="25"/>
  <c r="Z946" i="25" s="1"/>
  <c r="AP785" i="25"/>
  <c r="AS785" i="25" s="1"/>
  <c r="W786" i="25"/>
  <c r="Z786" i="25" s="1"/>
  <c r="AB786" i="25" s="1"/>
  <c r="AD786" i="25" s="1"/>
  <c r="AE786" i="25" s="1"/>
  <c r="O787" i="25"/>
  <c r="Y787" i="25"/>
  <c r="AC787" i="25" s="1"/>
  <c r="P787" i="25"/>
  <c r="H947" i="25"/>
  <c r="I947" i="25"/>
  <c r="R947" i="25" s="1"/>
  <c r="J947" i="25"/>
  <c r="S947" i="25" s="1"/>
  <c r="U787" i="25"/>
  <c r="V787" i="25"/>
  <c r="N787" i="25"/>
  <c r="T787" i="25"/>
  <c r="X787" i="25" s="1"/>
  <c r="AA787" i="25" s="1"/>
  <c r="W787" i="25"/>
  <c r="Z787" i="25" s="1"/>
  <c r="AM786" i="25"/>
  <c r="AL786" i="25"/>
  <c r="AH786" i="25"/>
  <c r="AP786" i="25" s="1"/>
  <c r="AS786" i="25" s="1"/>
  <c r="AI786" i="25"/>
  <c r="AO786" i="25" s="1"/>
  <c r="AR786" i="25" s="1"/>
  <c r="AJ786" i="25"/>
  <c r="AK786" i="25"/>
  <c r="AN160" i="25"/>
  <c r="AQ160" i="25" s="1"/>
  <c r="K944" i="25" s="1"/>
  <c r="AM162" i="25"/>
  <c r="AH162" i="25"/>
  <c r="AP162" i="25" s="1"/>
  <c r="AS162" i="25" s="1"/>
  <c r="M946" i="25" s="1"/>
  <c r="V946" i="25" s="1"/>
  <c r="AK161" i="25"/>
  <c r="AI161" i="25"/>
  <c r="AO161" i="25" s="1"/>
  <c r="AR161" i="25" s="1"/>
  <c r="L945" i="25" s="1"/>
  <c r="U945" i="25" s="1"/>
  <c r="AA942" i="25"/>
  <c r="AB942" i="25" s="1"/>
  <c r="AC942" i="25" s="1"/>
  <c r="AD942" i="25" s="1"/>
  <c r="W942" i="25"/>
  <c r="X942" i="25" s="1"/>
  <c r="AM161" i="25"/>
  <c r="AH161" i="25"/>
  <c r="AP161" i="25" s="1"/>
  <c r="AS161" i="25" s="1"/>
  <c r="M945" i="25" s="1"/>
  <c r="V945" i="25" s="1"/>
  <c r="AI162" i="25"/>
  <c r="AO162" i="25" s="1"/>
  <c r="AR162" i="25" s="1"/>
  <c r="L946" i="25" s="1"/>
  <c r="U946" i="25" s="1"/>
  <c r="AK162" i="25"/>
  <c r="W943" i="25"/>
  <c r="X943" i="25" s="1"/>
  <c r="AA943" i="25"/>
  <c r="AB943" i="25" s="1"/>
  <c r="AC943" i="25" s="1"/>
  <c r="AD943" i="25" s="1"/>
  <c r="AN162" i="25" l="1"/>
  <c r="AQ162" i="25" s="1"/>
  <c r="AB787" i="25"/>
  <c r="AD787" i="25" s="1"/>
  <c r="AE787" i="25" s="1"/>
  <c r="AN786" i="25"/>
  <c r="AQ786" i="25" s="1"/>
  <c r="K946" i="25" s="1"/>
  <c r="Q947" i="25"/>
  <c r="N947" i="25"/>
  <c r="AL787" i="25"/>
  <c r="AM787" i="25"/>
  <c r="AK787" i="25"/>
  <c r="AN787" i="25" s="1"/>
  <c r="AQ787" i="25" s="1"/>
  <c r="K947" i="25" s="1"/>
  <c r="AJ787" i="25"/>
  <c r="AH787" i="25"/>
  <c r="AI787" i="25"/>
  <c r="AN161" i="25"/>
  <c r="AQ161" i="25" s="1"/>
  <c r="K945" i="25" s="1"/>
  <c r="T944" i="25"/>
  <c r="O944" i="25"/>
  <c r="T946" i="25" l="1"/>
  <c r="O946" i="25"/>
  <c r="T947" i="25"/>
  <c r="Z947" i="25"/>
  <c r="AO787" i="25"/>
  <c r="AR787" i="25" s="1"/>
  <c r="L947" i="25" s="1"/>
  <c r="U947" i="25" s="1"/>
  <c r="W947" i="25" s="1"/>
  <c r="X947" i="25" s="1"/>
  <c r="AP787" i="25"/>
  <c r="AS787" i="25" s="1"/>
  <c r="M947" i="25" s="1"/>
  <c r="V947" i="25" s="1"/>
  <c r="AA944" i="25"/>
  <c r="AB944" i="25" s="1"/>
  <c r="AC944" i="25" s="1"/>
  <c r="AD944" i="25" s="1"/>
  <c r="W944" i="25"/>
  <c r="X944" i="25" s="1"/>
  <c r="T945" i="25"/>
  <c r="O945" i="25"/>
  <c r="AA946" i="25"/>
  <c r="AB946" i="25" s="1"/>
  <c r="AC946" i="25" s="1"/>
  <c r="AD946" i="25" s="1"/>
  <c r="W946" i="25"/>
  <c r="X946" i="25" s="1"/>
  <c r="O947" i="25" l="1"/>
  <c r="AA947" i="25"/>
  <c r="AB947" i="25" s="1"/>
  <c r="AC947" i="25" s="1"/>
  <c r="AD947" i="25" s="1"/>
  <c r="AA945" i="25"/>
  <c r="AB945" i="25" s="1"/>
  <c r="AC945" i="25" s="1"/>
  <c r="AD945" i="25" s="1"/>
  <c r="W945" i="25"/>
  <c r="X945" i="25" s="1"/>
</calcChain>
</file>

<file path=xl/sharedStrings.xml><?xml version="1.0" encoding="utf-8"?>
<sst xmlns="http://schemas.openxmlformats.org/spreadsheetml/2006/main" count="475" uniqueCount="116">
  <si>
    <t>DX</t>
  </si>
  <si>
    <t>DY</t>
  </si>
  <si>
    <t>DZ</t>
  </si>
  <si>
    <t>Equipment Centerline</t>
  </si>
  <si>
    <t>Fx</t>
  </si>
  <si>
    <t>Fy</t>
  </si>
  <si>
    <t>Fz</t>
  </si>
  <si>
    <t>Mx</t>
  </si>
  <si>
    <t>My</t>
  </si>
  <si>
    <t>Mz</t>
  </si>
  <si>
    <t>Fr</t>
  </si>
  <si>
    <t>Mr</t>
  </si>
  <si>
    <t>-Z</t>
  </si>
  <si>
    <t>-X</t>
  </si>
  <si>
    <t>NODE</t>
  </si>
  <si>
    <t>3F+M</t>
  </si>
  <si>
    <t>CAESAR COORDINATE SYSTEM</t>
  </si>
  <si>
    <t>NEMA COORDINATE SYSTEM</t>
  </si>
  <si>
    <t>Distance from Resolution point (mm)</t>
  </si>
  <si>
    <t>Forces and Moments (N &amp; N.m)</t>
  </si>
  <si>
    <t>Moments due to Forces</t>
  </si>
  <si>
    <t>SFx</t>
  </si>
  <si>
    <t>SFy</t>
  </si>
  <si>
    <t>SFz</t>
  </si>
  <si>
    <t>SMx</t>
  </si>
  <si>
    <t>SMy</t>
  </si>
  <si>
    <t>SMz</t>
  </si>
  <si>
    <t>SFC</t>
  </si>
  <si>
    <t>SMC</t>
  </si>
  <si>
    <t>Forces and Moments (lb &amp; lb. ft)</t>
  </si>
  <si>
    <t>2FC+MC</t>
  </si>
  <si>
    <t>Total Moments about Resolution point</t>
  </si>
  <si>
    <t>De (inch)</t>
  </si>
  <si>
    <t>F*50*Dc</t>
  </si>
  <si>
    <t>F*125*Dc</t>
  </si>
  <si>
    <t>F*100*Dc</t>
  </si>
  <si>
    <t>F*250*Dc</t>
  </si>
  <si>
    <t>Diameter due to Equivalent Nozzle Areas, Dc =</t>
  </si>
  <si>
    <t>Factor for Allowable Increase, F</t>
  </si>
  <si>
    <t>% of Allowable</t>
  </si>
  <si>
    <t>Result</t>
  </si>
  <si>
    <t>SUMMATION CALCULATIONS</t>
  </si>
  <si>
    <t>Equipment Axis</t>
  </si>
  <si>
    <t>+X</t>
  </si>
  <si>
    <t>+Z</t>
  </si>
  <si>
    <t>Force, F (lb)</t>
  </si>
  <si>
    <t>Moment, M (lb. ft)</t>
  </si>
  <si>
    <t>Load Case</t>
  </si>
  <si>
    <t>NPS (Inch)</t>
  </si>
  <si>
    <t>Z-Axis Vertical</t>
  </si>
  <si>
    <t>Equipment Name</t>
  </si>
  <si>
    <t>Equipment No</t>
  </si>
  <si>
    <t>Calc No</t>
  </si>
  <si>
    <t>Date</t>
  </si>
  <si>
    <t>Allowable
F*500*De</t>
  </si>
  <si>
    <t>FX*Y</t>
  </si>
  <si>
    <t>FX*Z</t>
  </si>
  <si>
    <t>FY*X</t>
  </si>
  <si>
    <t>FY*Z</t>
  </si>
  <si>
    <t>FZ*X</t>
  </si>
  <si>
    <t>FZ*Y</t>
  </si>
  <si>
    <t xml:space="preserve">Calc No: </t>
  </si>
  <si>
    <t>NOZZLE DETAIL:</t>
  </si>
  <si>
    <t>INDIVIDUAL NOZZLE CALCULATIONS (NEMA SM-23 8.4.6.1)</t>
  </si>
  <si>
    <t xml:space="preserve"> (NEMA SM-23 8.4.6.2a)</t>
  </si>
  <si>
    <t xml:space="preserve"> (NEMA SM-23 8.4.6.2b)</t>
  </si>
  <si>
    <t>+Y</t>
  </si>
  <si>
    <t>-Y</t>
  </si>
  <si>
    <t>FX</t>
  </si>
  <si>
    <t>FY</t>
  </si>
  <si>
    <t>FZ</t>
  </si>
  <si>
    <t>+</t>
  </si>
  <si>
    <t>Y</t>
  </si>
  <si>
    <t>Z</t>
  </si>
  <si>
    <t>X</t>
  </si>
  <si>
    <t>-</t>
  </si>
  <si>
    <t>MX</t>
  </si>
  <si>
    <t>MY</t>
  </si>
  <si>
    <t>MZ</t>
  </si>
  <si>
    <t>MOMENTS</t>
  </si>
  <si>
    <t>FORCE</t>
  </si>
  <si>
    <t xml:space="preserve"> DISTANCE</t>
  </si>
  <si>
    <t>DIRECTION</t>
  </si>
  <si>
    <t>REF</t>
  </si>
  <si>
    <t>HISTORY OF THE TEMPLATE</t>
  </si>
  <si>
    <t>Rev</t>
  </si>
  <si>
    <t>Modification date</t>
  </si>
  <si>
    <t>Editor</t>
  </si>
  <si>
    <t>Object</t>
  </si>
  <si>
    <t>A</t>
  </si>
  <si>
    <t>1st release</t>
  </si>
  <si>
    <t>HR</t>
  </si>
  <si>
    <t>B</t>
  </si>
  <si>
    <t>SP</t>
  </si>
  <si>
    <t>Z axis-Vertical case newly added</t>
  </si>
  <si>
    <t>NO</t>
  </si>
  <si>
    <t>6(OPE)</t>
  </si>
  <si>
    <t>10(OPE)</t>
  </si>
  <si>
    <t>12(OPE)</t>
  </si>
  <si>
    <t>16(OPE)</t>
  </si>
  <si>
    <t>20(OPE)</t>
  </si>
  <si>
    <t>22(OPE)</t>
  </si>
  <si>
    <t>34(SUS)</t>
  </si>
  <si>
    <t>35(SUS)</t>
  </si>
  <si>
    <t>36(SUS)</t>
  </si>
  <si>
    <t>37(SUS)</t>
  </si>
  <si>
    <t>24(OPE)</t>
  </si>
  <si>
    <t>25(OPE)</t>
  </si>
  <si>
    <t>26(OPE)</t>
  </si>
  <si>
    <t>27(OPE)</t>
  </si>
  <si>
    <t>28(OPE)</t>
  </si>
  <si>
    <t>29(OPE)</t>
  </si>
  <si>
    <t>30(OPE)</t>
  </si>
  <si>
    <t>31(OPE)</t>
  </si>
  <si>
    <t>32(OPE)</t>
  </si>
  <si>
    <t>33(OPE)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</si>
</sst>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medium">
        <color indexed="64"/>
      </top>
      <bottom style="thin">
        <color theme="0"/>
      </bottom>
      <diagonal/>
    </border>
    <border>
      <left/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quotePrefix="1"/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1" xfId="0" applyFont="1" applyBorder="1" applyProtection="1">
      <protection hidden="1"/>
    </xf>
    <xf numFmtId="0" fontId="1" fillId="0" borderId="20" xfId="0" applyFont="1" applyBorder="1" applyAlignment="1" applyProtection="1">
      <alignment vertical="center"/>
      <protection hidden="1"/>
    </xf>
    <xf numFmtId="0" fontId="1" fillId="4" borderId="12" xfId="0" applyFont="1" applyFill="1" applyBorder="1" applyAlignment="1" applyProtection="1">
      <alignment vertical="center"/>
      <protection hidden="1"/>
    </xf>
    <xf numFmtId="0" fontId="1" fillId="4" borderId="37" xfId="0" applyFont="1" applyFill="1" applyBorder="1" applyAlignment="1" applyProtection="1">
      <alignment vertical="center"/>
      <protection hidden="1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Protection="1">
      <protection hidden="1"/>
    </xf>
    <xf numFmtId="0" fontId="2" fillId="0" borderId="4" xfId="0" applyFont="1" applyBorder="1" applyProtection="1">
      <protection hidden="1"/>
    </xf>
    <xf numFmtId="0" fontId="2" fillId="0" borderId="20" xfId="0" applyFont="1" applyBorder="1" applyProtection="1">
      <protection hidden="1"/>
    </xf>
    <xf numFmtId="0" fontId="2" fillId="0" borderId="1" xfId="0" applyFont="1" applyBorder="1" applyProtection="1">
      <protection hidden="1"/>
    </xf>
    <xf numFmtId="0" fontId="2" fillId="0" borderId="4" xfId="0" applyFont="1" applyBorder="1" applyAlignment="1" applyProtection="1">
      <alignment vertical="center"/>
      <protection hidden="1"/>
    </xf>
    <xf numFmtId="0" fontId="2" fillId="0" borderId="20" xfId="0" applyFont="1" applyBorder="1" applyAlignment="1" applyProtection="1">
      <alignment vertical="center"/>
      <protection hidden="1"/>
    </xf>
    <xf numFmtId="0" fontId="2" fillId="0" borderId="1" xfId="0" applyFont="1" applyBorder="1" applyAlignment="1" applyProtection="1">
      <alignment vertical="center"/>
      <protection hidden="1"/>
    </xf>
    <xf numFmtId="0" fontId="3" fillId="2" borderId="1" xfId="0" applyFont="1" applyFill="1" applyBorder="1" applyProtection="1"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3" fillId="2" borderId="15" xfId="0" applyFont="1" applyFill="1" applyBorder="1" applyAlignment="1" applyProtection="1">
      <alignment horizontal="center"/>
      <protection hidden="1"/>
    </xf>
    <xf numFmtId="0" fontId="3" fillId="2" borderId="16" xfId="0" applyFont="1" applyFill="1" applyBorder="1" applyAlignment="1" applyProtection="1">
      <alignment horizontal="center"/>
      <protection hidden="1"/>
    </xf>
    <xf numFmtId="0" fontId="2" fillId="3" borderId="15" xfId="0" applyFont="1" applyFill="1" applyBorder="1" applyProtection="1">
      <protection locked="0"/>
    </xf>
    <xf numFmtId="0" fontId="2" fillId="3" borderId="1" xfId="0" applyFont="1" applyFill="1" applyBorder="1" applyProtection="1"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2" fillId="4" borderId="1" xfId="0" applyFont="1" applyFill="1" applyBorder="1" applyProtection="1">
      <protection hidden="1"/>
    </xf>
    <xf numFmtId="1" fontId="2" fillId="4" borderId="1" xfId="0" applyNumberFormat="1" applyFont="1" applyFill="1" applyBorder="1" applyProtection="1">
      <protection hidden="1"/>
    </xf>
    <xf numFmtId="2" fontId="2" fillId="4" borderId="1" xfId="0" applyNumberFormat="1" applyFont="1" applyFill="1" applyBorder="1" applyProtection="1">
      <protection hidden="1"/>
    </xf>
    <xf numFmtId="164" fontId="2" fillId="4" borderId="1" xfId="0" applyNumberFormat="1" applyFont="1" applyFill="1" applyBorder="1" applyAlignment="1" applyProtection="1">
      <alignment horizontal="right"/>
      <protection hidden="1"/>
    </xf>
    <xf numFmtId="0" fontId="2" fillId="4" borderId="16" xfId="0" applyFont="1" applyFill="1" applyBorder="1" applyProtection="1">
      <protection hidden="1"/>
    </xf>
    <xf numFmtId="0" fontId="1" fillId="0" borderId="20" xfId="0" applyFont="1" applyBorder="1" applyProtection="1">
      <protection hidden="1"/>
    </xf>
    <xf numFmtId="1" fontId="2" fillId="4" borderId="15" xfId="0" applyNumberFormat="1" applyFont="1" applyFill="1" applyBorder="1" applyProtection="1">
      <protection hidden="1"/>
    </xf>
    <xf numFmtId="1" fontId="2" fillId="4" borderId="16" xfId="0" applyNumberFormat="1" applyFont="1" applyFill="1" applyBorder="1" applyProtection="1">
      <protection hidden="1"/>
    </xf>
    <xf numFmtId="0" fontId="2" fillId="4" borderId="15" xfId="0" applyFont="1" applyFill="1" applyBorder="1" applyProtection="1">
      <protection hidden="1"/>
    </xf>
    <xf numFmtId="0" fontId="2" fillId="4" borderId="17" xfId="0" applyFont="1" applyFill="1" applyBorder="1" applyProtection="1">
      <protection hidden="1"/>
    </xf>
    <xf numFmtId="0" fontId="2" fillId="4" borderId="18" xfId="0" applyFont="1" applyFill="1" applyBorder="1" applyProtection="1">
      <protection hidden="1"/>
    </xf>
    <xf numFmtId="0" fontId="2" fillId="3" borderId="18" xfId="0" applyFont="1" applyFill="1" applyBorder="1" applyProtection="1">
      <protection locked="0"/>
    </xf>
    <xf numFmtId="0" fontId="4" fillId="3" borderId="18" xfId="0" applyFont="1" applyFill="1" applyBorder="1" applyAlignment="1" applyProtection="1">
      <alignment horizontal="center" vertical="center"/>
      <protection locked="0"/>
    </xf>
    <xf numFmtId="1" fontId="2" fillId="4" borderId="18" xfId="0" applyNumberFormat="1" applyFont="1" applyFill="1" applyBorder="1" applyProtection="1">
      <protection hidden="1"/>
    </xf>
    <xf numFmtId="2" fontId="2" fillId="4" borderId="18" xfId="0" applyNumberFormat="1" applyFont="1" applyFill="1" applyBorder="1" applyProtection="1">
      <protection hidden="1"/>
    </xf>
    <xf numFmtId="0" fontId="2" fillId="4" borderId="19" xfId="0" applyFont="1" applyFill="1" applyBorder="1" applyProtection="1">
      <protection hidden="1"/>
    </xf>
    <xf numFmtId="1" fontId="2" fillId="4" borderId="17" xfId="0" applyNumberFormat="1" applyFont="1" applyFill="1" applyBorder="1" applyProtection="1">
      <protection hidden="1"/>
    </xf>
    <xf numFmtId="1" fontId="2" fillId="4" borderId="19" xfId="0" applyNumberFormat="1" applyFont="1" applyFill="1" applyBorder="1" applyProtection="1">
      <protection hidden="1"/>
    </xf>
    <xf numFmtId="0" fontId="4" fillId="4" borderId="1" xfId="0" applyFont="1" applyFill="1" applyBorder="1" applyAlignment="1" applyProtection="1">
      <alignment horizontal="center" vertical="center"/>
      <protection hidden="1"/>
    </xf>
    <xf numFmtId="0" fontId="4" fillId="4" borderId="18" xfId="0" applyFont="1" applyFill="1" applyBorder="1" applyAlignment="1" applyProtection="1">
      <alignment horizontal="center" vertical="center"/>
      <protection hidden="1"/>
    </xf>
    <xf numFmtId="0" fontId="1" fillId="0" borderId="3" xfId="0" applyFont="1" applyBorder="1" applyProtection="1">
      <protection hidden="1"/>
    </xf>
    <xf numFmtId="2" fontId="3" fillId="5" borderId="7" xfId="0" applyNumberFormat="1" applyFont="1" applyFill="1" applyBorder="1" applyAlignment="1" applyProtection="1">
      <alignment vertical="center"/>
      <protection hidden="1"/>
    </xf>
    <xf numFmtId="2" fontId="5" fillId="0" borderId="4" xfId="0" applyNumberFormat="1" applyFont="1" applyBorder="1" applyProtection="1">
      <protection hidden="1"/>
    </xf>
    <xf numFmtId="0" fontId="3" fillId="2" borderId="14" xfId="0" applyFont="1" applyFill="1" applyBorder="1" applyAlignment="1" applyProtection="1">
      <alignment horizontal="center"/>
      <protection hidden="1"/>
    </xf>
    <xf numFmtId="0" fontId="4" fillId="4" borderId="15" xfId="0" applyFont="1" applyFill="1" applyBorder="1" applyAlignment="1" applyProtection="1">
      <alignment horizontal="center" vertical="center"/>
      <protection hidden="1"/>
    </xf>
    <xf numFmtId="0" fontId="4" fillId="4" borderId="17" xfId="0" applyFont="1" applyFill="1" applyBorder="1" applyAlignment="1" applyProtection="1">
      <alignment horizontal="center" vertical="center"/>
      <protection hidden="1"/>
    </xf>
    <xf numFmtId="1" fontId="3" fillId="5" borderId="15" xfId="0" applyNumberFormat="1" applyFont="1" applyFill="1" applyBorder="1" applyAlignment="1" applyProtection="1">
      <alignment horizontal="center"/>
      <protection hidden="1"/>
    </xf>
    <xf numFmtId="1" fontId="3" fillId="5" borderId="1" xfId="0" applyNumberFormat="1" applyFont="1" applyFill="1" applyBorder="1" applyAlignment="1" applyProtection="1">
      <alignment horizontal="center"/>
      <protection hidden="1"/>
    </xf>
    <xf numFmtId="0" fontId="1" fillId="5" borderId="16" xfId="0" applyFont="1" applyFill="1" applyBorder="1" applyProtection="1">
      <protection hidden="1"/>
    </xf>
    <xf numFmtId="0" fontId="1" fillId="5" borderId="1" xfId="0" applyFont="1" applyFill="1" applyBorder="1" applyProtection="1">
      <protection hidden="1"/>
    </xf>
    <xf numFmtId="1" fontId="2" fillId="4" borderId="17" xfId="0" applyNumberFormat="1" applyFont="1" applyFill="1" applyBorder="1" applyAlignment="1" applyProtection="1">
      <alignment horizontal="center"/>
      <protection hidden="1"/>
    </xf>
    <xf numFmtId="1" fontId="2" fillId="4" borderId="18" xfId="0" applyNumberFormat="1" applyFont="1" applyFill="1" applyBorder="1" applyAlignment="1" applyProtection="1">
      <alignment horizontal="center"/>
      <protection hidden="1"/>
    </xf>
    <xf numFmtId="0" fontId="1" fillId="4" borderId="19" xfId="0" applyFont="1" applyFill="1" applyBorder="1" applyProtection="1">
      <protection hidden="1"/>
    </xf>
    <xf numFmtId="0" fontId="1" fillId="4" borderId="18" xfId="0" applyFont="1" applyFill="1" applyBorder="1" applyProtection="1"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2" fillId="0" borderId="29" xfId="0" applyFont="1" applyBorder="1" applyAlignment="1" applyProtection="1">
      <alignment vertical="center"/>
      <protection hidden="1"/>
    </xf>
    <xf numFmtId="0" fontId="1" fillId="3" borderId="7" xfId="0" quotePrefix="1" applyFont="1" applyFill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1" xfId="0" applyFont="1" applyBorder="1" applyProtection="1">
      <protection hidden="1"/>
    </xf>
    <xf numFmtId="164" fontId="2" fillId="4" borderId="18" xfId="0" applyNumberFormat="1" applyFont="1" applyFill="1" applyBorder="1" applyAlignment="1" applyProtection="1">
      <alignment horizontal="right"/>
      <protection hidden="1"/>
    </xf>
    <xf numFmtId="0" fontId="1" fillId="0" borderId="40" xfId="0" applyFont="1" applyBorder="1" applyProtection="1">
      <protection hidden="1"/>
    </xf>
    <xf numFmtId="0" fontId="3" fillId="2" borderId="1" xfId="0" applyFont="1" applyFill="1" applyBorder="1" applyAlignment="1" applyProtection="1">
      <alignment vertical="center"/>
      <protection hidden="1"/>
    </xf>
    <xf numFmtId="0" fontId="3" fillId="2" borderId="15" xfId="0" applyFont="1" applyFill="1" applyBorder="1" applyAlignment="1" applyProtection="1">
      <alignment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6" fillId="0" borderId="1" xfId="0" applyFont="1" applyBorder="1" applyAlignment="1" applyProtection="1">
      <alignment vertical="center"/>
      <protection hidden="1"/>
    </xf>
    <xf numFmtId="0" fontId="1" fillId="0" borderId="47" xfId="0" applyFont="1" applyBorder="1" applyProtection="1">
      <protection hidden="1"/>
    </xf>
    <xf numFmtId="0" fontId="2" fillId="0" borderId="26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0" fillId="0" borderId="11" xfId="0" applyBorder="1"/>
    <xf numFmtId="0" fontId="1" fillId="0" borderId="49" xfId="0" applyFont="1" applyBorder="1" applyProtection="1">
      <protection hidden="1"/>
    </xf>
    <xf numFmtId="0" fontId="2" fillId="0" borderId="11" xfId="0" applyFont="1" applyBorder="1" applyAlignment="1" applyProtection="1">
      <alignment vertical="center"/>
      <protection hidden="1"/>
    </xf>
    <xf numFmtId="0" fontId="2" fillId="0" borderId="11" xfId="0" applyFont="1" applyBorder="1" applyProtection="1"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1" fillId="0" borderId="12" xfId="0" applyFont="1" applyBorder="1" applyProtection="1">
      <protection hidden="1"/>
    </xf>
    <xf numFmtId="0" fontId="2" fillId="0" borderId="12" xfId="0" applyFont="1" applyBorder="1" applyAlignment="1" applyProtection="1">
      <alignment vertical="center"/>
      <protection hidden="1"/>
    </xf>
    <xf numFmtId="0" fontId="2" fillId="0" borderId="12" xfId="0" applyFont="1" applyBorder="1" applyProtection="1">
      <protection hidden="1"/>
    </xf>
    <xf numFmtId="0" fontId="1" fillId="0" borderId="0" xfId="0" applyFont="1" applyProtection="1">
      <protection hidden="1"/>
    </xf>
    <xf numFmtId="0" fontId="1" fillId="0" borderId="50" xfId="0" applyFont="1" applyBorder="1" applyProtection="1">
      <protection hidden="1"/>
    </xf>
    <xf numFmtId="0" fontId="1" fillId="0" borderId="51" xfId="0" applyFont="1" applyBorder="1" applyProtection="1">
      <protection hidden="1"/>
    </xf>
    <xf numFmtId="0" fontId="2" fillId="6" borderId="20" xfId="0" applyFont="1" applyFill="1" applyBorder="1" applyProtection="1">
      <protection hidden="1"/>
    </xf>
    <xf numFmtId="0" fontId="1" fillId="6" borderId="11" xfId="0" applyFont="1" applyFill="1" applyBorder="1" applyProtection="1">
      <protection hidden="1"/>
    </xf>
    <xf numFmtId="0" fontId="1" fillId="6" borderId="11" xfId="0" applyFont="1" applyFill="1" applyBorder="1" applyAlignment="1" applyProtection="1">
      <alignment vertical="center"/>
      <protection hidden="1"/>
    </xf>
    <xf numFmtId="0" fontId="0" fillId="0" borderId="0" xfId="0" applyAlignment="1">
      <alignment horizontal="center"/>
    </xf>
    <xf numFmtId="0" fontId="1" fillId="3" borderId="7" xfId="0" applyFont="1" applyFill="1" applyBorder="1" applyAlignment="1" applyProtection="1">
      <alignment horizontal="center" vertical="center"/>
      <protection locked="0" hidden="1"/>
    </xf>
    <xf numFmtId="0" fontId="7" fillId="0" borderId="11" xfId="0" applyFont="1" applyBorder="1" applyAlignment="1">
      <alignment horizontal="center"/>
    </xf>
    <xf numFmtId="0" fontId="0" fillId="0" borderId="11" xfId="0" applyBorder="1" applyAlignment="1">
      <alignment horizontal="center" vertical="top"/>
    </xf>
    <xf numFmtId="14" fontId="0" fillId="0" borderId="11" xfId="0" applyNumberFormat="1" applyBorder="1" applyAlignment="1">
      <alignment horizontal="center" vertical="top"/>
    </xf>
    <xf numFmtId="0" fontId="8" fillId="0" borderId="11" xfId="0" applyFont="1" applyBorder="1" applyAlignment="1">
      <alignment horizontal="center" vertical="top"/>
    </xf>
    <xf numFmtId="0" fontId="0" fillId="0" borderId="11" xfId="0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11" xfId="0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7" fillId="0" borderId="52" xfId="0" applyFont="1" applyBorder="1" applyAlignment="1">
      <alignment horizontal="center"/>
    </xf>
    <xf numFmtId="0" fontId="1" fillId="4" borderId="11" xfId="0" applyFont="1" applyFill="1" applyBorder="1" applyAlignment="1" applyProtection="1">
      <alignment horizontal="left" vertical="center"/>
      <protection hidden="1"/>
    </xf>
    <xf numFmtId="14" fontId="1" fillId="3" borderId="11" xfId="0" applyNumberFormat="1" applyFont="1" applyFill="1" applyBorder="1" applyAlignment="1" applyProtection="1">
      <alignment horizontal="left" vertical="center"/>
      <protection locked="0"/>
    </xf>
    <xf numFmtId="0" fontId="1" fillId="3" borderId="11" xfId="0" applyFont="1" applyFill="1" applyBorder="1" applyAlignment="1" applyProtection="1">
      <alignment horizontal="left" vertical="center"/>
      <protection locked="0"/>
    </xf>
    <xf numFmtId="0" fontId="1" fillId="4" borderId="12" xfId="0" applyFont="1" applyFill="1" applyBorder="1" applyAlignment="1" applyProtection="1">
      <alignment horizontal="left" vertical="center"/>
      <protection hidden="1"/>
    </xf>
    <xf numFmtId="0" fontId="1" fillId="4" borderId="37" xfId="0" applyFont="1" applyFill="1" applyBorder="1" applyAlignment="1" applyProtection="1">
      <alignment horizontal="left" vertical="center"/>
      <protection hidden="1"/>
    </xf>
    <xf numFmtId="0" fontId="1" fillId="4" borderId="39" xfId="0" applyFont="1" applyFill="1" applyBorder="1" applyAlignment="1" applyProtection="1">
      <alignment horizontal="left" vertical="center"/>
      <protection hidden="1"/>
    </xf>
    <xf numFmtId="0" fontId="3" fillId="2" borderId="42" xfId="0" applyFont="1" applyFill="1" applyBorder="1" applyAlignment="1" applyProtection="1">
      <alignment horizontal="left" vertical="center"/>
      <protection hidden="1"/>
    </xf>
    <xf numFmtId="0" fontId="3" fillId="2" borderId="43" xfId="0" applyFont="1" applyFill="1" applyBorder="1" applyAlignment="1" applyProtection="1">
      <alignment horizontal="left" vertical="center"/>
      <protection hidden="1"/>
    </xf>
    <xf numFmtId="0" fontId="1" fillId="3" borderId="44" xfId="0" applyFont="1" applyFill="1" applyBorder="1" applyAlignment="1" applyProtection="1">
      <alignment horizontal="left" vertical="center"/>
      <protection locked="0"/>
    </xf>
    <xf numFmtId="0" fontId="1" fillId="3" borderId="45" xfId="0" applyFont="1" applyFill="1" applyBorder="1" applyAlignment="1" applyProtection="1">
      <alignment horizontal="left" vertical="center"/>
      <protection locked="0"/>
    </xf>
    <xf numFmtId="0" fontId="1" fillId="3" borderId="43" xfId="0" applyFont="1" applyFill="1" applyBorder="1" applyAlignment="1" applyProtection="1">
      <alignment horizontal="left" vertical="center"/>
      <protection locked="0"/>
    </xf>
    <xf numFmtId="0" fontId="3" fillId="2" borderId="44" xfId="0" applyFont="1" applyFill="1" applyBorder="1" applyAlignment="1" applyProtection="1">
      <alignment horizontal="left" vertical="center"/>
      <protection hidden="1"/>
    </xf>
    <xf numFmtId="0" fontId="1" fillId="3" borderId="44" xfId="0" applyFont="1" applyFill="1" applyBorder="1" applyAlignment="1" applyProtection="1">
      <alignment horizontal="center" vertical="center"/>
      <protection locked="0"/>
    </xf>
    <xf numFmtId="0" fontId="1" fillId="3" borderId="45" xfId="0" applyFont="1" applyFill="1" applyBorder="1" applyAlignment="1" applyProtection="1">
      <alignment horizontal="center" vertical="center"/>
      <protection locked="0"/>
    </xf>
    <xf numFmtId="0" fontId="1" fillId="3" borderId="46" xfId="0" applyFont="1" applyFill="1" applyBorder="1" applyAlignment="1" applyProtection="1">
      <alignment horizontal="center" vertical="center"/>
      <protection locked="0"/>
    </xf>
    <xf numFmtId="0" fontId="3" fillId="2" borderId="22" xfId="0" applyFont="1" applyFill="1" applyBorder="1" applyAlignment="1" applyProtection="1">
      <alignment horizontal="center" vertical="center"/>
      <protection hidden="1"/>
    </xf>
    <xf numFmtId="0" fontId="3" fillId="2" borderId="23" xfId="0" applyFont="1" applyFill="1" applyBorder="1" applyAlignment="1" applyProtection="1">
      <alignment horizontal="center" vertical="center"/>
      <protection hidden="1"/>
    </xf>
    <xf numFmtId="0" fontId="3" fillId="2" borderId="24" xfId="0" applyFont="1" applyFill="1" applyBorder="1" applyAlignment="1" applyProtection="1">
      <alignment horizontal="center" vertical="center"/>
      <protection hidden="1"/>
    </xf>
    <xf numFmtId="0" fontId="3" fillId="2" borderId="25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6" xfId="0" applyFont="1" applyFill="1" applyBorder="1" applyAlignment="1" applyProtection="1">
      <alignment horizontal="center" vertical="center" wrapText="1"/>
      <protection hidden="1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21" xfId="0" applyFont="1" applyFill="1" applyBorder="1" applyAlignment="1" applyProtection="1">
      <alignment horizontal="center" vertical="center"/>
      <protection hidden="1"/>
    </xf>
    <xf numFmtId="0" fontId="3" fillId="2" borderId="34" xfId="0" applyFont="1" applyFill="1" applyBorder="1" applyAlignment="1" applyProtection="1">
      <alignment horizontal="center" vertical="center"/>
      <protection hidden="1"/>
    </xf>
    <xf numFmtId="0" fontId="3" fillId="2" borderId="35" xfId="0" applyFont="1" applyFill="1" applyBorder="1" applyAlignment="1" applyProtection="1">
      <alignment horizontal="center" vertical="center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6" xfId="0" applyFont="1" applyFill="1" applyBorder="1" applyAlignment="1" applyProtection="1">
      <alignment horizontal="center" vertical="center"/>
      <protection hidden="1"/>
    </xf>
    <xf numFmtId="0" fontId="3" fillId="2" borderId="36" xfId="0" applyFont="1" applyFill="1" applyBorder="1" applyAlignment="1" applyProtection="1">
      <alignment horizontal="center" vertical="center"/>
      <protection hidden="1"/>
    </xf>
    <xf numFmtId="0" fontId="3" fillId="2" borderId="38" xfId="0" applyFont="1" applyFill="1" applyBorder="1" applyAlignment="1" applyProtection="1">
      <alignment horizontal="center" vertical="center"/>
      <protection hidden="1"/>
    </xf>
    <xf numFmtId="0" fontId="3" fillId="2" borderId="8" xfId="0" applyFont="1" applyFill="1" applyBorder="1" applyAlignment="1" applyProtection="1">
      <alignment horizontal="center" vertical="center" wrapText="1"/>
      <protection hidden="1"/>
    </xf>
    <xf numFmtId="0" fontId="3" fillId="2" borderId="9" xfId="0" applyFont="1" applyFill="1" applyBorder="1" applyAlignment="1" applyProtection="1">
      <alignment horizontal="center" vertical="center" wrapText="1"/>
      <protection hidden="1"/>
    </xf>
    <xf numFmtId="0" fontId="3" fillId="2" borderId="27" xfId="0" applyFont="1" applyFill="1" applyBorder="1" applyAlignment="1" applyProtection="1">
      <alignment horizontal="center" vertical="center" wrapText="1"/>
      <protection hidden="1"/>
    </xf>
    <xf numFmtId="0" fontId="3" fillId="2" borderId="28" xfId="0" applyFont="1" applyFill="1" applyBorder="1" applyAlignment="1" applyProtection="1">
      <alignment horizontal="center" vertical="center" wrapText="1"/>
      <protection hidden="1"/>
    </xf>
    <xf numFmtId="0" fontId="3" fillId="2" borderId="29" xfId="0" applyFont="1" applyFill="1" applyBorder="1" applyAlignment="1" applyProtection="1">
      <alignment horizontal="center" vertical="center" wrapText="1"/>
      <protection hidden="1"/>
    </xf>
    <xf numFmtId="0" fontId="3" fillId="2" borderId="26" xfId="0" applyFont="1" applyFill="1" applyBorder="1" applyAlignment="1" applyProtection="1">
      <alignment horizontal="center" vertical="center" wrapText="1"/>
      <protection hidden="1"/>
    </xf>
    <xf numFmtId="0" fontId="3" fillId="2" borderId="30" xfId="0" applyFont="1" applyFill="1" applyBorder="1" applyAlignment="1" applyProtection="1">
      <alignment horizontal="center" vertical="center" wrapText="1"/>
      <protection hidden="1"/>
    </xf>
    <xf numFmtId="0" fontId="3" fillId="2" borderId="31" xfId="0" applyFont="1" applyFill="1" applyBorder="1" applyAlignment="1" applyProtection="1">
      <alignment horizontal="center" vertical="center" wrapText="1"/>
      <protection hidden="1"/>
    </xf>
    <xf numFmtId="0" fontId="3" fillId="2" borderId="32" xfId="0" applyFont="1" applyFill="1" applyBorder="1" applyAlignment="1" applyProtection="1">
      <alignment horizontal="center" vertical="center" wrapText="1"/>
      <protection hidden="1"/>
    </xf>
    <xf numFmtId="0" fontId="3" fillId="2" borderId="33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 wrapText="1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3" fillId="2" borderId="5" xfId="0" applyFont="1" applyFill="1" applyBorder="1" applyAlignment="1" applyProtection="1">
      <alignment horizontal="center" vertical="center"/>
      <protection hidden="1"/>
    </xf>
    <xf numFmtId="0" fontId="3" fillId="2" borderId="16" xfId="0" applyFont="1" applyFill="1" applyBorder="1" applyAlignment="1" applyProtection="1">
      <alignment horizontal="center" vertical="center" wrapText="1"/>
      <protection hidden="1"/>
    </xf>
    <xf numFmtId="165" fontId="1" fillId="0" borderId="3" xfId="0" applyNumberFormat="1" applyFont="1" applyBorder="1" applyAlignment="1" applyProtection="1">
      <alignment horizontal="center"/>
      <protection hidden="1"/>
    </xf>
    <xf numFmtId="165" fontId="1" fillId="0" borderId="4" xfId="0" applyNumberFormat="1" applyFont="1" applyBorder="1" applyAlignment="1" applyProtection="1">
      <alignment horizontal="center"/>
      <protection hidden="1"/>
    </xf>
    <xf numFmtId="0" fontId="1" fillId="4" borderId="12" xfId="0" applyFont="1" applyFill="1" applyBorder="1" applyAlignment="1" applyProtection="1">
      <alignment horizontal="center" vertical="center"/>
      <protection hidden="1"/>
    </xf>
    <xf numFmtId="0" fontId="1" fillId="4" borderId="37" xfId="0" applyFont="1" applyFill="1" applyBorder="1" applyAlignment="1" applyProtection="1">
      <alignment horizontal="center" vertical="center"/>
      <protection hidden="1"/>
    </xf>
    <xf numFmtId="0" fontId="1" fillId="4" borderId="39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/>
      <protection hidden="1"/>
    </xf>
    <xf numFmtId="0" fontId="3" fillId="2" borderId="37" xfId="0" applyFont="1" applyFill="1" applyBorder="1" applyAlignment="1" applyProtection="1">
      <alignment horizontal="center"/>
      <protection hidden="1"/>
    </xf>
    <xf numFmtId="0" fontId="3" fillId="2" borderId="13" xfId="0" applyFont="1" applyFill="1" applyBorder="1" applyAlignment="1" applyProtection="1">
      <alignment horizontal="center"/>
      <protection hidden="1"/>
    </xf>
    <xf numFmtId="0" fontId="6" fillId="2" borderId="41" xfId="0" applyFont="1" applyFill="1" applyBorder="1" applyAlignment="1" applyProtection="1">
      <alignment horizontal="left" vertical="center"/>
      <protection hidden="1"/>
    </xf>
    <xf numFmtId="0" fontId="6" fillId="2" borderId="34" xfId="0" applyFont="1" applyFill="1" applyBorder="1" applyAlignment="1" applyProtection="1">
      <alignment horizontal="left" vertical="center"/>
      <protection hidden="1"/>
    </xf>
    <xf numFmtId="0" fontId="6" fillId="2" borderId="35" xfId="0" applyFont="1" applyFill="1" applyBorder="1" applyAlignment="1" applyProtection="1">
      <alignment horizontal="left" vertical="center"/>
      <protection hidden="1"/>
    </xf>
    <xf numFmtId="0" fontId="3" fillId="2" borderId="48" xfId="0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16"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  <dxf>
      <fill>
        <patternFill>
          <bgColor rgb="FFFF66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66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C5"/>
  <sheetViews>
    <sheetView workbookViewId="0">
      <selection activeCell="H8" sqref="H8"/>
    </sheetView>
  </sheetViews>
  <sheetFormatPr defaultRowHeight="15" x14ac:dyDescent="0.25"/>
  <cols>
    <col min="2" max="2" width="15" bestFit="1" customWidth="1"/>
  </cols>
  <sheetData>
    <row r="1" spans="2:3" x14ac:dyDescent="0.25">
      <c r="B1" s="99" t="s">
        <v>42</v>
      </c>
      <c r="C1" s="99"/>
    </row>
    <row r="2" spans="2:3" x14ac:dyDescent="0.25">
      <c r="B2" s="1" t="s">
        <v>43</v>
      </c>
      <c r="C2" s="1" t="s">
        <v>43</v>
      </c>
    </row>
    <row r="3" spans="2:3" x14ac:dyDescent="0.25">
      <c r="B3" s="1" t="s">
        <v>13</v>
      </c>
      <c r="C3" s="1" t="s">
        <v>13</v>
      </c>
    </row>
    <row r="4" spans="2:3" x14ac:dyDescent="0.25">
      <c r="B4" s="1" t="s">
        <v>44</v>
      </c>
      <c r="C4" s="1" t="s">
        <v>66</v>
      </c>
    </row>
    <row r="5" spans="2:3" x14ac:dyDescent="0.25">
      <c r="B5" s="1" t="s">
        <v>12</v>
      </c>
      <c r="C5" s="1" t="s">
        <v>67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01479-79C9-4369-A4B6-4F2CDD3B2895}">
  <sheetPr codeName="Sheet2"/>
  <dimension ref="A1:D14"/>
  <sheetViews>
    <sheetView workbookViewId="0">
      <selection activeCell="I11" sqref="I11"/>
    </sheetView>
  </sheetViews>
  <sheetFormatPr defaultColWidth="11.42578125" defaultRowHeight="15" x14ac:dyDescent="0.25"/>
  <cols>
    <col min="1" max="1" width="11.42578125" style="89"/>
    <col min="2" max="2" width="18.5703125" style="89" customWidth="1"/>
    <col min="4" max="4" width="93.28515625" customWidth="1"/>
  </cols>
  <sheetData>
    <row r="1" spans="1:4" x14ac:dyDescent="0.25">
      <c r="A1" s="100" t="s">
        <v>84</v>
      </c>
      <c r="B1" s="100"/>
      <c r="C1" s="100"/>
      <c r="D1" s="100"/>
    </row>
    <row r="2" spans="1:4" x14ac:dyDescent="0.25">
      <c r="A2" s="91" t="s">
        <v>85</v>
      </c>
      <c r="B2" s="91" t="s">
        <v>86</v>
      </c>
      <c r="C2" s="91" t="s">
        <v>87</v>
      </c>
      <c r="D2" s="91" t="s">
        <v>88</v>
      </c>
    </row>
    <row r="3" spans="1:4" x14ac:dyDescent="0.25">
      <c r="A3" s="92" t="s">
        <v>89</v>
      </c>
      <c r="B3" s="93">
        <v>44137</v>
      </c>
      <c r="C3" s="94" t="s">
        <v>93</v>
      </c>
      <c r="D3" s="95" t="s">
        <v>90</v>
      </c>
    </row>
    <row r="4" spans="1:4" x14ac:dyDescent="0.25">
      <c r="A4" s="92" t="s">
        <v>92</v>
      </c>
      <c r="B4" s="93">
        <v>44468</v>
      </c>
      <c r="C4" s="92" t="s">
        <v>91</v>
      </c>
      <c r="D4" s="96" t="s">
        <v>94</v>
      </c>
    </row>
    <row r="5" spans="1:4" x14ac:dyDescent="0.25">
      <c r="A5" s="92"/>
      <c r="B5" s="93"/>
      <c r="C5" s="92"/>
      <c r="D5" s="97"/>
    </row>
    <row r="6" spans="1:4" x14ac:dyDescent="0.25">
      <c r="A6" s="92"/>
      <c r="B6" s="93"/>
      <c r="C6" s="92"/>
      <c r="D6" s="97"/>
    </row>
    <row r="7" spans="1:4" x14ac:dyDescent="0.25">
      <c r="A7" s="92"/>
      <c r="B7" s="93"/>
      <c r="C7" s="92"/>
      <c r="D7" s="95"/>
    </row>
    <row r="8" spans="1:4" x14ac:dyDescent="0.25">
      <c r="A8" s="92"/>
      <c r="B8" s="93"/>
      <c r="C8" s="92"/>
      <c r="D8" s="98"/>
    </row>
    <row r="9" spans="1:4" x14ac:dyDescent="0.25">
      <c r="A9" s="92"/>
      <c r="B9" s="92"/>
      <c r="C9" s="92"/>
      <c r="D9" s="95"/>
    </row>
    <row r="10" spans="1:4" x14ac:dyDescent="0.25">
      <c r="A10" s="92"/>
      <c r="B10" s="92"/>
      <c r="C10" s="92"/>
      <c r="D10" s="95"/>
    </row>
    <row r="11" spans="1:4" x14ac:dyDescent="0.25">
      <c r="A11" s="92"/>
      <c r="B11" s="92"/>
      <c r="C11" s="92"/>
      <c r="D11" s="95"/>
    </row>
    <row r="12" spans="1:4" x14ac:dyDescent="0.25">
      <c r="A12" s="92"/>
      <c r="B12" s="92"/>
      <c r="C12" s="92"/>
      <c r="D12" s="95"/>
    </row>
    <row r="13" spans="1:4" x14ac:dyDescent="0.25">
      <c r="A13" s="92"/>
      <c r="B13" s="92"/>
      <c r="C13" s="92"/>
      <c r="D13" s="95"/>
    </row>
    <row r="14" spans="1:4" x14ac:dyDescent="0.25">
      <c r="A14" s="92"/>
      <c r="B14" s="92"/>
      <c r="C14" s="92"/>
      <c r="D14" s="95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173E2-1FD2-4E84-8CD2-9043951637CD}">
  <sheetPr codeName="Sheet8">
    <pageSetUpPr fitToPage="1"/>
  </sheetPr>
  <dimension ref="A1:BB955"/>
  <sheetViews>
    <sheetView tabSelected="1" zoomScale="70" zoomScaleNormal="70" workbookViewId="0">
      <pane xSplit="15" ySplit="8" topLeftCell="T497" activePane="bottomRight" state="frozen"/>
      <selection pane="topRight" activeCell="P1" sqref="P1"/>
      <selection pane="bottomLeft" activeCell="A9" sqref="A9"/>
      <selection pane="bottomRight" activeCell="W799" sqref="W799"/>
    </sheetView>
  </sheetViews>
  <sheetFormatPr defaultColWidth="9.140625" defaultRowHeight="15.75" x14ac:dyDescent="0.25"/>
  <cols>
    <col min="1" max="1" width="9.140625" style="5"/>
    <col min="2" max="6" width="9.7109375" style="5" customWidth="1"/>
    <col min="7" max="7" width="16.140625" style="5" bestFit="1" customWidth="1"/>
    <col min="8" max="31" width="14.7109375" style="5" customWidth="1"/>
    <col min="32" max="32" width="10.85546875" style="5" bestFit="1" customWidth="1"/>
    <col min="33" max="33" width="14.7109375" style="5" customWidth="1"/>
    <col min="34" max="39" width="14.7109375" style="5" hidden="1" customWidth="1"/>
    <col min="40" max="45" width="14.7109375" style="5" customWidth="1"/>
    <col min="46" max="46" width="9.140625" style="5"/>
    <col min="47" max="47" width="11" style="5" hidden="1" customWidth="1"/>
    <col min="48" max="48" width="7.7109375" style="5" hidden="1" customWidth="1"/>
    <col min="49" max="49" width="7.28515625" style="5" hidden="1" customWidth="1"/>
    <col min="50" max="50" width="10.85546875" style="5" hidden="1" customWidth="1"/>
    <col min="51" max="51" width="7.28515625" style="5" hidden="1" customWidth="1"/>
    <col min="52" max="52" width="10.85546875" style="5" hidden="1" customWidth="1"/>
    <col min="53" max="53" width="11.42578125" style="5" hidden="1" customWidth="1"/>
    <col min="54" max="16384" width="9.140625" style="5"/>
  </cols>
  <sheetData>
    <row r="1" spans="1:54" s="2" customFormat="1" x14ac:dyDescent="0.25">
      <c r="AT1" s="76"/>
      <c r="AU1" s="87" t="s">
        <v>79</v>
      </c>
      <c r="AV1" s="87" t="s">
        <v>83</v>
      </c>
      <c r="AW1" s="87" t="s">
        <v>80</v>
      </c>
      <c r="AX1" s="87" t="s">
        <v>81</v>
      </c>
      <c r="AY1" s="87" t="s">
        <v>80</v>
      </c>
      <c r="AZ1" s="87" t="s">
        <v>81</v>
      </c>
      <c r="BA1" s="88" t="s">
        <v>82</v>
      </c>
      <c r="BB1" s="66"/>
    </row>
    <row r="2" spans="1:54" s="11" customFormat="1" ht="27" customHeight="1" x14ac:dyDescent="0.25">
      <c r="A2" s="60"/>
      <c r="B2" s="101" t="s">
        <v>50</v>
      </c>
      <c r="C2" s="101"/>
      <c r="D2" s="101"/>
      <c r="E2" s="103"/>
      <c r="F2" s="103"/>
      <c r="G2" s="103"/>
      <c r="H2" s="103"/>
      <c r="I2" s="103"/>
      <c r="J2" s="10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46"/>
      <c r="AU2" s="64" t="s">
        <v>78</v>
      </c>
      <c r="AV2" s="63" t="str">
        <f>_xlfn.CONCAT(AW2,"*",AX2,AY2,AZ2)</f>
        <v>FX*Y++</v>
      </c>
      <c r="AW2" s="63" t="s">
        <v>68</v>
      </c>
      <c r="AX2" s="63" t="s">
        <v>72</v>
      </c>
      <c r="AY2" s="63" t="s">
        <v>71</v>
      </c>
      <c r="AZ2" s="79" t="s">
        <v>71</v>
      </c>
      <c r="BA2" s="75">
        <v>-1</v>
      </c>
    </row>
    <row r="3" spans="1:54" s="11" customFormat="1" ht="27" customHeight="1" x14ac:dyDescent="0.25">
      <c r="A3" s="60"/>
      <c r="B3" s="101" t="s">
        <v>51</v>
      </c>
      <c r="C3" s="101"/>
      <c r="D3" s="101"/>
      <c r="E3" s="103"/>
      <c r="F3" s="103"/>
      <c r="G3" s="103"/>
      <c r="H3" s="103"/>
      <c r="I3" s="103"/>
      <c r="J3" s="10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46"/>
      <c r="AU3" s="64" t="s">
        <v>77</v>
      </c>
      <c r="AV3" s="63" t="str">
        <f t="shared" ref="AV3:AV25" si="0">_xlfn.CONCAT(AW3,"*",AX3,AY3,AZ3)</f>
        <v>FX*Z++</v>
      </c>
      <c r="AW3" s="64" t="s">
        <v>68</v>
      </c>
      <c r="AX3" s="64" t="s">
        <v>73</v>
      </c>
      <c r="AY3" s="64" t="s">
        <v>71</v>
      </c>
      <c r="AZ3" s="80" t="s">
        <v>71</v>
      </c>
      <c r="BA3" s="75">
        <v>1</v>
      </c>
    </row>
    <row r="4" spans="1:54" s="11" customFormat="1" ht="27" customHeight="1" x14ac:dyDescent="0.25">
      <c r="A4" s="60"/>
      <c r="B4" s="101" t="s">
        <v>52</v>
      </c>
      <c r="C4" s="101"/>
      <c r="D4" s="101"/>
      <c r="E4" s="103"/>
      <c r="F4" s="103"/>
      <c r="G4" s="103"/>
      <c r="H4" s="103"/>
      <c r="I4" s="103"/>
      <c r="J4" s="10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46"/>
      <c r="AU4" s="64" t="s">
        <v>77</v>
      </c>
      <c r="AV4" s="63" t="str">
        <f t="shared" si="0"/>
        <v>FZ*X++</v>
      </c>
      <c r="AW4" s="64" t="s">
        <v>70</v>
      </c>
      <c r="AX4" s="64" t="s">
        <v>74</v>
      </c>
      <c r="AY4" s="64" t="s">
        <v>71</v>
      </c>
      <c r="AZ4" s="80" t="s">
        <v>71</v>
      </c>
      <c r="BA4" s="75">
        <v>-1</v>
      </c>
    </row>
    <row r="5" spans="1:54" s="11" customFormat="1" ht="27" customHeight="1" x14ac:dyDescent="0.25">
      <c r="A5" s="60"/>
      <c r="B5" s="101" t="s">
        <v>53</v>
      </c>
      <c r="C5" s="101"/>
      <c r="D5" s="101"/>
      <c r="E5" s="102"/>
      <c r="F5" s="103"/>
      <c r="G5" s="103"/>
      <c r="H5" s="103"/>
      <c r="I5" s="103"/>
      <c r="J5" s="10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46"/>
      <c r="AU5" s="64" t="s">
        <v>76</v>
      </c>
      <c r="AV5" s="63" t="str">
        <f t="shared" si="0"/>
        <v>FZ*Y++</v>
      </c>
      <c r="AW5" s="64" t="s">
        <v>70</v>
      </c>
      <c r="AX5" s="64" t="s">
        <v>72</v>
      </c>
      <c r="AY5" s="64" t="s">
        <v>71</v>
      </c>
      <c r="AZ5" s="80" t="s">
        <v>71</v>
      </c>
      <c r="BA5" s="75">
        <v>1</v>
      </c>
    </row>
    <row r="6" spans="1:54" ht="30.75" customHeight="1" x14ac:dyDescent="0.25">
      <c r="A6" s="4"/>
      <c r="B6" s="12"/>
      <c r="C6" s="12"/>
      <c r="D6" s="12"/>
      <c r="E6" s="12"/>
      <c r="F6" s="3"/>
      <c r="G6" s="12"/>
      <c r="H6" s="12"/>
      <c r="I6" s="12"/>
      <c r="J6" s="2"/>
      <c r="K6" s="2"/>
      <c r="L6" s="2"/>
      <c r="M6" s="2"/>
      <c r="N6" s="2"/>
      <c r="O6" s="2"/>
      <c r="P6" s="2"/>
      <c r="AT6" s="46"/>
      <c r="AU6" s="64" t="s">
        <v>78</v>
      </c>
      <c r="AV6" s="63" t="str">
        <f t="shared" si="0"/>
        <v>FY*X++</v>
      </c>
      <c r="AW6" s="64" t="s">
        <v>69</v>
      </c>
      <c r="AX6" s="64" t="s">
        <v>74</v>
      </c>
      <c r="AY6" s="64" t="s">
        <v>71</v>
      </c>
      <c r="AZ6" s="80" t="s">
        <v>71</v>
      </c>
      <c r="BA6" s="75">
        <v>1</v>
      </c>
    </row>
    <row r="7" spans="1:54" s="11" customFormat="1" ht="23.25" customHeight="1" x14ac:dyDescent="0.25">
      <c r="A7" s="6"/>
      <c r="B7" s="104" t="s">
        <v>3</v>
      </c>
      <c r="C7" s="105"/>
      <c r="D7" s="106"/>
      <c r="E7" s="62" t="s">
        <v>44</v>
      </c>
      <c r="F7" s="6"/>
      <c r="G7" s="7" t="s">
        <v>49</v>
      </c>
      <c r="H7" s="8"/>
      <c r="I7" s="8"/>
      <c r="J7" s="90" t="s">
        <v>95</v>
      </c>
      <c r="K7" s="6"/>
      <c r="L7" s="7" t="s">
        <v>38</v>
      </c>
      <c r="M7" s="8"/>
      <c r="N7" s="8"/>
      <c r="O7" s="9">
        <v>21.5</v>
      </c>
      <c r="P7" s="10"/>
      <c r="AG7" s="5"/>
      <c r="AH7" s="5"/>
      <c r="AI7" s="5"/>
      <c r="AJ7" s="5"/>
      <c r="AK7" s="5"/>
      <c r="AL7" s="5"/>
      <c r="AM7" s="5"/>
      <c r="AN7" s="5"/>
      <c r="AO7" s="5"/>
      <c r="AT7" s="60"/>
      <c r="AU7" s="63" t="s">
        <v>76</v>
      </c>
      <c r="AV7" s="63" t="str">
        <f t="shared" si="0"/>
        <v>FY*Z++</v>
      </c>
      <c r="AW7" s="63" t="s">
        <v>69</v>
      </c>
      <c r="AX7" s="63" t="s">
        <v>73</v>
      </c>
      <c r="AY7" s="63" t="s">
        <v>71</v>
      </c>
      <c r="AZ7" s="79" t="s">
        <v>71</v>
      </c>
      <c r="BA7" s="75">
        <v>-1</v>
      </c>
    </row>
    <row r="8" spans="1:54" s="2" customFormat="1" x14ac:dyDescent="0.25">
      <c r="B8" s="12"/>
      <c r="C8" s="12"/>
      <c r="D8" s="12"/>
      <c r="E8" s="12"/>
      <c r="G8" s="12"/>
      <c r="H8" s="12"/>
      <c r="I8" s="12"/>
      <c r="J8" s="12"/>
      <c r="K8" s="12"/>
      <c r="L8" s="12"/>
      <c r="M8" s="12"/>
      <c r="N8" s="12"/>
      <c r="O8" s="12"/>
      <c r="AG8" s="5"/>
      <c r="AH8" s="5"/>
      <c r="AI8" s="5"/>
      <c r="AJ8" s="5"/>
      <c r="AK8" s="5"/>
      <c r="AL8" s="5"/>
      <c r="AM8" s="5"/>
      <c r="AN8" s="5"/>
      <c r="AO8" s="5"/>
      <c r="AT8" s="76"/>
      <c r="AU8" s="64" t="s">
        <v>78</v>
      </c>
      <c r="AV8" s="63" t="str">
        <f t="shared" si="0"/>
        <v>FX*Y+-</v>
      </c>
      <c r="AW8" s="64" t="s">
        <v>68</v>
      </c>
      <c r="AX8" s="64" t="s">
        <v>72</v>
      </c>
      <c r="AY8" s="64" t="s">
        <v>71</v>
      </c>
      <c r="AZ8" s="80" t="s">
        <v>75</v>
      </c>
      <c r="BA8" s="75">
        <v>-1</v>
      </c>
    </row>
    <row r="9" spans="1:54" ht="26.25" customHeight="1" thickBot="1" x14ac:dyDescent="0.3">
      <c r="A9" s="4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AT9" s="46"/>
      <c r="AU9" s="64" t="s">
        <v>77</v>
      </c>
      <c r="AV9" s="63" t="str">
        <f t="shared" si="0"/>
        <v>FX*Z+-</v>
      </c>
      <c r="AW9" s="64" t="s">
        <v>68</v>
      </c>
      <c r="AX9" s="64" t="s">
        <v>73</v>
      </c>
      <c r="AY9" s="64" t="s">
        <v>71</v>
      </c>
      <c r="AZ9" s="80" t="s">
        <v>75</v>
      </c>
      <c r="BA9" s="75">
        <v>1</v>
      </c>
    </row>
    <row r="10" spans="1:54" ht="28.5" customHeight="1" thickBot="1" x14ac:dyDescent="0.3">
      <c r="A10" s="31"/>
      <c r="B10" s="107" t="s">
        <v>61</v>
      </c>
      <c r="C10" s="108"/>
      <c r="D10" s="109"/>
      <c r="E10" s="110"/>
      <c r="F10" s="111"/>
      <c r="G10" s="112" t="s">
        <v>62</v>
      </c>
      <c r="H10" s="108"/>
      <c r="I10" s="113"/>
      <c r="J10" s="114"/>
      <c r="K10" s="114"/>
      <c r="L10" s="115"/>
      <c r="M10" s="6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T10" s="46"/>
      <c r="AU10" s="64" t="s">
        <v>77</v>
      </c>
      <c r="AV10" s="63" t="str">
        <f t="shared" si="0"/>
        <v>FZ*X+-</v>
      </c>
      <c r="AW10" s="64" t="s">
        <v>70</v>
      </c>
      <c r="AX10" s="64" t="s">
        <v>74</v>
      </c>
      <c r="AY10" s="64" t="s">
        <v>71</v>
      </c>
      <c r="AZ10" s="80" t="s">
        <v>75</v>
      </c>
      <c r="BA10" s="75">
        <v>-1</v>
      </c>
    </row>
    <row r="11" spans="1:54" s="73" customFormat="1" ht="30" customHeight="1" x14ac:dyDescent="0.25">
      <c r="A11" s="72"/>
      <c r="B11" s="116" t="s">
        <v>14</v>
      </c>
      <c r="C11" s="119" t="s">
        <v>48</v>
      </c>
      <c r="D11" s="122" t="s">
        <v>16</v>
      </c>
      <c r="E11" s="122"/>
      <c r="F11" s="122"/>
      <c r="G11" s="122"/>
      <c r="H11" s="122"/>
      <c r="I11" s="122"/>
      <c r="J11" s="122"/>
      <c r="K11" s="122"/>
      <c r="L11" s="122"/>
      <c r="M11" s="119" t="s">
        <v>47</v>
      </c>
      <c r="N11" s="122" t="s">
        <v>17</v>
      </c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3" t="s">
        <v>63</v>
      </c>
      <c r="Z11" s="124"/>
      <c r="AA11" s="124"/>
      <c r="AB11" s="124"/>
      <c r="AC11" s="124"/>
      <c r="AD11" s="124"/>
      <c r="AE11" s="125"/>
      <c r="AG11" s="61"/>
      <c r="AH11" s="5"/>
      <c r="AI11" s="74"/>
      <c r="AJ11" s="74"/>
      <c r="AK11" s="74"/>
      <c r="AL11" s="74"/>
      <c r="AM11" s="74"/>
      <c r="AN11" s="130" t="s">
        <v>20</v>
      </c>
      <c r="AO11" s="131"/>
      <c r="AP11" s="132"/>
      <c r="AQ11" s="136" t="s">
        <v>31</v>
      </c>
      <c r="AR11" s="131"/>
      <c r="AS11" s="137"/>
      <c r="AT11" s="61"/>
      <c r="AU11" s="77" t="s">
        <v>76</v>
      </c>
      <c r="AV11" s="63" t="str">
        <f t="shared" si="0"/>
        <v>FZ*Y+-</v>
      </c>
      <c r="AW11" s="77" t="s">
        <v>70</v>
      </c>
      <c r="AX11" s="77" t="s">
        <v>72</v>
      </c>
      <c r="AY11" s="77" t="s">
        <v>71</v>
      </c>
      <c r="AZ11" s="81" t="s">
        <v>75</v>
      </c>
      <c r="BA11" s="75">
        <v>1</v>
      </c>
    </row>
    <row r="12" spans="1:54" s="18" customFormat="1" ht="29.25" customHeight="1" x14ac:dyDescent="0.25">
      <c r="A12" s="16"/>
      <c r="B12" s="117"/>
      <c r="C12" s="120"/>
      <c r="D12" s="140" t="s">
        <v>18</v>
      </c>
      <c r="E12" s="140"/>
      <c r="F12" s="140"/>
      <c r="G12" s="141" t="s">
        <v>19</v>
      </c>
      <c r="H12" s="141"/>
      <c r="I12" s="141"/>
      <c r="J12" s="141"/>
      <c r="K12" s="141"/>
      <c r="L12" s="141"/>
      <c r="M12" s="120"/>
      <c r="N12" s="140" t="s">
        <v>18</v>
      </c>
      <c r="O12" s="140"/>
      <c r="P12" s="140"/>
      <c r="Q12" s="141" t="s">
        <v>19</v>
      </c>
      <c r="R12" s="141"/>
      <c r="S12" s="141"/>
      <c r="T12" s="141"/>
      <c r="U12" s="141"/>
      <c r="V12" s="141"/>
      <c r="W12" s="141"/>
      <c r="X12" s="141"/>
      <c r="Y12" s="126" t="s">
        <v>32</v>
      </c>
      <c r="Z12" s="126" t="s">
        <v>45</v>
      </c>
      <c r="AA12" s="126" t="s">
        <v>46</v>
      </c>
      <c r="AB12" s="142" t="s">
        <v>15</v>
      </c>
      <c r="AC12" s="126" t="s">
        <v>54</v>
      </c>
      <c r="AD12" s="126" t="s">
        <v>39</v>
      </c>
      <c r="AE12" s="128" t="s">
        <v>40</v>
      </c>
      <c r="AG12" s="17"/>
      <c r="AH12" s="61"/>
      <c r="AI12" s="61"/>
      <c r="AJ12" s="61"/>
      <c r="AK12" s="61"/>
      <c r="AL12" s="61"/>
      <c r="AM12" s="61"/>
      <c r="AN12" s="133"/>
      <c r="AO12" s="134"/>
      <c r="AP12" s="135"/>
      <c r="AQ12" s="138"/>
      <c r="AR12" s="134"/>
      <c r="AS12" s="139"/>
      <c r="AT12" s="17"/>
      <c r="AU12" s="77" t="s">
        <v>78</v>
      </c>
      <c r="AV12" s="63" t="str">
        <f t="shared" si="0"/>
        <v>FY*X+-</v>
      </c>
      <c r="AW12" s="77" t="s">
        <v>69</v>
      </c>
      <c r="AX12" s="77" t="s">
        <v>74</v>
      </c>
      <c r="AY12" s="77" t="s">
        <v>71</v>
      </c>
      <c r="AZ12" s="81" t="s">
        <v>75</v>
      </c>
      <c r="BA12" s="75">
        <v>1</v>
      </c>
    </row>
    <row r="13" spans="1:54" s="15" customFormat="1" x14ac:dyDescent="0.25">
      <c r="A13" s="13"/>
      <c r="B13" s="118"/>
      <c r="C13" s="121"/>
      <c r="D13" s="19" t="s">
        <v>0</v>
      </c>
      <c r="E13" s="19" t="s">
        <v>1</v>
      </c>
      <c r="F13" s="19" t="s">
        <v>2</v>
      </c>
      <c r="G13" s="20" t="s">
        <v>4</v>
      </c>
      <c r="H13" s="20" t="s">
        <v>5</v>
      </c>
      <c r="I13" s="20" t="s">
        <v>6</v>
      </c>
      <c r="J13" s="20" t="s">
        <v>7</v>
      </c>
      <c r="K13" s="20" t="s">
        <v>8</v>
      </c>
      <c r="L13" s="20" t="s">
        <v>9</v>
      </c>
      <c r="M13" s="121"/>
      <c r="N13" s="19" t="s">
        <v>0</v>
      </c>
      <c r="O13" s="19" t="s">
        <v>1</v>
      </c>
      <c r="P13" s="19" t="s">
        <v>2</v>
      </c>
      <c r="Q13" s="20" t="s">
        <v>4</v>
      </c>
      <c r="R13" s="20" t="s">
        <v>5</v>
      </c>
      <c r="S13" s="20" t="s">
        <v>6</v>
      </c>
      <c r="T13" s="20" t="s">
        <v>7</v>
      </c>
      <c r="U13" s="20" t="s">
        <v>8</v>
      </c>
      <c r="V13" s="20" t="s">
        <v>9</v>
      </c>
      <c r="W13" s="20" t="s">
        <v>10</v>
      </c>
      <c r="X13" s="20" t="s">
        <v>11</v>
      </c>
      <c r="Y13" s="121"/>
      <c r="Z13" s="121"/>
      <c r="AA13" s="121"/>
      <c r="AB13" s="127"/>
      <c r="AC13" s="127"/>
      <c r="AD13" s="121"/>
      <c r="AE13" s="129"/>
      <c r="AG13" s="14"/>
      <c r="AH13" s="86" t="s">
        <v>55</v>
      </c>
      <c r="AI13" s="86" t="s">
        <v>56</v>
      </c>
      <c r="AJ13" s="86" t="s">
        <v>57</v>
      </c>
      <c r="AK13" s="86" t="s">
        <v>58</v>
      </c>
      <c r="AL13" s="86" t="s">
        <v>59</v>
      </c>
      <c r="AM13" s="86" t="s">
        <v>60</v>
      </c>
      <c r="AN13" s="21" t="s">
        <v>7</v>
      </c>
      <c r="AO13" s="20" t="s">
        <v>8</v>
      </c>
      <c r="AP13" s="20" t="s">
        <v>9</v>
      </c>
      <c r="AQ13" s="20" t="s">
        <v>7</v>
      </c>
      <c r="AR13" s="20" t="s">
        <v>8</v>
      </c>
      <c r="AS13" s="22" t="s">
        <v>9</v>
      </c>
      <c r="AT13" s="14"/>
      <c r="AU13" s="78" t="s">
        <v>76</v>
      </c>
      <c r="AV13" s="63" t="str">
        <f t="shared" si="0"/>
        <v>FY*Z+-</v>
      </c>
      <c r="AW13" s="78" t="s">
        <v>69</v>
      </c>
      <c r="AX13" s="78" t="s">
        <v>73</v>
      </c>
      <c r="AY13" s="78" t="s">
        <v>71</v>
      </c>
      <c r="AZ13" s="82" t="s">
        <v>75</v>
      </c>
      <c r="BA13" s="75">
        <v>-1</v>
      </c>
    </row>
    <row r="14" spans="1:54" x14ac:dyDescent="0.25">
      <c r="A14" s="4"/>
      <c r="B14" s="23">
        <v>10210</v>
      </c>
      <c r="C14" s="24">
        <v>24</v>
      </c>
      <c r="D14" s="24">
        <v>0</v>
      </c>
      <c r="E14" s="24">
        <v>0</v>
      </c>
      <c r="F14" s="24">
        <v>0</v>
      </c>
      <c r="G14" s="24">
        <v>1949</v>
      </c>
      <c r="H14" s="24">
        <v>4337</v>
      </c>
      <c r="I14" s="24">
        <v>-5038</v>
      </c>
      <c r="J14" s="24">
        <v>-13315</v>
      </c>
      <c r="K14" s="24">
        <v>-15188</v>
      </c>
      <c r="L14" s="24">
        <v>920</v>
      </c>
      <c r="M14" s="25" t="s">
        <v>96</v>
      </c>
      <c r="N14" s="26">
        <f>IF($J$7="NO",IF(M14="","",IF($E$7="+X",D14,IF($E$7="-X",-D14,IF($E$7="+Z",F14,IF($E$7="-Z",-F14))))),IF(M14="","",IF($E$7="+X",D14,IF($E$7="-X",-D14,IF($E$7="+Y",E14,IF($E$7="-Y",-E14))))))</f>
        <v>0</v>
      </c>
      <c r="O14" s="26">
        <f>IF($J$7="NO",IF(M14="","",E14),IF(M14="","",F14))</f>
        <v>0</v>
      </c>
      <c r="P14" s="26">
        <f>IF($J$7="NO",IF(M14="","",IF($E$7="+X",F14,IF($E$7="-X",-F14,IF($E$7="+Z",-D14,IF($E$7="-Z",D14))))),IF(M14="","",IF($E$7="+X",-E14,IF($E$7="-X",E14,IF($E$7="+Y",D14,IF($E$7="-Y",-D14))))))</f>
        <v>0</v>
      </c>
      <c r="Q14" s="26">
        <f>IF($J$7="NO",IF(M14="",0,IF($E$7="+X",G14,IF($E$7="-X",-G14,IF($E$7="+Z",I14,IF($E$7="-Z",-I14))))),IF(M14="",0,IF($E$7="+X",G14,IF($E$7="-X",-G14,IF($E$7="+Y",H14,IF($E$7="-Y",-H14))))))</f>
        <v>-5038</v>
      </c>
      <c r="R14" s="26">
        <f>IF($J$7="NO",IF(M14="",0,H14),IF(M14="",0,I14))</f>
        <v>4337</v>
      </c>
      <c r="S14" s="26">
        <f>IF($J$7="NO",IF(M14="",0,IF($E$7="+X",I14,IF($E$7="-X",-I14,IF($E$7="+Z",-G14,IF($E$7="-Z",G14))))),IF(M14="",0,IF($E$7="+X",-H14,IF($E$7="-X",H14,IF($E$7="+Y",G14,IF($E$7="-Y",-G14))))))</f>
        <v>-1949</v>
      </c>
      <c r="T14" s="26">
        <f>IF($J$7="NO",IF(M14="","",IF($E$7="+X",J14,IF($E$7="-X",-J14,IF($E$7="+Z",L14,IF($E$7="-Z",-L14))))),IF(M14="","",IF($E$7="+X",J14,IF($E$7="-X",-J14,IF($E$7="+Y",K14,IF($E$7="-Y",-K14))))))</f>
        <v>920</v>
      </c>
      <c r="U14" s="26">
        <f>IF($J$7="NO",IF(M14="","",K14),IF(M14="","",L14))</f>
        <v>-15188</v>
      </c>
      <c r="V14" s="26">
        <f>IF($J$7="NO",IF(M14="","",IF($E$7="+X",L14,IF($E$7="-X",-L14,IF($E$7="+Z",-J14,IF($E$7="-Z",J14))))),IF(M14="","",IF($E$7="+X",-K14,IF($E$7="-X",K14,IF($E$7="+Y",J14,IF($E$7="-Y",-J14))))))</f>
        <v>13315</v>
      </c>
      <c r="W14" s="27">
        <f>IF(M14="","",SQRT(Q14^2+R14^2+S14^2))</f>
        <v>6927.4536447384471</v>
      </c>
      <c r="X14" s="27">
        <f>IF(M14="","",SQRT(T14^2+U14^2+V14^2))</f>
        <v>20219.074385342174</v>
      </c>
      <c r="Y14" s="28">
        <f t="shared" ref="Y14" si="1">IF(M14="","",IF($C14&lt;=8,$C14,(16+$C14)/3))</f>
        <v>13.333333333333334</v>
      </c>
      <c r="Z14" s="27">
        <f>IF(M14="","",W14*0.224808)</f>
        <v>1557.3469989663608</v>
      </c>
      <c r="AA14" s="27">
        <f>IF(M14="","",X14*0.737562)</f>
        <v>14912.820941801745</v>
      </c>
      <c r="AB14" s="27">
        <f t="shared" ref="AB14" si="2">IF(M14="","",3*Z14+AA14)</f>
        <v>19584.861938700829</v>
      </c>
      <c r="AC14" s="27">
        <f t="shared" ref="AC14" si="3">IF(M14="","",IF(M14="","",500*Y14*$O$7))</f>
        <v>143333.33333333334</v>
      </c>
      <c r="AD14" s="29">
        <f t="shared" ref="AD14" si="4">IF(M14="","",IF(M14="","",AB14/AC14)*100)</f>
        <v>13.663857166535461</v>
      </c>
      <c r="AE14" s="30" t="str">
        <f t="shared" ref="AE14" si="5">IF(M14="","",IF(AD14&lt;=100, "PASS","FAIL"))</f>
        <v>PASS</v>
      </c>
      <c r="AG14" s="31"/>
      <c r="AH14" s="31">
        <f>Q14*O14/1000*VLOOKUP(_xlfn.CONCAT($AH$13,IF(Q14&gt;0,"+","-"),IF(O14&gt;0,"+","-")),$AV:$BA,6,0)</f>
        <v>0</v>
      </c>
      <c r="AI14" s="31">
        <f>Q14*P14/1000*VLOOKUP(_xlfn.CONCAT($AI$13,IF(Q14&gt;0,"+","-"),IF(P14&gt;0,"+","-")),$AV:$BA,6,0)</f>
        <v>0</v>
      </c>
      <c r="AJ14" s="31">
        <f>R14*N14/1000*VLOOKUP(_xlfn.CONCAT($AJ$13,IF(R14&gt;0,"+","-"),IF(N14&gt;0,"+","-")),$AV:$BA,6,0)</f>
        <v>0</v>
      </c>
      <c r="AK14" s="31">
        <f>R14*P14/1000*VLOOKUP(_xlfn.CONCAT($AK$13,IF(R14&gt;0,"+","-"),IF(P14&gt;0,"+","-")),$AV:$BA,6,0)</f>
        <v>0</v>
      </c>
      <c r="AL14" s="31">
        <f>S14*N14/1000*VLOOKUP(_xlfn.CONCAT($AL$13,IF(S14&gt;0,"+","-"),IF(N14&gt;0,"+","-")),$AV:$BA,6,0)</f>
        <v>0</v>
      </c>
      <c r="AM14" s="31">
        <f>S14*O14/1000*VLOOKUP(_xlfn.CONCAT($AM$13,IF(S14&gt;0,"+","-"),IF(O14&gt;0,"+","-")),$AV:$BA,6,0)</f>
        <v>0</v>
      </c>
      <c r="AN14" s="32">
        <f>IF($M14="","",AK14+AM14)</f>
        <v>0</v>
      </c>
      <c r="AO14" s="27">
        <f>IF($M14="","",AI14+AL14)</f>
        <v>0</v>
      </c>
      <c r="AP14" s="27">
        <f>IF($M14="","",AH14+AJ14)</f>
        <v>0</v>
      </c>
      <c r="AQ14" s="27">
        <f t="shared" ref="AQ14" si="6">IF(M14="",0,AN14+T14)</f>
        <v>920</v>
      </c>
      <c r="AR14" s="27">
        <f t="shared" ref="AR14" si="7">IF(M14="",0,AO14+U14)</f>
        <v>-15188</v>
      </c>
      <c r="AS14" s="33">
        <f t="shared" ref="AS14" si="8">IF(M14="",0,AP14+V14)</f>
        <v>13315</v>
      </c>
      <c r="AT14" s="31"/>
      <c r="AU14" s="64" t="s">
        <v>78</v>
      </c>
      <c r="AV14" s="63" t="str">
        <f t="shared" si="0"/>
        <v>FX*Y-+</v>
      </c>
      <c r="AW14" s="64" t="s">
        <v>68</v>
      </c>
      <c r="AX14" s="64" t="s">
        <v>72</v>
      </c>
      <c r="AY14" s="64" t="s">
        <v>75</v>
      </c>
      <c r="AZ14" s="80" t="s">
        <v>71</v>
      </c>
      <c r="BA14" s="75">
        <v>-1</v>
      </c>
    </row>
    <row r="15" spans="1:54" ht="15.75" customHeight="1" x14ac:dyDescent="0.25">
      <c r="A15" s="4"/>
      <c r="B15" s="34">
        <f>IF(B14="","",B14)</f>
        <v>10210</v>
      </c>
      <c r="C15" s="26">
        <f t="shared" ref="C15:F21" si="9">IF(C14="","",C14)</f>
        <v>24</v>
      </c>
      <c r="D15" s="26">
        <f t="shared" si="9"/>
        <v>0</v>
      </c>
      <c r="E15" s="26">
        <f t="shared" si="9"/>
        <v>0</v>
      </c>
      <c r="F15" s="26">
        <f t="shared" si="9"/>
        <v>0</v>
      </c>
      <c r="G15" s="24">
        <v>6175</v>
      </c>
      <c r="H15" s="24">
        <v>-340</v>
      </c>
      <c r="I15" s="24">
        <v>-8938</v>
      </c>
      <c r="J15" s="24">
        <v>-22788</v>
      </c>
      <c r="K15" s="24">
        <v>-18280</v>
      </c>
      <c r="L15" s="24">
        <v>-4675</v>
      </c>
      <c r="M15" s="25" t="s">
        <v>97</v>
      </c>
      <c r="N15" s="26">
        <f t="shared" ref="N15:N78" si="10">IF($J$7="NO",IF(M15="","",IF($E$7="+X",D15,IF($E$7="-X",-D15,IF($E$7="+Z",F15,IF($E$7="-Z",-F15))))),IF(M15="","",IF($E$7="+X",D15,IF($E$7="-X",-D15,IF($E$7="+Y",E15,IF($E$7="-Y",-E15))))))</f>
        <v>0</v>
      </c>
      <c r="O15" s="26">
        <f t="shared" ref="O15:O78" si="11">IF($J$7="NO",IF(M15="","",E15),IF(M15="","",F15))</f>
        <v>0</v>
      </c>
      <c r="P15" s="26">
        <f t="shared" ref="P15:P78" si="12">IF($J$7="NO",IF(M15="","",IF($E$7="+X",F15,IF($E$7="-X",-F15,IF($E$7="+Z",-D15,IF($E$7="-Z",D15))))),IF(M15="","",IF($E$7="+X",-E15,IF($E$7="-X",E15,IF($E$7="+Y",D15,IF($E$7="-Y",-D15))))))</f>
        <v>0</v>
      </c>
      <c r="Q15" s="26">
        <f t="shared" ref="Q15:Q78" si="13">IF($J$7="NO",IF(M15="",0,IF($E$7="+X",G15,IF($E$7="-X",-G15,IF($E$7="+Z",I15,IF($E$7="-Z",-I15))))),IF(M15="",0,IF($E$7="+X",G15,IF($E$7="-X",-G15,IF($E$7="+Y",H15,IF($E$7="-Y",-H15))))))</f>
        <v>-8938</v>
      </c>
      <c r="R15" s="26">
        <f t="shared" ref="R15:R78" si="14">IF($J$7="NO",IF(M15="",0,H15),IF(M15="",0,I15))</f>
        <v>-340</v>
      </c>
      <c r="S15" s="26">
        <f t="shared" ref="S15:S78" si="15">IF($J$7="NO",IF(M15="",0,IF($E$7="+X",I15,IF($E$7="-X",-I15,IF($E$7="+Z",-G15,IF($E$7="-Z",G15))))),IF(M15="",0,IF($E$7="+X",-H15,IF($E$7="-X",H15,IF($E$7="+Y",G15,IF($E$7="-Y",-G15))))))</f>
        <v>-6175</v>
      </c>
      <c r="T15" s="26">
        <f t="shared" ref="T15:T78" si="16">IF($J$7="NO",IF(M15="","",IF($E$7="+X",J15,IF($E$7="-X",-J15,IF($E$7="+Z",L15,IF($E$7="-Z",-L15))))),IF(M15="","",IF($E$7="+X",J15,IF($E$7="-X",-J15,IF($E$7="+Y",K15,IF($E$7="-Y",-K15))))))</f>
        <v>-4675</v>
      </c>
      <c r="U15" s="26">
        <f t="shared" ref="U15:U78" si="17">IF($J$7="NO",IF(M15="","",K15),IF(M15="","",L15))</f>
        <v>-18280</v>
      </c>
      <c r="V15" s="26">
        <f t="shared" ref="V15:V78" si="18">IF($J$7="NO",IF(M15="","",IF($E$7="+X",L15,IF($E$7="-X",-L15,IF($E$7="+Z",-J15,IF($E$7="-Z",J15))))),IF(M15="","",IF($E$7="+X",-K15,IF($E$7="-X",K15,IF($E$7="+Y",J15,IF($E$7="-Y",-J15))))))</f>
        <v>22788</v>
      </c>
      <c r="W15" s="27">
        <f t="shared" ref="W15:W78" si="19">IF(M15="","",SQRT(Q15^2+R15^2+S15^2))</f>
        <v>10868.949765271713</v>
      </c>
      <c r="X15" s="27">
        <f t="shared" ref="X15:X78" si="20">IF(M15="","",SQRT(T15^2+U15^2+V15^2))</f>
        <v>29585.587183627096</v>
      </c>
      <c r="Y15" s="28">
        <f t="shared" ref="Y15:Y78" si="21">IF(M15="","",IF($C15&lt;=8,$C15,(16+$C15)/3))</f>
        <v>13.333333333333334</v>
      </c>
      <c r="Z15" s="27">
        <f t="shared" ref="Z15:Z78" si="22">IF(M15="","",W15*0.224808)</f>
        <v>2443.4268588312034</v>
      </c>
      <c r="AA15" s="27">
        <f t="shared" ref="AA15:AA78" si="23">IF(M15="","",X15*0.737562)</f>
        <v>21821.204854330368</v>
      </c>
      <c r="AB15" s="27">
        <f t="shared" ref="AB15:AB78" si="24">IF(M15="","",3*Z15+AA15)</f>
        <v>29151.485430823977</v>
      </c>
      <c r="AC15" s="27">
        <f t="shared" ref="AC15:AC78" si="25">IF(M15="","",IF(M15="","",500*Y15*$O$7))</f>
        <v>143333.33333333334</v>
      </c>
      <c r="AD15" s="29">
        <f t="shared" ref="AD15:AD78" si="26">IF(M15="","",IF(M15="","",AB15/AC15)*100)</f>
        <v>20.338245649412077</v>
      </c>
      <c r="AE15" s="30" t="str">
        <f t="shared" ref="AE15:AE78" si="27">IF(M15="","",IF(AD15&lt;=100, "PASS","FAIL"))</f>
        <v>PASS</v>
      </c>
      <c r="AG15" s="31"/>
      <c r="AH15" s="31">
        <f t="shared" ref="AH15:AH78" si="28">Q15*O15/1000*VLOOKUP(_xlfn.CONCAT($AH$13,IF(Q15&gt;0,"+","-"),IF(O15&gt;0,"+","-")),$AV:$BA,6,0)</f>
        <v>0</v>
      </c>
      <c r="AI15" s="31">
        <f t="shared" ref="AI15:AI78" si="29">Q15*P15/1000*VLOOKUP(_xlfn.CONCAT($AI$13,IF(Q15&gt;0,"+","-"),IF(P15&gt;0,"+","-")),$AV:$BA,6,0)</f>
        <v>0</v>
      </c>
      <c r="AJ15" s="31">
        <f t="shared" ref="AJ15:AJ78" si="30">R15*N15/1000*VLOOKUP(_xlfn.CONCAT($AJ$13,IF(R15&gt;0,"+","-"),IF(N15&gt;0,"+","-")),$AV:$BA,6,0)</f>
        <v>0</v>
      </c>
      <c r="AK15" s="31">
        <f t="shared" ref="AK15:AK78" si="31">R15*P15/1000*VLOOKUP(_xlfn.CONCAT($AK$13,IF(R15&gt;0,"+","-"),IF(P15&gt;0,"+","-")),$AV:$BA,6,0)</f>
        <v>0</v>
      </c>
      <c r="AL15" s="31">
        <f t="shared" ref="AL15:AL78" si="32">S15*N15/1000*VLOOKUP(_xlfn.CONCAT($AL$13,IF(S15&gt;0,"+","-"),IF(N15&gt;0,"+","-")),$AV:$BA,6,0)</f>
        <v>0</v>
      </c>
      <c r="AM15" s="31">
        <f t="shared" ref="AM15:AM78" si="33">S15*O15/1000*VLOOKUP(_xlfn.CONCAT($AM$13,IF(S15&gt;0,"+","-"),IF(O15&gt;0,"+","-")),$AV:$BA,6,0)</f>
        <v>0</v>
      </c>
      <c r="AN15" s="32">
        <f t="shared" ref="AN15:AN78" si="34">IF($M15="","",AK15+AM15)</f>
        <v>0</v>
      </c>
      <c r="AO15" s="27">
        <f t="shared" ref="AO15:AO78" si="35">IF($M15="","",AI15+AL15)</f>
        <v>0</v>
      </c>
      <c r="AP15" s="27">
        <f t="shared" ref="AP15:AP78" si="36">IF($M15="","",AH15+AJ15)</f>
        <v>0</v>
      </c>
      <c r="AQ15" s="27">
        <f t="shared" ref="AQ15:AQ78" si="37">IF(M15="",0,AN15+T15)</f>
        <v>-4675</v>
      </c>
      <c r="AR15" s="27">
        <f t="shared" ref="AR15:AR78" si="38">IF(M15="",0,AO15+U15)</f>
        <v>-18280</v>
      </c>
      <c r="AS15" s="33">
        <f t="shared" ref="AS15:AS78" si="39">IF(M15="",0,AP15+V15)</f>
        <v>22788</v>
      </c>
      <c r="AT15" s="31"/>
      <c r="AU15" s="64" t="s">
        <v>77</v>
      </c>
      <c r="AV15" s="63" t="str">
        <f t="shared" si="0"/>
        <v>FX*Z-+</v>
      </c>
      <c r="AW15" s="64" t="s">
        <v>68</v>
      </c>
      <c r="AX15" s="64" t="s">
        <v>73</v>
      </c>
      <c r="AY15" s="64" t="s">
        <v>75</v>
      </c>
      <c r="AZ15" s="80" t="s">
        <v>71</v>
      </c>
      <c r="BA15" s="75">
        <v>1</v>
      </c>
    </row>
    <row r="16" spans="1:54" ht="15.75" customHeight="1" x14ac:dyDescent="0.25">
      <c r="A16" s="4"/>
      <c r="B16" s="34">
        <f t="shared" ref="B16:F22" si="40">IF(B15="","",B15)</f>
        <v>10210</v>
      </c>
      <c r="C16" s="26">
        <f t="shared" si="9"/>
        <v>24</v>
      </c>
      <c r="D16" s="26">
        <f t="shared" si="9"/>
        <v>0</v>
      </c>
      <c r="E16" s="26">
        <f t="shared" si="9"/>
        <v>0</v>
      </c>
      <c r="F16" s="26">
        <f t="shared" si="9"/>
        <v>0</v>
      </c>
      <c r="G16" s="24">
        <v>2131</v>
      </c>
      <c r="H16" s="24">
        <v>3149</v>
      </c>
      <c r="I16" s="24">
        <v>-5272</v>
      </c>
      <c r="J16" s="24">
        <v>-12741</v>
      </c>
      <c r="K16" s="24">
        <v>-16130</v>
      </c>
      <c r="L16" s="24">
        <v>2174</v>
      </c>
      <c r="M16" s="25" t="s">
        <v>98</v>
      </c>
      <c r="N16" s="26">
        <f t="shared" si="10"/>
        <v>0</v>
      </c>
      <c r="O16" s="26">
        <f t="shared" si="11"/>
        <v>0</v>
      </c>
      <c r="P16" s="26">
        <f t="shared" si="12"/>
        <v>0</v>
      </c>
      <c r="Q16" s="26">
        <f t="shared" si="13"/>
        <v>-5272</v>
      </c>
      <c r="R16" s="26">
        <f t="shared" si="14"/>
        <v>3149</v>
      </c>
      <c r="S16" s="26">
        <f t="shared" si="15"/>
        <v>-2131</v>
      </c>
      <c r="T16" s="26">
        <f t="shared" si="16"/>
        <v>2174</v>
      </c>
      <c r="U16" s="26">
        <f t="shared" si="17"/>
        <v>-16130</v>
      </c>
      <c r="V16" s="26">
        <f t="shared" si="18"/>
        <v>12741</v>
      </c>
      <c r="W16" s="27">
        <f t="shared" si="19"/>
        <v>6500.10353763692</v>
      </c>
      <c r="X16" s="27">
        <f t="shared" si="20"/>
        <v>20669.69416803258</v>
      </c>
      <c r="Y16" s="28">
        <f t="shared" si="21"/>
        <v>13.333333333333334</v>
      </c>
      <c r="Z16" s="27">
        <f t="shared" si="22"/>
        <v>1461.2752760890808</v>
      </c>
      <c r="AA16" s="27">
        <f t="shared" si="23"/>
        <v>15245.180969962446</v>
      </c>
      <c r="AB16" s="27">
        <f t="shared" si="24"/>
        <v>19629.00679822969</v>
      </c>
      <c r="AC16" s="27">
        <f t="shared" si="25"/>
        <v>143333.33333333334</v>
      </c>
      <c r="AD16" s="29">
        <f t="shared" si="26"/>
        <v>13.694655905741643</v>
      </c>
      <c r="AE16" s="30" t="str">
        <f t="shared" si="27"/>
        <v>PASS</v>
      </c>
      <c r="AG16" s="31"/>
      <c r="AH16" s="31">
        <f t="shared" si="28"/>
        <v>0</v>
      </c>
      <c r="AI16" s="31">
        <f t="shared" si="29"/>
        <v>0</v>
      </c>
      <c r="AJ16" s="31">
        <f t="shared" si="30"/>
        <v>0</v>
      </c>
      <c r="AK16" s="31">
        <f t="shared" si="31"/>
        <v>0</v>
      </c>
      <c r="AL16" s="31">
        <f t="shared" si="32"/>
        <v>0</v>
      </c>
      <c r="AM16" s="31">
        <f t="shared" si="33"/>
        <v>0</v>
      </c>
      <c r="AN16" s="32">
        <f t="shared" si="34"/>
        <v>0</v>
      </c>
      <c r="AO16" s="27">
        <f t="shared" si="35"/>
        <v>0</v>
      </c>
      <c r="AP16" s="27">
        <f t="shared" si="36"/>
        <v>0</v>
      </c>
      <c r="AQ16" s="27">
        <f t="shared" si="37"/>
        <v>2174</v>
      </c>
      <c r="AR16" s="27">
        <f t="shared" si="38"/>
        <v>-16130</v>
      </c>
      <c r="AS16" s="33">
        <f t="shared" si="39"/>
        <v>12741</v>
      </c>
      <c r="AT16" s="31"/>
      <c r="AU16" s="64" t="s">
        <v>77</v>
      </c>
      <c r="AV16" s="63" t="str">
        <f t="shared" si="0"/>
        <v>FZ*X-+</v>
      </c>
      <c r="AW16" s="64" t="s">
        <v>70</v>
      </c>
      <c r="AX16" s="64" t="s">
        <v>74</v>
      </c>
      <c r="AY16" s="64" t="s">
        <v>75</v>
      </c>
      <c r="AZ16" s="80" t="s">
        <v>71</v>
      </c>
      <c r="BA16" s="75">
        <v>-1</v>
      </c>
    </row>
    <row r="17" spans="1:53" ht="15.75" customHeight="1" x14ac:dyDescent="0.25">
      <c r="A17" s="4"/>
      <c r="B17" s="34">
        <f t="shared" si="40"/>
        <v>10210</v>
      </c>
      <c r="C17" s="26">
        <f t="shared" si="9"/>
        <v>24</v>
      </c>
      <c r="D17" s="26">
        <f t="shared" si="9"/>
        <v>0</v>
      </c>
      <c r="E17" s="26">
        <f t="shared" si="9"/>
        <v>0</v>
      </c>
      <c r="F17" s="26">
        <f t="shared" si="9"/>
        <v>0</v>
      </c>
      <c r="G17" s="24">
        <v>1544</v>
      </c>
      <c r="H17" s="24">
        <v>4811</v>
      </c>
      <c r="I17" s="24">
        <v>-2156</v>
      </c>
      <c r="J17" s="24">
        <v>-2536</v>
      </c>
      <c r="K17" s="24">
        <v>-15028</v>
      </c>
      <c r="L17" s="24">
        <v>2027</v>
      </c>
      <c r="M17" s="25" t="s">
        <v>99</v>
      </c>
      <c r="N17" s="26">
        <f t="shared" si="10"/>
        <v>0</v>
      </c>
      <c r="O17" s="26">
        <f t="shared" si="11"/>
        <v>0</v>
      </c>
      <c r="P17" s="26">
        <f t="shared" si="12"/>
        <v>0</v>
      </c>
      <c r="Q17" s="26">
        <f t="shared" si="13"/>
        <v>-2156</v>
      </c>
      <c r="R17" s="26">
        <f t="shared" si="14"/>
        <v>4811</v>
      </c>
      <c r="S17" s="26">
        <f t="shared" si="15"/>
        <v>-1544</v>
      </c>
      <c r="T17" s="26">
        <f t="shared" si="16"/>
        <v>2027</v>
      </c>
      <c r="U17" s="26">
        <f t="shared" si="17"/>
        <v>-15028</v>
      </c>
      <c r="V17" s="26">
        <f t="shared" si="18"/>
        <v>2536</v>
      </c>
      <c r="W17" s="27">
        <f t="shared" si="19"/>
        <v>5493.4500088742043</v>
      </c>
      <c r="X17" s="27">
        <f t="shared" si="20"/>
        <v>15374.680777173879</v>
      </c>
      <c r="Y17" s="28">
        <f t="shared" si="21"/>
        <v>13.333333333333334</v>
      </c>
      <c r="Z17" s="27">
        <f t="shared" si="22"/>
        <v>1234.9715095949921</v>
      </c>
      <c r="AA17" s="27">
        <f t="shared" si="23"/>
        <v>11339.780303373922</v>
      </c>
      <c r="AB17" s="27">
        <f t="shared" si="24"/>
        <v>15044.694832158897</v>
      </c>
      <c r="AC17" s="27">
        <f t="shared" si="25"/>
        <v>143333.33333333334</v>
      </c>
      <c r="AD17" s="29">
        <f t="shared" si="26"/>
        <v>10.496298720110858</v>
      </c>
      <c r="AE17" s="30" t="str">
        <f t="shared" si="27"/>
        <v>PASS</v>
      </c>
      <c r="AG17" s="31"/>
      <c r="AH17" s="31">
        <f t="shared" si="28"/>
        <v>0</v>
      </c>
      <c r="AI17" s="31">
        <f t="shared" si="29"/>
        <v>0</v>
      </c>
      <c r="AJ17" s="31">
        <f t="shared" si="30"/>
        <v>0</v>
      </c>
      <c r="AK17" s="31">
        <f t="shared" si="31"/>
        <v>0</v>
      </c>
      <c r="AL17" s="31">
        <f t="shared" si="32"/>
        <v>0</v>
      </c>
      <c r="AM17" s="31">
        <f t="shared" si="33"/>
        <v>0</v>
      </c>
      <c r="AN17" s="32">
        <f t="shared" si="34"/>
        <v>0</v>
      </c>
      <c r="AO17" s="27">
        <f t="shared" si="35"/>
        <v>0</v>
      </c>
      <c r="AP17" s="27">
        <f t="shared" si="36"/>
        <v>0</v>
      </c>
      <c r="AQ17" s="27">
        <f t="shared" si="37"/>
        <v>2027</v>
      </c>
      <c r="AR17" s="27">
        <f t="shared" si="38"/>
        <v>-15028</v>
      </c>
      <c r="AS17" s="33">
        <f t="shared" si="39"/>
        <v>2536</v>
      </c>
      <c r="AT17" s="31"/>
      <c r="AU17" s="64" t="s">
        <v>76</v>
      </c>
      <c r="AV17" s="63" t="str">
        <f t="shared" si="0"/>
        <v>FZ*Y-+</v>
      </c>
      <c r="AW17" s="64" t="s">
        <v>70</v>
      </c>
      <c r="AX17" s="64" t="s">
        <v>72</v>
      </c>
      <c r="AY17" s="64" t="s">
        <v>75</v>
      </c>
      <c r="AZ17" s="80" t="s">
        <v>71</v>
      </c>
      <c r="BA17" s="75">
        <v>1</v>
      </c>
    </row>
    <row r="18" spans="1:53" ht="15.75" customHeight="1" x14ac:dyDescent="0.25">
      <c r="A18" s="4"/>
      <c r="B18" s="34">
        <f t="shared" si="40"/>
        <v>10210</v>
      </c>
      <c r="C18" s="26">
        <f t="shared" si="9"/>
        <v>24</v>
      </c>
      <c r="D18" s="26">
        <f t="shared" si="9"/>
        <v>0</v>
      </c>
      <c r="E18" s="26">
        <f t="shared" si="9"/>
        <v>0</v>
      </c>
      <c r="F18" s="26">
        <f t="shared" si="9"/>
        <v>0</v>
      </c>
      <c r="G18" s="24">
        <v>5550</v>
      </c>
      <c r="H18" s="24">
        <v>65</v>
      </c>
      <c r="I18" s="24">
        <v>-6949</v>
      </c>
      <c r="J18" s="24">
        <v>-15459</v>
      </c>
      <c r="K18" s="24">
        <v>-17926</v>
      </c>
      <c r="L18" s="24">
        <v>-2712</v>
      </c>
      <c r="M18" s="25" t="s">
        <v>100</v>
      </c>
      <c r="N18" s="26">
        <f t="shared" si="10"/>
        <v>0</v>
      </c>
      <c r="O18" s="26">
        <f t="shared" si="11"/>
        <v>0</v>
      </c>
      <c r="P18" s="26">
        <f t="shared" si="12"/>
        <v>0</v>
      </c>
      <c r="Q18" s="26">
        <f t="shared" si="13"/>
        <v>-6949</v>
      </c>
      <c r="R18" s="26">
        <f t="shared" si="14"/>
        <v>65</v>
      </c>
      <c r="S18" s="26">
        <f t="shared" si="15"/>
        <v>-5550</v>
      </c>
      <c r="T18" s="26">
        <f t="shared" si="16"/>
        <v>-2712</v>
      </c>
      <c r="U18" s="26">
        <f t="shared" si="17"/>
        <v>-17926</v>
      </c>
      <c r="V18" s="26">
        <f t="shared" si="18"/>
        <v>15459</v>
      </c>
      <c r="W18" s="27">
        <f t="shared" si="19"/>
        <v>8893.5553070748938</v>
      </c>
      <c r="X18" s="27">
        <f t="shared" si="20"/>
        <v>23825.975342050533</v>
      </c>
      <c r="Y18" s="28">
        <f t="shared" si="21"/>
        <v>13.333333333333334</v>
      </c>
      <c r="Z18" s="27">
        <f t="shared" si="22"/>
        <v>1999.3423814728928</v>
      </c>
      <c r="AA18" s="27">
        <f t="shared" si="23"/>
        <v>17573.134025233478</v>
      </c>
      <c r="AB18" s="27">
        <f t="shared" si="24"/>
        <v>23571.161169652158</v>
      </c>
      <c r="AC18" s="27">
        <f t="shared" si="25"/>
        <v>143333.33333333334</v>
      </c>
      <c r="AD18" s="29">
        <f t="shared" si="26"/>
        <v>16.444996164873597</v>
      </c>
      <c r="AE18" s="30" t="str">
        <f t="shared" si="27"/>
        <v>PASS</v>
      </c>
      <c r="AG18" s="31"/>
      <c r="AH18" s="31">
        <f t="shared" si="28"/>
        <v>0</v>
      </c>
      <c r="AI18" s="31">
        <f t="shared" si="29"/>
        <v>0</v>
      </c>
      <c r="AJ18" s="31">
        <f t="shared" si="30"/>
        <v>0</v>
      </c>
      <c r="AK18" s="31">
        <f t="shared" si="31"/>
        <v>0</v>
      </c>
      <c r="AL18" s="31">
        <f t="shared" si="32"/>
        <v>0</v>
      </c>
      <c r="AM18" s="31">
        <f t="shared" si="33"/>
        <v>0</v>
      </c>
      <c r="AN18" s="32">
        <f t="shared" si="34"/>
        <v>0</v>
      </c>
      <c r="AO18" s="27">
        <f t="shared" si="35"/>
        <v>0</v>
      </c>
      <c r="AP18" s="27">
        <f t="shared" si="36"/>
        <v>0</v>
      </c>
      <c r="AQ18" s="27">
        <f t="shared" si="37"/>
        <v>-2712</v>
      </c>
      <c r="AR18" s="27">
        <f t="shared" si="38"/>
        <v>-17926</v>
      </c>
      <c r="AS18" s="33">
        <f t="shared" si="39"/>
        <v>15459</v>
      </c>
      <c r="AT18" s="31"/>
      <c r="AU18" s="64" t="s">
        <v>78</v>
      </c>
      <c r="AV18" s="63" t="str">
        <f t="shared" si="0"/>
        <v>FY*X-+</v>
      </c>
      <c r="AW18" s="64" t="s">
        <v>69</v>
      </c>
      <c r="AX18" s="64" t="s">
        <v>74</v>
      </c>
      <c r="AY18" s="64" t="s">
        <v>75</v>
      </c>
      <c r="AZ18" s="80" t="s">
        <v>71</v>
      </c>
      <c r="BA18" s="75">
        <v>1</v>
      </c>
    </row>
    <row r="19" spans="1:53" ht="15.75" customHeight="1" x14ac:dyDescent="0.25">
      <c r="A19" s="4"/>
      <c r="B19" s="34">
        <f t="shared" si="40"/>
        <v>10210</v>
      </c>
      <c r="C19" s="26">
        <f t="shared" si="9"/>
        <v>24</v>
      </c>
      <c r="D19" s="26">
        <f t="shared" si="9"/>
        <v>0</v>
      </c>
      <c r="E19" s="26">
        <f t="shared" si="9"/>
        <v>0</v>
      </c>
      <c r="F19" s="26">
        <f t="shared" si="9"/>
        <v>0</v>
      </c>
      <c r="G19" s="24">
        <v>1740</v>
      </c>
      <c r="H19" s="24">
        <v>3605</v>
      </c>
      <c r="I19" s="24">
        <v>-2408</v>
      </c>
      <c r="J19" s="24">
        <v>-2007</v>
      </c>
      <c r="K19" s="24">
        <v>-15861</v>
      </c>
      <c r="L19" s="24">
        <v>3257</v>
      </c>
      <c r="M19" s="25" t="s">
        <v>101</v>
      </c>
      <c r="N19" s="26">
        <f t="shared" si="10"/>
        <v>0</v>
      </c>
      <c r="O19" s="26">
        <f t="shared" si="11"/>
        <v>0</v>
      </c>
      <c r="P19" s="26">
        <f t="shared" si="12"/>
        <v>0</v>
      </c>
      <c r="Q19" s="26">
        <f t="shared" si="13"/>
        <v>-2408</v>
      </c>
      <c r="R19" s="26">
        <f t="shared" si="14"/>
        <v>3605</v>
      </c>
      <c r="S19" s="26">
        <f t="shared" si="15"/>
        <v>-1740</v>
      </c>
      <c r="T19" s="26">
        <f t="shared" si="16"/>
        <v>3257</v>
      </c>
      <c r="U19" s="26">
        <f t="shared" si="17"/>
        <v>-15861</v>
      </c>
      <c r="V19" s="26">
        <f t="shared" si="18"/>
        <v>2007</v>
      </c>
      <c r="W19" s="27">
        <f t="shared" si="19"/>
        <v>4671.4118850728628</v>
      </c>
      <c r="X19" s="27">
        <f t="shared" si="20"/>
        <v>16315.86402860725</v>
      </c>
      <c r="Y19" s="28">
        <f t="shared" si="21"/>
        <v>13.333333333333334</v>
      </c>
      <c r="Z19" s="27">
        <f t="shared" si="22"/>
        <v>1050.1707630594601</v>
      </c>
      <c r="AA19" s="27">
        <f t="shared" si="23"/>
        <v>12033.96130466762</v>
      </c>
      <c r="AB19" s="27">
        <f t="shared" si="24"/>
        <v>15184.473593846</v>
      </c>
      <c r="AC19" s="27">
        <f t="shared" si="25"/>
        <v>143333.33333333334</v>
      </c>
      <c r="AD19" s="29">
        <f t="shared" si="26"/>
        <v>10.593818786404185</v>
      </c>
      <c r="AE19" s="30" t="str">
        <f t="shared" si="27"/>
        <v>PASS</v>
      </c>
      <c r="AG19" s="31"/>
      <c r="AH19" s="31">
        <f t="shared" si="28"/>
        <v>0</v>
      </c>
      <c r="AI19" s="31">
        <f t="shared" si="29"/>
        <v>0</v>
      </c>
      <c r="AJ19" s="31">
        <f t="shared" si="30"/>
        <v>0</v>
      </c>
      <c r="AK19" s="31">
        <f t="shared" si="31"/>
        <v>0</v>
      </c>
      <c r="AL19" s="31">
        <f t="shared" si="32"/>
        <v>0</v>
      </c>
      <c r="AM19" s="31">
        <f t="shared" si="33"/>
        <v>0</v>
      </c>
      <c r="AN19" s="32">
        <f t="shared" si="34"/>
        <v>0</v>
      </c>
      <c r="AO19" s="27">
        <f t="shared" si="35"/>
        <v>0</v>
      </c>
      <c r="AP19" s="27">
        <f t="shared" si="36"/>
        <v>0</v>
      </c>
      <c r="AQ19" s="27">
        <f t="shared" si="37"/>
        <v>3257</v>
      </c>
      <c r="AR19" s="27">
        <f t="shared" si="38"/>
        <v>-15861</v>
      </c>
      <c r="AS19" s="33">
        <f t="shared" si="39"/>
        <v>2007</v>
      </c>
      <c r="AT19" s="31"/>
      <c r="AU19" s="64" t="s">
        <v>76</v>
      </c>
      <c r="AV19" s="63" t="str">
        <f t="shared" si="0"/>
        <v>FY*Z-+</v>
      </c>
      <c r="AW19" s="64" t="s">
        <v>69</v>
      </c>
      <c r="AX19" s="64" t="s">
        <v>73</v>
      </c>
      <c r="AY19" s="64" t="s">
        <v>75</v>
      </c>
      <c r="AZ19" s="80" t="s">
        <v>71</v>
      </c>
      <c r="BA19" s="75">
        <v>-1</v>
      </c>
    </row>
    <row r="20" spans="1:53" ht="15.75" customHeight="1" x14ac:dyDescent="0.25">
      <c r="A20" s="4"/>
      <c r="B20" s="34">
        <f t="shared" si="40"/>
        <v>10210</v>
      </c>
      <c r="C20" s="26">
        <f t="shared" si="9"/>
        <v>24</v>
      </c>
      <c r="D20" s="26">
        <f t="shared" si="9"/>
        <v>0</v>
      </c>
      <c r="E20" s="26">
        <f t="shared" si="9"/>
        <v>0</v>
      </c>
      <c r="F20" s="26">
        <f t="shared" si="9"/>
        <v>0</v>
      </c>
      <c r="G20" s="24">
        <v>190</v>
      </c>
      <c r="H20" s="24">
        <v>8112</v>
      </c>
      <c r="I20" s="24">
        <v>-220</v>
      </c>
      <c r="J20" s="24">
        <v>546</v>
      </c>
      <c r="K20" s="24">
        <v>-503</v>
      </c>
      <c r="L20" s="24">
        <v>591</v>
      </c>
      <c r="M20" s="25" t="s">
        <v>102</v>
      </c>
      <c r="N20" s="26">
        <f t="shared" si="10"/>
        <v>0</v>
      </c>
      <c r="O20" s="26">
        <f t="shared" si="11"/>
        <v>0</v>
      </c>
      <c r="P20" s="26">
        <f t="shared" si="12"/>
        <v>0</v>
      </c>
      <c r="Q20" s="26">
        <f t="shared" si="13"/>
        <v>-220</v>
      </c>
      <c r="R20" s="26">
        <f t="shared" si="14"/>
        <v>8112</v>
      </c>
      <c r="S20" s="26">
        <f t="shared" si="15"/>
        <v>-190</v>
      </c>
      <c r="T20" s="26">
        <f t="shared" si="16"/>
        <v>591</v>
      </c>
      <c r="U20" s="26">
        <f t="shared" si="17"/>
        <v>-503</v>
      </c>
      <c r="V20" s="26">
        <f t="shared" si="18"/>
        <v>-546</v>
      </c>
      <c r="W20" s="27">
        <f t="shared" si="19"/>
        <v>8117.206662393166</v>
      </c>
      <c r="X20" s="27">
        <f t="shared" si="20"/>
        <v>948.89725471201575</v>
      </c>
      <c r="Y20" s="28">
        <f t="shared" si="21"/>
        <v>13.333333333333334</v>
      </c>
      <c r="Z20" s="27">
        <f t="shared" si="22"/>
        <v>1824.8129953592829</v>
      </c>
      <c r="AA20" s="27">
        <f t="shared" si="23"/>
        <v>699.87055697990377</v>
      </c>
      <c r="AB20" s="27">
        <f t="shared" si="24"/>
        <v>6174.3095430577523</v>
      </c>
      <c r="AC20" s="27">
        <f t="shared" si="25"/>
        <v>143333.33333333334</v>
      </c>
      <c r="AD20" s="29">
        <f t="shared" si="26"/>
        <v>4.3076578207379663</v>
      </c>
      <c r="AE20" s="30" t="str">
        <f t="shared" si="27"/>
        <v>PASS</v>
      </c>
      <c r="AG20" s="31"/>
      <c r="AH20" s="31">
        <f t="shared" si="28"/>
        <v>0</v>
      </c>
      <c r="AI20" s="31">
        <f t="shared" si="29"/>
        <v>0</v>
      </c>
      <c r="AJ20" s="31">
        <f t="shared" si="30"/>
        <v>0</v>
      </c>
      <c r="AK20" s="31">
        <f t="shared" si="31"/>
        <v>0</v>
      </c>
      <c r="AL20" s="31">
        <f t="shared" si="32"/>
        <v>0</v>
      </c>
      <c r="AM20" s="31">
        <f t="shared" si="33"/>
        <v>0</v>
      </c>
      <c r="AN20" s="32">
        <f t="shared" si="34"/>
        <v>0</v>
      </c>
      <c r="AO20" s="27">
        <f t="shared" si="35"/>
        <v>0</v>
      </c>
      <c r="AP20" s="27">
        <f t="shared" si="36"/>
        <v>0</v>
      </c>
      <c r="AQ20" s="27">
        <f t="shared" si="37"/>
        <v>591</v>
      </c>
      <c r="AR20" s="27">
        <f t="shared" si="38"/>
        <v>-503</v>
      </c>
      <c r="AS20" s="33">
        <f t="shared" si="39"/>
        <v>-546</v>
      </c>
      <c r="AT20" s="31"/>
      <c r="AU20" s="64" t="s">
        <v>78</v>
      </c>
      <c r="AV20" s="63" t="str">
        <f t="shared" si="0"/>
        <v>FX*Y--</v>
      </c>
      <c r="AW20" s="64" t="s">
        <v>68</v>
      </c>
      <c r="AX20" s="64" t="s">
        <v>72</v>
      </c>
      <c r="AY20" s="64" t="s">
        <v>75</v>
      </c>
      <c r="AZ20" s="80" t="s">
        <v>75</v>
      </c>
      <c r="BA20" s="75">
        <v>-1</v>
      </c>
    </row>
    <row r="21" spans="1:53" ht="15.75" customHeight="1" x14ac:dyDescent="0.25">
      <c r="A21" s="4"/>
      <c r="B21" s="34">
        <f t="shared" si="40"/>
        <v>10210</v>
      </c>
      <c r="C21" s="26">
        <f t="shared" si="9"/>
        <v>24</v>
      </c>
      <c r="D21" s="26">
        <f t="shared" si="9"/>
        <v>0</v>
      </c>
      <c r="E21" s="26">
        <f t="shared" si="9"/>
        <v>0</v>
      </c>
      <c r="F21" s="26">
        <f t="shared" si="9"/>
        <v>0</v>
      </c>
      <c r="G21" s="24">
        <v>164</v>
      </c>
      <c r="H21" s="24">
        <v>8329</v>
      </c>
      <c r="I21" s="24">
        <v>-223</v>
      </c>
      <c r="J21" s="24">
        <v>596</v>
      </c>
      <c r="K21" s="24">
        <v>-518</v>
      </c>
      <c r="L21" s="24">
        <v>606</v>
      </c>
      <c r="M21" s="25" t="s">
        <v>103</v>
      </c>
      <c r="N21" s="26">
        <f t="shared" si="10"/>
        <v>0</v>
      </c>
      <c r="O21" s="26">
        <f t="shared" si="11"/>
        <v>0</v>
      </c>
      <c r="P21" s="26">
        <f t="shared" si="12"/>
        <v>0</v>
      </c>
      <c r="Q21" s="26">
        <f t="shared" si="13"/>
        <v>-223</v>
      </c>
      <c r="R21" s="26">
        <f t="shared" si="14"/>
        <v>8329</v>
      </c>
      <c r="S21" s="26">
        <f t="shared" si="15"/>
        <v>-164</v>
      </c>
      <c r="T21" s="26">
        <f t="shared" si="16"/>
        <v>606</v>
      </c>
      <c r="U21" s="26">
        <f t="shared" si="17"/>
        <v>-518</v>
      </c>
      <c r="V21" s="26">
        <f t="shared" si="18"/>
        <v>-596</v>
      </c>
      <c r="W21" s="27">
        <f t="shared" si="19"/>
        <v>8333.5986224439675</v>
      </c>
      <c r="X21" s="27">
        <f t="shared" si="20"/>
        <v>995.37731539351444</v>
      </c>
      <c r="Y21" s="28">
        <f t="shared" si="21"/>
        <v>13.333333333333334</v>
      </c>
      <c r="Z21" s="27">
        <f t="shared" si="22"/>
        <v>1873.4596391143834</v>
      </c>
      <c r="AA21" s="27">
        <f t="shared" si="23"/>
        <v>734.15248349627132</v>
      </c>
      <c r="AB21" s="27">
        <f t="shared" si="24"/>
        <v>6354.5314008394216</v>
      </c>
      <c r="AC21" s="27">
        <f t="shared" si="25"/>
        <v>143333.33333333334</v>
      </c>
      <c r="AD21" s="29">
        <f t="shared" si="26"/>
        <v>4.4333940005856425</v>
      </c>
      <c r="AE21" s="30" t="str">
        <f t="shared" si="27"/>
        <v>PASS</v>
      </c>
      <c r="AG21" s="31"/>
      <c r="AH21" s="31">
        <f t="shared" si="28"/>
        <v>0</v>
      </c>
      <c r="AI21" s="31">
        <f t="shared" si="29"/>
        <v>0</v>
      </c>
      <c r="AJ21" s="31">
        <f t="shared" si="30"/>
        <v>0</v>
      </c>
      <c r="AK21" s="31">
        <f t="shared" si="31"/>
        <v>0</v>
      </c>
      <c r="AL21" s="31">
        <f t="shared" si="32"/>
        <v>0</v>
      </c>
      <c r="AM21" s="31">
        <f t="shared" si="33"/>
        <v>0</v>
      </c>
      <c r="AN21" s="32">
        <f t="shared" si="34"/>
        <v>0</v>
      </c>
      <c r="AO21" s="27">
        <f t="shared" si="35"/>
        <v>0</v>
      </c>
      <c r="AP21" s="27">
        <f t="shared" si="36"/>
        <v>0</v>
      </c>
      <c r="AQ21" s="27">
        <f t="shared" si="37"/>
        <v>606</v>
      </c>
      <c r="AR21" s="27">
        <f t="shared" si="38"/>
        <v>-518</v>
      </c>
      <c r="AS21" s="33">
        <f t="shared" si="39"/>
        <v>-596</v>
      </c>
      <c r="AT21" s="31"/>
      <c r="AU21" s="64" t="s">
        <v>77</v>
      </c>
      <c r="AV21" s="63" t="str">
        <f t="shared" si="0"/>
        <v>FX*Z--</v>
      </c>
      <c r="AW21" s="64" t="s">
        <v>68</v>
      </c>
      <c r="AX21" s="64" t="s">
        <v>73</v>
      </c>
      <c r="AY21" s="64" t="s">
        <v>75</v>
      </c>
      <c r="AZ21" s="80" t="s">
        <v>75</v>
      </c>
      <c r="BA21" s="75">
        <v>1</v>
      </c>
    </row>
    <row r="22" spans="1:53" ht="15.75" customHeight="1" x14ac:dyDescent="0.25">
      <c r="A22" s="4"/>
      <c r="B22" s="34">
        <f t="shared" si="40"/>
        <v>10210</v>
      </c>
      <c r="C22" s="26">
        <f t="shared" si="40"/>
        <v>24</v>
      </c>
      <c r="D22" s="26">
        <f t="shared" si="40"/>
        <v>0</v>
      </c>
      <c r="E22" s="26">
        <f t="shared" si="40"/>
        <v>0</v>
      </c>
      <c r="F22" s="26">
        <f t="shared" si="40"/>
        <v>0</v>
      </c>
      <c r="G22" s="24">
        <v>137</v>
      </c>
      <c r="H22" s="24">
        <v>8122</v>
      </c>
      <c r="I22" s="24">
        <v>-90</v>
      </c>
      <c r="J22" s="24">
        <v>1119</v>
      </c>
      <c r="K22" s="24">
        <v>-509</v>
      </c>
      <c r="L22" s="24">
        <v>726</v>
      </c>
      <c r="M22" s="25" t="s">
        <v>104</v>
      </c>
      <c r="N22" s="26">
        <f t="shared" si="10"/>
        <v>0</v>
      </c>
      <c r="O22" s="26">
        <f t="shared" si="11"/>
        <v>0</v>
      </c>
      <c r="P22" s="26">
        <f t="shared" si="12"/>
        <v>0</v>
      </c>
      <c r="Q22" s="26">
        <f t="shared" si="13"/>
        <v>-90</v>
      </c>
      <c r="R22" s="26">
        <f t="shared" si="14"/>
        <v>8122</v>
      </c>
      <c r="S22" s="26">
        <f t="shared" si="15"/>
        <v>-137</v>
      </c>
      <c r="T22" s="26">
        <f t="shared" si="16"/>
        <v>726</v>
      </c>
      <c r="U22" s="26">
        <f t="shared" si="17"/>
        <v>-509</v>
      </c>
      <c r="V22" s="26">
        <f t="shared" si="18"/>
        <v>-1119</v>
      </c>
      <c r="W22" s="27">
        <f t="shared" si="19"/>
        <v>8123.6539192656401</v>
      </c>
      <c r="X22" s="27">
        <f t="shared" si="20"/>
        <v>1427.6967465116672</v>
      </c>
      <c r="Y22" s="28">
        <f t="shared" si="21"/>
        <v>13.333333333333334</v>
      </c>
      <c r="Z22" s="27">
        <f t="shared" si="22"/>
        <v>1826.2623902822702</v>
      </c>
      <c r="AA22" s="27">
        <f t="shared" si="23"/>
        <v>1053.0148677506384</v>
      </c>
      <c r="AB22" s="27">
        <f t="shared" si="24"/>
        <v>6531.8020385974487</v>
      </c>
      <c r="AC22" s="27">
        <f t="shared" si="25"/>
        <v>143333.33333333334</v>
      </c>
      <c r="AD22" s="29">
        <f t="shared" si="26"/>
        <v>4.5570711897191503</v>
      </c>
      <c r="AE22" s="30" t="str">
        <f t="shared" si="27"/>
        <v>PASS</v>
      </c>
      <c r="AG22" s="31"/>
      <c r="AH22" s="31">
        <f t="shared" si="28"/>
        <v>0</v>
      </c>
      <c r="AI22" s="31">
        <f t="shared" si="29"/>
        <v>0</v>
      </c>
      <c r="AJ22" s="31">
        <f t="shared" si="30"/>
        <v>0</v>
      </c>
      <c r="AK22" s="31">
        <f t="shared" si="31"/>
        <v>0</v>
      </c>
      <c r="AL22" s="31">
        <f t="shared" si="32"/>
        <v>0</v>
      </c>
      <c r="AM22" s="31">
        <f t="shared" si="33"/>
        <v>0</v>
      </c>
      <c r="AN22" s="32">
        <f t="shared" si="34"/>
        <v>0</v>
      </c>
      <c r="AO22" s="27">
        <f t="shared" si="35"/>
        <v>0</v>
      </c>
      <c r="AP22" s="27">
        <f t="shared" si="36"/>
        <v>0</v>
      </c>
      <c r="AQ22" s="27">
        <f t="shared" si="37"/>
        <v>726</v>
      </c>
      <c r="AR22" s="27">
        <f t="shared" si="38"/>
        <v>-509</v>
      </c>
      <c r="AS22" s="33">
        <f t="shared" si="39"/>
        <v>-1119</v>
      </c>
      <c r="AT22" s="31"/>
      <c r="AU22" s="64" t="s">
        <v>77</v>
      </c>
      <c r="AV22" s="63" t="str">
        <f t="shared" si="0"/>
        <v>FZ*X--</v>
      </c>
      <c r="AW22" s="64" t="s">
        <v>70</v>
      </c>
      <c r="AX22" s="64" t="s">
        <v>74</v>
      </c>
      <c r="AY22" s="64" t="s">
        <v>75</v>
      </c>
      <c r="AZ22" s="80" t="s">
        <v>75</v>
      </c>
      <c r="BA22" s="75">
        <v>-1</v>
      </c>
    </row>
    <row r="23" spans="1:53" ht="15.75" customHeight="1" x14ac:dyDescent="0.25">
      <c r="A23" s="4"/>
      <c r="B23" s="34">
        <f t="shared" ref="B23:F23" si="41">IF(B22="","",B22)</f>
        <v>10210</v>
      </c>
      <c r="C23" s="26">
        <f t="shared" si="41"/>
        <v>24</v>
      </c>
      <c r="D23" s="26">
        <f t="shared" si="41"/>
        <v>0</v>
      </c>
      <c r="E23" s="26">
        <f t="shared" si="41"/>
        <v>0</v>
      </c>
      <c r="F23" s="26">
        <f t="shared" si="41"/>
        <v>0</v>
      </c>
      <c r="G23" s="24">
        <v>113</v>
      </c>
      <c r="H23" s="24">
        <v>8339</v>
      </c>
      <c r="I23" s="24">
        <v>-93</v>
      </c>
      <c r="J23" s="24">
        <v>1169</v>
      </c>
      <c r="K23" s="24">
        <v>-526</v>
      </c>
      <c r="L23" s="24">
        <v>735</v>
      </c>
      <c r="M23" s="25" t="s">
        <v>105</v>
      </c>
      <c r="N23" s="26">
        <f t="shared" si="10"/>
        <v>0</v>
      </c>
      <c r="O23" s="26">
        <f t="shared" si="11"/>
        <v>0</v>
      </c>
      <c r="P23" s="26">
        <f t="shared" si="12"/>
        <v>0</v>
      </c>
      <c r="Q23" s="26">
        <f t="shared" si="13"/>
        <v>-93</v>
      </c>
      <c r="R23" s="26">
        <f t="shared" si="14"/>
        <v>8339</v>
      </c>
      <c r="S23" s="26">
        <f t="shared" si="15"/>
        <v>-113</v>
      </c>
      <c r="T23" s="26">
        <f t="shared" si="16"/>
        <v>735</v>
      </c>
      <c r="U23" s="26">
        <f t="shared" si="17"/>
        <v>-526</v>
      </c>
      <c r="V23" s="26">
        <f t="shared" si="18"/>
        <v>-1169</v>
      </c>
      <c r="W23" s="27">
        <f t="shared" si="19"/>
        <v>8340.284107870666</v>
      </c>
      <c r="X23" s="27">
        <f t="shared" si="20"/>
        <v>1477.6542220695612</v>
      </c>
      <c r="Y23" s="28">
        <f t="shared" si="21"/>
        <v>13.333333333333334</v>
      </c>
      <c r="Z23" s="27">
        <f t="shared" si="22"/>
        <v>1874.9625897221888</v>
      </c>
      <c r="AA23" s="27">
        <f t="shared" si="23"/>
        <v>1089.8616033380697</v>
      </c>
      <c r="AB23" s="27">
        <f t="shared" si="24"/>
        <v>6714.7493725046361</v>
      </c>
      <c r="AC23" s="27">
        <f t="shared" si="25"/>
        <v>143333.33333333334</v>
      </c>
      <c r="AD23" s="29">
        <f t="shared" si="26"/>
        <v>4.6847088645381181</v>
      </c>
      <c r="AE23" s="30" t="str">
        <f t="shared" si="27"/>
        <v>PASS</v>
      </c>
      <c r="AG23" s="31"/>
      <c r="AH23" s="31">
        <f t="shared" si="28"/>
        <v>0</v>
      </c>
      <c r="AI23" s="31">
        <f t="shared" si="29"/>
        <v>0</v>
      </c>
      <c r="AJ23" s="31">
        <f t="shared" si="30"/>
        <v>0</v>
      </c>
      <c r="AK23" s="31">
        <f t="shared" si="31"/>
        <v>0</v>
      </c>
      <c r="AL23" s="31">
        <f t="shared" si="32"/>
        <v>0</v>
      </c>
      <c r="AM23" s="31">
        <f t="shared" si="33"/>
        <v>0</v>
      </c>
      <c r="AN23" s="32">
        <f t="shared" si="34"/>
        <v>0</v>
      </c>
      <c r="AO23" s="27">
        <f t="shared" si="35"/>
        <v>0</v>
      </c>
      <c r="AP23" s="27">
        <f t="shared" si="36"/>
        <v>0</v>
      </c>
      <c r="AQ23" s="27">
        <f t="shared" si="37"/>
        <v>735</v>
      </c>
      <c r="AR23" s="27">
        <f t="shared" si="38"/>
        <v>-526</v>
      </c>
      <c r="AS23" s="33">
        <f t="shared" si="39"/>
        <v>-1169</v>
      </c>
      <c r="AT23" s="31"/>
      <c r="AU23" s="64" t="s">
        <v>76</v>
      </c>
      <c r="AV23" s="63" t="str">
        <f t="shared" si="0"/>
        <v>FZ*Y--</v>
      </c>
      <c r="AW23" s="64" t="s">
        <v>70</v>
      </c>
      <c r="AX23" s="64" t="s">
        <v>72</v>
      </c>
      <c r="AY23" s="64" t="s">
        <v>75</v>
      </c>
      <c r="AZ23" s="80" t="s">
        <v>75</v>
      </c>
      <c r="BA23" s="75">
        <v>1</v>
      </c>
    </row>
    <row r="24" spans="1:53" ht="15.75" customHeight="1" x14ac:dyDescent="0.25">
      <c r="A24" s="4"/>
      <c r="B24" s="34">
        <f t="shared" ref="B24:F24" si="42">IF(B23="","",B23)</f>
        <v>10210</v>
      </c>
      <c r="C24" s="26">
        <f t="shared" si="42"/>
        <v>24</v>
      </c>
      <c r="D24" s="26">
        <f t="shared" si="42"/>
        <v>0</v>
      </c>
      <c r="E24" s="26">
        <f t="shared" si="42"/>
        <v>0</v>
      </c>
      <c r="F24" s="26">
        <f t="shared" si="42"/>
        <v>0</v>
      </c>
      <c r="G24" s="24">
        <v>2739</v>
      </c>
      <c r="H24" s="24">
        <v>4096</v>
      </c>
      <c r="I24" s="24">
        <v>-4517</v>
      </c>
      <c r="J24" s="24">
        <v>-14170</v>
      </c>
      <c r="K24" s="24">
        <v>-15333</v>
      </c>
      <c r="L24" s="24">
        <v>297</v>
      </c>
      <c r="M24" s="25" t="s">
        <v>106</v>
      </c>
      <c r="N24" s="26">
        <f t="shared" si="10"/>
        <v>0</v>
      </c>
      <c r="O24" s="26">
        <f t="shared" si="11"/>
        <v>0</v>
      </c>
      <c r="P24" s="26">
        <f t="shared" si="12"/>
        <v>0</v>
      </c>
      <c r="Q24" s="26">
        <f t="shared" si="13"/>
        <v>-4517</v>
      </c>
      <c r="R24" s="26">
        <f t="shared" si="14"/>
        <v>4096</v>
      </c>
      <c r="S24" s="26">
        <f t="shared" si="15"/>
        <v>-2739</v>
      </c>
      <c r="T24" s="26">
        <f t="shared" si="16"/>
        <v>297</v>
      </c>
      <c r="U24" s="26">
        <f t="shared" si="17"/>
        <v>-15333</v>
      </c>
      <c r="V24" s="26">
        <f t="shared" si="18"/>
        <v>14170</v>
      </c>
      <c r="W24" s="27">
        <f t="shared" si="19"/>
        <v>6684.5064140892255</v>
      </c>
      <c r="X24" s="27">
        <f t="shared" si="20"/>
        <v>20880.08615882607</v>
      </c>
      <c r="Y24" s="28">
        <f t="shared" si="21"/>
        <v>13.333333333333334</v>
      </c>
      <c r="Z24" s="27">
        <f t="shared" si="22"/>
        <v>1502.7305179385708</v>
      </c>
      <c r="AA24" s="27">
        <f t="shared" si="23"/>
        <v>15400.358107476075</v>
      </c>
      <c r="AB24" s="27">
        <f t="shared" si="24"/>
        <v>19908.549661291785</v>
      </c>
      <c r="AC24" s="27">
        <f t="shared" si="25"/>
        <v>143333.33333333334</v>
      </c>
      <c r="AD24" s="29">
        <f t="shared" si="26"/>
        <v>13.88968581020357</v>
      </c>
      <c r="AE24" s="30" t="str">
        <f t="shared" si="27"/>
        <v>PASS</v>
      </c>
      <c r="AG24" s="31"/>
      <c r="AH24" s="31">
        <f t="shared" si="28"/>
        <v>0</v>
      </c>
      <c r="AI24" s="31">
        <f t="shared" si="29"/>
        <v>0</v>
      </c>
      <c r="AJ24" s="31">
        <f t="shared" si="30"/>
        <v>0</v>
      </c>
      <c r="AK24" s="31">
        <f t="shared" si="31"/>
        <v>0</v>
      </c>
      <c r="AL24" s="31">
        <f t="shared" si="32"/>
        <v>0</v>
      </c>
      <c r="AM24" s="31">
        <f t="shared" si="33"/>
        <v>0</v>
      </c>
      <c r="AN24" s="32">
        <f t="shared" si="34"/>
        <v>0</v>
      </c>
      <c r="AO24" s="27">
        <f t="shared" si="35"/>
        <v>0</v>
      </c>
      <c r="AP24" s="27">
        <f t="shared" si="36"/>
        <v>0</v>
      </c>
      <c r="AQ24" s="27">
        <f t="shared" si="37"/>
        <v>297</v>
      </c>
      <c r="AR24" s="27">
        <f t="shared" si="38"/>
        <v>-15333</v>
      </c>
      <c r="AS24" s="33">
        <f t="shared" si="39"/>
        <v>14170</v>
      </c>
      <c r="AT24" s="31"/>
      <c r="AU24" s="64" t="s">
        <v>78</v>
      </c>
      <c r="AV24" s="63" t="str">
        <f t="shared" si="0"/>
        <v>FY*X--</v>
      </c>
      <c r="AW24" s="64" t="s">
        <v>69</v>
      </c>
      <c r="AX24" s="64" t="s">
        <v>74</v>
      </c>
      <c r="AY24" s="64" t="s">
        <v>75</v>
      </c>
      <c r="AZ24" s="80" t="s">
        <v>75</v>
      </c>
      <c r="BA24" s="75">
        <v>1</v>
      </c>
    </row>
    <row r="25" spans="1:53" ht="15.75" customHeight="1" x14ac:dyDescent="0.25">
      <c r="A25" s="4"/>
      <c r="B25" s="34">
        <f t="shared" ref="B25:F25" si="43">IF(B24="","",B24)</f>
        <v>10210</v>
      </c>
      <c r="C25" s="26">
        <f t="shared" si="43"/>
        <v>24</v>
      </c>
      <c r="D25" s="26">
        <f t="shared" si="43"/>
        <v>0</v>
      </c>
      <c r="E25" s="26">
        <f t="shared" si="43"/>
        <v>0</v>
      </c>
      <c r="F25" s="26">
        <f t="shared" si="43"/>
        <v>0</v>
      </c>
      <c r="G25" s="24">
        <v>1228</v>
      </c>
      <c r="H25" s="24">
        <v>4550</v>
      </c>
      <c r="I25" s="24">
        <v>-5643</v>
      </c>
      <c r="J25" s="24">
        <v>-12848</v>
      </c>
      <c r="K25" s="24">
        <v>-15033</v>
      </c>
      <c r="L25" s="24">
        <v>1368</v>
      </c>
      <c r="M25" s="25" t="s">
        <v>107</v>
      </c>
      <c r="N25" s="26">
        <f t="shared" si="10"/>
        <v>0</v>
      </c>
      <c r="O25" s="26">
        <f t="shared" si="11"/>
        <v>0</v>
      </c>
      <c r="P25" s="26">
        <f t="shared" si="12"/>
        <v>0</v>
      </c>
      <c r="Q25" s="26">
        <f t="shared" si="13"/>
        <v>-5643</v>
      </c>
      <c r="R25" s="26">
        <f t="shared" si="14"/>
        <v>4550</v>
      </c>
      <c r="S25" s="26">
        <f t="shared" si="15"/>
        <v>-1228</v>
      </c>
      <c r="T25" s="26">
        <f t="shared" si="16"/>
        <v>1368</v>
      </c>
      <c r="U25" s="26">
        <f t="shared" si="17"/>
        <v>-15033</v>
      </c>
      <c r="V25" s="26">
        <f t="shared" si="18"/>
        <v>12848</v>
      </c>
      <c r="W25" s="27">
        <f t="shared" si="19"/>
        <v>7352.1379883677373</v>
      </c>
      <c r="X25" s="27">
        <f t="shared" si="20"/>
        <v>19822.553241194739</v>
      </c>
      <c r="Y25" s="28">
        <f t="shared" si="21"/>
        <v>13.333333333333334</v>
      </c>
      <c r="Z25" s="27">
        <f t="shared" si="22"/>
        <v>1652.8194368889745</v>
      </c>
      <c r="AA25" s="27">
        <f t="shared" si="23"/>
        <v>14620.362013682075</v>
      </c>
      <c r="AB25" s="27">
        <f t="shared" si="24"/>
        <v>19578.820324348999</v>
      </c>
      <c r="AC25" s="27">
        <f t="shared" si="25"/>
        <v>143333.33333333334</v>
      </c>
      <c r="AD25" s="29">
        <f t="shared" si="26"/>
        <v>13.659642086755113</v>
      </c>
      <c r="AE25" s="30" t="str">
        <f t="shared" si="27"/>
        <v>PASS</v>
      </c>
      <c r="AG25" s="31"/>
      <c r="AH25" s="31">
        <f t="shared" si="28"/>
        <v>0</v>
      </c>
      <c r="AI25" s="31">
        <f t="shared" si="29"/>
        <v>0</v>
      </c>
      <c r="AJ25" s="31">
        <f t="shared" si="30"/>
        <v>0</v>
      </c>
      <c r="AK25" s="31">
        <f t="shared" si="31"/>
        <v>0</v>
      </c>
      <c r="AL25" s="31">
        <f t="shared" si="32"/>
        <v>0</v>
      </c>
      <c r="AM25" s="31">
        <f t="shared" si="33"/>
        <v>0</v>
      </c>
      <c r="AN25" s="32">
        <f t="shared" si="34"/>
        <v>0</v>
      </c>
      <c r="AO25" s="27">
        <f t="shared" si="35"/>
        <v>0</v>
      </c>
      <c r="AP25" s="27">
        <f t="shared" si="36"/>
        <v>0</v>
      </c>
      <c r="AQ25" s="27">
        <f t="shared" si="37"/>
        <v>1368</v>
      </c>
      <c r="AR25" s="27">
        <f t="shared" si="38"/>
        <v>-15033</v>
      </c>
      <c r="AS25" s="33">
        <f t="shared" si="39"/>
        <v>12848</v>
      </c>
      <c r="AT25" s="31"/>
      <c r="AU25" s="64" t="s">
        <v>76</v>
      </c>
      <c r="AV25" s="63" t="str">
        <f t="shared" si="0"/>
        <v>FY*Z--</v>
      </c>
      <c r="AW25" s="64" t="s">
        <v>69</v>
      </c>
      <c r="AX25" s="64" t="s">
        <v>73</v>
      </c>
      <c r="AY25" s="64" t="s">
        <v>75</v>
      </c>
      <c r="AZ25" s="80" t="s">
        <v>75</v>
      </c>
      <c r="BA25" s="75">
        <v>-1</v>
      </c>
    </row>
    <row r="26" spans="1:53" ht="15.75" customHeight="1" x14ac:dyDescent="0.25">
      <c r="A26" s="4"/>
      <c r="B26" s="34">
        <f t="shared" ref="B26:F26" si="44">IF(B25="","",B25)</f>
        <v>10210</v>
      </c>
      <c r="C26" s="26">
        <f t="shared" si="44"/>
        <v>24</v>
      </c>
      <c r="D26" s="26">
        <f t="shared" si="44"/>
        <v>0</v>
      </c>
      <c r="E26" s="26">
        <f t="shared" si="44"/>
        <v>0</v>
      </c>
      <c r="F26" s="26">
        <f t="shared" si="44"/>
        <v>0</v>
      </c>
      <c r="G26" s="24">
        <v>2739</v>
      </c>
      <c r="H26" s="24">
        <v>4096</v>
      </c>
      <c r="I26" s="24">
        <v>-4517</v>
      </c>
      <c r="J26" s="24">
        <v>-14170</v>
      </c>
      <c r="K26" s="24">
        <v>-15333</v>
      </c>
      <c r="L26" s="24">
        <v>297</v>
      </c>
      <c r="M26" s="25" t="s">
        <v>108</v>
      </c>
      <c r="N26" s="26">
        <f t="shared" si="10"/>
        <v>0</v>
      </c>
      <c r="O26" s="26">
        <f t="shared" si="11"/>
        <v>0</v>
      </c>
      <c r="P26" s="26">
        <f t="shared" si="12"/>
        <v>0</v>
      </c>
      <c r="Q26" s="26">
        <f t="shared" si="13"/>
        <v>-4517</v>
      </c>
      <c r="R26" s="26">
        <f t="shared" si="14"/>
        <v>4096</v>
      </c>
      <c r="S26" s="26">
        <f t="shared" si="15"/>
        <v>-2739</v>
      </c>
      <c r="T26" s="26">
        <f t="shared" si="16"/>
        <v>297</v>
      </c>
      <c r="U26" s="26">
        <f t="shared" si="17"/>
        <v>-15333</v>
      </c>
      <c r="V26" s="26">
        <f t="shared" si="18"/>
        <v>14170</v>
      </c>
      <c r="W26" s="27">
        <f t="shared" si="19"/>
        <v>6684.5064140892255</v>
      </c>
      <c r="X26" s="27">
        <f t="shared" si="20"/>
        <v>20880.08615882607</v>
      </c>
      <c r="Y26" s="28">
        <f t="shared" si="21"/>
        <v>13.333333333333334</v>
      </c>
      <c r="Z26" s="27">
        <f t="shared" si="22"/>
        <v>1502.7305179385708</v>
      </c>
      <c r="AA26" s="27">
        <f t="shared" si="23"/>
        <v>15400.358107476075</v>
      </c>
      <c r="AB26" s="27">
        <f t="shared" si="24"/>
        <v>19908.549661291785</v>
      </c>
      <c r="AC26" s="27">
        <f t="shared" si="25"/>
        <v>143333.33333333334</v>
      </c>
      <c r="AD26" s="29">
        <f t="shared" si="26"/>
        <v>13.88968581020357</v>
      </c>
      <c r="AE26" s="30" t="str">
        <f t="shared" si="27"/>
        <v>PASS</v>
      </c>
      <c r="AG26" s="31"/>
      <c r="AH26" s="31">
        <f t="shared" si="28"/>
        <v>0</v>
      </c>
      <c r="AI26" s="31">
        <f t="shared" si="29"/>
        <v>0</v>
      </c>
      <c r="AJ26" s="31">
        <f t="shared" si="30"/>
        <v>0</v>
      </c>
      <c r="AK26" s="31">
        <f t="shared" si="31"/>
        <v>0</v>
      </c>
      <c r="AL26" s="31">
        <f t="shared" si="32"/>
        <v>0</v>
      </c>
      <c r="AM26" s="31">
        <f t="shared" si="33"/>
        <v>0</v>
      </c>
      <c r="AN26" s="32">
        <f t="shared" si="34"/>
        <v>0</v>
      </c>
      <c r="AO26" s="27">
        <f t="shared" si="35"/>
        <v>0</v>
      </c>
      <c r="AP26" s="27">
        <f t="shared" si="36"/>
        <v>0</v>
      </c>
      <c r="AQ26" s="27">
        <f t="shared" si="37"/>
        <v>297</v>
      </c>
      <c r="AR26" s="27">
        <f t="shared" si="38"/>
        <v>-15333</v>
      </c>
      <c r="AS26" s="33">
        <f t="shared" si="39"/>
        <v>14170</v>
      </c>
      <c r="AT26" s="4"/>
      <c r="AU26" s="3"/>
      <c r="AV26" s="3"/>
      <c r="AW26" s="3"/>
      <c r="AX26" s="3"/>
      <c r="AY26" s="3"/>
      <c r="AZ26" s="3"/>
      <c r="BA26" s="3"/>
    </row>
    <row r="27" spans="1:53" ht="15.75" customHeight="1" x14ac:dyDescent="0.25">
      <c r="A27" s="4"/>
      <c r="B27" s="34">
        <f t="shared" ref="B27:F27" si="45">IF(B26="","",B26)</f>
        <v>10210</v>
      </c>
      <c r="C27" s="26">
        <f t="shared" si="45"/>
        <v>24</v>
      </c>
      <c r="D27" s="26">
        <f t="shared" si="45"/>
        <v>0</v>
      </c>
      <c r="E27" s="26">
        <f t="shared" si="45"/>
        <v>0</v>
      </c>
      <c r="F27" s="26">
        <f t="shared" si="45"/>
        <v>0</v>
      </c>
      <c r="G27" s="24">
        <v>1228</v>
      </c>
      <c r="H27" s="24">
        <v>4550</v>
      </c>
      <c r="I27" s="24">
        <v>-5643</v>
      </c>
      <c r="J27" s="24">
        <v>-12848</v>
      </c>
      <c r="K27" s="24">
        <v>-15033</v>
      </c>
      <c r="L27" s="24">
        <v>1368</v>
      </c>
      <c r="M27" s="25" t="s">
        <v>109</v>
      </c>
      <c r="N27" s="26">
        <f t="shared" si="10"/>
        <v>0</v>
      </c>
      <c r="O27" s="26">
        <f t="shared" si="11"/>
        <v>0</v>
      </c>
      <c r="P27" s="26">
        <f t="shared" si="12"/>
        <v>0</v>
      </c>
      <c r="Q27" s="26">
        <f t="shared" si="13"/>
        <v>-5643</v>
      </c>
      <c r="R27" s="26">
        <f t="shared" si="14"/>
        <v>4550</v>
      </c>
      <c r="S27" s="26">
        <f t="shared" si="15"/>
        <v>-1228</v>
      </c>
      <c r="T27" s="26">
        <f t="shared" si="16"/>
        <v>1368</v>
      </c>
      <c r="U27" s="26">
        <f t="shared" si="17"/>
        <v>-15033</v>
      </c>
      <c r="V27" s="26">
        <f t="shared" si="18"/>
        <v>12848</v>
      </c>
      <c r="W27" s="27">
        <f t="shared" si="19"/>
        <v>7352.1379883677373</v>
      </c>
      <c r="X27" s="27">
        <f t="shared" si="20"/>
        <v>19822.553241194739</v>
      </c>
      <c r="Y27" s="28">
        <f t="shared" si="21"/>
        <v>13.333333333333334</v>
      </c>
      <c r="Z27" s="27">
        <f t="shared" si="22"/>
        <v>1652.8194368889745</v>
      </c>
      <c r="AA27" s="27">
        <f t="shared" si="23"/>
        <v>14620.362013682075</v>
      </c>
      <c r="AB27" s="27">
        <f t="shared" si="24"/>
        <v>19578.820324348999</v>
      </c>
      <c r="AC27" s="27">
        <f t="shared" si="25"/>
        <v>143333.33333333334</v>
      </c>
      <c r="AD27" s="29">
        <f t="shared" si="26"/>
        <v>13.659642086755113</v>
      </c>
      <c r="AE27" s="30" t="str">
        <f t="shared" si="27"/>
        <v>PASS</v>
      </c>
      <c r="AG27" s="31"/>
      <c r="AH27" s="31">
        <f t="shared" si="28"/>
        <v>0</v>
      </c>
      <c r="AI27" s="31">
        <f t="shared" si="29"/>
        <v>0</v>
      </c>
      <c r="AJ27" s="31">
        <f t="shared" si="30"/>
        <v>0</v>
      </c>
      <c r="AK27" s="31">
        <f t="shared" si="31"/>
        <v>0</v>
      </c>
      <c r="AL27" s="31">
        <f t="shared" si="32"/>
        <v>0</v>
      </c>
      <c r="AM27" s="31">
        <f t="shared" si="33"/>
        <v>0</v>
      </c>
      <c r="AN27" s="32">
        <f t="shared" si="34"/>
        <v>0</v>
      </c>
      <c r="AO27" s="27">
        <f t="shared" si="35"/>
        <v>0</v>
      </c>
      <c r="AP27" s="27">
        <f t="shared" si="36"/>
        <v>0</v>
      </c>
      <c r="AQ27" s="27">
        <f t="shared" si="37"/>
        <v>1368</v>
      </c>
      <c r="AR27" s="27">
        <f t="shared" si="38"/>
        <v>-15033</v>
      </c>
      <c r="AS27" s="33">
        <f t="shared" si="39"/>
        <v>12848</v>
      </c>
      <c r="AT27" s="4"/>
    </row>
    <row r="28" spans="1:53" ht="15.75" customHeight="1" x14ac:dyDescent="0.25">
      <c r="A28" s="4"/>
      <c r="B28" s="34">
        <f t="shared" ref="B28:F28" si="46">IF(B27="","",B27)</f>
        <v>10210</v>
      </c>
      <c r="C28" s="26">
        <f t="shared" si="46"/>
        <v>24</v>
      </c>
      <c r="D28" s="26">
        <f t="shared" si="46"/>
        <v>0</v>
      </c>
      <c r="E28" s="26">
        <f t="shared" si="46"/>
        <v>0</v>
      </c>
      <c r="F28" s="26">
        <f t="shared" si="46"/>
        <v>0</v>
      </c>
      <c r="G28" s="24">
        <v>2466</v>
      </c>
      <c r="H28" s="24">
        <v>4149</v>
      </c>
      <c r="I28" s="24">
        <v>-4254</v>
      </c>
      <c r="J28" s="24">
        <v>-10413</v>
      </c>
      <c r="K28" s="24">
        <v>-15342</v>
      </c>
      <c r="L28" s="24">
        <v>1772</v>
      </c>
      <c r="M28" s="25" t="s">
        <v>110</v>
      </c>
      <c r="N28" s="26">
        <f t="shared" si="10"/>
        <v>0</v>
      </c>
      <c r="O28" s="26">
        <f t="shared" si="11"/>
        <v>0</v>
      </c>
      <c r="P28" s="26">
        <f t="shared" si="12"/>
        <v>0</v>
      </c>
      <c r="Q28" s="26">
        <f t="shared" si="13"/>
        <v>-4254</v>
      </c>
      <c r="R28" s="26">
        <f t="shared" si="14"/>
        <v>4149</v>
      </c>
      <c r="S28" s="26">
        <f t="shared" si="15"/>
        <v>-2466</v>
      </c>
      <c r="T28" s="26">
        <f t="shared" si="16"/>
        <v>1772</v>
      </c>
      <c r="U28" s="26">
        <f t="shared" si="17"/>
        <v>-15342</v>
      </c>
      <c r="V28" s="26">
        <f t="shared" si="18"/>
        <v>10413</v>
      </c>
      <c r="W28" s="27">
        <f t="shared" si="19"/>
        <v>6433.6516069802847</v>
      </c>
      <c r="X28" s="27">
        <f t="shared" si="20"/>
        <v>18626.527239397041</v>
      </c>
      <c r="Y28" s="28">
        <f t="shared" si="21"/>
        <v>13.333333333333334</v>
      </c>
      <c r="Z28" s="27">
        <f t="shared" si="22"/>
        <v>1446.3363504620238</v>
      </c>
      <c r="AA28" s="27">
        <f t="shared" si="23"/>
        <v>13738.21868374416</v>
      </c>
      <c r="AB28" s="27">
        <f t="shared" si="24"/>
        <v>18077.227735130233</v>
      </c>
      <c r="AC28" s="27">
        <f t="shared" si="25"/>
        <v>143333.33333333334</v>
      </c>
      <c r="AD28" s="29">
        <f t="shared" si="26"/>
        <v>12.612019350090858</v>
      </c>
      <c r="AE28" s="30" t="str">
        <f t="shared" si="27"/>
        <v>PASS</v>
      </c>
      <c r="AG28" s="31"/>
      <c r="AH28" s="31">
        <f t="shared" si="28"/>
        <v>0</v>
      </c>
      <c r="AI28" s="31">
        <f t="shared" si="29"/>
        <v>0</v>
      </c>
      <c r="AJ28" s="31">
        <f t="shared" si="30"/>
        <v>0</v>
      </c>
      <c r="AK28" s="31">
        <f t="shared" si="31"/>
        <v>0</v>
      </c>
      <c r="AL28" s="31">
        <f t="shared" si="32"/>
        <v>0</v>
      </c>
      <c r="AM28" s="31">
        <f t="shared" si="33"/>
        <v>0</v>
      </c>
      <c r="AN28" s="32">
        <f t="shared" si="34"/>
        <v>0</v>
      </c>
      <c r="AO28" s="27">
        <f t="shared" si="35"/>
        <v>0</v>
      </c>
      <c r="AP28" s="27">
        <f t="shared" si="36"/>
        <v>0</v>
      </c>
      <c r="AQ28" s="27">
        <f t="shared" si="37"/>
        <v>1772</v>
      </c>
      <c r="AR28" s="27">
        <f t="shared" si="38"/>
        <v>-15342</v>
      </c>
      <c r="AS28" s="33">
        <f t="shared" si="39"/>
        <v>10413</v>
      </c>
      <c r="AT28" s="4"/>
    </row>
    <row r="29" spans="1:53" ht="15.75" customHeight="1" x14ac:dyDescent="0.25">
      <c r="B29" s="34">
        <f t="shared" ref="B29:F29" si="47">IF(B28="","",B28)</f>
        <v>10210</v>
      </c>
      <c r="C29" s="26">
        <f t="shared" si="47"/>
        <v>24</v>
      </c>
      <c r="D29" s="26">
        <f t="shared" si="47"/>
        <v>0</v>
      </c>
      <c r="E29" s="26">
        <f t="shared" si="47"/>
        <v>0</v>
      </c>
      <c r="F29" s="26">
        <f t="shared" si="47"/>
        <v>0</v>
      </c>
      <c r="G29" s="24">
        <v>634</v>
      </c>
      <c r="H29" s="24">
        <v>5432</v>
      </c>
      <c r="I29" s="24">
        <v>-827</v>
      </c>
      <c r="J29" s="24">
        <v>2132</v>
      </c>
      <c r="K29" s="24">
        <v>-14471</v>
      </c>
      <c r="L29" s="24">
        <v>2359</v>
      </c>
      <c r="M29" s="25" t="s">
        <v>111</v>
      </c>
      <c r="N29" s="26">
        <f t="shared" si="10"/>
        <v>0</v>
      </c>
      <c r="O29" s="26">
        <f t="shared" si="11"/>
        <v>0</v>
      </c>
      <c r="P29" s="26">
        <f t="shared" si="12"/>
        <v>0</v>
      </c>
      <c r="Q29" s="26">
        <f t="shared" si="13"/>
        <v>-827</v>
      </c>
      <c r="R29" s="26">
        <f t="shared" si="14"/>
        <v>5432</v>
      </c>
      <c r="S29" s="26">
        <f t="shared" si="15"/>
        <v>-634</v>
      </c>
      <c r="T29" s="26">
        <f t="shared" si="16"/>
        <v>2359</v>
      </c>
      <c r="U29" s="26">
        <f t="shared" si="17"/>
        <v>-14471</v>
      </c>
      <c r="V29" s="26">
        <f t="shared" si="18"/>
        <v>-2132</v>
      </c>
      <c r="W29" s="27">
        <f t="shared" si="19"/>
        <v>5531.0495387403644</v>
      </c>
      <c r="X29" s="27">
        <f t="shared" si="20"/>
        <v>14816.212268997768</v>
      </c>
      <c r="Y29" s="28">
        <f t="shared" si="21"/>
        <v>13.333333333333334</v>
      </c>
      <c r="Z29" s="27">
        <f t="shared" si="22"/>
        <v>1243.4241847051439</v>
      </c>
      <c r="AA29" s="27">
        <f t="shared" si="23"/>
        <v>10927.875153546533</v>
      </c>
      <c r="AB29" s="27">
        <f t="shared" si="24"/>
        <v>14658.147707661965</v>
      </c>
      <c r="AC29" s="27">
        <f t="shared" si="25"/>
        <v>143333.33333333334</v>
      </c>
      <c r="AD29" s="29">
        <f t="shared" si="26"/>
        <v>10.226614679764161</v>
      </c>
      <c r="AE29" s="30" t="str">
        <f t="shared" si="27"/>
        <v>PASS</v>
      </c>
      <c r="AG29" s="31"/>
      <c r="AH29" s="31">
        <f t="shared" si="28"/>
        <v>0</v>
      </c>
      <c r="AI29" s="31">
        <f t="shared" si="29"/>
        <v>0</v>
      </c>
      <c r="AJ29" s="31">
        <f t="shared" si="30"/>
        <v>0</v>
      </c>
      <c r="AK29" s="31">
        <f t="shared" si="31"/>
        <v>0</v>
      </c>
      <c r="AL29" s="31">
        <f t="shared" si="32"/>
        <v>0</v>
      </c>
      <c r="AM29" s="31">
        <f t="shared" si="33"/>
        <v>0</v>
      </c>
      <c r="AN29" s="32">
        <f t="shared" si="34"/>
        <v>0</v>
      </c>
      <c r="AO29" s="27">
        <f t="shared" si="35"/>
        <v>0</v>
      </c>
      <c r="AP29" s="27">
        <f t="shared" si="36"/>
        <v>0</v>
      </c>
      <c r="AQ29" s="27">
        <f t="shared" si="37"/>
        <v>2359</v>
      </c>
      <c r="AR29" s="27">
        <f t="shared" si="38"/>
        <v>-14471</v>
      </c>
      <c r="AS29" s="33">
        <f t="shared" si="39"/>
        <v>-2132</v>
      </c>
    </row>
    <row r="30" spans="1:53" ht="15.75" customHeight="1" x14ac:dyDescent="0.25">
      <c r="A30" s="31"/>
      <c r="B30" s="34">
        <f t="shared" ref="B30:F30" si="48">IF(B29="","",B29)</f>
        <v>10210</v>
      </c>
      <c r="C30" s="26">
        <f t="shared" si="48"/>
        <v>24</v>
      </c>
      <c r="D30" s="26">
        <f t="shared" si="48"/>
        <v>0</v>
      </c>
      <c r="E30" s="26">
        <f t="shared" si="48"/>
        <v>0</v>
      </c>
      <c r="F30" s="26">
        <f t="shared" si="48"/>
        <v>0</v>
      </c>
      <c r="G30" s="24">
        <v>1458</v>
      </c>
      <c r="H30" s="24">
        <v>6308</v>
      </c>
      <c r="I30" s="24">
        <v>-2173</v>
      </c>
      <c r="J30" s="24">
        <v>-2162</v>
      </c>
      <c r="K30" s="24">
        <v>-15112</v>
      </c>
      <c r="L30" s="24">
        <v>1897</v>
      </c>
      <c r="M30" s="25" t="s">
        <v>112</v>
      </c>
      <c r="N30" s="26">
        <f t="shared" si="10"/>
        <v>0</v>
      </c>
      <c r="O30" s="26">
        <f t="shared" si="11"/>
        <v>0</v>
      </c>
      <c r="P30" s="26">
        <f t="shared" si="12"/>
        <v>0</v>
      </c>
      <c r="Q30" s="26">
        <f t="shared" si="13"/>
        <v>-2173</v>
      </c>
      <c r="R30" s="26">
        <f t="shared" si="14"/>
        <v>6308</v>
      </c>
      <c r="S30" s="26">
        <f t="shared" si="15"/>
        <v>-1458</v>
      </c>
      <c r="T30" s="26">
        <f t="shared" si="16"/>
        <v>1897</v>
      </c>
      <c r="U30" s="26">
        <f t="shared" si="17"/>
        <v>-15112</v>
      </c>
      <c r="V30" s="26">
        <f t="shared" si="18"/>
        <v>2162</v>
      </c>
      <c r="W30" s="27">
        <f t="shared" si="19"/>
        <v>6829.242783793823</v>
      </c>
      <c r="X30" s="27">
        <f t="shared" si="20"/>
        <v>15383.283037115321</v>
      </c>
      <c r="Y30" s="28">
        <f t="shared" si="21"/>
        <v>13.333333333333334</v>
      </c>
      <c r="Z30" s="27">
        <f t="shared" si="22"/>
        <v>1535.2684117391218</v>
      </c>
      <c r="AA30" s="27">
        <f t="shared" si="23"/>
        <v>11346.125003420851</v>
      </c>
      <c r="AB30" s="27">
        <f t="shared" si="24"/>
        <v>15951.930238638217</v>
      </c>
      <c r="AC30" s="27">
        <f t="shared" si="25"/>
        <v>143333.33333333334</v>
      </c>
      <c r="AD30" s="29">
        <f t="shared" si="26"/>
        <v>11.129253654863872</v>
      </c>
      <c r="AE30" s="30" t="str">
        <f t="shared" si="27"/>
        <v>PASS</v>
      </c>
      <c r="AG30" s="31"/>
      <c r="AH30" s="31">
        <f t="shared" si="28"/>
        <v>0</v>
      </c>
      <c r="AI30" s="31">
        <f t="shared" si="29"/>
        <v>0</v>
      </c>
      <c r="AJ30" s="31">
        <f t="shared" si="30"/>
        <v>0</v>
      </c>
      <c r="AK30" s="31">
        <f t="shared" si="31"/>
        <v>0</v>
      </c>
      <c r="AL30" s="31">
        <f t="shared" si="32"/>
        <v>0</v>
      </c>
      <c r="AM30" s="31">
        <f t="shared" si="33"/>
        <v>0</v>
      </c>
      <c r="AN30" s="32">
        <f t="shared" si="34"/>
        <v>0</v>
      </c>
      <c r="AO30" s="27">
        <f t="shared" si="35"/>
        <v>0</v>
      </c>
      <c r="AP30" s="27">
        <f t="shared" si="36"/>
        <v>0</v>
      </c>
      <c r="AQ30" s="27">
        <f t="shared" si="37"/>
        <v>1897</v>
      </c>
      <c r="AR30" s="27">
        <f t="shared" si="38"/>
        <v>-15112</v>
      </c>
      <c r="AS30" s="33">
        <f t="shared" si="39"/>
        <v>2162</v>
      </c>
    </row>
    <row r="31" spans="1:53" s="18" customFormat="1" ht="15.75" customHeight="1" x14ac:dyDescent="0.25">
      <c r="A31" s="16"/>
      <c r="B31" s="34">
        <f t="shared" ref="B31:F31" si="49">IF(B30="","",B30)</f>
        <v>10210</v>
      </c>
      <c r="C31" s="26">
        <f t="shared" si="49"/>
        <v>24</v>
      </c>
      <c r="D31" s="26">
        <f t="shared" si="49"/>
        <v>0</v>
      </c>
      <c r="E31" s="26">
        <f t="shared" si="49"/>
        <v>0</v>
      </c>
      <c r="F31" s="26">
        <f t="shared" si="49"/>
        <v>0</v>
      </c>
      <c r="G31" s="24">
        <v>1630</v>
      </c>
      <c r="H31" s="24">
        <v>3314</v>
      </c>
      <c r="I31" s="24">
        <v>-2139</v>
      </c>
      <c r="J31" s="24">
        <v>-2910</v>
      </c>
      <c r="K31" s="24">
        <v>-14944</v>
      </c>
      <c r="L31" s="24">
        <v>2158</v>
      </c>
      <c r="M31" s="25" t="s">
        <v>113</v>
      </c>
      <c r="N31" s="26">
        <f t="shared" si="10"/>
        <v>0</v>
      </c>
      <c r="O31" s="26">
        <f t="shared" si="11"/>
        <v>0</v>
      </c>
      <c r="P31" s="26">
        <f t="shared" si="12"/>
        <v>0</v>
      </c>
      <c r="Q31" s="26">
        <f t="shared" si="13"/>
        <v>-2139</v>
      </c>
      <c r="R31" s="26">
        <f t="shared" si="14"/>
        <v>3314</v>
      </c>
      <c r="S31" s="26">
        <f t="shared" si="15"/>
        <v>-1630</v>
      </c>
      <c r="T31" s="26">
        <f t="shared" si="16"/>
        <v>2158</v>
      </c>
      <c r="U31" s="26">
        <f t="shared" si="17"/>
        <v>-14944</v>
      </c>
      <c r="V31" s="26">
        <f t="shared" si="18"/>
        <v>2910</v>
      </c>
      <c r="W31" s="27">
        <f t="shared" si="19"/>
        <v>4267.8820274229702</v>
      </c>
      <c r="X31" s="27">
        <f t="shared" si="20"/>
        <v>15376.872243730193</v>
      </c>
      <c r="Y31" s="28">
        <f t="shared" si="21"/>
        <v>13.333333333333334</v>
      </c>
      <c r="Z31" s="27">
        <f t="shared" si="22"/>
        <v>959.45402282090311</v>
      </c>
      <c r="AA31" s="27">
        <f t="shared" si="23"/>
        <v>11341.396645830129</v>
      </c>
      <c r="AB31" s="27">
        <f t="shared" si="24"/>
        <v>14219.758714292839</v>
      </c>
      <c r="AC31" s="27">
        <f t="shared" si="25"/>
        <v>143333.33333333334</v>
      </c>
      <c r="AD31" s="29">
        <f t="shared" si="26"/>
        <v>9.9207618936926778</v>
      </c>
      <c r="AE31" s="30" t="str">
        <f t="shared" si="27"/>
        <v>PASS</v>
      </c>
      <c r="AF31" s="5"/>
      <c r="AG31" s="31"/>
      <c r="AH31" s="31">
        <f t="shared" si="28"/>
        <v>0</v>
      </c>
      <c r="AI31" s="31">
        <f t="shared" si="29"/>
        <v>0</v>
      </c>
      <c r="AJ31" s="31">
        <f t="shared" si="30"/>
        <v>0</v>
      </c>
      <c r="AK31" s="31">
        <f t="shared" si="31"/>
        <v>0</v>
      </c>
      <c r="AL31" s="31">
        <f t="shared" si="32"/>
        <v>0</v>
      </c>
      <c r="AM31" s="31">
        <f t="shared" si="33"/>
        <v>0</v>
      </c>
      <c r="AN31" s="32">
        <f t="shared" si="34"/>
        <v>0</v>
      </c>
      <c r="AO31" s="27">
        <f t="shared" si="35"/>
        <v>0</v>
      </c>
      <c r="AP31" s="27">
        <f t="shared" si="36"/>
        <v>0</v>
      </c>
      <c r="AQ31" s="27">
        <f t="shared" si="37"/>
        <v>2158</v>
      </c>
      <c r="AR31" s="27">
        <f t="shared" si="38"/>
        <v>-14944</v>
      </c>
      <c r="AS31" s="33">
        <f t="shared" si="39"/>
        <v>2910</v>
      </c>
    </row>
    <row r="32" spans="1:53" s="18" customFormat="1" ht="15.75" customHeight="1" x14ac:dyDescent="0.25">
      <c r="A32" s="16"/>
      <c r="B32" s="34">
        <f t="shared" ref="B32:F32" si="50">IF(B31="","",B31)</f>
        <v>10210</v>
      </c>
      <c r="C32" s="26">
        <f t="shared" si="50"/>
        <v>24</v>
      </c>
      <c r="D32" s="26">
        <f t="shared" si="50"/>
        <v>0</v>
      </c>
      <c r="E32" s="26">
        <f t="shared" si="50"/>
        <v>0</v>
      </c>
      <c r="F32" s="26">
        <f t="shared" si="50"/>
        <v>0</v>
      </c>
      <c r="G32" s="24">
        <v>1350</v>
      </c>
      <c r="H32" s="24">
        <v>4978</v>
      </c>
      <c r="I32" s="24">
        <v>-1016</v>
      </c>
      <c r="J32" s="24">
        <v>-839</v>
      </c>
      <c r="K32" s="24">
        <v>-15477</v>
      </c>
      <c r="L32" s="24">
        <v>2357</v>
      </c>
      <c r="M32" s="25" t="s">
        <v>114</v>
      </c>
      <c r="N32" s="26">
        <f t="shared" si="10"/>
        <v>0</v>
      </c>
      <c r="O32" s="26">
        <f t="shared" si="11"/>
        <v>0</v>
      </c>
      <c r="P32" s="26">
        <f t="shared" si="12"/>
        <v>0</v>
      </c>
      <c r="Q32" s="26">
        <f t="shared" si="13"/>
        <v>-1016</v>
      </c>
      <c r="R32" s="26">
        <f t="shared" si="14"/>
        <v>4978</v>
      </c>
      <c r="S32" s="26">
        <f t="shared" si="15"/>
        <v>-1350</v>
      </c>
      <c r="T32" s="26">
        <f t="shared" si="16"/>
        <v>2357</v>
      </c>
      <c r="U32" s="26">
        <f t="shared" si="17"/>
        <v>-15477</v>
      </c>
      <c r="V32" s="26">
        <f t="shared" si="18"/>
        <v>839</v>
      </c>
      <c r="W32" s="27">
        <f t="shared" si="19"/>
        <v>5256.9230544112015</v>
      </c>
      <c r="X32" s="27">
        <f t="shared" si="20"/>
        <v>15677.911181021533</v>
      </c>
      <c r="Y32" s="28">
        <f t="shared" si="21"/>
        <v>13.333333333333334</v>
      </c>
      <c r="Z32" s="27">
        <f t="shared" si="22"/>
        <v>1181.7983580160735</v>
      </c>
      <c r="AA32" s="27">
        <f t="shared" si="23"/>
        <v>11563.431526496604</v>
      </c>
      <c r="AB32" s="27">
        <f t="shared" si="24"/>
        <v>15108.826600544824</v>
      </c>
      <c r="AC32" s="27">
        <f t="shared" si="25"/>
        <v>143333.33333333334</v>
      </c>
      <c r="AD32" s="29">
        <f t="shared" si="26"/>
        <v>10.541041814333598</v>
      </c>
      <c r="AE32" s="30" t="str">
        <f t="shared" si="27"/>
        <v>PASS</v>
      </c>
      <c r="AF32" s="5"/>
      <c r="AG32" s="31"/>
      <c r="AH32" s="31">
        <f t="shared" si="28"/>
        <v>0</v>
      </c>
      <c r="AI32" s="31">
        <f t="shared" si="29"/>
        <v>0</v>
      </c>
      <c r="AJ32" s="31">
        <f t="shared" si="30"/>
        <v>0</v>
      </c>
      <c r="AK32" s="31">
        <f t="shared" si="31"/>
        <v>0</v>
      </c>
      <c r="AL32" s="31">
        <f t="shared" si="32"/>
        <v>0</v>
      </c>
      <c r="AM32" s="31">
        <f t="shared" si="33"/>
        <v>0</v>
      </c>
      <c r="AN32" s="32">
        <f t="shared" si="34"/>
        <v>0</v>
      </c>
      <c r="AO32" s="27">
        <f t="shared" si="35"/>
        <v>0</v>
      </c>
      <c r="AP32" s="27">
        <f t="shared" si="36"/>
        <v>0</v>
      </c>
      <c r="AQ32" s="27">
        <f t="shared" si="37"/>
        <v>2357</v>
      </c>
      <c r="AR32" s="27">
        <f t="shared" si="38"/>
        <v>-15477</v>
      </c>
      <c r="AS32" s="33">
        <f t="shared" si="39"/>
        <v>839</v>
      </c>
    </row>
    <row r="33" spans="1:46" s="15" customFormat="1" ht="15.75" customHeight="1" x14ac:dyDescent="0.25">
      <c r="A33" s="13"/>
      <c r="B33" s="34">
        <f t="shared" ref="B33:F33" si="51">IF(B32="","",B32)</f>
        <v>10210</v>
      </c>
      <c r="C33" s="26">
        <f t="shared" si="51"/>
        <v>24</v>
      </c>
      <c r="D33" s="26">
        <f t="shared" si="51"/>
        <v>0</v>
      </c>
      <c r="E33" s="26">
        <f t="shared" si="51"/>
        <v>0</v>
      </c>
      <c r="F33" s="26">
        <f t="shared" si="51"/>
        <v>0</v>
      </c>
      <c r="G33" s="24">
        <v>1595</v>
      </c>
      <c r="H33" s="24">
        <v>4399</v>
      </c>
      <c r="I33" s="24">
        <v>-6583</v>
      </c>
      <c r="J33" s="24">
        <v>-19255</v>
      </c>
      <c r="K33" s="24">
        <v>-12435</v>
      </c>
      <c r="L33" s="24">
        <v>3052</v>
      </c>
      <c r="M33" s="25" t="s">
        <v>115</v>
      </c>
      <c r="N33" s="26">
        <f t="shared" si="10"/>
        <v>0</v>
      </c>
      <c r="O33" s="26">
        <f t="shared" si="11"/>
        <v>0</v>
      </c>
      <c r="P33" s="26">
        <f t="shared" si="12"/>
        <v>0</v>
      </c>
      <c r="Q33" s="26">
        <f t="shared" si="13"/>
        <v>-6583</v>
      </c>
      <c r="R33" s="26">
        <f t="shared" si="14"/>
        <v>4399</v>
      </c>
      <c r="S33" s="26">
        <f t="shared" si="15"/>
        <v>-1595</v>
      </c>
      <c r="T33" s="26">
        <f t="shared" si="16"/>
        <v>3052</v>
      </c>
      <c r="U33" s="26">
        <f t="shared" si="17"/>
        <v>-12435</v>
      </c>
      <c r="V33" s="26">
        <f t="shared" si="18"/>
        <v>19255</v>
      </c>
      <c r="W33" s="27">
        <f t="shared" si="19"/>
        <v>8076.578173954611</v>
      </c>
      <c r="X33" s="27">
        <f t="shared" si="20"/>
        <v>23123.558419931825</v>
      </c>
      <c r="Y33" s="28">
        <f t="shared" si="21"/>
        <v>13.333333333333334</v>
      </c>
      <c r="Z33" s="27">
        <f t="shared" si="22"/>
        <v>1815.6793861303881</v>
      </c>
      <c r="AA33" s="27">
        <f t="shared" si="23"/>
        <v>17055.057995321757</v>
      </c>
      <c r="AB33" s="27">
        <f t="shared" si="24"/>
        <v>22502.096153712919</v>
      </c>
      <c r="AC33" s="27">
        <f t="shared" si="25"/>
        <v>143333.33333333334</v>
      </c>
      <c r="AD33" s="29">
        <f t="shared" si="26"/>
        <v>15.699136851427618</v>
      </c>
      <c r="AE33" s="30" t="str">
        <f t="shared" si="27"/>
        <v>PASS</v>
      </c>
      <c r="AF33" s="5"/>
      <c r="AG33" s="31"/>
      <c r="AH33" s="31">
        <f t="shared" si="28"/>
        <v>0</v>
      </c>
      <c r="AI33" s="31">
        <f t="shared" si="29"/>
        <v>0</v>
      </c>
      <c r="AJ33" s="31">
        <f t="shared" si="30"/>
        <v>0</v>
      </c>
      <c r="AK33" s="31">
        <f t="shared" si="31"/>
        <v>0</v>
      </c>
      <c r="AL33" s="31">
        <f t="shared" si="32"/>
        <v>0</v>
      </c>
      <c r="AM33" s="31">
        <f t="shared" si="33"/>
        <v>0</v>
      </c>
      <c r="AN33" s="32">
        <f t="shared" si="34"/>
        <v>0</v>
      </c>
      <c r="AO33" s="27">
        <f t="shared" si="35"/>
        <v>0</v>
      </c>
      <c r="AP33" s="27">
        <f t="shared" si="36"/>
        <v>0</v>
      </c>
      <c r="AQ33" s="27">
        <f t="shared" si="37"/>
        <v>3052</v>
      </c>
      <c r="AR33" s="27">
        <f t="shared" si="38"/>
        <v>-12435</v>
      </c>
      <c r="AS33" s="33">
        <f t="shared" si="39"/>
        <v>19255</v>
      </c>
    </row>
    <row r="34" spans="1:46" ht="15.75" hidden="1" customHeight="1" x14ac:dyDescent="0.25">
      <c r="A34" s="4"/>
      <c r="B34" s="34">
        <f t="shared" ref="B34:F34" si="52">IF(B33="","",B33)</f>
        <v>10210</v>
      </c>
      <c r="C34" s="26">
        <f t="shared" si="52"/>
        <v>24</v>
      </c>
      <c r="D34" s="26">
        <f t="shared" si="52"/>
        <v>0</v>
      </c>
      <c r="E34" s="26">
        <f t="shared" si="52"/>
        <v>0</v>
      </c>
      <c r="F34" s="26">
        <f t="shared" si="52"/>
        <v>0</v>
      </c>
      <c r="G34" s="24"/>
      <c r="H34" s="24"/>
      <c r="I34" s="24"/>
      <c r="J34" s="24"/>
      <c r="K34" s="24"/>
      <c r="L34" s="24"/>
      <c r="M34" s="25"/>
      <c r="N34" s="26" t="str">
        <f t="shared" si="10"/>
        <v/>
      </c>
      <c r="O34" s="26" t="str">
        <f t="shared" si="11"/>
        <v/>
      </c>
      <c r="P34" s="26" t="str">
        <f t="shared" si="12"/>
        <v/>
      </c>
      <c r="Q34" s="26">
        <f t="shared" si="13"/>
        <v>0</v>
      </c>
      <c r="R34" s="26">
        <f t="shared" si="14"/>
        <v>0</v>
      </c>
      <c r="S34" s="26">
        <f t="shared" si="15"/>
        <v>0</v>
      </c>
      <c r="T34" s="26" t="str">
        <f t="shared" si="16"/>
        <v/>
      </c>
      <c r="U34" s="26" t="str">
        <f t="shared" si="17"/>
        <v/>
      </c>
      <c r="V34" s="26" t="str">
        <f t="shared" si="18"/>
        <v/>
      </c>
      <c r="W34" s="27" t="str">
        <f t="shared" si="19"/>
        <v/>
      </c>
      <c r="X34" s="27" t="str">
        <f t="shared" si="20"/>
        <v/>
      </c>
      <c r="Y34" s="28" t="str">
        <f t="shared" si="21"/>
        <v/>
      </c>
      <c r="Z34" s="27" t="str">
        <f t="shared" si="22"/>
        <v/>
      </c>
      <c r="AA34" s="27" t="str">
        <f t="shared" si="23"/>
        <v/>
      </c>
      <c r="AB34" s="27" t="str">
        <f t="shared" si="24"/>
        <v/>
      </c>
      <c r="AC34" s="27" t="str">
        <f t="shared" si="25"/>
        <v/>
      </c>
      <c r="AD34" s="29" t="str">
        <f t="shared" si="26"/>
        <v/>
      </c>
      <c r="AE34" s="30" t="str">
        <f t="shared" si="27"/>
        <v/>
      </c>
      <c r="AG34" s="31"/>
      <c r="AH34" s="31" t="e">
        <f t="shared" si="28"/>
        <v>#VALUE!</v>
      </c>
      <c r="AI34" s="31" t="e">
        <f t="shared" si="29"/>
        <v>#VALUE!</v>
      </c>
      <c r="AJ34" s="31" t="e">
        <f t="shared" si="30"/>
        <v>#VALUE!</v>
      </c>
      <c r="AK34" s="31" t="e">
        <f t="shared" si="31"/>
        <v>#VALUE!</v>
      </c>
      <c r="AL34" s="31" t="e">
        <f t="shared" si="32"/>
        <v>#VALUE!</v>
      </c>
      <c r="AM34" s="31" t="e">
        <f t="shared" si="33"/>
        <v>#VALUE!</v>
      </c>
      <c r="AN34" s="32" t="str">
        <f t="shared" si="34"/>
        <v/>
      </c>
      <c r="AO34" s="27" t="str">
        <f t="shared" si="35"/>
        <v/>
      </c>
      <c r="AP34" s="27" t="str">
        <f t="shared" si="36"/>
        <v/>
      </c>
      <c r="AQ34" s="27">
        <f t="shared" si="37"/>
        <v>0</v>
      </c>
      <c r="AR34" s="27">
        <f t="shared" si="38"/>
        <v>0</v>
      </c>
      <c r="AS34" s="33">
        <f t="shared" si="39"/>
        <v>0</v>
      </c>
    </row>
    <row r="35" spans="1:46" ht="15.75" hidden="1" customHeight="1" x14ac:dyDescent="0.25">
      <c r="A35" s="4"/>
      <c r="B35" s="34">
        <f t="shared" ref="B35:F35" si="53">IF(B34="","",B34)</f>
        <v>10210</v>
      </c>
      <c r="C35" s="26">
        <f t="shared" si="53"/>
        <v>24</v>
      </c>
      <c r="D35" s="26">
        <f t="shared" si="53"/>
        <v>0</v>
      </c>
      <c r="E35" s="26">
        <f t="shared" si="53"/>
        <v>0</v>
      </c>
      <c r="F35" s="26">
        <f t="shared" si="53"/>
        <v>0</v>
      </c>
      <c r="G35" s="24"/>
      <c r="H35" s="24"/>
      <c r="I35" s="24"/>
      <c r="J35" s="24"/>
      <c r="K35" s="24"/>
      <c r="L35" s="24"/>
      <c r="M35" s="25"/>
      <c r="N35" s="26" t="str">
        <f t="shared" si="10"/>
        <v/>
      </c>
      <c r="O35" s="26" t="str">
        <f t="shared" si="11"/>
        <v/>
      </c>
      <c r="P35" s="26" t="str">
        <f t="shared" si="12"/>
        <v/>
      </c>
      <c r="Q35" s="26">
        <f t="shared" si="13"/>
        <v>0</v>
      </c>
      <c r="R35" s="26">
        <f t="shared" si="14"/>
        <v>0</v>
      </c>
      <c r="S35" s="26">
        <f t="shared" si="15"/>
        <v>0</v>
      </c>
      <c r="T35" s="26" t="str">
        <f t="shared" si="16"/>
        <v/>
      </c>
      <c r="U35" s="26" t="str">
        <f t="shared" si="17"/>
        <v/>
      </c>
      <c r="V35" s="26" t="str">
        <f t="shared" si="18"/>
        <v/>
      </c>
      <c r="W35" s="27" t="str">
        <f t="shared" si="19"/>
        <v/>
      </c>
      <c r="X35" s="27" t="str">
        <f t="shared" si="20"/>
        <v/>
      </c>
      <c r="Y35" s="28" t="str">
        <f t="shared" si="21"/>
        <v/>
      </c>
      <c r="Z35" s="27" t="str">
        <f t="shared" si="22"/>
        <v/>
      </c>
      <c r="AA35" s="27" t="str">
        <f t="shared" si="23"/>
        <v/>
      </c>
      <c r="AB35" s="27" t="str">
        <f t="shared" si="24"/>
        <v/>
      </c>
      <c r="AC35" s="27" t="str">
        <f t="shared" si="25"/>
        <v/>
      </c>
      <c r="AD35" s="29" t="str">
        <f t="shared" si="26"/>
        <v/>
      </c>
      <c r="AE35" s="30" t="str">
        <f t="shared" si="27"/>
        <v/>
      </c>
      <c r="AG35" s="31"/>
      <c r="AH35" s="31" t="e">
        <f t="shared" si="28"/>
        <v>#VALUE!</v>
      </c>
      <c r="AI35" s="31" t="e">
        <f t="shared" si="29"/>
        <v>#VALUE!</v>
      </c>
      <c r="AJ35" s="31" t="e">
        <f t="shared" si="30"/>
        <v>#VALUE!</v>
      </c>
      <c r="AK35" s="31" t="e">
        <f t="shared" si="31"/>
        <v>#VALUE!</v>
      </c>
      <c r="AL35" s="31" t="e">
        <f t="shared" si="32"/>
        <v>#VALUE!</v>
      </c>
      <c r="AM35" s="31" t="e">
        <f t="shared" si="33"/>
        <v>#VALUE!</v>
      </c>
      <c r="AN35" s="32" t="str">
        <f t="shared" si="34"/>
        <v/>
      </c>
      <c r="AO35" s="27" t="str">
        <f t="shared" si="35"/>
        <v/>
      </c>
      <c r="AP35" s="27" t="str">
        <f t="shared" si="36"/>
        <v/>
      </c>
      <c r="AQ35" s="27">
        <f t="shared" si="37"/>
        <v>0</v>
      </c>
      <c r="AR35" s="27">
        <f t="shared" si="38"/>
        <v>0</v>
      </c>
      <c r="AS35" s="33">
        <f t="shared" si="39"/>
        <v>0</v>
      </c>
    </row>
    <row r="36" spans="1:46" ht="15.75" hidden="1" customHeight="1" x14ac:dyDescent="0.25">
      <c r="A36" s="4"/>
      <c r="B36" s="34">
        <f t="shared" ref="B36:F36" si="54">IF(B35="","",B35)</f>
        <v>10210</v>
      </c>
      <c r="C36" s="26">
        <f t="shared" si="54"/>
        <v>24</v>
      </c>
      <c r="D36" s="26">
        <f t="shared" si="54"/>
        <v>0</v>
      </c>
      <c r="E36" s="26">
        <f t="shared" si="54"/>
        <v>0</v>
      </c>
      <c r="F36" s="26">
        <f t="shared" si="54"/>
        <v>0</v>
      </c>
      <c r="G36" s="24"/>
      <c r="H36" s="24"/>
      <c r="I36" s="24"/>
      <c r="J36" s="24"/>
      <c r="K36" s="24"/>
      <c r="L36" s="24"/>
      <c r="M36" s="25"/>
      <c r="N36" s="26" t="str">
        <f t="shared" si="10"/>
        <v/>
      </c>
      <c r="O36" s="26" t="str">
        <f t="shared" si="11"/>
        <v/>
      </c>
      <c r="P36" s="26" t="str">
        <f t="shared" si="12"/>
        <v/>
      </c>
      <c r="Q36" s="26">
        <f t="shared" si="13"/>
        <v>0</v>
      </c>
      <c r="R36" s="26">
        <f t="shared" si="14"/>
        <v>0</v>
      </c>
      <c r="S36" s="26">
        <f t="shared" si="15"/>
        <v>0</v>
      </c>
      <c r="T36" s="26" t="str">
        <f t="shared" si="16"/>
        <v/>
      </c>
      <c r="U36" s="26" t="str">
        <f t="shared" si="17"/>
        <v/>
      </c>
      <c r="V36" s="26" t="str">
        <f t="shared" si="18"/>
        <v/>
      </c>
      <c r="W36" s="27" t="str">
        <f t="shared" si="19"/>
        <v/>
      </c>
      <c r="X36" s="27" t="str">
        <f t="shared" si="20"/>
        <v/>
      </c>
      <c r="Y36" s="28" t="str">
        <f t="shared" si="21"/>
        <v/>
      </c>
      <c r="Z36" s="27" t="str">
        <f t="shared" si="22"/>
        <v/>
      </c>
      <c r="AA36" s="27" t="str">
        <f t="shared" si="23"/>
        <v/>
      </c>
      <c r="AB36" s="27" t="str">
        <f t="shared" si="24"/>
        <v/>
      </c>
      <c r="AC36" s="27" t="str">
        <f t="shared" si="25"/>
        <v/>
      </c>
      <c r="AD36" s="29" t="str">
        <f t="shared" si="26"/>
        <v/>
      </c>
      <c r="AE36" s="30" t="str">
        <f t="shared" si="27"/>
        <v/>
      </c>
      <c r="AG36" s="31"/>
      <c r="AH36" s="31" t="e">
        <f t="shared" si="28"/>
        <v>#VALUE!</v>
      </c>
      <c r="AI36" s="31" t="e">
        <f t="shared" si="29"/>
        <v>#VALUE!</v>
      </c>
      <c r="AJ36" s="31" t="e">
        <f t="shared" si="30"/>
        <v>#VALUE!</v>
      </c>
      <c r="AK36" s="31" t="e">
        <f t="shared" si="31"/>
        <v>#VALUE!</v>
      </c>
      <c r="AL36" s="31" t="e">
        <f t="shared" si="32"/>
        <v>#VALUE!</v>
      </c>
      <c r="AM36" s="31" t="e">
        <f t="shared" si="33"/>
        <v>#VALUE!</v>
      </c>
      <c r="AN36" s="32" t="str">
        <f t="shared" si="34"/>
        <v/>
      </c>
      <c r="AO36" s="27" t="str">
        <f t="shared" si="35"/>
        <v/>
      </c>
      <c r="AP36" s="27" t="str">
        <f t="shared" si="36"/>
        <v/>
      </c>
      <c r="AQ36" s="27">
        <f t="shared" si="37"/>
        <v>0</v>
      </c>
      <c r="AR36" s="27">
        <f t="shared" si="38"/>
        <v>0</v>
      </c>
      <c r="AS36" s="33">
        <f t="shared" si="39"/>
        <v>0</v>
      </c>
    </row>
    <row r="37" spans="1:46" ht="15.75" hidden="1" customHeight="1" x14ac:dyDescent="0.25">
      <c r="A37" s="4"/>
      <c r="B37" s="34">
        <f t="shared" ref="B37:F37" si="55">IF(B36="","",B36)</f>
        <v>10210</v>
      </c>
      <c r="C37" s="26">
        <f t="shared" si="55"/>
        <v>24</v>
      </c>
      <c r="D37" s="26">
        <f t="shared" si="55"/>
        <v>0</v>
      </c>
      <c r="E37" s="26">
        <f t="shared" si="55"/>
        <v>0</v>
      </c>
      <c r="F37" s="26">
        <f t="shared" si="55"/>
        <v>0</v>
      </c>
      <c r="G37" s="24"/>
      <c r="H37" s="24"/>
      <c r="I37" s="24"/>
      <c r="J37" s="24"/>
      <c r="K37" s="24"/>
      <c r="L37" s="24"/>
      <c r="M37" s="25"/>
      <c r="N37" s="26" t="str">
        <f t="shared" si="10"/>
        <v/>
      </c>
      <c r="O37" s="26" t="str">
        <f t="shared" si="11"/>
        <v/>
      </c>
      <c r="P37" s="26" t="str">
        <f t="shared" si="12"/>
        <v/>
      </c>
      <c r="Q37" s="26">
        <f t="shared" si="13"/>
        <v>0</v>
      </c>
      <c r="R37" s="26">
        <f t="shared" si="14"/>
        <v>0</v>
      </c>
      <c r="S37" s="26">
        <f t="shared" si="15"/>
        <v>0</v>
      </c>
      <c r="T37" s="26" t="str">
        <f t="shared" si="16"/>
        <v/>
      </c>
      <c r="U37" s="26" t="str">
        <f t="shared" si="17"/>
        <v/>
      </c>
      <c r="V37" s="26" t="str">
        <f t="shared" si="18"/>
        <v/>
      </c>
      <c r="W37" s="27" t="str">
        <f t="shared" si="19"/>
        <v/>
      </c>
      <c r="X37" s="27" t="str">
        <f t="shared" si="20"/>
        <v/>
      </c>
      <c r="Y37" s="28" t="str">
        <f t="shared" si="21"/>
        <v/>
      </c>
      <c r="Z37" s="27" t="str">
        <f t="shared" si="22"/>
        <v/>
      </c>
      <c r="AA37" s="27" t="str">
        <f t="shared" si="23"/>
        <v/>
      </c>
      <c r="AB37" s="27" t="str">
        <f t="shared" si="24"/>
        <v/>
      </c>
      <c r="AC37" s="27" t="str">
        <f t="shared" si="25"/>
        <v/>
      </c>
      <c r="AD37" s="29" t="str">
        <f t="shared" si="26"/>
        <v/>
      </c>
      <c r="AE37" s="30" t="str">
        <f t="shared" si="27"/>
        <v/>
      </c>
      <c r="AG37" s="31"/>
      <c r="AH37" s="31" t="e">
        <f t="shared" si="28"/>
        <v>#VALUE!</v>
      </c>
      <c r="AI37" s="31" t="e">
        <f t="shared" si="29"/>
        <v>#VALUE!</v>
      </c>
      <c r="AJ37" s="31" t="e">
        <f t="shared" si="30"/>
        <v>#VALUE!</v>
      </c>
      <c r="AK37" s="31" t="e">
        <f t="shared" si="31"/>
        <v>#VALUE!</v>
      </c>
      <c r="AL37" s="31" t="e">
        <f t="shared" si="32"/>
        <v>#VALUE!</v>
      </c>
      <c r="AM37" s="31" t="e">
        <f t="shared" si="33"/>
        <v>#VALUE!</v>
      </c>
      <c r="AN37" s="32" t="str">
        <f t="shared" si="34"/>
        <v/>
      </c>
      <c r="AO37" s="27" t="str">
        <f t="shared" si="35"/>
        <v/>
      </c>
      <c r="AP37" s="27" t="str">
        <f t="shared" si="36"/>
        <v/>
      </c>
      <c r="AQ37" s="27">
        <f t="shared" si="37"/>
        <v>0</v>
      </c>
      <c r="AR37" s="27">
        <f t="shared" si="38"/>
        <v>0</v>
      </c>
      <c r="AS37" s="33">
        <f t="shared" si="39"/>
        <v>0</v>
      </c>
    </row>
    <row r="38" spans="1:46" ht="15.75" hidden="1" customHeight="1" x14ac:dyDescent="0.25">
      <c r="A38" s="4"/>
      <c r="B38" s="34">
        <f t="shared" ref="B38:F38" si="56">IF(B37="","",B37)</f>
        <v>10210</v>
      </c>
      <c r="C38" s="26">
        <f t="shared" si="56"/>
        <v>24</v>
      </c>
      <c r="D38" s="26">
        <f t="shared" si="56"/>
        <v>0</v>
      </c>
      <c r="E38" s="26">
        <f t="shared" si="56"/>
        <v>0</v>
      </c>
      <c r="F38" s="26">
        <f t="shared" si="56"/>
        <v>0</v>
      </c>
      <c r="G38" s="24"/>
      <c r="H38" s="24"/>
      <c r="I38" s="24"/>
      <c r="J38" s="24"/>
      <c r="K38" s="24"/>
      <c r="L38" s="24"/>
      <c r="M38" s="25"/>
      <c r="N38" s="26" t="str">
        <f t="shared" si="10"/>
        <v/>
      </c>
      <c r="O38" s="26" t="str">
        <f t="shared" si="11"/>
        <v/>
      </c>
      <c r="P38" s="26" t="str">
        <f t="shared" si="12"/>
        <v/>
      </c>
      <c r="Q38" s="26">
        <f t="shared" si="13"/>
        <v>0</v>
      </c>
      <c r="R38" s="26">
        <f t="shared" si="14"/>
        <v>0</v>
      </c>
      <c r="S38" s="26">
        <f t="shared" si="15"/>
        <v>0</v>
      </c>
      <c r="T38" s="26" t="str">
        <f t="shared" si="16"/>
        <v/>
      </c>
      <c r="U38" s="26" t="str">
        <f t="shared" si="17"/>
        <v/>
      </c>
      <c r="V38" s="26" t="str">
        <f t="shared" si="18"/>
        <v/>
      </c>
      <c r="W38" s="27" t="str">
        <f t="shared" si="19"/>
        <v/>
      </c>
      <c r="X38" s="27" t="str">
        <f t="shared" si="20"/>
        <v/>
      </c>
      <c r="Y38" s="28" t="str">
        <f t="shared" si="21"/>
        <v/>
      </c>
      <c r="Z38" s="27" t="str">
        <f t="shared" si="22"/>
        <v/>
      </c>
      <c r="AA38" s="27" t="str">
        <f t="shared" si="23"/>
        <v/>
      </c>
      <c r="AB38" s="27" t="str">
        <f t="shared" si="24"/>
        <v/>
      </c>
      <c r="AC38" s="27" t="str">
        <f t="shared" si="25"/>
        <v/>
      </c>
      <c r="AD38" s="29" t="str">
        <f t="shared" si="26"/>
        <v/>
      </c>
      <c r="AE38" s="30" t="str">
        <f t="shared" si="27"/>
        <v/>
      </c>
      <c r="AG38" s="31"/>
      <c r="AH38" s="31" t="e">
        <f t="shared" si="28"/>
        <v>#VALUE!</v>
      </c>
      <c r="AI38" s="31" t="e">
        <f t="shared" si="29"/>
        <v>#VALUE!</v>
      </c>
      <c r="AJ38" s="31" t="e">
        <f t="shared" si="30"/>
        <v>#VALUE!</v>
      </c>
      <c r="AK38" s="31" t="e">
        <f t="shared" si="31"/>
        <v>#VALUE!</v>
      </c>
      <c r="AL38" s="31" t="e">
        <f t="shared" si="32"/>
        <v>#VALUE!</v>
      </c>
      <c r="AM38" s="31" t="e">
        <f t="shared" si="33"/>
        <v>#VALUE!</v>
      </c>
      <c r="AN38" s="32" t="str">
        <f t="shared" si="34"/>
        <v/>
      </c>
      <c r="AO38" s="27" t="str">
        <f t="shared" si="35"/>
        <v/>
      </c>
      <c r="AP38" s="27" t="str">
        <f t="shared" si="36"/>
        <v/>
      </c>
      <c r="AQ38" s="27">
        <f t="shared" si="37"/>
        <v>0</v>
      </c>
      <c r="AR38" s="27">
        <f t="shared" si="38"/>
        <v>0</v>
      </c>
      <c r="AS38" s="33">
        <f t="shared" si="39"/>
        <v>0</v>
      </c>
    </row>
    <row r="39" spans="1:46" ht="15.75" hidden="1" customHeight="1" x14ac:dyDescent="0.25">
      <c r="A39" s="4"/>
      <c r="B39" s="34">
        <f t="shared" ref="B39:F39" si="57">IF(B38="","",B38)</f>
        <v>10210</v>
      </c>
      <c r="C39" s="26">
        <f t="shared" si="57"/>
        <v>24</v>
      </c>
      <c r="D39" s="26">
        <f t="shared" si="57"/>
        <v>0</v>
      </c>
      <c r="E39" s="26">
        <f t="shared" si="57"/>
        <v>0</v>
      </c>
      <c r="F39" s="26">
        <f t="shared" si="57"/>
        <v>0</v>
      </c>
      <c r="G39" s="24"/>
      <c r="H39" s="24"/>
      <c r="I39" s="24"/>
      <c r="J39" s="24"/>
      <c r="K39" s="24"/>
      <c r="L39" s="24"/>
      <c r="M39" s="25"/>
      <c r="N39" s="26" t="str">
        <f t="shared" si="10"/>
        <v/>
      </c>
      <c r="O39" s="26" t="str">
        <f t="shared" si="11"/>
        <v/>
      </c>
      <c r="P39" s="26" t="str">
        <f t="shared" si="12"/>
        <v/>
      </c>
      <c r="Q39" s="26">
        <f t="shared" si="13"/>
        <v>0</v>
      </c>
      <c r="R39" s="26">
        <f t="shared" si="14"/>
        <v>0</v>
      </c>
      <c r="S39" s="26">
        <f t="shared" si="15"/>
        <v>0</v>
      </c>
      <c r="T39" s="26" t="str">
        <f t="shared" si="16"/>
        <v/>
      </c>
      <c r="U39" s="26" t="str">
        <f t="shared" si="17"/>
        <v/>
      </c>
      <c r="V39" s="26" t="str">
        <f t="shared" si="18"/>
        <v/>
      </c>
      <c r="W39" s="27" t="str">
        <f t="shared" si="19"/>
        <v/>
      </c>
      <c r="X39" s="27" t="str">
        <f t="shared" si="20"/>
        <v/>
      </c>
      <c r="Y39" s="28" t="str">
        <f t="shared" si="21"/>
        <v/>
      </c>
      <c r="Z39" s="27" t="str">
        <f t="shared" si="22"/>
        <v/>
      </c>
      <c r="AA39" s="27" t="str">
        <f t="shared" si="23"/>
        <v/>
      </c>
      <c r="AB39" s="27" t="str">
        <f t="shared" si="24"/>
        <v/>
      </c>
      <c r="AC39" s="27" t="str">
        <f t="shared" si="25"/>
        <v/>
      </c>
      <c r="AD39" s="29" t="str">
        <f t="shared" si="26"/>
        <v/>
      </c>
      <c r="AE39" s="30" t="str">
        <f t="shared" si="27"/>
        <v/>
      </c>
      <c r="AG39" s="31"/>
      <c r="AH39" s="31" t="e">
        <f t="shared" si="28"/>
        <v>#VALUE!</v>
      </c>
      <c r="AI39" s="31" t="e">
        <f t="shared" si="29"/>
        <v>#VALUE!</v>
      </c>
      <c r="AJ39" s="31" t="e">
        <f t="shared" si="30"/>
        <v>#VALUE!</v>
      </c>
      <c r="AK39" s="31" t="e">
        <f t="shared" si="31"/>
        <v>#VALUE!</v>
      </c>
      <c r="AL39" s="31" t="e">
        <f t="shared" si="32"/>
        <v>#VALUE!</v>
      </c>
      <c r="AM39" s="31" t="e">
        <f t="shared" si="33"/>
        <v>#VALUE!</v>
      </c>
      <c r="AN39" s="32" t="str">
        <f t="shared" si="34"/>
        <v/>
      </c>
      <c r="AO39" s="27" t="str">
        <f t="shared" si="35"/>
        <v/>
      </c>
      <c r="AP39" s="27" t="str">
        <f t="shared" si="36"/>
        <v/>
      </c>
      <c r="AQ39" s="27">
        <f t="shared" si="37"/>
        <v>0</v>
      </c>
      <c r="AR39" s="27">
        <f t="shared" si="38"/>
        <v>0</v>
      </c>
      <c r="AS39" s="33">
        <f t="shared" si="39"/>
        <v>0</v>
      </c>
    </row>
    <row r="40" spans="1:46" ht="15.75" hidden="1" customHeight="1" x14ac:dyDescent="0.25">
      <c r="A40" s="4"/>
      <c r="B40" s="34">
        <f t="shared" ref="B40:F40" si="58">IF(B39="","",B39)</f>
        <v>10210</v>
      </c>
      <c r="C40" s="26">
        <f t="shared" si="58"/>
        <v>24</v>
      </c>
      <c r="D40" s="26">
        <f t="shared" si="58"/>
        <v>0</v>
      </c>
      <c r="E40" s="26">
        <f t="shared" si="58"/>
        <v>0</v>
      </c>
      <c r="F40" s="26">
        <f t="shared" si="58"/>
        <v>0</v>
      </c>
      <c r="G40" s="24"/>
      <c r="H40" s="24"/>
      <c r="I40" s="24"/>
      <c r="J40" s="24"/>
      <c r="K40" s="24"/>
      <c r="L40" s="24"/>
      <c r="M40" s="25"/>
      <c r="N40" s="26" t="str">
        <f t="shared" si="10"/>
        <v/>
      </c>
      <c r="O40" s="26" t="str">
        <f t="shared" si="11"/>
        <v/>
      </c>
      <c r="P40" s="26" t="str">
        <f t="shared" si="12"/>
        <v/>
      </c>
      <c r="Q40" s="26">
        <f t="shared" si="13"/>
        <v>0</v>
      </c>
      <c r="R40" s="26">
        <f t="shared" si="14"/>
        <v>0</v>
      </c>
      <c r="S40" s="26">
        <f t="shared" si="15"/>
        <v>0</v>
      </c>
      <c r="T40" s="26" t="str">
        <f t="shared" si="16"/>
        <v/>
      </c>
      <c r="U40" s="26" t="str">
        <f t="shared" si="17"/>
        <v/>
      </c>
      <c r="V40" s="26" t="str">
        <f t="shared" si="18"/>
        <v/>
      </c>
      <c r="W40" s="27" t="str">
        <f t="shared" si="19"/>
        <v/>
      </c>
      <c r="X40" s="27" t="str">
        <f t="shared" si="20"/>
        <v/>
      </c>
      <c r="Y40" s="28" t="str">
        <f t="shared" si="21"/>
        <v/>
      </c>
      <c r="Z40" s="27" t="str">
        <f t="shared" si="22"/>
        <v/>
      </c>
      <c r="AA40" s="27" t="str">
        <f t="shared" si="23"/>
        <v/>
      </c>
      <c r="AB40" s="27" t="str">
        <f t="shared" si="24"/>
        <v/>
      </c>
      <c r="AC40" s="27" t="str">
        <f t="shared" si="25"/>
        <v/>
      </c>
      <c r="AD40" s="29" t="str">
        <f t="shared" si="26"/>
        <v/>
      </c>
      <c r="AE40" s="30" t="str">
        <f t="shared" si="27"/>
        <v/>
      </c>
      <c r="AG40" s="31"/>
      <c r="AH40" s="31" t="e">
        <f t="shared" si="28"/>
        <v>#VALUE!</v>
      </c>
      <c r="AI40" s="31" t="e">
        <f t="shared" si="29"/>
        <v>#VALUE!</v>
      </c>
      <c r="AJ40" s="31" t="e">
        <f t="shared" si="30"/>
        <v>#VALUE!</v>
      </c>
      <c r="AK40" s="31" t="e">
        <f t="shared" si="31"/>
        <v>#VALUE!</v>
      </c>
      <c r="AL40" s="31" t="e">
        <f t="shared" si="32"/>
        <v>#VALUE!</v>
      </c>
      <c r="AM40" s="31" t="e">
        <f t="shared" si="33"/>
        <v>#VALUE!</v>
      </c>
      <c r="AN40" s="32" t="str">
        <f t="shared" si="34"/>
        <v/>
      </c>
      <c r="AO40" s="27" t="str">
        <f t="shared" si="35"/>
        <v/>
      </c>
      <c r="AP40" s="27" t="str">
        <f t="shared" si="36"/>
        <v/>
      </c>
      <c r="AQ40" s="27">
        <f t="shared" si="37"/>
        <v>0</v>
      </c>
      <c r="AR40" s="27">
        <f t="shared" si="38"/>
        <v>0</v>
      </c>
      <c r="AS40" s="33">
        <f t="shared" si="39"/>
        <v>0</v>
      </c>
    </row>
    <row r="41" spans="1:46" ht="15.75" hidden="1" customHeight="1" x14ac:dyDescent="0.25">
      <c r="A41" s="4"/>
      <c r="B41" s="34">
        <f t="shared" ref="B41:F41" si="59">IF(B40="","",B40)</f>
        <v>10210</v>
      </c>
      <c r="C41" s="26">
        <f t="shared" si="59"/>
        <v>24</v>
      </c>
      <c r="D41" s="26">
        <f t="shared" si="59"/>
        <v>0</v>
      </c>
      <c r="E41" s="26">
        <f t="shared" si="59"/>
        <v>0</v>
      </c>
      <c r="F41" s="26">
        <f t="shared" si="59"/>
        <v>0</v>
      </c>
      <c r="G41" s="24"/>
      <c r="H41" s="24"/>
      <c r="I41" s="24"/>
      <c r="J41" s="24"/>
      <c r="K41" s="24"/>
      <c r="L41" s="24"/>
      <c r="M41" s="25"/>
      <c r="N41" s="26" t="str">
        <f t="shared" si="10"/>
        <v/>
      </c>
      <c r="O41" s="26" t="str">
        <f t="shared" si="11"/>
        <v/>
      </c>
      <c r="P41" s="26" t="str">
        <f t="shared" si="12"/>
        <v/>
      </c>
      <c r="Q41" s="26">
        <f t="shared" si="13"/>
        <v>0</v>
      </c>
      <c r="R41" s="26">
        <f t="shared" si="14"/>
        <v>0</v>
      </c>
      <c r="S41" s="26">
        <f t="shared" si="15"/>
        <v>0</v>
      </c>
      <c r="T41" s="26" t="str">
        <f t="shared" si="16"/>
        <v/>
      </c>
      <c r="U41" s="26" t="str">
        <f t="shared" si="17"/>
        <v/>
      </c>
      <c r="V41" s="26" t="str">
        <f t="shared" si="18"/>
        <v/>
      </c>
      <c r="W41" s="27" t="str">
        <f t="shared" si="19"/>
        <v/>
      </c>
      <c r="X41" s="27" t="str">
        <f t="shared" si="20"/>
        <v/>
      </c>
      <c r="Y41" s="28" t="str">
        <f t="shared" si="21"/>
        <v/>
      </c>
      <c r="Z41" s="27" t="str">
        <f t="shared" si="22"/>
        <v/>
      </c>
      <c r="AA41" s="27" t="str">
        <f t="shared" si="23"/>
        <v/>
      </c>
      <c r="AB41" s="27" t="str">
        <f t="shared" si="24"/>
        <v/>
      </c>
      <c r="AC41" s="27" t="str">
        <f t="shared" si="25"/>
        <v/>
      </c>
      <c r="AD41" s="29" t="str">
        <f t="shared" si="26"/>
        <v/>
      </c>
      <c r="AE41" s="30" t="str">
        <f t="shared" si="27"/>
        <v/>
      </c>
      <c r="AG41" s="31"/>
      <c r="AH41" s="31" t="e">
        <f t="shared" si="28"/>
        <v>#VALUE!</v>
      </c>
      <c r="AI41" s="31" t="e">
        <f t="shared" si="29"/>
        <v>#VALUE!</v>
      </c>
      <c r="AJ41" s="31" t="e">
        <f t="shared" si="30"/>
        <v>#VALUE!</v>
      </c>
      <c r="AK41" s="31" t="e">
        <f t="shared" si="31"/>
        <v>#VALUE!</v>
      </c>
      <c r="AL41" s="31" t="e">
        <f t="shared" si="32"/>
        <v>#VALUE!</v>
      </c>
      <c r="AM41" s="31" t="e">
        <f t="shared" si="33"/>
        <v>#VALUE!</v>
      </c>
      <c r="AN41" s="32" t="str">
        <f t="shared" si="34"/>
        <v/>
      </c>
      <c r="AO41" s="27" t="str">
        <f t="shared" si="35"/>
        <v/>
      </c>
      <c r="AP41" s="27" t="str">
        <f t="shared" si="36"/>
        <v/>
      </c>
      <c r="AQ41" s="27">
        <f t="shared" si="37"/>
        <v>0</v>
      </c>
      <c r="AR41" s="27">
        <f t="shared" si="38"/>
        <v>0</v>
      </c>
      <c r="AS41" s="33">
        <f t="shared" si="39"/>
        <v>0</v>
      </c>
    </row>
    <row r="42" spans="1:46" ht="15.75" hidden="1" customHeight="1" x14ac:dyDescent="0.25">
      <c r="A42" s="4"/>
      <c r="B42" s="34">
        <f t="shared" ref="B42:F42" si="60">IF(B41="","",B41)</f>
        <v>10210</v>
      </c>
      <c r="C42" s="26">
        <f t="shared" si="60"/>
        <v>24</v>
      </c>
      <c r="D42" s="26">
        <f t="shared" si="60"/>
        <v>0</v>
      </c>
      <c r="E42" s="26">
        <f t="shared" si="60"/>
        <v>0</v>
      </c>
      <c r="F42" s="26">
        <f t="shared" si="60"/>
        <v>0</v>
      </c>
      <c r="G42" s="24"/>
      <c r="H42" s="24"/>
      <c r="I42" s="24"/>
      <c r="J42" s="24"/>
      <c r="K42" s="24"/>
      <c r="L42" s="24"/>
      <c r="M42" s="25"/>
      <c r="N42" s="26" t="str">
        <f t="shared" si="10"/>
        <v/>
      </c>
      <c r="O42" s="26" t="str">
        <f t="shared" si="11"/>
        <v/>
      </c>
      <c r="P42" s="26" t="str">
        <f t="shared" si="12"/>
        <v/>
      </c>
      <c r="Q42" s="26">
        <f t="shared" si="13"/>
        <v>0</v>
      </c>
      <c r="R42" s="26">
        <f t="shared" si="14"/>
        <v>0</v>
      </c>
      <c r="S42" s="26">
        <f t="shared" si="15"/>
        <v>0</v>
      </c>
      <c r="T42" s="26" t="str">
        <f t="shared" si="16"/>
        <v/>
      </c>
      <c r="U42" s="26" t="str">
        <f t="shared" si="17"/>
        <v/>
      </c>
      <c r="V42" s="26" t="str">
        <f t="shared" si="18"/>
        <v/>
      </c>
      <c r="W42" s="27" t="str">
        <f t="shared" si="19"/>
        <v/>
      </c>
      <c r="X42" s="27" t="str">
        <f t="shared" si="20"/>
        <v/>
      </c>
      <c r="Y42" s="28" t="str">
        <f t="shared" si="21"/>
        <v/>
      </c>
      <c r="Z42" s="27" t="str">
        <f t="shared" si="22"/>
        <v/>
      </c>
      <c r="AA42" s="27" t="str">
        <f t="shared" si="23"/>
        <v/>
      </c>
      <c r="AB42" s="27" t="str">
        <f t="shared" si="24"/>
        <v/>
      </c>
      <c r="AC42" s="27" t="str">
        <f t="shared" si="25"/>
        <v/>
      </c>
      <c r="AD42" s="29" t="str">
        <f t="shared" si="26"/>
        <v/>
      </c>
      <c r="AE42" s="30" t="str">
        <f t="shared" si="27"/>
        <v/>
      </c>
      <c r="AG42" s="31"/>
      <c r="AH42" s="31" t="e">
        <f t="shared" si="28"/>
        <v>#VALUE!</v>
      </c>
      <c r="AI42" s="31" t="e">
        <f t="shared" si="29"/>
        <v>#VALUE!</v>
      </c>
      <c r="AJ42" s="31" t="e">
        <f t="shared" si="30"/>
        <v>#VALUE!</v>
      </c>
      <c r="AK42" s="31" t="e">
        <f t="shared" si="31"/>
        <v>#VALUE!</v>
      </c>
      <c r="AL42" s="31" t="e">
        <f t="shared" si="32"/>
        <v>#VALUE!</v>
      </c>
      <c r="AM42" s="31" t="e">
        <f t="shared" si="33"/>
        <v>#VALUE!</v>
      </c>
      <c r="AN42" s="32" t="str">
        <f t="shared" si="34"/>
        <v/>
      </c>
      <c r="AO42" s="27" t="str">
        <f t="shared" si="35"/>
        <v/>
      </c>
      <c r="AP42" s="27" t="str">
        <f t="shared" si="36"/>
        <v/>
      </c>
      <c r="AQ42" s="27">
        <f t="shared" si="37"/>
        <v>0</v>
      </c>
      <c r="AR42" s="27">
        <f t="shared" si="38"/>
        <v>0</v>
      </c>
      <c r="AS42" s="33">
        <f t="shared" si="39"/>
        <v>0</v>
      </c>
    </row>
    <row r="43" spans="1:46" ht="15.75" hidden="1" customHeight="1" x14ac:dyDescent="0.25">
      <c r="A43" s="4"/>
      <c r="B43" s="34">
        <f t="shared" ref="B43:F43" si="61">IF(B42="","",B42)</f>
        <v>10210</v>
      </c>
      <c r="C43" s="26">
        <f t="shared" si="61"/>
        <v>24</v>
      </c>
      <c r="D43" s="26">
        <f t="shared" si="61"/>
        <v>0</v>
      </c>
      <c r="E43" s="26">
        <f t="shared" si="61"/>
        <v>0</v>
      </c>
      <c r="F43" s="26">
        <f t="shared" si="61"/>
        <v>0</v>
      </c>
      <c r="G43" s="24"/>
      <c r="H43" s="24"/>
      <c r="I43" s="24"/>
      <c r="J43" s="24"/>
      <c r="K43" s="24"/>
      <c r="L43" s="24"/>
      <c r="M43" s="25"/>
      <c r="N43" s="26" t="str">
        <f t="shared" si="10"/>
        <v/>
      </c>
      <c r="O43" s="26" t="str">
        <f t="shared" si="11"/>
        <v/>
      </c>
      <c r="P43" s="26" t="str">
        <f t="shared" si="12"/>
        <v/>
      </c>
      <c r="Q43" s="26">
        <f t="shared" si="13"/>
        <v>0</v>
      </c>
      <c r="R43" s="26">
        <f t="shared" si="14"/>
        <v>0</v>
      </c>
      <c r="S43" s="26">
        <f t="shared" si="15"/>
        <v>0</v>
      </c>
      <c r="T43" s="26" t="str">
        <f t="shared" si="16"/>
        <v/>
      </c>
      <c r="U43" s="26" t="str">
        <f t="shared" si="17"/>
        <v/>
      </c>
      <c r="V43" s="26" t="str">
        <f t="shared" si="18"/>
        <v/>
      </c>
      <c r="W43" s="27" t="str">
        <f t="shared" si="19"/>
        <v/>
      </c>
      <c r="X43" s="27" t="str">
        <f t="shared" si="20"/>
        <v/>
      </c>
      <c r="Y43" s="28" t="str">
        <f t="shared" si="21"/>
        <v/>
      </c>
      <c r="Z43" s="27" t="str">
        <f t="shared" si="22"/>
        <v/>
      </c>
      <c r="AA43" s="27" t="str">
        <f t="shared" si="23"/>
        <v/>
      </c>
      <c r="AB43" s="27" t="str">
        <f t="shared" si="24"/>
        <v/>
      </c>
      <c r="AC43" s="27" t="str">
        <f t="shared" si="25"/>
        <v/>
      </c>
      <c r="AD43" s="29" t="str">
        <f t="shared" si="26"/>
        <v/>
      </c>
      <c r="AE43" s="30" t="str">
        <f t="shared" si="27"/>
        <v/>
      </c>
      <c r="AG43" s="31"/>
      <c r="AH43" s="31" t="e">
        <f t="shared" si="28"/>
        <v>#VALUE!</v>
      </c>
      <c r="AI43" s="31" t="e">
        <f t="shared" si="29"/>
        <v>#VALUE!</v>
      </c>
      <c r="AJ43" s="31" t="e">
        <f t="shared" si="30"/>
        <v>#VALUE!</v>
      </c>
      <c r="AK43" s="31" t="e">
        <f t="shared" si="31"/>
        <v>#VALUE!</v>
      </c>
      <c r="AL43" s="31" t="e">
        <f t="shared" si="32"/>
        <v>#VALUE!</v>
      </c>
      <c r="AM43" s="31" t="e">
        <f t="shared" si="33"/>
        <v>#VALUE!</v>
      </c>
      <c r="AN43" s="32" t="str">
        <f t="shared" si="34"/>
        <v/>
      </c>
      <c r="AO43" s="27" t="str">
        <f t="shared" si="35"/>
        <v/>
      </c>
      <c r="AP43" s="27" t="str">
        <f t="shared" si="36"/>
        <v/>
      </c>
      <c r="AQ43" s="27">
        <f t="shared" si="37"/>
        <v>0</v>
      </c>
      <c r="AR43" s="27">
        <f t="shared" si="38"/>
        <v>0</v>
      </c>
      <c r="AS43" s="33">
        <f t="shared" si="39"/>
        <v>0</v>
      </c>
    </row>
    <row r="44" spans="1:46" ht="15.75" hidden="1" customHeight="1" x14ac:dyDescent="0.25">
      <c r="A44" s="4"/>
      <c r="B44" s="34">
        <f t="shared" ref="B44:F44" si="62">IF(B43="","",B43)</f>
        <v>10210</v>
      </c>
      <c r="C44" s="26">
        <f t="shared" si="62"/>
        <v>24</v>
      </c>
      <c r="D44" s="26">
        <f t="shared" si="62"/>
        <v>0</v>
      </c>
      <c r="E44" s="26">
        <f t="shared" si="62"/>
        <v>0</v>
      </c>
      <c r="F44" s="26">
        <f t="shared" si="62"/>
        <v>0</v>
      </c>
      <c r="G44" s="24"/>
      <c r="H44" s="24"/>
      <c r="I44" s="24"/>
      <c r="J44" s="24"/>
      <c r="K44" s="24"/>
      <c r="L44" s="24"/>
      <c r="M44" s="25"/>
      <c r="N44" s="26" t="str">
        <f t="shared" si="10"/>
        <v/>
      </c>
      <c r="O44" s="26" t="str">
        <f t="shared" si="11"/>
        <v/>
      </c>
      <c r="P44" s="26" t="str">
        <f t="shared" si="12"/>
        <v/>
      </c>
      <c r="Q44" s="26">
        <f t="shared" si="13"/>
        <v>0</v>
      </c>
      <c r="R44" s="26">
        <f t="shared" si="14"/>
        <v>0</v>
      </c>
      <c r="S44" s="26">
        <f t="shared" si="15"/>
        <v>0</v>
      </c>
      <c r="T44" s="26" t="str">
        <f t="shared" si="16"/>
        <v/>
      </c>
      <c r="U44" s="26" t="str">
        <f t="shared" si="17"/>
        <v/>
      </c>
      <c r="V44" s="26" t="str">
        <f t="shared" si="18"/>
        <v/>
      </c>
      <c r="W44" s="27" t="str">
        <f t="shared" si="19"/>
        <v/>
      </c>
      <c r="X44" s="27" t="str">
        <f t="shared" si="20"/>
        <v/>
      </c>
      <c r="Y44" s="28" t="str">
        <f t="shared" si="21"/>
        <v/>
      </c>
      <c r="Z44" s="27" t="str">
        <f t="shared" si="22"/>
        <v/>
      </c>
      <c r="AA44" s="27" t="str">
        <f t="shared" si="23"/>
        <v/>
      </c>
      <c r="AB44" s="27" t="str">
        <f t="shared" si="24"/>
        <v/>
      </c>
      <c r="AC44" s="27" t="str">
        <f t="shared" si="25"/>
        <v/>
      </c>
      <c r="AD44" s="29" t="str">
        <f t="shared" si="26"/>
        <v/>
      </c>
      <c r="AE44" s="30" t="str">
        <f t="shared" si="27"/>
        <v/>
      </c>
      <c r="AG44" s="31"/>
      <c r="AH44" s="31" t="e">
        <f t="shared" si="28"/>
        <v>#VALUE!</v>
      </c>
      <c r="AI44" s="31" t="e">
        <f t="shared" si="29"/>
        <v>#VALUE!</v>
      </c>
      <c r="AJ44" s="31" t="e">
        <f t="shared" si="30"/>
        <v>#VALUE!</v>
      </c>
      <c r="AK44" s="31" t="e">
        <f t="shared" si="31"/>
        <v>#VALUE!</v>
      </c>
      <c r="AL44" s="31" t="e">
        <f t="shared" si="32"/>
        <v>#VALUE!</v>
      </c>
      <c r="AM44" s="31" t="e">
        <f t="shared" si="33"/>
        <v>#VALUE!</v>
      </c>
      <c r="AN44" s="32" t="str">
        <f t="shared" si="34"/>
        <v/>
      </c>
      <c r="AO44" s="27" t="str">
        <f t="shared" si="35"/>
        <v/>
      </c>
      <c r="AP44" s="27" t="str">
        <f t="shared" si="36"/>
        <v/>
      </c>
      <c r="AQ44" s="27">
        <f t="shared" si="37"/>
        <v>0</v>
      </c>
      <c r="AR44" s="27">
        <f t="shared" si="38"/>
        <v>0</v>
      </c>
      <c r="AS44" s="33">
        <f t="shared" si="39"/>
        <v>0</v>
      </c>
    </row>
    <row r="45" spans="1:46" ht="15.75" hidden="1" customHeight="1" x14ac:dyDescent="0.25">
      <c r="A45" s="4"/>
      <c r="B45" s="34">
        <f t="shared" ref="B45:F45" si="63">IF(B44="","",B44)</f>
        <v>10210</v>
      </c>
      <c r="C45" s="26">
        <f t="shared" si="63"/>
        <v>24</v>
      </c>
      <c r="D45" s="26">
        <f t="shared" si="63"/>
        <v>0</v>
      </c>
      <c r="E45" s="26">
        <f t="shared" si="63"/>
        <v>0</v>
      </c>
      <c r="F45" s="26">
        <f t="shared" si="63"/>
        <v>0</v>
      </c>
      <c r="G45" s="24"/>
      <c r="H45" s="24"/>
      <c r="I45" s="24"/>
      <c r="J45" s="24"/>
      <c r="K45" s="24"/>
      <c r="L45" s="24"/>
      <c r="M45" s="25"/>
      <c r="N45" s="26" t="str">
        <f t="shared" si="10"/>
        <v/>
      </c>
      <c r="O45" s="26" t="str">
        <f t="shared" si="11"/>
        <v/>
      </c>
      <c r="P45" s="26" t="str">
        <f t="shared" si="12"/>
        <v/>
      </c>
      <c r="Q45" s="26">
        <f t="shared" si="13"/>
        <v>0</v>
      </c>
      <c r="R45" s="26">
        <f t="shared" si="14"/>
        <v>0</v>
      </c>
      <c r="S45" s="26">
        <f t="shared" si="15"/>
        <v>0</v>
      </c>
      <c r="T45" s="26" t="str">
        <f t="shared" si="16"/>
        <v/>
      </c>
      <c r="U45" s="26" t="str">
        <f t="shared" si="17"/>
        <v/>
      </c>
      <c r="V45" s="26" t="str">
        <f t="shared" si="18"/>
        <v/>
      </c>
      <c r="W45" s="27" t="str">
        <f t="shared" si="19"/>
        <v/>
      </c>
      <c r="X45" s="27" t="str">
        <f t="shared" si="20"/>
        <v/>
      </c>
      <c r="Y45" s="28" t="str">
        <f t="shared" si="21"/>
        <v/>
      </c>
      <c r="Z45" s="27" t="str">
        <f t="shared" si="22"/>
        <v/>
      </c>
      <c r="AA45" s="27" t="str">
        <f t="shared" si="23"/>
        <v/>
      </c>
      <c r="AB45" s="27" t="str">
        <f t="shared" si="24"/>
        <v/>
      </c>
      <c r="AC45" s="27" t="str">
        <f t="shared" si="25"/>
        <v/>
      </c>
      <c r="AD45" s="29" t="str">
        <f t="shared" si="26"/>
        <v/>
      </c>
      <c r="AE45" s="30" t="str">
        <f t="shared" si="27"/>
        <v/>
      </c>
      <c r="AG45" s="31"/>
      <c r="AH45" s="31" t="e">
        <f t="shared" si="28"/>
        <v>#VALUE!</v>
      </c>
      <c r="AI45" s="31" t="e">
        <f t="shared" si="29"/>
        <v>#VALUE!</v>
      </c>
      <c r="AJ45" s="31" t="e">
        <f t="shared" si="30"/>
        <v>#VALUE!</v>
      </c>
      <c r="AK45" s="31" t="e">
        <f t="shared" si="31"/>
        <v>#VALUE!</v>
      </c>
      <c r="AL45" s="31" t="e">
        <f t="shared" si="32"/>
        <v>#VALUE!</v>
      </c>
      <c r="AM45" s="31" t="e">
        <f t="shared" si="33"/>
        <v>#VALUE!</v>
      </c>
      <c r="AN45" s="32" t="str">
        <f t="shared" si="34"/>
        <v/>
      </c>
      <c r="AO45" s="27" t="str">
        <f t="shared" si="35"/>
        <v/>
      </c>
      <c r="AP45" s="27" t="str">
        <f t="shared" si="36"/>
        <v/>
      </c>
      <c r="AQ45" s="27">
        <f t="shared" si="37"/>
        <v>0</v>
      </c>
      <c r="AR45" s="27">
        <f t="shared" si="38"/>
        <v>0</v>
      </c>
      <c r="AS45" s="33">
        <f t="shared" si="39"/>
        <v>0</v>
      </c>
      <c r="AT45" s="4"/>
    </row>
    <row r="46" spans="1:46" ht="15.75" hidden="1" customHeight="1" x14ac:dyDescent="0.25">
      <c r="B46" s="34">
        <f t="shared" ref="B46:F46" si="64">IF(B45="","",B45)</f>
        <v>10210</v>
      </c>
      <c r="C46" s="26">
        <f t="shared" si="64"/>
        <v>24</v>
      </c>
      <c r="D46" s="26">
        <f t="shared" si="64"/>
        <v>0</v>
      </c>
      <c r="E46" s="26">
        <f t="shared" si="64"/>
        <v>0</v>
      </c>
      <c r="F46" s="26">
        <f t="shared" si="64"/>
        <v>0</v>
      </c>
      <c r="G46" s="24"/>
      <c r="H46" s="24"/>
      <c r="I46" s="24"/>
      <c r="J46" s="24"/>
      <c r="K46" s="24"/>
      <c r="L46" s="24"/>
      <c r="M46" s="25"/>
      <c r="N46" s="26" t="str">
        <f t="shared" si="10"/>
        <v/>
      </c>
      <c r="O46" s="26" t="str">
        <f t="shared" si="11"/>
        <v/>
      </c>
      <c r="P46" s="26" t="str">
        <f t="shared" si="12"/>
        <v/>
      </c>
      <c r="Q46" s="26">
        <f t="shared" si="13"/>
        <v>0</v>
      </c>
      <c r="R46" s="26">
        <f t="shared" si="14"/>
        <v>0</v>
      </c>
      <c r="S46" s="26">
        <f t="shared" si="15"/>
        <v>0</v>
      </c>
      <c r="T46" s="26" t="str">
        <f t="shared" si="16"/>
        <v/>
      </c>
      <c r="U46" s="26" t="str">
        <f t="shared" si="17"/>
        <v/>
      </c>
      <c r="V46" s="26" t="str">
        <f t="shared" si="18"/>
        <v/>
      </c>
      <c r="W46" s="27" t="str">
        <f t="shared" si="19"/>
        <v/>
      </c>
      <c r="X46" s="27" t="str">
        <f t="shared" si="20"/>
        <v/>
      </c>
      <c r="Y46" s="28" t="str">
        <f t="shared" si="21"/>
        <v/>
      </c>
      <c r="Z46" s="27" t="str">
        <f t="shared" si="22"/>
        <v/>
      </c>
      <c r="AA46" s="27" t="str">
        <f t="shared" si="23"/>
        <v/>
      </c>
      <c r="AB46" s="27" t="str">
        <f t="shared" si="24"/>
        <v/>
      </c>
      <c r="AC46" s="27" t="str">
        <f t="shared" si="25"/>
        <v/>
      </c>
      <c r="AD46" s="29" t="str">
        <f t="shared" si="26"/>
        <v/>
      </c>
      <c r="AE46" s="30" t="str">
        <f t="shared" si="27"/>
        <v/>
      </c>
      <c r="AG46" s="31"/>
      <c r="AH46" s="31" t="e">
        <f t="shared" si="28"/>
        <v>#VALUE!</v>
      </c>
      <c r="AI46" s="31" t="e">
        <f t="shared" si="29"/>
        <v>#VALUE!</v>
      </c>
      <c r="AJ46" s="31" t="e">
        <f t="shared" si="30"/>
        <v>#VALUE!</v>
      </c>
      <c r="AK46" s="31" t="e">
        <f t="shared" si="31"/>
        <v>#VALUE!</v>
      </c>
      <c r="AL46" s="31" t="e">
        <f t="shared" si="32"/>
        <v>#VALUE!</v>
      </c>
      <c r="AM46" s="31" t="e">
        <f t="shared" si="33"/>
        <v>#VALUE!</v>
      </c>
      <c r="AN46" s="32" t="str">
        <f t="shared" si="34"/>
        <v/>
      </c>
      <c r="AO46" s="27" t="str">
        <f t="shared" si="35"/>
        <v/>
      </c>
      <c r="AP46" s="27" t="str">
        <f t="shared" si="36"/>
        <v/>
      </c>
      <c r="AQ46" s="27">
        <f t="shared" si="37"/>
        <v>0</v>
      </c>
      <c r="AR46" s="27">
        <f t="shared" si="38"/>
        <v>0</v>
      </c>
      <c r="AS46" s="33">
        <f t="shared" si="39"/>
        <v>0</v>
      </c>
    </row>
    <row r="47" spans="1:46" ht="15.75" hidden="1" customHeight="1" x14ac:dyDescent="0.25">
      <c r="A47" s="31"/>
      <c r="B47" s="34">
        <f t="shared" ref="B47:F47" si="65">IF(B46="","",B46)</f>
        <v>10210</v>
      </c>
      <c r="C47" s="26">
        <f t="shared" si="65"/>
        <v>24</v>
      </c>
      <c r="D47" s="26">
        <f t="shared" si="65"/>
        <v>0</v>
      </c>
      <c r="E47" s="26">
        <f t="shared" si="65"/>
        <v>0</v>
      </c>
      <c r="F47" s="26">
        <f t="shared" si="65"/>
        <v>0</v>
      </c>
      <c r="G47" s="24"/>
      <c r="H47" s="24"/>
      <c r="I47" s="24"/>
      <c r="J47" s="24"/>
      <c r="K47" s="24"/>
      <c r="L47" s="24"/>
      <c r="M47" s="25"/>
      <c r="N47" s="26" t="str">
        <f t="shared" si="10"/>
        <v/>
      </c>
      <c r="O47" s="26" t="str">
        <f t="shared" si="11"/>
        <v/>
      </c>
      <c r="P47" s="26" t="str">
        <f t="shared" si="12"/>
        <v/>
      </c>
      <c r="Q47" s="26">
        <f t="shared" si="13"/>
        <v>0</v>
      </c>
      <c r="R47" s="26">
        <f t="shared" si="14"/>
        <v>0</v>
      </c>
      <c r="S47" s="26">
        <f t="shared" si="15"/>
        <v>0</v>
      </c>
      <c r="T47" s="26" t="str">
        <f t="shared" si="16"/>
        <v/>
      </c>
      <c r="U47" s="26" t="str">
        <f t="shared" si="17"/>
        <v/>
      </c>
      <c r="V47" s="26" t="str">
        <f t="shared" si="18"/>
        <v/>
      </c>
      <c r="W47" s="27" t="str">
        <f t="shared" si="19"/>
        <v/>
      </c>
      <c r="X47" s="27" t="str">
        <f t="shared" si="20"/>
        <v/>
      </c>
      <c r="Y47" s="28" t="str">
        <f t="shared" si="21"/>
        <v/>
      </c>
      <c r="Z47" s="27" t="str">
        <f t="shared" si="22"/>
        <v/>
      </c>
      <c r="AA47" s="27" t="str">
        <f t="shared" si="23"/>
        <v/>
      </c>
      <c r="AB47" s="27" t="str">
        <f t="shared" si="24"/>
        <v/>
      </c>
      <c r="AC47" s="27" t="str">
        <f t="shared" si="25"/>
        <v/>
      </c>
      <c r="AD47" s="29" t="str">
        <f t="shared" si="26"/>
        <v/>
      </c>
      <c r="AE47" s="30" t="str">
        <f t="shared" si="27"/>
        <v/>
      </c>
      <c r="AG47" s="31"/>
      <c r="AH47" s="31" t="e">
        <f t="shared" si="28"/>
        <v>#VALUE!</v>
      </c>
      <c r="AI47" s="31" t="e">
        <f t="shared" si="29"/>
        <v>#VALUE!</v>
      </c>
      <c r="AJ47" s="31" t="e">
        <f t="shared" si="30"/>
        <v>#VALUE!</v>
      </c>
      <c r="AK47" s="31" t="e">
        <f t="shared" si="31"/>
        <v>#VALUE!</v>
      </c>
      <c r="AL47" s="31" t="e">
        <f t="shared" si="32"/>
        <v>#VALUE!</v>
      </c>
      <c r="AM47" s="31" t="e">
        <f t="shared" si="33"/>
        <v>#VALUE!</v>
      </c>
      <c r="AN47" s="32" t="str">
        <f t="shared" si="34"/>
        <v/>
      </c>
      <c r="AO47" s="27" t="str">
        <f t="shared" si="35"/>
        <v/>
      </c>
      <c r="AP47" s="27" t="str">
        <f t="shared" si="36"/>
        <v/>
      </c>
      <c r="AQ47" s="27">
        <f t="shared" si="37"/>
        <v>0</v>
      </c>
      <c r="AR47" s="27">
        <f t="shared" si="38"/>
        <v>0</v>
      </c>
      <c r="AS47" s="33">
        <f t="shared" si="39"/>
        <v>0</v>
      </c>
    </row>
    <row r="48" spans="1:46" s="18" customFormat="1" ht="15.75" hidden="1" customHeight="1" x14ac:dyDescent="0.25">
      <c r="A48" s="16"/>
      <c r="B48" s="34">
        <f t="shared" ref="B48:F48" si="66">IF(B47="","",B47)</f>
        <v>10210</v>
      </c>
      <c r="C48" s="26">
        <f t="shared" si="66"/>
        <v>24</v>
      </c>
      <c r="D48" s="26">
        <f t="shared" si="66"/>
        <v>0</v>
      </c>
      <c r="E48" s="26">
        <f t="shared" si="66"/>
        <v>0</v>
      </c>
      <c r="F48" s="26">
        <f t="shared" si="66"/>
        <v>0</v>
      </c>
      <c r="G48" s="24"/>
      <c r="H48" s="24"/>
      <c r="I48" s="24"/>
      <c r="J48" s="24"/>
      <c r="K48" s="24"/>
      <c r="L48" s="24"/>
      <c r="M48" s="25"/>
      <c r="N48" s="26" t="str">
        <f t="shared" si="10"/>
        <v/>
      </c>
      <c r="O48" s="26" t="str">
        <f t="shared" si="11"/>
        <v/>
      </c>
      <c r="P48" s="26" t="str">
        <f t="shared" si="12"/>
        <v/>
      </c>
      <c r="Q48" s="26">
        <f t="shared" si="13"/>
        <v>0</v>
      </c>
      <c r="R48" s="26">
        <f t="shared" si="14"/>
        <v>0</v>
      </c>
      <c r="S48" s="26">
        <f t="shared" si="15"/>
        <v>0</v>
      </c>
      <c r="T48" s="26" t="str">
        <f t="shared" si="16"/>
        <v/>
      </c>
      <c r="U48" s="26" t="str">
        <f t="shared" si="17"/>
        <v/>
      </c>
      <c r="V48" s="26" t="str">
        <f t="shared" si="18"/>
        <v/>
      </c>
      <c r="W48" s="27" t="str">
        <f t="shared" si="19"/>
        <v/>
      </c>
      <c r="X48" s="27" t="str">
        <f t="shared" si="20"/>
        <v/>
      </c>
      <c r="Y48" s="28" t="str">
        <f t="shared" si="21"/>
        <v/>
      </c>
      <c r="Z48" s="27" t="str">
        <f t="shared" si="22"/>
        <v/>
      </c>
      <c r="AA48" s="27" t="str">
        <f t="shared" si="23"/>
        <v/>
      </c>
      <c r="AB48" s="27" t="str">
        <f t="shared" si="24"/>
        <v/>
      </c>
      <c r="AC48" s="27" t="str">
        <f t="shared" si="25"/>
        <v/>
      </c>
      <c r="AD48" s="29" t="str">
        <f t="shared" si="26"/>
        <v/>
      </c>
      <c r="AE48" s="30" t="str">
        <f t="shared" si="27"/>
        <v/>
      </c>
      <c r="AF48" s="5"/>
      <c r="AG48" s="31"/>
      <c r="AH48" s="31" t="e">
        <f t="shared" si="28"/>
        <v>#VALUE!</v>
      </c>
      <c r="AI48" s="31" t="e">
        <f t="shared" si="29"/>
        <v>#VALUE!</v>
      </c>
      <c r="AJ48" s="31" t="e">
        <f t="shared" si="30"/>
        <v>#VALUE!</v>
      </c>
      <c r="AK48" s="31" t="e">
        <f t="shared" si="31"/>
        <v>#VALUE!</v>
      </c>
      <c r="AL48" s="31" t="e">
        <f t="shared" si="32"/>
        <v>#VALUE!</v>
      </c>
      <c r="AM48" s="31" t="e">
        <f t="shared" si="33"/>
        <v>#VALUE!</v>
      </c>
      <c r="AN48" s="32" t="str">
        <f t="shared" si="34"/>
        <v/>
      </c>
      <c r="AO48" s="27" t="str">
        <f t="shared" si="35"/>
        <v/>
      </c>
      <c r="AP48" s="27" t="str">
        <f t="shared" si="36"/>
        <v/>
      </c>
      <c r="AQ48" s="27">
        <f t="shared" si="37"/>
        <v>0</v>
      </c>
      <c r="AR48" s="27">
        <f t="shared" si="38"/>
        <v>0</v>
      </c>
      <c r="AS48" s="33">
        <f t="shared" si="39"/>
        <v>0</v>
      </c>
    </row>
    <row r="49" spans="1:45" s="18" customFormat="1" ht="15.75" hidden="1" customHeight="1" x14ac:dyDescent="0.25">
      <c r="A49" s="16"/>
      <c r="B49" s="34">
        <f t="shared" ref="B49:F49" si="67">IF(B48="","",B48)</f>
        <v>10210</v>
      </c>
      <c r="C49" s="26">
        <f t="shared" si="67"/>
        <v>24</v>
      </c>
      <c r="D49" s="26">
        <f t="shared" si="67"/>
        <v>0</v>
      </c>
      <c r="E49" s="26">
        <f t="shared" si="67"/>
        <v>0</v>
      </c>
      <c r="F49" s="26">
        <f t="shared" si="67"/>
        <v>0</v>
      </c>
      <c r="G49" s="24"/>
      <c r="H49" s="24"/>
      <c r="I49" s="24"/>
      <c r="J49" s="24"/>
      <c r="K49" s="24"/>
      <c r="L49" s="24"/>
      <c r="M49" s="25"/>
      <c r="N49" s="26" t="str">
        <f t="shared" si="10"/>
        <v/>
      </c>
      <c r="O49" s="26" t="str">
        <f t="shared" si="11"/>
        <v/>
      </c>
      <c r="P49" s="26" t="str">
        <f t="shared" si="12"/>
        <v/>
      </c>
      <c r="Q49" s="26">
        <f t="shared" si="13"/>
        <v>0</v>
      </c>
      <c r="R49" s="26">
        <f t="shared" si="14"/>
        <v>0</v>
      </c>
      <c r="S49" s="26">
        <f t="shared" si="15"/>
        <v>0</v>
      </c>
      <c r="T49" s="26" t="str">
        <f t="shared" si="16"/>
        <v/>
      </c>
      <c r="U49" s="26" t="str">
        <f t="shared" si="17"/>
        <v/>
      </c>
      <c r="V49" s="26" t="str">
        <f t="shared" si="18"/>
        <v/>
      </c>
      <c r="W49" s="27" t="str">
        <f t="shared" si="19"/>
        <v/>
      </c>
      <c r="X49" s="27" t="str">
        <f t="shared" si="20"/>
        <v/>
      </c>
      <c r="Y49" s="28" t="str">
        <f t="shared" si="21"/>
        <v/>
      </c>
      <c r="Z49" s="27" t="str">
        <f t="shared" si="22"/>
        <v/>
      </c>
      <c r="AA49" s="27" t="str">
        <f t="shared" si="23"/>
        <v/>
      </c>
      <c r="AB49" s="27" t="str">
        <f t="shared" si="24"/>
        <v/>
      </c>
      <c r="AC49" s="27" t="str">
        <f t="shared" si="25"/>
        <v/>
      </c>
      <c r="AD49" s="29" t="str">
        <f t="shared" si="26"/>
        <v/>
      </c>
      <c r="AE49" s="30" t="str">
        <f t="shared" si="27"/>
        <v/>
      </c>
      <c r="AF49" s="5"/>
      <c r="AG49" s="31"/>
      <c r="AH49" s="31" t="e">
        <f t="shared" si="28"/>
        <v>#VALUE!</v>
      </c>
      <c r="AI49" s="31" t="e">
        <f t="shared" si="29"/>
        <v>#VALUE!</v>
      </c>
      <c r="AJ49" s="31" t="e">
        <f t="shared" si="30"/>
        <v>#VALUE!</v>
      </c>
      <c r="AK49" s="31" t="e">
        <f t="shared" si="31"/>
        <v>#VALUE!</v>
      </c>
      <c r="AL49" s="31" t="e">
        <f t="shared" si="32"/>
        <v>#VALUE!</v>
      </c>
      <c r="AM49" s="31" t="e">
        <f t="shared" si="33"/>
        <v>#VALUE!</v>
      </c>
      <c r="AN49" s="32" t="str">
        <f t="shared" si="34"/>
        <v/>
      </c>
      <c r="AO49" s="27" t="str">
        <f t="shared" si="35"/>
        <v/>
      </c>
      <c r="AP49" s="27" t="str">
        <f t="shared" si="36"/>
        <v/>
      </c>
      <c r="AQ49" s="27">
        <f t="shared" si="37"/>
        <v>0</v>
      </c>
      <c r="AR49" s="27">
        <f t="shared" si="38"/>
        <v>0</v>
      </c>
      <c r="AS49" s="33">
        <f t="shared" si="39"/>
        <v>0</v>
      </c>
    </row>
    <row r="50" spans="1:45" s="15" customFormat="1" ht="15.75" hidden="1" customHeight="1" x14ac:dyDescent="0.25">
      <c r="A50" s="13"/>
      <c r="B50" s="34">
        <f t="shared" ref="B50:F50" si="68">IF(B49="","",B49)</f>
        <v>10210</v>
      </c>
      <c r="C50" s="26">
        <f t="shared" si="68"/>
        <v>24</v>
      </c>
      <c r="D50" s="26">
        <f t="shared" si="68"/>
        <v>0</v>
      </c>
      <c r="E50" s="26">
        <f t="shared" si="68"/>
        <v>0</v>
      </c>
      <c r="F50" s="26">
        <f t="shared" si="68"/>
        <v>0</v>
      </c>
      <c r="G50" s="24"/>
      <c r="H50" s="24"/>
      <c r="I50" s="24"/>
      <c r="J50" s="24"/>
      <c r="K50" s="24"/>
      <c r="L50" s="24"/>
      <c r="M50" s="25"/>
      <c r="N50" s="26" t="str">
        <f t="shared" si="10"/>
        <v/>
      </c>
      <c r="O50" s="26" t="str">
        <f t="shared" si="11"/>
        <v/>
      </c>
      <c r="P50" s="26" t="str">
        <f t="shared" si="12"/>
        <v/>
      </c>
      <c r="Q50" s="26">
        <f t="shared" si="13"/>
        <v>0</v>
      </c>
      <c r="R50" s="26">
        <f t="shared" si="14"/>
        <v>0</v>
      </c>
      <c r="S50" s="26">
        <f t="shared" si="15"/>
        <v>0</v>
      </c>
      <c r="T50" s="26" t="str">
        <f t="shared" si="16"/>
        <v/>
      </c>
      <c r="U50" s="26" t="str">
        <f t="shared" si="17"/>
        <v/>
      </c>
      <c r="V50" s="26" t="str">
        <f t="shared" si="18"/>
        <v/>
      </c>
      <c r="W50" s="27" t="str">
        <f t="shared" si="19"/>
        <v/>
      </c>
      <c r="X50" s="27" t="str">
        <f t="shared" si="20"/>
        <v/>
      </c>
      <c r="Y50" s="28" t="str">
        <f t="shared" si="21"/>
        <v/>
      </c>
      <c r="Z50" s="27" t="str">
        <f t="shared" si="22"/>
        <v/>
      </c>
      <c r="AA50" s="27" t="str">
        <f t="shared" si="23"/>
        <v/>
      </c>
      <c r="AB50" s="27" t="str">
        <f t="shared" si="24"/>
        <v/>
      </c>
      <c r="AC50" s="27" t="str">
        <f t="shared" si="25"/>
        <v/>
      </c>
      <c r="AD50" s="29" t="str">
        <f t="shared" si="26"/>
        <v/>
      </c>
      <c r="AE50" s="30" t="str">
        <f t="shared" si="27"/>
        <v/>
      </c>
      <c r="AF50" s="5"/>
      <c r="AG50" s="31"/>
      <c r="AH50" s="31" t="e">
        <f t="shared" si="28"/>
        <v>#VALUE!</v>
      </c>
      <c r="AI50" s="31" t="e">
        <f t="shared" si="29"/>
        <v>#VALUE!</v>
      </c>
      <c r="AJ50" s="31" t="e">
        <f t="shared" si="30"/>
        <v>#VALUE!</v>
      </c>
      <c r="AK50" s="31" t="e">
        <f t="shared" si="31"/>
        <v>#VALUE!</v>
      </c>
      <c r="AL50" s="31" t="e">
        <f t="shared" si="32"/>
        <v>#VALUE!</v>
      </c>
      <c r="AM50" s="31" t="e">
        <f t="shared" si="33"/>
        <v>#VALUE!</v>
      </c>
      <c r="AN50" s="32" t="str">
        <f t="shared" si="34"/>
        <v/>
      </c>
      <c r="AO50" s="27" t="str">
        <f t="shared" si="35"/>
        <v/>
      </c>
      <c r="AP50" s="27" t="str">
        <f t="shared" si="36"/>
        <v/>
      </c>
      <c r="AQ50" s="27">
        <f t="shared" si="37"/>
        <v>0</v>
      </c>
      <c r="AR50" s="27">
        <f t="shared" si="38"/>
        <v>0</v>
      </c>
      <c r="AS50" s="33">
        <f t="shared" si="39"/>
        <v>0</v>
      </c>
    </row>
    <row r="51" spans="1:45" ht="15.75" hidden="1" customHeight="1" x14ac:dyDescent="0.25">
      <c r="A51" s="4"/>
      <c r="B51" s="34">
        <f t="shared" ref="B51:F51" si="69">IF(B50="","",B50)</f>
        <v>10210</v>
      </c>
      <c r="C51" s="26">
        <f t="shared" si="69"/>
        <v>24</v>
      </c>
      <c r="D51" s="26">
        <f t="shared" si="69"/>
        <v>0</v>
      </c>
      <c r="E51" s="26">
        <f t="shared" si="69"/>
        <v>0</v>
      </c>
      <c r="F51" s="26">
        <f t="shared" si="69"/>
        <v>0</v>
      </c>
      <c r="G51" s="24"/>
      <c r="H51" s="24"/>
      <c r="I51" s="24"/>
      <c r="J51" s="24"/>
      <c r="K51" s="24"/>
      <c r="L51" s="24"/>
      <c r="M51" s="25"/>
      <c r="N51" s="26" t="str">
        <f t="shared" si="10"/>
        <v/>
      </c>
      <c r="O51" s="26" t="str">
        <f t="shared" si="11"/>
        <v/>
      </c>
      <c r="P51" s="26" t="str">
        <f t="shared" si="12"/>
        <v/>
      </c>
      <c r="Q51" s="26">
        <f t="shared" si="13"/>
        <v>0</v>
      </c>
      <c r="R51" s="26">
        <f t="shared" si="14"/>
        <v>0</v>
      </c>
      <c r="S51" s="26">
        <f t="shared" si="15"/>
        <v>0</v>
      </c>
      <c r="T51" s="26" t="str">
        <f t="shared" si="16"/>
        <v/>
      </c>
      <c r="U51" s="26" t="str">
        <f t="shared" si="17"/>
        <v/>
      </c>
      <c r="V51" s="26" t="str">
        <f t="shared" si="18"/>
        <v/>
      </c>
      <c r="W51" s="27" t="str">
        <f t="shared" si="19"/>
        <v/>
      </c>
      <c r="X51" s="27" t="str">
        <f t="shared" si="20"/>
        <v/>
      </c>
      <c r="Y51" s="28" t="str">
        <f t="shared" si="21"/>
        <v/>
      </c>
      <c r="Z51" s="27" t="str">
        <f t="shared" si="22"/>
        <v/>
      </c>
      <c r="AA51" s="27" t="str">
        <f t="shared" si="23"/>
        <v/>
      </c>
      <c r="AB51" s="27" t="str">
        <f t="shared" si="24"/>
        <v/>
      </c>
      <c r="AC51" s="27" t="str">
        <f t="shared" si="25"/>
        <v/>
      </c>
      <c r="AD51" s="29" t="str">
        <f t="shared" si="26"/>
        <v/>
      </c>
      <c r="AE51" s="30" t="str">
        <f t="shared" si="27"/>
        <v/>
      </c>
      <c r="AG51" s="31"/>
      <c r="AH51" s="31" t="e">
        <f t="shared" si="28"/>
        <v>#VALUE!</v>
      </c>
      <c r="AI51" s="31" t="e">
        <f t="shared" si="29"/>
        <v>#VALUE!</v>
      </c>
      <c r="AJ51" s="31" t="e">
        <f t="shared" si="30"/>
        <v>#VALUE!</v>
      </c>
      <c r="AK51" s="31" t="e">
        <f t="shared" si="31"/>
        <v>#VALUE!</v>
      </c>
      <c r="AL51" s="31" t="e">
        <f t="shared" si="32"/>
        <v>#VALUE!</v>
      </c>
      <c r="AM51" s="31" t="e">
        <f t="shared" si="33"/>
        <v>#VALUE!</v>
      </c>
      <c r="AN51" s="32" t="str">
        <f t="shared" si="34"/>
        <v/>
      </c>
      <c r="AO51" s="27" t="str">
        <f t="shared" si="35"/>
        <v/>
      </c>
      <c r="AP51" s="27" t="str">
        <f t="shared" si="36"/>
        <v/>
      </c>
      <c r="AQ51" s="27">
        <f t="shared" si="37"/>
        <v>0</v>
      </c>
      <c r="AR51" s="27">
        <f t="shared" si="38"/>
        <v>0</v>
      </c>
      <c r="AS51" s="33">
        <f t="shared" si="39"/>
        <v>0</v>
      </c>
    </row>
    <row r="52" spans="1:45" ht="15.75" hidden="1" customHeight="1" x14ac:dyDescent="0.25">
      <c r="A52" s="4"/>
      <c r="B52" s="34">
        <f t="shared" ref="B52:F52" si="70">IF(B51="","",B51)</f>
        <v>10210</v>
      </c>
      <c r="C52" s="26">
        <f t="shared" si="70"/>
        <v>24</v>
      </c>
      <c r="D52" s="26">
        <f t="shared" si="70"/>
        <v>0</v>
      </c>
      <c r="E52" s="26">
        <f t="shared" si="70"/>
        <v>0</v>
      </c>
      <c r="F52" s="26">
        <f t="shared" si="70"/>
        <v>0</v>
      </c>
      <c r="G52" s="24"/>
      <c r="H52" s="24"/>
      <c r="I52" s="24"/>
      <c r="J52" s="24"/>
      <c r="K52" s="24"/>
      <c r="L52" s="24"/>
      <c r="M52" s="25"/>
      <c r="N52" s="26" t="str">
        <f t="shared" si="10"/>
        <v/>
      </c>
      <c r="O52" s="26" t="str">
        <f t="shared" si="11"/>
        <v/>
      </c>
      <c r="P52" s="26" t="str">
        <f t="shared" si="12"/>
        <v/>
      </c>
      <c r="Q52" s="26">
        <f t="shared" si="13"/>
        <v>0</v>
      </c>
      <c r="R52" s="26">
        <f t="shared" si="14"/>
        <v>0</v>
      </c>
      <c r="S52" s="26">
        <f t="shared" si="15"/>
        <v>0</v>
      </c>
      <c r="T52" s="26" t="str">
        <f t="shared" si="16"/>
        <v/>
      </c>
      <c r="U52" s="26" t="str">
        <f t="shared" si="17"/>
        <v/>
      </c>
      <c r="V52" s="26" t="str">
        <f t="shared" si="18"/>
        <v/>
      </c>
      <c r="W52" s="27" t="str">
        <f t="shared" si="19"/>
        <v/>
      </c>
      <c r="X52" s="27" t="str">
        <f t="shared" si="20"/>
        <v/>
      </c>
      <c r="Y52" s="28" t="str">
        <f t="shared" si="21"/>
        <v/>
      </c>
      <c r="Z52" s="27" t="str">
        <f t="shared" si="22"/>
        <v/>
      </c>
      <c r="AA52" s="27" t="str">
        <f t="shared" si="23"/>
        <v/>
      </c>
      <c r="AB52" s="27" t="str">
        <f t="shared" si="24"/>
        <v/>
      </c>
      <c r="AC52" s="27" t="str">
        <f t="shared" si="25"/>
        <v/>
      </c>
      <c r="AD52" s="29" t="str">
        <f t="shared" si="26"/>
        <v/>
      </c>
      <c r="AE52" s="30" t="str">
        <f t="shared" si="27"/>
        <v/>
      </c>
      <c r="AG52" s="31"/>
      <c r="AH52" s="31" t="e">
        <f t="shared" si="28"/>
        <v>#VALUE!</v>
      </c>
      <c r="AI52" s="31" t="e">
        <f t="shared" si="29"/>
        <v>#VALUE!</v>
      </c>
      <c r="AJ52" s="31" t="e">
        <f t="shared" si="30"/>
        <v>#VALUE!</v>
      </c>
      <c r="AK52" s="31" t="e">
        <f t="shared" si="31"/>
        <v>#VALUE!</v>
      </c>
      <c r="AL52" s="31" t="e">
        <f t="shared" si="32"/>
        <v>#VALUE!</v>
      </c>
      <c r="AM52" s="31" t="e">
        <f t="shared" si="33"/>
        <v>#VALUE!</v>
      </c>
      <c r="AN52" s="32" t="str">
        <f t="shared" si="34"/>
        <v/>
      </c>
      <c r="AO52" s="27" t="str">
        <f t="shared" si="35"/>
        <v/>
      </c>
      <c r="AP52" s="27" t="str">
        <f t="shared" si="36"/>
        <v/>
      </c>
      <c r="AQ52" s="27">
        <f t="shared" si="37"/>
        <v>0</v>
      </c>
      <c r="AR52" s="27">
        <f t="shared" si="38"/>
        <v>0</v>
      </c>
      <c r="AS52" s="33">
        <f t="shared" si="39"/>
        <v>0</v>
      </c>
    </row>
    <row r="53" spans="1:45" ht="15.75" hidden="1" customHeight="1" x14ac:dyDescent="0.25">
      <c r="A53" s="4"/>
      <c r="B53" s="34">
        <f t="shared" ref="B53:F53" si="71">IF(B52="","",B52)</f>
        <v>10210</v>
      </c>
      <c r="C53" s="26">
        <f t="shared" si="71"/>
        <v>24</v>
      </c>
      <c r="D53" s="26">
        <f t="shared" si="71"/>
        <v>0</v>
      </c>
      <c r="E53" s="26">
        <f t="shared" si="71"/>
        <v>0</v>
      </c>
      <c r="F53" s="26">
        <f t="shared" si="71"/>
        <v>0</v>
      </c>
      <c r="G53" s="24"/>
      <c r="H53" s="24"/>
      <c r="I53" s="24"/>
      <c r="J53" s="24"/>
      <c r="K53" s="24"/>
      <c r="L53" s="24"/>
      <c r="M53" s="25"/>
      <c r="N53" s="26" t="str">
        <f t="shared" si="10"/>
        <v/>
      </c>
      <c r="O53" s="26" t="str">
        <f t="shared" si="11"/>
        <v/>
      </c>
      <c r="P53" s="26" t="str">
        <f t="shared" si="12"/>
        <v/>
      </c>
      <c r="Q53" s="26">
        <f t="shared" si="13"/>
        <v>0</v>
      </c>
      <c r="R53" s="26">
        <f t="shared" si="14"/>
        <v>0</v>
      </c>
      <c r="S53" s="26">
        <f t="shared" si="15"/>
        <v>0</v>
      </c>
      <c r="T53" s="26" t="str">
        <f t="shared" si="16"/>
        <v/>
      </c>
      <c r="U53" s="26" t="str">
        <f t="shared" si="17"/>
        <v/>
      </c>
      <c r="V53" s="26" t="str">
        <f t="shared" si="18"/>
        <v/>
      </c>
      <c r="W53" s="27" t="str">
        <f t="shared" si="19"/>
        <v/>
      </c>
      <c r="X53" s="27" t="str">
        <f t="shared" si="20"/>
        <v/>
      </c>
      <c r="Y53" s="28" t="str">
        <f t="shared" si="21"/>
        <v/>
      </c>
      <c r="Z53" s="27" t="str">
        <f t="shared" si="22"/>
        <v/>
      </c>
      <c r="AA53" s="27" t="str">
        <f t="shared" si="23"/>
        <v/>
      </c>
      <c r="AB53" s="27" t="str">
        <f t="shared" si="24"/>
        <v/>
      </c>
      <c r="AC53" s="27" t="str">
        <f t="shared" si="25"/>
        <v/>
      </c>
      <c r="AD53" s="29" t="str">
        <f t="shared" si="26"/>
        <v/>
      </c>
      <c r="AE53" s="30" t="str">
        <f t="shared" si="27"/>
        <v/>
      </c>
      <c r="AG53" s="31"/>
      <c r="AH53" s="31" t="e">
        <f t="shared" si="28"/>
        <v>#VALUE!</v>
      </c>
      <c r="AI53" s="31" t="e">
        <f t="shared" si="29"/>
        <v>#VALUE!</v>
      </c>
      <c r="AJ53" s="31" t="e">
        <f t="shared" si="30"/>
        <v>#VALUE!</v>
      </c>
      <c r="AK53" s="31" t="e">
        <f t="shared" si="31"/>
        <v>#VALUE!</v>
      </c>
      <c r="AL53" s="31" t="e">
        <f t="shared" si="32"/>
        <v>#VALUE!</v>
      </c>
      <c r="AM53" s="31" t="e">
        <f t="shared" si="33"/>
        <v>#VALUE!</v>
      </c>
      <c r="AN53" s="32" t="str">
        <f t="shared" si="34"/>
        <v/>
      </c>
      <c r="AO53" s="27" t="str">
        <f t="shared" si="35"/>
        <v/>
      </c>
      <c r="AP53" s="27" t="str">
        <f t="shared" si="36"/>
        <v/>
      </c>
      <c r="AQ53" s="27">
        <f t="shared" si="37"/>
        <v>0</v>
      </c>
      <c r="AR53" s="27">
        <f t="shared" si="38"/>
        <v>0</v>
      </c>
      <c r="AS53" s="33">
        <f t="shared" si="39"/>
        <v>0</v>
      </c>
    </row>
    <row r="54" spans="1:45" ht="15.75" hidden="1" customHeight="1" x14ac:dyDescent="0.25">
      <c r="A54" s="4"/>
      <c r="B54" s="34">
        <f t="shared" ref="B54:F54" si="72">IF(B53="","",B53)</f>
        <v>10210</v>
      </c>
      <c r="C54" s="26">
        <f t="shared" si="72"/>
        <v>24</v>
      </c>
      <c r="D54" s="26">
        <f t="shared" si="72"/>
        <v>0</v>
      </c>
      <c r="E54" s="26">
        <f t="shared" si="72"/>
        <v>0</v>
      </c>
      <c r="F54" s="26">
        <f t="shared" si="72"/>
        <v>0</v>
      </c>
      <c r="G54" s="24"/>
      <c r="H54" s="24"/>
      <c r="I54" s="24"/>
      <c r="J54" s="24"/>
      <c r="K54" s="24"/>
      <c r="L54" s="24"/>
      <c r="M54" s="25"/>
      <c r="N54" s="26" t="str">
        <f t="shared" si="10"/>
        <v/>
      </c>
      <c r="O54" s="26" t="str">
        <f t="shared" si="11"/>
        <v/>
      </c>
      <c r="P54" s="26" t="str">
        <f t="shared" si="12"/>
        <v/>
      </c>
      <c r="Q54" s="26">
        <f t="shared" si="13"/>
        <v>0</v>
      </c>
      <c r="R54" s="26">
        <f t="shared" si="14"/>
        <v>0</v>
      </c>
      <c r="S54" s="26">
        <f t="shared" si="15"/>
        <v>0</v>
      </c>
      <c r="T54" s="26" t="str">
        <f t="shared" si="16"/>
        <v/>
      </c>
      <c r="U54" s="26" t="str">
        <f t="shared" si="17"/>
        <v/>
      </c>
      <c r="V54" s="26" t="str">
        <f t="shared" si="18"/>
        <v/>
      </c>
      <c r="W54" s="27" t="str">
        <f t="shared" si="19"/>
        <v/>
      </c>
      <c r="X54" s="27" t="str">
        <f t="shared" si="20"/>
        <v/>
      </c>
      <c r="Y54" s="28" t="str">
        <f t="shared" si="21"/>
        <v/>
      </c>
      <c r="Z54" s="27" t="str">
        <f t="shared" si="22"/>
        <v/>
      </c>
      <c r="AA54" s="27" t="str">
        <f t="shared" si="23"/>
        <v/>
      </c>
      <c r="AB54" s="27" t="str">
        <f t="shared" si="24"/>
        <v/>
      </c>
      <c r="AC54" s="27" t="str">
        <f t="shared" si="25"/>
        <v/>
      </c>
      <c r="AD54" s="29" t="str">
        <f t="shared" si="26"/>
        <v/>
      </c>
      <c r="AE54" s="30" t="str">
        <f t="shared" si="27"/>
        <v/>
      </c>
      <c r="AG54" s="31"/>
      <c r="AH54" s="31" t="e">
        <f t="shared" si="28"/>
        <v>#VALUE!</v>
      </c>
      <c r="AI54" s="31" t="e">
        <f t="shared" si="29"/>
        <v>#VALUE!</v>
      </c>
      <c r="AJ54" s="31" t="e">
        <f t="shared" si="30"/>
        <v>#VALUE!</v>
      </c>
      <c r="AK54" s="31" t="e">
        <f t="shared" si="31"/>
        <v>#VALUE!</v>
      </c>
      <c r="AL54" s="31" t="e">
        <f t="shared" si="32"/>
        <v>#VALUE!</v>
      </c>
      <c r="AM54" s="31" t="e">
        <f t="shared" si="33"/>
        <v>#VALUE!</v>
      </c>
      <c r="AN54" s="32" t="str">
        <f t="shared" si="34"/>
        <v/>
      </c>
      <c r="AO54" s="27" t="str">
        <f t="shared" si="35"/>
        <v/>
      </c>
      <c r="AP54" s="27" t="str">
        <f t="shared" si="36"/>
        <v/>
      </c>
      <c r="AQ54" s="27">
        <f t="shared" si="37"/>
        <v>0</v>
      </c>
      <c r="AR54" s="27">
        <f t="shared" si="38"/>
        <v>0</v>
      </c>
      <c r="AS54" s="33">
        <f t="shared" si="39"/>
        <v>0</v>
      </c>
    </row>
    <row r="55" spans="1:45" ht="15.75" hidden="1" customHeight="1" x14ac:dyDescent="0.25">
      <c r="A55" s="4"/>
      <c r="B55" s="34">
        <f t="shared" ref="B55:F55" si="73">IF(B54="","",B54)</f>
        <v>10210</v>
      </c>
      <c r="C55" s="26">
        <f t="shared" si="73"/>
        <v>24</v>
      </c>
      <c r="D55" s="26">
        <f t="shared" si="73"/>
        <v>0</v>
      </c>
      <c r="E55" s="26">
        <f t="shared" si="73"/>
        <v>0</v>
      </c>
      <c r="F55" s="26">
        <f t="shared" si="73"/>
        <v>0</v>
      </c>
      <c r="G55" s="24"/>
      <c r="H55" s="24"/>
      <c r="I55" s="24"/>
      <c r="J55" s="24"/>
      <c r="K55" s="24"/>
      <c r="L55" s="24"/>
      <c r="M55" s="25"/>
      <c r="N55" s="26" t="str">
        <f t="shared" si="10"/>
        <v/>
      </c>
      <c r="O55" s="26" t="str">
        <f t="shared" si="11"/>
        <v/>
      </c>
      <c r="P55" s="26" t="str">
        <f t="shared" si="12"/>
        <v/>
      </c>
      <c r="Q55" s="26">
        <f t="shared" si="13"/>
        <v>0</v>
      </c>
      <c r="R55" s="26">
        <f t="shared" si="14"/>
        <v>0</v>
      </c>
      <c r="S55" s="26">
        <f t="shared" si="15"/>
        <v>0</v>
      </c>
      <c r="T55" s="26" t="str">
        <f t="shared" si="16"/>
        <v/>
      </c>
      <c r="U55" s="26" t="str">
        <f t="shared" si="17"/>
        <v/>
      </c>
      <c r="V55" s="26" t="str">
        <f t="shared" si="18"/>
        <v/>
      </c>
      <c r="W55" s="27" t="str">
        <f t="shared" si="19"/>
        <v/>
      </c>
      <c r="X55" s="27" t="str">
        <f t="shared" si="20"/>
        <v/>
      </c>
      <c r="Y55" s="28" t="str">
        <f t="shared" si="21"/>
        <v/>
      </c>
      <c r="Z55" s="27" t="str">
        <f t="shared" si="22"/>
        <v/>
      </c>
      <c r="AA55" s="27" t="str">
        <f t="shared" si="23"/>
        <v/>
      </c>
      <c r="AB55" s="27" t="str">
        <f t="shared" si="24"/>
        <v/>
      </c>
      <c r="AC55" s="27" t="str">
        <f t="shared" si="25"/>
        <v/>
      </c>
      <c r="AD55" s="29" t="str">
        <f t="shared" si="26"/>
        <v/>
      </c>
      <c r="AE55" s="30" t="str">
        <f t="shared" si="27"/>
        <v/>
      </c>
      <c r="AG55" s="31"/>
      <c r="AH55" s="31" t="e">
        <f t="shared" si="28"/>
        <v>#VALUE!</v>
      </c>
      <c r="AI55" s="31" t="e">
        <f t="shared" si="29"/>
        <v>#VALUE!</v>
      </c>
      <c r="AJ55" s="31" t="e">
        <f t="shared" si="30"/>
        <v>#VALUE!</v>
      </c>
      <c r="AK55" s="31" t="e">
        <f t="shared" si="31"/>
        <v>#VALUE!</v>
      </c>
      <c r="AL55" s="31" t="e">
        <f t="shared" si="32"/>
        <v>#VALUE!</v>
      </c>
      <c r="AM55" s="31" t="e">
        <f t="shared" si="33"/>
        <v>#VALUE!</v>
      </c>
      <c r="AN55" s="32" t="str">
        <f t="shared" si="34"/>
        <v/>
      </c>
      <c r="AO55" s="27" t="str">
        <f t="shared" si="35"/>
        <v/>
      </c>
      <c r="AP55" s="27" t="str">
        <f t="shared" si="36"/>
        <v/>
      </c>
      <c r="AQ55" s="27">
        <f t="shared" si="37"/>
        <v>0</v>
      </c>
      <c r="AR55" s="27">
        <f t="shared" si="38"/>
        <v>0</v>
      </c>
      <c r="AS55" s="33">
        <f t="shared" si="39"/>
        <v>0</v>
      </c>
    </row>
    <row r="56" spans="1:45" ht="15.75" hidden="1" customHeight="1" x14ac:dyDescent="0.25">
      <c r="A56" s="4"/>
      <c r="B56" s="34">
        <f t="shared" ref="B56:F56" si="74">IF(B55="","",B55)</f>
        <v>10210</v>
      </c>
      <c r="C56" s="26">
        <f t="shared" si="74"/>
        <v>24</v>
      </c>
      <c r="D56" s="26">
        <f t="shared" si="74"/>
        <v>0</v>
      </c>
      <c r="E56" s="26">
        <f t="shared" si="74"/>
        <v>0</v>
      </c>
      <c r="F56" s="26">
        <f t="shared" si="74"/>
        <v>0</v>
      </c>
      <c r="G56" s="24"/>
      <c r="H56" s="24"/>
      <c r="I56" s="24"/>
      <c r="J56" s="24"/>
      <c r="K56" s="24"/>
      <c r="L56" s="24"/>
      <c r="M56" s="25"/>
      <c r="N56" s="26" t="str">
        <f t="shared" si="10"/>
        <v/>
      </c>
      <c r="O56" s="26" t="str">
        <f t="shared" si="11"/>
        <v/>
      </c>
      <c r="P56" s="26" t="str">
        <f t="shared" si="12"/>
        <v/>
      </c>
      <c r="Q56" s="26">
        <f t="shared" si="13"/>
        <v>0</v>
      </c>
      <c r="R56" s="26">
        <f t="shared" si="14"/>
        <v>0</v>
      </c>
      <c r="S56" s="26">
        <f t="shared" si="15"/>
        <v>0</v>
      </c>
      <c r="T56" s="26" t="str">
        <f t="shared" si="16"/>
        <v/>
      </c>
      <c r="U56" s="26" t="str">
        <f t="shared" si="17"/>
        <v/>
      </c>
      <c r="V56" s="26" t="str">
        <f t="shared" si="18"/>
        <v/>
      </c>
      <c r="W56" s="27" t="str">
        <f t="shared" si="19"/>
        <v/>
      </c>
      <c r="X56" s="27" t="str">
        <f t="shared" si="20"/>
        <v/>
      </c>
      <c r="Y56" s="28" t="str">
        <f t="shared" si="21"/>
        <v/>
      </c>
      <c r="Z56" s="27" t="str">
        <f t="shared" si="22"/>
        <v/>
      </c>
      <c r="AA56" s="27" t="str">
        <f t="shared" si="23"/>
        <v/>
      </c>
      <c r="AB56" s="27" t="str">
        <f t="shared" si="24"/>
        <v/>
      </c>
      <c r="AC56" s="27" t="str">
        <f t="shared" si="25"/>
        <v/>
      </c>
      <c r="AD56" s="29" t="str">
        <f t="shared" si="26"/>
        <v/>
      </c>
      <c r="AE56" s="30" t="str">
        <f t="shared" si="27"/>
        <v/>
      </c>
      <c r="AG56" s="31"/>
      <c r="AH56" s="31" t="e">
        <f t="shared" si="28"/>
        <v>#VALUE!</v>
      </c>
      <c r="AI56" s="31" t="e">
        <f t="shared" si="29"/>
        <v>#VALUE!</v>
      </c>
      <c r="AJ56" s="31" t="e">
        <f t="shared" si="30"/>
        <v>#VALUE!</v>
      </c>
      <c r="AK56" s="31" t="e">
        <f t="shared" si="31"/>
        <v>#VALUE!</v>
      </c>
      <c r="AL56" s="31" t="e">
        <f t="shared" si="32"/>
        <v>#VALUE!</v>
      </c>
      <c r="AM56" s="31" t="e">
        <f t="shared" si="33"/>
        <v>#VALUE!</v>
      </c>
      <c r="AN56" s="32" t="str">
        <f t="shared" si="34"/>
        <v/>
      </c>
      <c r="AO56" s="27" t="str">
        <f t="shared" si="35"/>
        <v/>
      </c>
      <c r="AP56" s="27" t="str">
        <f t="shared" si="36"/>
        <v/>
      </c>
      <c r="AQ56" s="27">
        <f t="shared" si="37"/>
        <v>0</v>
      </c>
      <c r="AR56" s="27">
        <f t="shared" si="38"/>
        <v>0</v>
      </c>
      <c r="AS56" s="33">
        <f t="shared" si="39"/>
        <v>0</v>
      </c>
    </row>
    <row r="57" spans="1:45" ht="15.75" hidden="1" customHeight="1" x14ac:dyDescent="0.25">
      <c r="A57" s="4"/>
      <c r="B57" s="34">
        <f t="shared" ref="B57:F57" si="75">IF(B56="","",B56)</f>
        <v>10210</v>
      </c>
      <c r="C57" s="26">
        <f t="shared" si="75"/>
        <v>24</v>
      </c>
      <c r="D57" s="26">
        <f t="shared" si="75"/>
        <v>0</v>
      </c>
      <c r="E57" s="26">
        <f t="shared" si="75"/>
        <v>0</v>
      </c>
      <c r="F57" s="26">
        <f t="shared" si="75"/>
        <v>0</v>
      </c>
      <c r="G57" s="24"/>
      <c r="H57" s="24"/>
      <c r="I57" s="24"/>
      <c r="J57" s="24"/>
      <c r="K57" s="24"/>
      <c r="L57" s="24"/>
      <c r="M57" s="25"/>
      <c r="N57" s="26" t="str">
        <f t="shared" si="10"/>
        <v/>
      </c>
      <c r="O57" s="26" t="str">
        <f t="shared" si="11"/>
        <v/>
      </c>
      <c r="P57" s="26" t="str">
        <f t="shared" si="12"/>
        <v/>
      </c>
      <c r="Q57" s="26">
        <f t="shared" si="13"/>
        <v>0</v>
      </c>
      <c r="R57" s="26">
        <f t="shared" si="14"/>
        <v>0</v>
      </c>
      <c r="S57" s="26">
        <f t="shared" si="15"/>
        <v>0</v>
      </c>
      <c r="T57" s="26" t="str">
        <f t="shared" si="16"/>
        <v/>
      </c>
      <c r="U57" s="26" t="str">
        <f t="shared" si="17"/>
        <v/>
      </c>
      <c r="V57" s="26" t="str">
        <f t="shared" si="18"/>
        <v/>
      </c>
      <c r="W57" s="27" t="str">
        <f t="shared" si="19"/>
        <v/>
      </c>
      <c r="X57" s="27" t="str">
        <f t="shared" si="20"/>
        <v/>
      </c>
      <c r="Y57" s="28" t="str">
        <f t="shared" si="21"/>
        <v/>
      </c>
      <c r="Z57" s="27" t="str">
        <f t="shared" si="22"/>
        <v/>
      </c>
      <c r="AA57" s="27" t="str">
        <f t="shared" si="23"/>
        <v/>
      </c>
      <c r="AB57" s="27" t="str">
        <f t="shared" si="24"/>
        <v/>
      </c>
      <c r="AC57" s="27" t="str">
        <f t="shared" si="25"/>
        <v/>
      </c>
      <c r="AD57" s="29" t="str">
        <f t="shared" si="26"/>
        <v/>
      </c>
      <c r="AE57" s="30" t="str">
        <f t="shared" si="27"/>
        <v/>
      </c>
      <c r="AG57" s="31"/>
      <c r="AH57" s="31" t="e">
        <f t="shared" si="28"/>
        <v>#VALUE!</v>
      </c>
      <c r="AI57" s="31" t="e">
        <f t="shared" si="29"/>
        <v>#VALUE!</v>
      </c>
      <c r="AJ57" s="31" t="e">
        <f t="shared" si="30"/>
        <v>#VALUE!</v>
      </c>
      <c r="AK57" s="31" t="e">
        <f t="shared" si="31"/>
        <v>#VALUE!</v>
      </c>
      <c r="AL57" s="31" t="e">
        <f t="shared" si="32"/>
        <v>#VALUE!</v>
      </c>
      <c r="AM57" s="31" t="e">
        <f t="shared" si="33"/>
        <v>#VALUE!</v>
      </c>
      <c r="AN57" s="32" t="str">
        <f t="shared" si="34"/>
        <v/>
      </c>
      <c r="AO57" s="27" t="str">
        <f t="shared" si="35"/>
        <v/>
      </c>
      <c r="AP57" s="27" t="str">
        <f t="shared" si="36"/>
        <v/>
      </c>
      <c r="AQ57" s="27">
        <f t="shared" si="37"/>
        <v>0</v>
      </c>
      <c r="AR57" s="27">
        <f t="shared" si="38"/>
        <v>0</v>
      </c>
      <c r="AS57" s="33">
        <f t="shared" si="39"/>
        <v>0</v>
      </c>
    </row>
    <row r="58" spans="1:45" ht="15.75" hidden="1" customHeight="1" x14ac:dyDescent="0.25">
      <c r="A58" s="4"/>
      <c r="B58" s="34">
        <f t="shared" ref="B58:F58" si="76">IF(B57="","",B57)</f>
        <v>10210</v>
      </c>
      <c r="C58" s="26">
        <f t="shared" si="76"/>
        <v>24</v>
      </c>
      <c r="D58" s="26">
        <f t="shared" si="76"/>
        <v>0</v>
      </c>
      <c r="E58" s="26">
        <f t="shared" si="76"/>
        <v>0</v>
      </c>
      <c r="F58" s="26">
        <f t="shared" si="76"/>
        <v>0</v>
      </c>
      <c r="G58" s="24"/>
      <c r="H58" s="24"/>
      <c r="I58" s="24"/>
      <c r="J58" s="24"/>
      <c r="K58" s="24"/>
      <c r="L58" s="24"/>
      <c r="M58" s="25"/>
      <c r="N58" s="26" t="str">
        <f t="shared" si="10"/>
        <v/>
      </c>
      <c r="O58" s="26" t="str">
        <f t="shared" si="11"/>
        <v/>
      </c>
      <c r="P58" s="26" t="str">
        <f t="shared" si="12"/>
        <v/>
      </c>
      <c r="Q58" s="26">
        <f t="shared" si="13"/>
        <v>0</v>
      </c>
      <c r="R58" s="26">
        <f t="shared" si="14"/>
        <v>0</v>
      </c>
      <c r="S58" s="26">
        <f t="shared" si="15"/>
        <v>0</v>
      </c>
      <c r="T58" s="26" t="str">
        <f t="shared" si="16"/>
        <v/>
      </c>
      <c r="U58" s="26" t="str">
        <f t="shared" si="17"/>
        <v/>
      </c>
      <c r="V58" s="26" t="str">
        <f t="shared" si="18"/>
        <v/>
      </c>
      <c r="W58" s="27" t="str">
        <f t="shared" si="19"/>
        <v/>
      </c>
      <c r="X58" s="27" t="str">
        <f t="shared" si="20"/>
        <v/>
      </c>
      <c r="Y58" s="28" t="str">
        <f t="shared" si="21"/>
        <v/>
      </c>
      <c r="Z58" s="27" t="str">
        <f t="shared" si="22"/>
        <v/>
      </c>
      <c r="AA58" s="27" t="str">
        <f t="shared" si="23"/>
        <v/>
      </c>
      <c r="AB58" s="27" t="str">
        <f t="shared" si="24"/>
        <v/>
      </c>
      <c r="AC58" s="27" t="str">
        <f t="shared" si="25"/>
        <v/>
      </c>
      <c r="AD58" s="29" t="str">
        <f t="shared" si="26"/>
        <v/>
      </c>
      <c r="AE58" s="30" t="str">
        <f t="shared" si="27"/>
        <v/>
      </c>
      <c r="AG58" s="31"/>
      <c r="AH58" s="31" t="e">
        <f t="shared" si="28"/>
        <v>#VALUE!</v>
      </c>
      <c r="AI58" s="31" t="e">
        <f t="shared" si="29"/>
        <v>#VALUE!</v>
      </c>
      <c r="AJ58" s="31" t="e">
        <f t="shared" si="30"/>
        <v>#VALUE!</v>
      </c>
      <c r="AK58" s="31" t="e">
        <f t="shared" si="31"/>
        <v>#VALUE!</v>
      </c>
      <c r="AL58" s="31" t="e">
        <f t="shared" si="32"/>
        <v>#VALUE!</v>
      </c>
      <c r="AM58" s="31" t="e">
        <f t="shared" si="33"/>
        <v>#VALUE!</v>
      </c>
      <c r="AN58" s="32" t="str">
        <f t="shared" si="34"/>
        <v/>
      </c>
      <c r="AO58" s="27" t="str">
        <f t="shared" si="35"/>
        <v/>
      </c>
      <c r="AP58" s="27" t="str">
        <f t="shared" si="36"/>
        <v/>
      </c>
      <c r="AQ58" s="27">
        <f t="shared" si="37"/>
        <v>0</v>
      </c>
      <c r="AR58" s="27">
        <f t="shared" si="38"/>
        <v>0</v>
      </c>
      <c r="AS58" s="33">
        <f t="shared" si="39"/>
        <v>0</v>
      </c>
    </row>
    <row r="59" spans="1:45" ht="15.75" hidden="1" customHeight="1" x14ac:dyDescent="0.25">
      <c r="A59" s="4"/>
      <c r="B59" s="34">
        <f t="shared" ref="B59:F59" si="77">IF(B58="","",B58)</f>
        <v>10210</v>
      </c>
      <c r="C59" s="26">
        <f t="shared" si="77"/>
        <v>24</v>
      </c>
      <c r="D59" s="26">
        <f t="shared" si="77"/>
        <v>0</v>
      </c>
      <c r="E59" s="26">
        <f t="shared" si="77"/>
        <v>0</v>
      </c>
      <c r="F59" s="26">
        <f t="shared" si="77"/>
        <v>0</v>
      </c>
      <c r="G59" s="24"/>
      <c r="H59" s="24"/>
      <c r="I59" s="24"/>
      <c r="J59" s="24"/>
      <c r="K59" s="24"/>
      <c r="L59" s="24"/>
      <c r="M59" s="25"/>
      <c r="N59" s="26" t="str">
        <f t="shared" si="10"/>
        <v/>
      </c>
      <c r="O59" s="26" t="str">
        <f t="shared" si="11"/>
        <v/>
      </c>
      <c r="P59" s="26" t="str">
        <f t="shared" si="12"/>
        <v/>
      </c>
      <c r="Q59" s="26">
        <f t="shared" si="13"/>
        <v>0</v>
      </c>
      <c r="R59" s="26">
        <f t="shared" si="14"/>
        <v>0</v>
      </c>
      <c r="S59" s="26">
        <f t="shared" si="15"/>
        <v>0</v>
      </c>
      <c r="T59" s="26" t="str">
        <f t="shared" si="16"/>
        <v/>
      </c>
      <c r="U59" s="26" t="str">
        <f t="shared" si="17"/>
        <v/>
      </c>
      <c r="V59" s="26" t="str">
        <f t="shared" si="18"/>
        <v/>
      </c>
      <c r="W59" s="27" t="str">
        <f t="shared" si="19"/>
        <v/>
      </c>
      <c r="X59" s="27" t="str">
        <f t="shared" si="20"/>
        <v/>
      </c>
      <c r="Y59" s="28" t="str">
        <f t="shared" si="21"/>
        <v/>
      </c>
      <c r="Z59" s="27" t="str">
        <f t="shared" si="22"/>
        <v/>
      </c>
      <c r="AA59" s="27" t="str">
        <f t="shared" si="23"/>
        <v/>
      </c>
      <c r="AB59" s="27" t="str">
        <f t="shared" si="24"/>
        <v/>
      </c>
      <c r="AC59" s="27" t="str">
        <f t="shared" si="25"/>
        <v/>
      </c>
      <c r="AD59" s="29" t="str">
        <f t="shared" si="26"/>
        <v/>
      </c>
      <c r="AE59" s="30" t="str">
        <f t="shared" si="27"/>
        <v/>
      </c>
      <c r="AG59" s="31"/>
      <c r="AH59" s="31" t="e">
        <f t="shared" si="28"/>
        <v>#VALUE!</v>
      </c>
      <c r="AI59" s="31" t="e">
        <f t="shared" si="29"/>
        <v>#VALUE!</v>
      </c>
      <c r="AJ59" s="31" t="e">
        <f t="shared" si="30"/>
        <v>#VALUE!</v>
      </c>
      <c r="AK59" s="31" t="e">
        <f t="shared" si="31"/>
        <v>#VALUE!</v>
      </c>
      <c r="AL59" s="31" t="e">
        <f t="shared" si="32"/>
        <v>#VALUE!</v>
      </c>
      <c r="AM59" s="31" t="e">
        <f t="shared" si="33"/>
        <v>#VALUE!</v>
      </c>
      <c r="AN59" s="32" t="str">
        <f t="shared" si="34"/>
        <v/>
      </c>
      <c r="AO59" s="27" t="str">
        <f t="shared" si="35"/>
        <v/>
      </c>
      <c r="AP59" s="27" t="str">
        <f t="shared" si="36"/>
        <v/>
      </c>
      <c r="AQ59" s="27">
        <f t="shared" si="37"/>
        <v>0</v>
      </c>
      <c r="AR59" s="27">
        <f t="shared" si="38"/>
        <v>0</v>
      </c>
      <c r="AS59" s="33">
        <f t="shared" si="39"/>
        <v>0</v>
      </c>
    </row>
    <row r="60" spans="1:45" ht="15.75" hidden="1" customHeight="1" x14ac:dyDescent="0.25">
      <c r="A60" s="4"/>
      <c r="B60" s="34">
        <f t="shared" ref="B60:F60" si="78">IF(B59="","",B59)</f>
        <v>10210</v>
      </c>
      <c r="C60" s="26">
        <f t="shared" si="78"/>
        <v>24</v>
      </c>
      <c r="D60" s="26">
        <f t="shared" si="78"/>
        <v>0</v>
      </c>
      <c r="E60" s="26">
        <f t="shared" si="78"/>
        <v>0</v>
      </c>
      <c r="F60" s="26">
        <f t="shared" si="78"/>
        <v>0</v>
      </c>
      <c r="G60" s="24"/>
      <c r="H60" s="24"/>
      <c r="I60" s="24"/>
      <c r="J60" s="24"/>
      <c r="K60" s="24"/>
      <c r="L60" s="24"/>
      <c r="M60" s="25"/>
      <c r="N60" s="26" t="str">
        <f t="shared" si="10"/>
        <v/>
      </c>
      <c r="O60" s="26" t="str">
        <f t="shared" si="11"/>
        <v/>
      </c>
      <c r="P60" s="26" t="str">
        <f t="shared" si="12"/>
        <v/>
      </c>
      <c r="Q60" s="26">
        <f t="shared" si="13"/>
        <v>0</v>
      </c>
      <c r="R60" s="26">
        <f t="shared" si="14"/>
        <v>0</v>
      </c>
      <c r="S60" s="26">
        <f t="shared" si="15"/>
        <v>0</v>
      </c>
      <c r="T60" s="26" t="str">
        <f t="shared" si="16"/>
        <v/>
      </c>
      <c r="U60" s="26" t="str">
        <f t="shared" si="17"/>
        <v/>
      </c>
      <c r="V60" s="26" t="str">
        <f t="shared" si="18"/>
        <v/>
      </c>
      <c r="W60" s="27" t="str">
        <f t="shared" si="19"/>
        <v/>
      </c>
      <c r="X60" s="27" t="str">
        <f t="shared" si="20"/>
        <v/>
      </c>
      <c r="Y60" s="28" t="str">
        <f t="shared" si="21"/>
        <v/>
      </c>
      <c r="Z60" s="27" t="str">
        <f t="shared" si="22"/>
        <v/>
      </c>
      <c r="AA60" s="27" t="str">
        <f t="shared" si="23"/>
        <v/>
      </c>
      <c r="AB60" s="27" t="str">
        <f t="shared" si="24"/>
        <v/>
      </c>
      <c r="AC60" s="27" t="str">
        <f t="shared" si="25"/>
        <v/>
      </c>
      <c r="AD60" s="29" t="str">
        <f t="shared" si="26"/>
        <v/>
      </c>
      <c r="AE60" s="30" t="str">
        <f t="shared" si="27"/>
        <v/>
      </c>
      <c r="AG60" s="31"/>
      <c r="AH60" s="31" t="e">
        <f t="shared" si="28"/>
        <v>#VALUE!</v>
      </c>
      <c r="AI60" s="31" t="e">
        <f t="shared" si="29"/>
        <v>#VALUE!</v>
      </c>
      <c r="AJ60" s="31" t="e">
        <f t="shared" si="30"/>
        <v>#VALUE!</v>
      </c>
      <c r="AK60" s="31" t="e">
        <f t="shared" si="31"/>
        <v>#VALUE!</v>
      </c>
      <c r="AL60" s="31" t="e">
        <f t="shared" si="32"/>
        <v>#VALUE!</v>
      </c>
      <c r="AM60" s="31" t="e">
        <f t="shared" si="33"/>
        <v>#VALUE!</v>
      </c>
      <c r="AN60" s="32" t="str">
        <f t="shared" si="34"/>
        <v/>
      </c>
      <c r="AO60" s="27" t="str">
        <f t="shared" si="35"/>
        <v/>
      </c>
      <c r="AP60" s="27" t="str">
        <f t="shared" si="36"/>
        <v/>
      </c>
      <c r="AQ60" s="27">
        <f t="shared" si="37"/>
        <v>0</v>
      </c>
      <c r="AR60" s="27">
        <f t="shared" si="38"/>
        <v>0</v>
      </c>
      <c r="AS60" s="33">
        <f t="shared" si="39"/>
        <v>0</v>
      </c>
    </row>
    <row r="61" spans="1:45" ht="15.75" hidden="1" customHeight="1" x14ac:dyDescent="0.25">
      <c r="A61" s="4"/>
      <c r="B61" s="34">
        <f t="shared" ref="B61:F61" si="79">IF(B60="","",B60)</f>
        <v>10210</v>
      </c>
      <c r="C61" s="26">
        <f t="shared" si="79"/>
        <v>24</v>
      </c>
      <c r="D61" s="26">
        <f t="shared" si="79"/>
        <v>0</v>
      </c>
      <c r="E61" s="26">
        <f t="shared" si="79"/>
        <v>0</v>
      </c>
      <c r="F61" s="26">
        <f t="shared" si="79"/>
        <v>0</v>
      </c>
      <c r="G61" s="24"/>
      <c r="H61" s="24"/>
      <c r="I61" s="24"/>
      <c r="J61" s="24"/>
      <c r="K61" s="24"/>
      <c r="L61" s="24"/>
      <c r="M61" s="25"/>
      <c r="N61" s="26" t="str">
        <f t="shared" si="10"/>
        <v/>
      </c>
      <c r="O61" s="26" t="str">
        <f t="shared" si="11"/>
        <v/>
      </c>
      <c r="P61" s="26" t="str">
        <f t="shared" si="12"/>
        <v/>
      </c>
      <c r="Q61" s="26">
        <f t="shared" si="13"/>
        <v>0</v>
      </c>
      <c r="R61" s="26">
        <f t="shared" si="14"/>
        <v>0</v>
      </c>
      <c r="S61" s="26">
        <f t="shared" si="15"/>
        <v>0</v>
      </c>
      <c r="T61" s="26" t="str">
        <f t="shared" si="16"/>
        <v/>
      </c>
      <c r="U61" s="26" t="str">
        <f t="shared" si="17"/>
        <v/>
      </c>
      <c r="V61" s="26" t="str">
        <f t="shared" si="18"/>
        <v/>
      </c>
      <c r="W61" s="27" t="str">
        <f t="shared" si="19"/>
        <v/>
      </c>
      <c r="X61" s="27" t="str">
        <f t="shared" si="20"/>
        <v/>
      </c>
      <c r="Y61" s="28" t="str">
        <f t="shared" si="21"/>
        <v/>
      </c>
      <c r="Z61" s="27" t="str">
        <f t="shared" si="22"/>
        <v/>
      </c>
      <c r="AA61" s="27" t="str">
        <f t="shared" si="23"/>
        <v/>
      </c>
      <c r="AB61" s="27" t="str">
        <f t="shared" si="24"/>
        <v/>
      </c>
      <c r="AC61" s="27" t="str">
        <f t="shared" si="25"/>
        <v/>
      </c>
      <c r="AD61" s="29" t="str">
        <f t="shared" si="26"/>
        <v/>
      </c>
      <c r="AE61" s="30" t="str">
        <f t="shared" si="27"/>
        <v/>
      </c>
      <c r="AG61" s="31"/>
      <c r="AH61" s="31" t="e">
        <f t="shared" si="28"/>
        <v>#VALUE!</v>
      </c>
      <c r="AI61" s="31" t="e">
        <f t="shared" si="29"/>
        <v>#VALUE!</v>
      </c>
      <c r="AJ61" s="31" t="e">
        <f t="shared" si="30"/>
        <v>#VALUE!</v>
      </c>
      <c r="AK61" s="31" t="e">
        <f t="shared" si="31"/>
        <v>#VALUE!</v>
      </c>
      <c r="AL61" s="31" t="e">
        <f t="shared" si="32"/>
        <v>#VALUE!</v>
      </c>
      <c r="AM61" s="31" t="e">
        <f t="shared" si="33"/>
        <v>#VALUE!</v>
      </c>
      <c r="AN61" s="32" t="str">
        <f t="shared" si="34"/>
        <v/>
      </c>
      <c r="AO61" s="27" t="str">
        <f t="shared" si="35"/>
        <v/>
      </c>
      <c r="AP61" s="27" t="str">
        <f t="shared" si="36"/>
        <v/>
      </c>
      <c r="AQ61" s="27">
        <f t="shared" si="37"/>
        <v>0</v>
      </c>
      <c r="AR61" s="27">
        <f t="shared" si="38"/>
        <v>0</v>
      </c>
      <c r="AS61" s="33">
        <f t="shared" si="39"/>
        <v>0</v>
      </c>
    </row>
    <row r="62" spans="1:45" ht="15.75" hidden="1" customHeight="1" x14ac:dyDescent="0.25">
      <c r="A62" s="4"/>
      <c r="B62" s="34">
        <f>IF(B61="","",B61)</f>
        <v>10210</v>
      </c>
      <c r="C62" s="26">
        <f t="shared" ref="C62:F62" si="80">IF(C61="","",C61)</f>
        <v>24</v>
      </c>
      <c r="D62" s="26">
        <f t="shared" si="80"/>
        <v>0</v>
      </c>
      <c r="E62" s="26">
        <f t="shared" si="80"/>
        <v>0</v>
      </c>
      <c r="F62" s="26">
        <f t="shared" si="80"/>
        <v>0</v>
      </c>
      <c r="G62" s="24"/>
      <c r="H62" s="24"/>
      <c r="I62" s="24"/>
      <c r="J62" s="24"/>
      <c r="K62" s="24"/>
      <c r="L62" s="24"/>
      <c r="M62" s="25"/>
      <c r="N62" s="26" t="str">
        <f t="shared" si="10"/>
        <v/>
      </c>
      <c r="O62" s="26" t="str">
        <f t="shared" si="11"/>
        <v/>
      </c>
      <c r="P62" s="26" t="str">
        <f t="shared" si="12"/>
        <v/>
      </c>
      <c r="Q62" s="26">
        <f t="shared" si="13"/>
        <v>0</v>
      </c>
      <c r="R62" s="26">
        <f t="shared" si="14"/>
        <v>0</v>
      </c>
      <c r="S62" s="26">
        <f t="shared" si="15"/>
        <v>0</v>
      </c>
      <c r="T62" s="26" t="str">
        <f t="shared" si="16"/>
        <v/>
      </c>
      <c r="U62" s="26" t="str">
        <f t="shared" si="17"/>
        <v/>
      </c>
      <c r="V62" s="26" t="str">
        <f t="shared" si="18"/>
        <v/>
      </c>
      <c r="W62" s="27" t="str">
        <f t="shared" si="19"/>
        <v/>
      </c>
      <c r="X62" s="27" t="str">
        <f t="shared" si="20"/>
        <v/>
      </c>
      <c r="Y62" s="28" t="str">
        <f t="shared" si="21"/>
        <v/>
      </c>
      <c r="Z62" s="27" t="str">
        <f t="shared" si="22"/>
        <v/>
      </c>
      <c r="AA62" s="27" t="str">
        <f t="shared" si="23"/>
        <v/>
      </c>
      <c r="AB62" s="27" t="str">
        <f t="shared" si="24"/>
        <v/>
      </c>
      <c r="AC62" s="27" t="str">
        <f t="shared" si="25"/>
        <v/>
      </c>
      <c r="AD62" s="29" t="str">
        <f t="shared" si="26"/>
        <v/>
      </c>
      <c r="AE62" s="30" t="str">
        <f t="shared" si="27"/>
        <v/>
      </c>
      <c r="AG62" s="31"/>
      <c r="AH62" s="31" t="e">
        <f t="shared" si="28"/>
        <v>#VALUE!</v>
      </c>
      <c r="AI62" s="31" t="e">
        <f t="shared" si="29"/>
        <v>#VALUE!</v>
      </c>
      <c r="AJ62" s="31" t="e">
        <f t="shared" si="30"/>
        <v>#VALUE!</v>
      </c>
      <c r="AK62" s="31" t="e">
        <f t="shared" si="31"/>
        <v>#VALUE!</v>
      </c>
      <c r="AL62" s="31" t="e">
        <f t="shared" si="32"/>
        <v>#VALUE!</v>
      </c>
      <c r="AM62" s="31" t="e">
        <f t="shared" si="33"/>
        <v>#VALUE!</v>
      </c>
      <c r="AN62" s="32" t="str">
        <f t="shared" si="34"/>
        <v/>
      </c>
      <c r="AO62" s="27" t="str">
        <f t="shared" si="35"/>
        <v/>
      </c>
      <c r="AP62" s="27" t="str">
        <f t="shared" si="36"/>
        <v/>
      </c>
      <c r="AQ62" s="27">
        <f t="shared" si="37"/>
        <v>0</v>
      </c>
      <c r="AR62" s="27">
        <f t="shared" si="38"/>
        <v>0</v>
      </c>
      <c r="AS62" s="33">
        <f t="shared" si="39"/>
        <v>0</v>
      </c>
    </row>
    <row r="63" spans="1:45" ht="15.75" hidden="1" customHeight="1" x14ac:dyDescent="0.25">
      <c r="A63" s="4"/>
      <c r="B63" s="34">
        <f t="shared" ref="B63:F63" si="81">IF(B62="","",B62)</f>
        <v>10210</v>
      </c>
      <c r="C63" s="26">
        <f t="shared" si="81"/>
        <v>24</v>
      </c>
      <c r="D63" s="26">
        <f t="shared" si="81"/>
        <v>0</v>
      </c>
      <c r="E63" s="26">
        <f t="shared" si="81"/>
        <v>0</v>
      </c>
      <c r="F63" s="26">
        <f t="shared" si="81"/>
        <v>0</v>
      </c>
      <c r="G63" s="24"/>
      <c r="H63" s="24"/>
      <c r="I63" s="24"/>
      <c r="J63" s="24"/>
      <c r="K63" s="24"/>
      <c r="L63" s="24"/>
      <c r="M63" s="25"/>
      <c r="N63" s="26" t="str">
        <f t="shared" si="10"/>
        <v/>
      </c>
      <c r="O63" s="26" t="str">
        <f t="shared" si="11"/>
        <v/>
      </c>
      <c r="P63" s="26" t="str">
        <f t="shared" si="12"/>
        <v/>
      </c>
      <c r="Q63" s="26">
        <f t="shared" si="13"/>
        <v>0</v>
      </c>
      <c r="R63" s="26">
        <f t="shared" si="14"/>
        <v>0</v>
      </c>
      <c r="S63" s="26">
        <f t="shared" si="15"/>
        <v>0</v>
      </c>
      <c r="T63" s="26" t="str">
        <f t="shared" si="16"/>
        <v/>
      </c>
      <c r="U63" s="26" t="str">
        <f t="shared" si="17"/>
        <v/>
      </c>
      <c r="V63" s="26" t="str">
        <f t="shared" si="18"/>
        <v/>
      </c>
      <c r="W63" s="27" t="str">
        <f t="shared" si="19"/>
        <v/>
      </c>
      <c r="X63" s="27" t="str">
        <f t="shared" si="20"/>
        <v/>
      </c>
      <c r="Y63" s="28" t="str">
        <f t="shared" si="21"/>
        <v/>
      </c>
      <c r="Z63" s="27" t="str">
        <f t="shared" si="22"/>
        <v/>
      </c>
      <c r="AA63" s="27" t="str">
        <f t="shared" si="23"/>
        <v/>
      </c>
      <c r="AB63" s="27" t="str">
        <f t="shared" si="24"/>
        <v/>
      </c>
      <c r="AC63" s="27" t="str">
        <f t="shared" si="25"/>
        <v/>
      </c>
      <c r="AD63" s="29" t="str">
        <f t="shared" si="26"/>
        <v/>
      </c>
      <c r="AE63" s="30" t="str">
        <f t="shared" si="27"/>
        <v/>
      </c>
      <c r="AG63" s="31"/>
      <c r="AH63" s="31" t="e">
        <f t="shared" si="28"/>
        <v>#VALUE!</v>
      </c>
      <c r="AI63" s="31" t="e">
        <f t="shared" si="29"/>
        <v>#VALUE!</v>
      </c>
      <c r="AJ63" s="31" t="e">
        <f t="shared" si="30"/>
        <v>#VALUE!</v>
      </c>
      <c r="AK63" s="31" t="e">
        <f t="shared" si="31"/>
        <v>#VALUE!</v>
      </c>
      <c r="AL63" s="31" t="e">
        <f t="shared" si="32"/>
        <v>#VALUE!</v>
      </c>
      <c r="AM63" s="31" t="e">
        <f t="shared" si="33"/>
        <v>#VALUE!</v>
      </c>
      <c r="AN63" s="32" t="str">
        <f t="shared" si="34"/>
        <v/>
      </c>
      <c r="AO63" s="27" t="str">
        <f t="shared" si="35"/>
        <v/>
      </c>
      <c r="AP63" s="27" t="str">
        <f t="shared" si="36"/>
        <v/>
      </c>
      <c r="AQ63" s="27">
        <f t="shared" si="37"/>
        <v>0</v>
      </c>
      <c r="AR63" s="27">
        <f t="shared" si="38"/>
        <v>0</v>
      </c>
      <c r="AS63" s="33">
        <f t="shared" si="39"/>
        <v>0</v>
      </c>
    </row>
    <row r="64" spans="1:45" ht="15.75" hidden="1" customHeight="1" x14ac:dyDescent="0.25">
      <c r="A64" s="4"/>
      <c r="B64" s="34">
        <f t="shared" ref="B64:F64" si="82">IF(B63="","",B63)</f>
        <v>10210</v>
      </c>
      <c r="C64" s="26">
        <f t="shared" si="82"/>
        <v>24</v>
      </c>
      <c r="D64" s="26">
        <f t="shared" si="82"/>
        <v>0</v>
      </c>
      <c r="E64" s="26">
        <f t="shared" si="82"/>
        <v>0</v>
      </c>
      <c r="F64" s="26">
        <f t="shared" si="82"/>
        <v>0</v>
      </c>
      <c r="G64" s="24"/>
      <c r="H64" s="24"/>
      <c r="I64" s="24"/>
      <c r="J64" s="24"/>
      <c r="K64" s="24"/>
      <c r="L64" s="24"/>
      <c r="M64" s="25"/>
      <c r="N64" s="26" t="str">
        <f t="shared" si="10"/>
        <v/>
      </c>
      <c r="O64" s="26" t="str">
        <f t="shared" si="11"/>
        <v/>
      </c>
      <c r="P64" s="26" t="str">
        <f t="shared" si="12"/>
        <v/>
      </c>
      <c r="Q64" s="26">
        <f t="shared" si="13"/>
        <v>0</v>
      </c>
      <c r="R64" s="26">
        <f t="shared" si="14"/>
        <v>0</v>
      </c>
      <c r="S64" s="26">
        <f t="shared" si="15"/>
        <v>0</v>
      </c>
      <c r="T64" s="26" t="str">
        <f t="shared" si="16"/>
        <v/>
      </c>
      <c r="U64" s="26" t="str">
        <f t="shared" si="17"/>
        <v/>
      </c>
      <c r="V64" s="26" t="str">
        <f t="shared" si="18"/>
        <v/>
      </c>
      <c r="W64" s="27" t="str">
        <f t="shared" si="19"/>
        <v/>
      </c>
      <c r="X64" s="27" t="str">
        <f t="shared" si="20"/>
        <v/>
      </c>
      <c r="Y64" s="28" t="str">
        <f t="shared" si="21"/>
        <v/>
      </c>
      <c r="Z64" s="27" t="str">
        <f t="shared" si="22"/>
        <v/>
      </c>
      <c r="AA64" s="27" t="str">
        <f t="shared" si="23"/>
        <v/>
      </c>
      <c r="AB64" s="27" t="str">
        <f t="shared" si="24"/>
        <v/>
      </c>
      <c r="AC64" s="27" t="str">
        <f t="shared" si="25"/>
        <v/>
      </c>
      <c r="AD64" s="29" t="str">
        <f t="shared" si="26"/>
        <v/>
      </c>
      <c r="AE64" s="30" t="str">
        <f t="shared" si="27"/>
        <v/>
      </c>
      <c r="AG64" s="31"/>
      <c r="AH64" s="31" t="e">
        <f t="shared" si="28"/>
        <v>#VALUE!</v>
      </c>
      <c r="AI64" s="31" t="e">
        <f t="shared" si="29"/>
        <v>#VALUE!</v>
      </c>
      <c r="AJ64" s="31" t="e">
        <f t="shared" si="30"/>
        <v>#VALUE!</v>
      </c>
      <c r="AK64" s="31" t="e">
        <f t="shared" si="31"/>
        <v>#VALUE!</v>
      </c>
      <c r="AL64" s="31" t="e">
        <f t="shared" si="32"/>
        <v>#VALUE!</v>
      </c>
      <c r="AM64" s="31" t="e">
        <f t="shared" si="33"/>
        <v>#VALUE!</v>
      </c>
      <c r="AN64" s="32" t="str">
        <f t="shared" si="34"/>
        <v/>
      </c>
      <c r="AO64" s="27" t="str">
        <f t="shared" si="35"/>
        <v/>
      </c>
      <c r="AP64" s="27" t="str">
        <f t="shared" si="36"/>
        <v/>
      </c>
      <c r="AQ64" s="27">
        <f t="shared" si="37"/>
        <v>0</v>
      </c>
      <c r="AR64" s="27">
        <f t="shared" si="38"/>
        <v>0</v>
      </c>
      <c r="AS64" s="33">
        <f t="shared" si="39"/>
        <v>0</v>
      </c>
    </row>
    <row r="65" spans="1:45" ht="15.75" hidden="1" customHeight="1" x14ac:dyDescent="0.25">
      <c r="A65" s="4"/>
      <c r="B65" s="34">
        <f t="shared" ref="B65:F65" si="83">IF(B64="","",B64)</f>
        <v>10210</v>
      </c>
      <c r="C65" s="26">
        <f t="shared" si="83"/>
        <v>24</v>
      </c>
      <c r="D65" s="26">
        <f t="shared" si="83"/>
        <v>0</v>
      </c>
      <c r="E65" s="26">
        <f t="shared" si="83"/>
        <v>0</v>
      </c>
      <c r="F65" s="26">
        <f t="shared" si="83"/>
        <v>0</v>
      </c>
      <c r="G65" s="24"/>
      <c r="H65" s="24"/>
      <c r="I65" s="24"/>
      <c r="J65" s="24"/>
      <c r="K65" s="24"/>
      <c r="L65" s="24"/>
      <c r="M65" s="25"/>
      <c r="N65" s="26" t="str">
        <f t="shared" si="10"/>
        <v/>
      </c>
      <c r="O65" s="26" t="str">
        <f t="shared" si="11"/>
        <v/>
      </c>
      <c r="P65" s="26" t="str">
        <f t="shared" si="12"/>
        <v/>
      </c>
      <c r="Q65" s="26">
        <f t="shared" si="13"/>
        <v>0</v>
      </c>
      <c r="R65" s="26">
        <f t="shared" si="14"/>
        <v>0</v>
      </c>
      <c r="S65" s="26">
        <f t="shared" si="15"/>
        <v>0</v>
      </c>
      <c r="T65" s="26" t="str">
        <f t="shared" si="16"/>
        <v/>
      </c>
      <c r="U65" s="26" t="str">
        <f t="shared" si="17"/>
        <v/>
      </c>
      <c r="V65" s="26" t="str">
        <f t="shared" si="18"/>
        <v/>
      </c>
      <c r="W65" s="27" t="str">
        <f t="shared" si="19"/>
        <v/>
      </c>
      <c r="X65" s="27" t="str">
        <f t="shared" si="20"/>
        <v/>
      </c>
      <c r="Y65" s="28" t="str">
        <f t="shared" si="21"/>
        <v/>
      </c>
      <c r="Z65" s="27" t="str">
        <f t="shared" si="22"/>
        <v/>
      </c>
      <c r="AA65" s="27" t="str">
        <f t="shared" si="23"/>
        <v/>
      </c>
      <c r="AB65" s="27" t="str">
        <f t="shared" si="24"/>
        <v/>
      </c>
      <c r="AC65" s="27" t="str">
        <f t="shared" si="25"/>
        <v/>
      </c>
      <c r="AD65" s="29" t="str">
        <f t="shared" si="26"/>
        <v/>
      </c>
      <c r="AE65" s="30" t="str">
        <f t="shared" si="27"/>
        <v/>
      </c>
      <c r="AG65" s="31"/>
      <c r="AH65" s="31" t="e">
        <f t="shared" si="28"/>
        <v>#VALUE!</v>
      </c>
      <c r="AI65" s="31" t="e">
        <f t="shared" si="29"/>
        <v>#VALUE!</v>
      </c>
      <c r="AJ65" s="31" t="e">
        <f t="shared" si="30"/>
        <v>#VALUE!</v>
      </c>
      <c r="AK65" s="31" t="e">
        <f t="shared" si="31"/>
        <v>#VALUE!</v>
      </c>
      <c r="AL65" s="31" t="e">
        <f t="shared" si="32"/>
        <v>#VALUE!</v>
      </c>
      <c r="AM65" s="31" t="e">
        <f t="shared" si="33"/>
        <v>#VALUE!</v>
      </c>
      <c r="AN65" s="32" t="str">
        <f t="shared" si="34"/>
        <v/>
      </c>
      <c r="AO65" s="27" t="str">
        <f t="shared" si="35"/>
        <v/>
      </c>
      <c r="AP65" s="27" t="str">
        <f t="shared" si="36"/>
        <v/>
      </c>
      <c r="AQ65" s="27">
        <f t="shared" si="37"/>
        <v>0</v>
      </c>
      <c r="AR65" s="27">
        <f t="shared" si="38"/>
        <v>0</v>
      </c>
      <c r="AS65" s="33">
        <f t="shared" si="39"/>
        <v>0</v>
      </c>
    </row>
    <row r="66" spans="1:45" ht="15.75" hidden="1" customHeight="1" x14ac:dyDescent="0.25">
      <c r="B66" s="34">
        <f t="shared" ref="B66:F66" si="84">IF(B65="","",B65)</f>
        <v>10210</v>
      </c>
      <c r="C66" s="26">
        <f t="shared" si="84"/>
        <v>24</v>
      </c>
      <c r="D66" s="26">
        <f t="shared" si="84"/>
        <v>0</v>
      </c>
      <c r="E66" s="26">
        <f t="shared" si="84"/>
        <v>0</v>
      </c>
      <c r="F66" s="26">
        <f t="shared" si="84"/>
        <v>0</v>
      </c>
      <c r="G66" s="24"/>
      <c r="H66" s="24"/>
      <c r="I66" s="24"/>
      <c r="J66" s="24"/>
      <c r="K66" s="24"/>
      <c r="L66" s="24"/>
      <c r="M66" s="25"/>
      <c r="N66" s="26" t="str">
        <f t="shared" si="10"/>
        <v/>
      </c>
      <c r="O66" s="26" t="str">
        <f t="shared" si="11"/>
        <v/>
      </c>
      <c r="P66" s="26" t="str">
        <f t="shared" si="12"/>
        <v/>
      </c>
      <c r="Q66" s="26">
        <f t="shared" si="13"/>
        <v>0</v>
      </c>
      <c r="R66" s="26">
        <f t="shared" si="14"/>
        <v>0</v>
      </c>
      <c r="S66" s="26">
        <f t="shared" si="15"/>
        <v>0</v>
      </c>
      <c r="T66" s="26" t="str">
        <f t="shared" si="16"/>
        <v/>
      </c>
      <c r="U66" s="26" t="str">
        <f t="shared" si="17"/>
        <v/>
      </c>
      <c r="V66" s="26" t="str">
        <f t="shared" si="18"/>
        <v/>
      </c>
      <c r="W66" s="27" t="str">
        <f t="shared" si="19"/>
        <v/>
      </c>
      <c r="X66" s="27" t="str">
        <f t="shared" si="20"/>
        <v/>
      </c>
      <c r="Y66" s="28" t="str">
        <f t="shared" si="21"/>
        <v/>
      </c>
      <c r="Z66" s="27" t="str">
        <f t="shared" si="22"/>
        <v/>
      </c>
      <c r="AA66" s="27" t="str">
        <f t="shared" si="23"/>
        <v/>
      </c>
      <c r="AB66" s="27" t="str">
        <f t="shared" si="24"/>
        <v/>
      </c>
      <c r="AC66" s="27" t="str">
        <f t="shared" si="25"/>
        <v/>
      </c>
      <c r="AD66" s="29" t="str">
        <f t="shared" si="26"/>
        <v/>
      </c>
      <c r="AE66" s="30" t="str">
        <f t="shared" si="27"/>
        <v/>
      </c>
      <c r="AG66" s="31"/>
      <c r="AH66" s="31" t="e">
        <f t="shared" si="28"/>
        <v>#VALUE!</v>
      </c>
      <c r="AI66" s="31" t="e">
        <f t="shared" si="29"/>
        <v>#VALUE!</v>
      </c>
      <c r="AJ66" s="31" t="e">
        <f t="shared" si="30"/>
        <v>#VALUE!</v>
      </c>
      <c r="AK66" s="31" t="e">
        <f t="shared" si="31"/>
        <v>#VALUE!</v>
      </c>
      <c r="AL66" s="31" t="e">
        <f t="shared" si="32"/>
        <v>#VALUE!</v>
      </c>
      <c r="AM66" s="31" t="e">
        <f t="shared" si="33"/>
        <v>#VALUE!</v>
      </c>
      <c r="AN66" s="32" t="str">
        <f t="shared" si="34"/>
        <v/>
      </c>
      <c r="AO66" s="27" t="str">
        <f t="shared" si="35"/>
        <v/>
      </c>
      <c r="AP66" s="27" t="str">
        <f t="shared" si="36"/>
        <v/>
      </c>
      <c r="AQ66" s="27">
        <f t="shared" si="37"/>
        <v>0</v>
      </c>
      <c r="AR66" s="27">
        <f t="shared" si="38"/>
        <v>0</v>
      </c>
      <c r="AS66" s="33">
        <f t="shared" si="39"/>
        <v>0</v>
      </c>
    </row>
    <row r="67" spans="1:45" ht="15.75" hidden="1" customHeight="1" x14ac:dyDescent="0.25">
      <c r="B67" s="34">
        <f t="shared" ref="B67:F67" si="85">IF(B66="","",B66)</f>
        <v>10210</v>
      </c>
      <c r="C67" s="26">
        <f t="shared" si="85"/>
        <v>24</v>
      </c>
      <c r="D67" s="26">
        <f t="shared" si="85"/>
        <v>0</v>
      </c>
      <c r="E67" s="26">
        <f t="shared" si="85"/>
        <v>0</v>
      </c>
      <c r="F67" s="26">
        <f t="shared" si="85"/>
        <v>0</v>
      </c>
      <c r="G67" s="24"/>
      <c r="H67" s="24"/>
      <c r="I67" s="24"/>
      <c r="J67" s="24"/>
      <c r="K67" s="24"/>
      <c r="L67" s="24"/>
      <c r="M67" s="25"/>
      <c r="N67" s="26" t="str">
        <f t="shared" si="10"/>
        <v/>
      </c>
      <c r="O67" s="26" t="str">
        <f t="shared" si="11"/>
        <v/>
      </c>
      <c r="P67" s="26" t="str">
        <f t="shared" si="12"/>
        <v/>
      </c>
      <c r="Q67" s="26">
        <f t="shared" si="13"/>
        <v>0</v>
      </c>
      <c r="R67" s="26">
        <f t="shared" si="14"/>
        <v>0</v>
      </c>
      <c r="S67" s="26">
        <f t="shared" si="15"/>
        <v>0</v>
      </c>
      <c r="T67" s="26" t="str">
        <f t="shared" si="16"/>
        <v/>
      </c>
      <c r="U67" s="26" t="str">
        <f t="shared" si="17"/>
        <v/>
      </c>
      <c r="V67" s="26" t="str">
        <f t="shared" si="18"/>
        <v/>
      </c>
      <c r="W67" s="27" t="str">
        <f t="shared" si="19"/>
        <v/>
      </c>
      <c r="X67" s="27" t="str">
        <f t="shared" si="20"/>
        <v/>
      </c>
      <c r="Y67" s="28" t="str">
        <f t="shared" si="21"/>
        <v/>
      </c>
      <c r="Z67" s="27" t="str">
        <f t="shared" si="22"/>
        <v/>
      </c>
      <c r="AA67" s="27" t="str">
        <f t="shared" si="23"/>
        <v/>
      </c>
      <c r="AB67" s="27" t="str">
        <f t="shared" si="24"/>
        <v/>
      </c>
      <c r="AC67" s="27" t="str">
        <f t="shared" si="25"/>
        <v/>
      </c>
      <c r="AD67" s="29" t="str">
        <f t="shared" si="26"/>
        <v/>
      </c>
      <c r="AE67" s="30" t="str">
        <f t="shared" si="27"/>
        <v/>
      </c>
      <c r="AG67" s="31"/>
      <c r="AH67" s="31" t="e">
        <f t="shared" si="28"/>
        <v>#VALUE!</v>
      </c>
      <c r="AI67" s="31" t="e">
        <f t="shared" si="29"/>
        <v>#VALUE!</v>
      </c>
      <c r="AJ67" s="31" t="e">
        <f t="shared" si="30"/>
        <v>#VALUE!</v>
      </c>
      <c r="AK67" s="31" t="e">
        <f t="shared" si="31"/>
        <v>#VALUE!</v>
      </c>
      <c r="AL67" s="31" t="e">
        <f t="shared" si="32"/>
        <v>#VALUE!</v>
      </c>
      <c r="AM67" s="31" t="e">
        <f t="shared" si="33"/>
        <v>#VALUE!</v>
      </c>
      <c r="AN67" s="32" t="str">
        <f t="shared" si="34"/>
        <v/>
      </c>
      <c r="AO67" s="27" t="str">
        <f t="shared" si="35"/>
        <v/>
      </c>
      <c r="AP67" s="27" t="str">
        <f t="shared" si="36"/>
        <v/>
      </c>
      <c r="AQ67" s="27">
        <f t="shared" si="37"/>
        <v>0</v>
      </c>
      <c r="AR67" s="27">
        <f t="shared" si="38"/>
        <v>0</v>
      </c>
      <c r="AS67" s="33">
        <f t="shared" si="39"/>
        <v>0</v>
      </c>
    </row>
    <row r="68" spans="1:45" ht="15.75" hidden="1" customHeight="1" x14ac:dyDescent="0.25">
      <c r="A68" s="31"/>
      <c r="B68" s="34">
        <f t="shared" ref="B68:F68" si="86">IF(B67="","",B67)</f>
        <v>10210</v>
      </c>
      <c r="C68" s="26">
        <f t="shared" si="86"/>
        <v>24</v>
      </c>
      <c r="D68" s="26">
        <f t="shared" si="86"/>
        <v>0</v>
      </c>
      <c r="E68" s="26">
        <f t="shared" si="86"/>
        <v>0</v>
      </c>
      <c r="F68" s="26">
        <f t="shared" si="86"/>
        <v>0</v>
      </c>
      <c r="G68" s="24"/>
      <c r="H68" s="24"/>
      <c r="I68" s="24"/>
      <c r="J68" s="24"/>
      <c r="K68" s="24"/>
      <c r="L68" s="24"/>
      <c r="M68" s="25"/>
      <c r="N68" s="26" t="str">
        <f t="shared" si="10"/>
        <v/>
      </c>
      <c r="O68" s="26" t="str">
        <f t="shared" si="11"/>
        <v/>
      </c>
      <c r="P68" s="26" t="str">
        <f t="shared" si="12"/>
        <v/>
      </c>
      <c r="Q68" s="26">
        <f t="shared" si="13"/>
        <v>0</v>
      </c>
      <c r="R68" s="26">
        <f t="shared" si="14"/>
        <v>0</v>
      </c>
      <c r="S68" s="26">
        <f t="shared" si="15"/>
        <v>0</v>
      </c>
      <c r="T68" s="26" t="str">
        <f t="shared" si="16"/>
        <v/>
      </c>
      <c r="U68" s="26" t="str">
        <f t="shared" si="17"/>
        <v/>
      </c>
      <c r="V68" s="26" t="str">
        <f t="shared" si="18"/>
        <v/>
      </c>
      <c r="W68" s="27" t="str">
        <f t="shared" si="19"/>
        <v/>
      </c>
      <c r="X68" s="27" t="str">
        <f t="shared" si="20"/>
        <v/>
      </c>
      <c r="Y68" s="28" t="str">
        <f t="shared" si="21"/>
        <v/>
      </c>
      <c r="Z68" s="27" t="str">
        <f t="shared" si="22"/>
        <v/>
      </c>
      <c r="AA68" s="27" t="str">
        <f t="shared" si="23"/>
        <v/>
      </c>
      <c r="AB68" s="27" t="str">
        <f t="shared" si="24"/>
        <v/>
      </c>
      <c r="AC68" s="27" t="str">
        <f t="shared" si="25"/>
        <v/>
      </c>
      <c r="AD68" s="29" t="str">
        <f t="shared" si="26"/>
        <v/>
      </c>
      <c r="AE68" s="30" t="str">
        <f t="shared" si="27"/>
        <v/>
      </c>
      <c r="AG68" s="31"/>
      <c r="AH68" s="31" t="e">
        <f t="shared" si="28"/>
        <v>#VALUE!</v>
      </c>
      <c r="AI68" s="31" t="e">
        <f t="shared" si="29"/>
        <v>#VALUE!</v>
      </c>
      <c r="AJ68" s="31" t="e">
        <f t="shared" si="30"/>
        <v>#VALUE!</v>
      </c>
      <c r="AK68" s="31" t="e">
        <f t="shared" si="31"/>
        <v>#VALUE!</v>
      </c>
      <c r="AL68" s="31" t="e">
        <f t="shared" si="32"/>
        <v>#VALUE!</v>
      </c>
      <c r="AM68" s="31" t="e">
        <f t="shared" si="33"/>
        <v>#VALUE!</v>
      </c>
      <c r="AN68" s="32" t="str">
        <f t="shared" si="34"/>
        <v/>
      </c>
      <c r="AO68" s="27" t="str">
        <f t="shared" si="35"/>
        <v/>
      </c>
      <c r="AP68" s="27" t="str">
        <f t="shared" si="36"/>
        <v/>
      </c>
      <c r="AQ68" s="27">
        <f t="shared" si="37"/>
        <v>0</v>
      </c>
      <c r="AR68" s="27">
        <f t="shared" si="38"/>
        <v>0</v>
      </c>
      <c r="AS68" s="33">
        <f t="shared" si="39"/>
        <v>0</v>
      </c>
    </row>
    <row r="69" spans="1:45" s="18" customFormat="1" ht="15.75" hidden="1" customHeight="1" x14ac:dyDescent="0.25">
      <c r="A69" s="16"/>
      <c r="B69" s="34">
        <f t="shared" ref="B69:F69" si="87">IF(B68="","",B68)</f>
        <v>10210</v>
      </c>
      <c r="C69" s="26">
        <f t="shared" si="87"/>
        <v>24</v>
      </c>
      <c r="D69" s="26">
        <f t="shared" si="87"/>
        <v>0</v>
      </c>
      <c r="E69" s="26">
        <f t="shared" si="87"/>
        <v>0</v>
      </c>
      <c r="F69" s="26">
        <f t="shared" si="87"/>
        <v>0</v>
      </c>
      <c r="G69" s="24"/>
      <c r="H69" s="24"/>
      <c r="I69" s="24"/>
      <c r="J69" s="24"/>
      <c r="K69" s="24"/>
      <c r="L69" s="24"/>
      <c r="M69" s="25"/>
      <c r="N69" s="26" t="str">
        <f t="shared" si="10"/>
        <v/>
      </c>
      <c r="O69" s="26" t="str">
        <f t="shared" si="11"/>
        <v/>
      </c>
      <c r="P69" s="26" t="str">
        <f t="shared" si="12"/>
        <v/>
      </c>
      <c r="Q69" s="26">
        <f t="shared" si="13"/>
        <v>0</v>
      </c>
      <c r="R69" s="26">
        <f t="shared" si="14"/>
        <v>0</v>
      </c>
      <c r="S69" s="26">
        <f t="shared" si="15"/>
        <v>0</v>
      </c>
      <c r="T69" s="26" t="str">
        <f t="shared" si="16"/>
        <v/>
      </c>
      <c r="U69" s="26" t="str">
        <f t="shared" si="17"/>
        <v/>
      </c>
      <c r="V69" s="26" t="str">
        <f t="shared" si="18"/>
        <v/>
      </c>
      <c r="W69" s="27" t="str">
        <f t="shared" si="19"/>
        <v/>
      </c>
      <c r="X69" s="27" t="str">
        <f t="shared" si="20"/>
        <v/>
      </c>
      <c r="Y69" s="28" t="str">
        <f t="shared" si="21"/>
        <v/>
      </c>
      <c r="Z69" s="27" t="str">
        <f t="shared" si="22"/>
        <v/>
      </c>
      <c r="AA69" s="27" t="str">
        <f t="shared" si="23"/>
        <v/>
      </c>
      <c r="AB69" s="27" t="str">
        <f t="shared" si="24"/>
        <v/>
      </c>
      <c r="AC69" s="27" t="str">
        <f t="shared" si="25"/>
        <v/>
      </c>
      <c r="AD69" s="29" t="str">
        <f t="shared" si="26"/>
        <v/>
      </c>
      <c r="AE69" s="30" t="str">
        <f t="shared" si="27"/>
        <v/>
      </c>
      <c r="AF69" s="5"/>
      <c r="AG69" s="31"/>
      <c r="AH69" s="31" t="e">
        <f t="shared" si="28"/>
        <v>#VALUE!</v>
      </c>
      <c r="AI69" s="31" t="e">
        <f t="shared" si="29"/>
        <v>#VALUE!</v>
      </c>
      <c r="AJ69" s="31" t="e">
        <f t="shared" si="30"/>
        <v>#VALUE!</v>
      </c>
      <c r="AK69" s="31" t="e">
        <f t="shared" si="31"/>
        <v>#VALUE!</v>
      </c>
      <c r="AL69" s="31" t="e">
        <f t="shared" si="32"/>
        <v>#VALUE!</v>
      </c>
      <c r="AM69" s="31" t="e">
        <f t="shared" si="33"/>
        <v>#VALUE!</v>
      </c>
      <c r="AN69" s="32" t="str">
        <f t="shared" si="34"/>
        <v/>
      </c>
      <c r="AO69" s="27" t="str">
        <f t="shared" si="35"/>
        <v/>
      </c>
      <c r="AP69" s="27" t="str">
        <f t="shared" si="36"/>
        <v/>
      </c>
      <c r="AQ69" s="27">
        <f t="shared" si="37"/>
        <v>0</v>
      </c>
      <c r="AR69" s="27">
        <f t="shared" si="38"/>
        <v>0</v>
      </c>
      <c r="AS69" s="33">
        <f t="shared" si="39"/>
        <v>0</v>
      </c>
    </row>
    <row r="70" spans="1:45" s="18" customFormat="1" ht="15.75" hidden="1" customHeight="1" x14ac:dyDescent="0.25">
      <c r="A70" s="16"/>
      <c r="B70" s="34">
        <f t="shared" ref="B70:F70" si="88">IF(B69="","",B69)</f>
        <v>10210</v>
      </c>
      <c r="C70" s="26">
        <f t="shared" si="88"/>
        <v>24</v>
      </c>
      <c r="D70" s="26">
        <f t="shared" si="88"/>
        <v>0</v>
      </c>
      <c r="E70" s="26">
        <f t="shared" si="88"/>
        <v>0</v>
      </c>
      <c r="F70" s="26">
        <f t="shared" si="88"/>
        <v>0</v>
      </c>
      <c r="G70" s="24"/>
      <c r="H70" s="24"/>
      <c r="I70" s="24"/>
      <c r="J70" s="24"/>
      <c r="K70" s="24"/>
      <c r="L70" s="24"/>
      <c r="M70" s="25"/>
      <c r="N70" s="26" t="str">
        <f t="shared" si="10"/>
        <v/>
      </c>
      <c r="O70" s="26" t="str">
        <f t="shared" si="11"/>
        <v/>
      </c>
      <c r="P70" s="26" t="str">
        <f t="shared" si="12"/>
        <v/>
      </c>
      <c r="Q70" s="26">
        <f t="shared" si="13"/>
        <v>0</v>
      </c>
      <c r="R70" s="26">
        <f t="shared" si="14"/>
        <v>0</v>
      </c>
      <c r="S70" s="26">
        <f t="shared" si="15"/>
        <v>0</v>
      </c>
      <c r="T70" s="26" t="str">
        <f t="shared" si="16"/>
        <v/>
      </c>
      <c r="U70" s="26" t="str">
        <f t="shared" si="17"/>
        <v/>
      </c>
      <c r="V70" s="26" t="str">
        <f t="shared" si="18"/>
        <v/>
      </c>
      <c r="W70" s="27" t="str">
        <f t="shared" si="19"/>
        <v/>
      </c>
      <c r="X70" s="27" t="str">
        <f t="shared" si="20"/>
        <v/>
      </c>
      <c r="Y70" s="28" t="str">
        <f t="shared" si="21"/>
        <v/>
      </c>
      <c r="Z70" s="27" t="str">
        <f t="shared" si="22"/>
        <v/>
      </c>
      <c r="AA70" s="27" t="str">
        <f t="shared" si="23"/>
        <v/>
      </c>
      <c r="AB70" s="27" t="str">
        <f t="shared" si="24"/>
        <v/>
      </c>
      <c r="AC70" s="27" t="str">
        <f t="shared" si="25"/>
        <v/>
      </c>
      <c r="AD70" s="29" t="str">
        <f t="shared" si="26"/>
        <v/>
      </c>
      <c r="AE70" s="30" t="str">
        <f t="shared" si="27"/>
        <v/>
      </c>
      <c r="AF70" s="5"/>
      <c r="AG70" s="31"/>
      <c r="AH70" s="31" t="e">
        <f t="shared" si="28"/>
        <v>#VALUE!</v>
      </c>
      <c r="AI70" s="31" t="e">
        <f t="shared" si="29"/>
        <v>#VALUE!</v>
      </c>
      <c r="AJ70" s="31" t="e">
        <f t="shared" si="30"/>
        <v>#VALUE!</v>
      </c>
      <c r="AK70" s="31" t="e">
        <f t="shared" si="31"/>
        <v>#VALUE!</v>
      </c>
      <c r="AL70" s="31" t="e">
        <f t="shared" si="32"/>
        <v>#VALUE!</v>
      </c>
      <c r="AM70" s="31" t="e">
        <f t="shared" si="33"/>
        <v>#VALUE!</v>
      </c>
      <c r="AN70" s="32" t="str">
        <f t="shared" si="34"/>
        <v/>
      </c>
      <c r="AO70" s="27" t="str">
        <f t="shared" si="35"/>
        <v/>
      </c>
      <c r="AP70" s="27" t="str">
        <f t="shared" si="36"/>
        <v/>
      </c>
      <c r="AQ70" s="27">
        <f t="shared" si="37"/>
        <v>0</v>
      </c>
      <c r="AR70" s="27">
        <f t="shared" si="38"/>
        <v>0</v>
      </c>
      <c r="AS70" s="33">
        <f t="shared" si="39"/>
        <v>0</v>
      </c>
    </row>
    <row r="71" spans="1:45" s="15" customFormat="1" ht="15.75" hidden="1" customHeight="1" x14ac:dyDescent="0.25">
      <c r="A71" s="13"/>
      <c r="B71" s="34">
        <f t="shared" ref="B71:F71" si="89">IF(B70="","",B70)</f>
        <v>10210</v>
      </c>
      <c r="C71" s="26">
        <f t="shared" si="89"/>
        <v>24</v>
      </c>
      <c r="D71" s="26">
        <f t="shared" si="89"/>
        <v>0</v>
      </c>
      <c r="E71" s="26">
        <f t="shared" si="89"/>
        <v>0</v>
      </c>
      <c r="F71" s="26">
        <f t="shared" si="89"/>
        <v>0</v>
      </c>
      <c r="G71" s="24"/>
      <c r="H71" s="24"/>
      <c r="I71" s="24"/>
      <c r="J71" s="24"/>
      <c r="K71" s="24"/>
      <c r="L71" s="24"/>
      <c r="M71" s="25"/>
      <c r="N71" s="26" t="str">
        <f t="shared" si="10"/>
        <v/>
      </c>
      <c r="O71" s="26" t="str">
        <f t="shared" si="11"/>
        <v/>
      </c>
      <c r="P71" s="26" t="str">
        <f t="shared" si="12"/>
        <v/>
      </c>
      <c r="Q71" s="26">
        <f t="shared" si="13"/>
        <v>0</v>
      </c>
      <c r="R71" s="26">
        <f t="shared" si="14"/>
        <v>0</v>
      </c>
      <c r="S71" s="26">
        <f t="shared" si="15"/>
        <v>0</v>
      </c>
      <c r="T71" s="26" t="str">
        <f t="shared" si="16"/>
        <v/>
      </c>
      <c r="U71" s="26" t="str">
        <f t="shared" si="17"/>
        <v/>
      </c>
      <c r="V71" s="26" t="str">
        <f t="shared" si="18"/>
        <v/>
      </c>
      <c r="W71" s="27" t="str">
        <f t="shared" si="19"/>
        <v/>
      </c>
      <c r="X71" s="27" t="str">
        <f t="shared" si="20"/>
        <v/>
      </c>
      <c r="Y71" s="28" t="str">
        <f t="shared" si="21"/>
        <v/>
      </c>
      <c r="Z71" s="27" t="str">
        <f t="shared" si="22"/>
        <v/>
      </c>
      <c r="AA71" s="27" t="str">
        <f t="shared" si="23"/>
        <v/>
      </c>
      <c r="AB71" s="27" t="str">
        <f t="shared" si="24"/>
        <v/>
      </c>
      <c r="AC71" s="27" t="str">
        <f t="shared" si="25"/>
        <v/>
      </c>
      <c r="AD71" s="29" t="str">
        <f t="shared" si="26"/>
        <v/>
      </c>
      <c r="AE71" s="30" t="str">
        <f t="shared" si="27"/>
        <v/>
      </c>
      <c r="AF71" s="5"/>
      <c r="AG71" s="31"/>
      <c r="AH71" s="31" t="e">
        <f t="shared" si="28"/>
        <v>#VALUE!</v>
      </c>
      <c r="AI71" s="31" t="e">
        <f t="shared" si="29"/>
        <v>#VALUE!</v>
      </c>
      <c r="AJ71" s="31" t="e">
        <f t="shared" si="30"/>
        <v>#VALUE!</v>
      </c>
      <c r="AK71" s="31" t="e">
        <f t="shared" si="31"/>
        <v>#VALUE!</v>
      </c>
      <c r="AL71" s="31" t="e">
        <f t="shared" si="32"/>
        <v>#VALUE!</v>
      </c>
      <c r="AM71" s="31" t="e">
        <f t="shared" si="33"/>
        <v>#VALUE!</v>
      </c>
      <c r="AN71" s="32" t="str">
        <f t="shared" si="34"/>
        <v/>
      </c>
      <c r="AO71" s="27" t="str">
        <f t="shared" si="35"/>
        <v/>
      </c>
      <c r="AP71" s="27" t="str">
        <f t="shared" si="36"/>
        <v/>
      </c>
      <c r="AQ71" s="27">
        <f t="shared" si="37"/>
        <v>0</v>
      </c>
      <c r="AR71" s="27">
        <f t="shared" si="38"/>
        <v>0</v>
      </c>
      <c r="AS71" s="33">
        <f t="shared" si="39"/>
        <v>0</v>
      </c>
    </row>
    <row r="72" spans="1:45" ht="15.75" hidden="1" customHeight="1" x14ac:dyDescent="0.25">
      <c r="A72" s="4"/>
      <c r="B72" s="34">
        <f t="shared" ref="B72:F72" si="90">IF(B71="","",B71)</f>
        <v>10210</v>
      </c>
      <c r="C72" s="26">
        <f t="shared" si="90"/>
        <v>24</v>
      </c>
      <c r="D72" s="26">
        <f t="shared" si="90"/>
        <v>0</v>
      </c>
      <c r="E72" s="26">
        <f t="shared" si="90"/>
        <v>0</v>
      </c>
      <c r="F72" s="26">
        <f t="shared" si="90"/>
        <v>0</v>
      </c>
      <c r="G72" s="24"/>
      <c r="H72" s="24"/>
      <c r="I72" s="24"/>
      <c r="J72" s="24"/>
      <c r="K72" s="24"/>
      <c r="L72" s="24"/>
      <c r="M72" s="25"/>
      <c r="N72" s="26" t="str">
        <f t="shared" si="10"/>
        <v/>
      </c>
      <c r="O72" s="26" t="str">
        <f t="shared" si="11"/>
        <v/>
      </c>
      <c r="P72" s="26" t="str">
        <f t="shared" si="12"/>
        <v/>
      </c>
      <c r="Q72" s="26">
        <f t="shared" si="13"/>
        <v>0</v>
      </c>
      <c r="R72" s="26">
        <f t="shared" si="14"/>
        <v>0</v>
      </c>
      <c r="S72" s="26">
        <f t="shared" si="15"/>
        <v>0</v>
      </c>
      <c r="T72" s="26" t="str">
        <f t="shared" si="16"/>
        <v/>
      </c>
      <c r="U72" s="26" t="str">
        <f t="shared" si="17"/>
        <v/>
      </c>
      <c r="V72" s="26" t="str">
        <f t="shared" si="18"/>
        <v/>
      </c>
      <c r="W72" s="27" t="str">
        <f t="shared" si="19"/>
        <v/>
      </c>
      <c r="X72" s="27" t="str">
        <f t="shared" si="20"/>
        <v/>
      </c>
      <c r="Y72" s="28" t="str">
        <f t="shared" si="21"/>
        <v/>
      </c>
      <c r="Z72" s="27" t="str">
        <f t="shared" si="22"/>
        <v/>
      </c>
      <c r="AA72" s="27" t="str">
        <f t="shared" si="23"/>
        <v/>
      </c>
      <c r="AB72" s="27" t="str">
        <f t="shared" si="24"/>
        <v/>
      </c>
      <c r="AC72" s="27" t="str">
        <f t="shared" si="25"/>
        <v/>
      </c>
      <c r="AD72" s="29" t="str">
        <f t="shared" si="26"/>
        <v/>
      </c>
      <c r="AE72" s="30" t="str">
        <f t="shared" si="27"/>
        <v/>
      </c>
      <c r="AG72" s="31"/>
      <c r="AH72" s="31" t="e">
        <f t="shared" si="28"/>
        <v>#VALUE!</v>
      </c>
      <c r="AI72" s="31" t="e">
        <f t="shared" si="29"/>
        <v>#VALUE!</v>
      </c>
      <c r="AJ72" s="31" t="e">
        <f t="shared" si="30"/>
        <v>#VALUE!</v>
      </c>
      <c r="AK72" s="31" t="e">
        <f t="shared" si="31"/>
        <v>#VALUE!</v>
      </c>
      <c r="AL72" s="31" t="e">
        <f t="shared" si="32"/>
        <v>#VALUE!</v>
      </c>
      <c r="AM72" s="31" t="e">
        <f t="shared" si="33"/>
        <v>#VALUE!</v>
      </c>
      <c r="AN72" s="32" t="str">
        <f t="shared" si="34"/>
        <v/>
      </c>
      <c r="AO72" s="27" t="str">
        <f t="shared" si="35"/>
        <v/>
      </c>
      <c r="AP72" s="27" t="str">
        <f t="shared" si="36"/>
        <v/>
      </c>
      <c r="AQ72" s="27">
        <f t="shared" si="37"/>
        <v>0</v>
      </c>
      <c r="AR72" s="27">
        <f t="shared" si="38"/>
        <v>0</v>
      </c>
      <c r="AS72" s="33">
        <f t="shared" si="39"/>
        <v>0</v>
      </c>
    </row>
    <row r="73" spans="1:45" ht="15.75" hidden="1" customHeight="1" x14ac:dyDescent="0.25">
      <c r="A73" s="4"/>
      <c r="B73" s="34">
        <f t="shared" ref="B73:F73" si="91">IF(B72="","",B72)</f>
        <v>10210</v>
      </c>
      <c r="C73" s="26">
        <f t="shared" si="91"/>
        <v>24</v>
      </c>
      <c r="D73" s="26">
        <f t="shared" si="91"/>
        <v>0</v>
      </c>
      <c r="E73" s="26">
        <f t="shared" si="91"/>
        <v>0</v>
      </c>
      <c r="F73" s="26">
        <f t="shared" si="91"/>
        <v>0</v>
      </c>
      <c r="G73" s="24"/>
      <c r="H73" s="24"/>
      <c r="I73" s="24"/>
      <c r="J73" s="24"/>
      <c r="K73" s="24"/>
      <c r="L73" s="24"/>
      <c r="M73" s="25"/>
      <c r="N73" s="26" t="str">
        <f t="shared" si="10"/>
        <v/>
      </c>
      <c r="O73" s="26" t="str">
        <f t="shared" si="11"/>
        <v/>
      </c>
      <c r="P73" s="26" t="str">
        <f t="shared" si="12"/>
        <v/>
      </c>
      <c r="Q73" s="26">
        <f t="shared" si="13"/>
        <v>0</v>
      </c>
      <c r="R73" s="26">
        <f t="shared" si="14"/>
        <v>0</v>
      </c>
      <c r="S73" s="26">
        <f t="shared" si="15"/>
        <v>0</v>
      </c>
      <c r="T73" s="26" t="str">
        <f t="shared" si="16"/>
        <v/>
      </c>
      <c r="U73" s="26" t="str">
        <f t="shared" si="17"/>
        <v/>
      </c>
      <c r="V73" s="26" t="str">
        <f t="shared" si="18"/>
        <v/>
      </c>
      <c r="W73" s="27" t="str">
        <f t="shared" si="19"/>
        <v/>
      </c>
      <c r="X73" s="27" t="str">
        <f t="shared" si="20"/>
        <v/>
      </c>
      <c r="Y73" s="28" t="str">
        <f t="shared" si="21"/>
        <v/>
      </c>
      <c r="Z73" s="27" t="str">
        <f t="shared" si="22"/>
        <v/>
      </c>
      <c r="AA73" s="27" t="str">
        <f t="shared" si="23"/>
        <v/>
      </c>
      <c r="AB73" s="27" t="str">
        <f t="shared" si="24"/>
        <v/>
      </c>
      <c r="AC73" s="27" t="str">
        <f t="shared" si="25"/>
        <v/>
      </c>
      <c r="AD73" s="29" t="str">
        <f t="shared" si="26"/>
        <v/>
      </c>
      <c r="AE73" s="30" t="str">
        <f t="shared" si="27"/>
        <v/>
      </c>
      <c r="AG73" s="31"/>
      <c r="AH73" s="31" t="e">
        <f t="shared" si="28"/>
        <v>#VALUE!</v>
      </c>
      <c r="AI73" s="31" t="e">
        <f t="shared" si="29"/>
        <v>#VALUE!</v>
      </c>
      <c r="AJ73" s="31" t="e">
        <f t="shared" si="30"/>
        <v>#VALUE!</v>
      </c>
      <c r="AK73" s="31" t="e">
        <f t="shared" si="31"/>
        <v>#VALUE!</v>
      </c>
      <c r="AL73" s="31" t="e">
        <f t="shared" si="32"/>
        <v>#VALUE!</v>
      </c>
      <c r="AM73" s="31" t="e">
        <f t="shared" si="33"/>
        <v>#VALUE!</v>
      </c>
      <c r="AN73" s="32" t="str">
        <f t="shared" si="34"/>
        <v/>
      </c>
      <c r="AO73" s="27" t="str">
        <f t="shared" si="35"/>
        <v/>
      </c>
      <c r="AP73" s="27" t="str">
        <f t="shared" si="36"/>
        <v/>
      </c>
      <c r="AQ73" s="27">
        <f t="shared" si="37"/>
        <v>0</v>
      </c>
      <c r="AR73" s="27">
        <f t="shared" si="38"/>
        <v>0</v>
      </c>
      <c r="AS73" s="33">
        <f t="shared" si="39"/>
        <v>0</v>
      </c>
    </row>
    <row r="74" spans="1:45" ht="15.75" hidden="1" customHeight="1" x14ac:dyDescent="0.25">
      <c r="A74" s="4"/>
      <c r="B74" s="34">
        <f t="shared" ref="B74:F74" si="92">IF(B73="","",B73)</f>
        <v>10210</v>
      </c>
      <c r="C74" s="26">
        <f t="shared" si="92"/>
        <v>24</v>
      </c>
      <c r="D74" s="26">
        <f t="shared" si="92"/>
        <v>0</v>
      </c>
      <c r="E74" s="26">
        <f t="shared" si="92"/>
        <v>0</v>
      </c>
      <c r="F74" s="26">
        <f t="shared" si="92"/>
        <v>0</v>
      </c>
      <c r="G74" s="24"/>
      <c r="H74" s="24"/>
      <c r="I74" s="24"/>
      <c r="J74" s="24"/>
      <c r="K74" s="24"/>
      <c r="L74" s="24"/>
      <c r="M74" s="25"/>
      <c r="N74" s="26" t="str">
        <f t="shared" si="10"/>
        <v/>
      </c>
      <c r="O74" s="26" t="str">
        <f t="shared" si="11"/>
        <v/>
      </c>
      <c r="P74" s="26" t="str">
        <f t="shared" si="12"/>
        <v/>
      </c>
      <c r="Q74" s="26">
        <f t="shared" si="13"/>
        <v>0</v>
      </c>
      <c r="R74" s="26">
        <f t="shared" si="14"/>
        <v>0</v>
      </c>
      <c r="S74" s="26">
        <f t="shared" si="15"/>
        <v>0</v>
      </c>
      <c r="T74" s="26" t="str">
        <f t="shared" si="16"/>
        <v/>
      </c>
      <c r="U74" s="26" t="str">
        <f t="shared" si="17"/>
        <v/>
      </c>
      <c r="V74" s="26" t="str">
        <f t="shared" si="18"/>
        <v/>
      </c>
      <c r="W74" s="27" t="str">
        <f t="shared" si="19"/>
        <v/>
      </c>
      <c r="X74" s="27" t="str">
        <f t="shared" si="20"/>
        <v/>
      </c>
      <c r="Y74" s="28" t="str">
        <f t="shared" si="21"/>
        <v/>
      </c>
      <c r="Z74" s="27" t="str">
        <f t="shared" si="22"/>
        <v/>
      </c>
      <c r="AA74" s="27" t="str">
        <f t="shared" si="23"/>
        <v/>
      </c>
      <c r="AB74" s="27" t="str">
        <f t="shared" si="24"/>
        <v/>
      </c>
      <c r="AC74" s="27" t="str">
        <f t="shared" si="25"/>
        <v/>
      </c>
      <c r="AD74" s="29" t="str">
        <f t="shared" si="26"/>
        <v/>
      </c>
      <c r="AE74" s="30" t="str">
        <f t="shared" si="27"/>
        <v/>
      </c>
      <c r="AG74" s="31"/>
      <c r="AH74" s="31" t="e">
        <f t="shared" si="28"/>
        <v>#VALUE!</v>
      </c>
      <c r="AI74" s="31" t="e">
        <f t="shared" si="29"/>
        <v>#VALUE!</v>
      </c>
      <c r="AJ74" s="31" t="e">
        <f t="shared" si="30"/>
        <v>#VALUE!</v>
      </c>
      <c r="AK74" s="31" t="e">
        <f t="shared" si="31"/>
        <v>#VALUE!</v>
      </c>
      <c r="AL74" s="31" t="e">
        <f t="shared" si="32"/>
        <v>#VALUE!</v>
      </c>
      <c r="AM74" s="31" t="e">
        <f t="shared" si="33"/>
        <v>#VALUE!</v>
      </c>
      <c r="AN74" s="32" t="str">
        <f t="shared" si="34"/>
        <v/>
      </c>
      <c r="AO74" s="27" t="str">
        <f t="shared" si="35"/>
        <v/>
      </c>
      <c r="AP74" s="27" t="str">
        <f t="shared" si="36"/>
        <v/>
      </c>
      <c r="AQ74" s="27">
        <f t="shared" si="37"/>
        <v>0</v>
      </c>
      <c r="AR74" s="27">
        <f t="shared" si="38"/>
        <v>0</v>
      </c>
      <c r="AS74" s="33">
        <f t="shared" si="39"/>
        <v>0</v>
      </c>
    </row>
    <row r="75" spans="1:45" ht="15.75" hidden="1" customHeight="1" x14ac:dyDescent="0.25">
      <c r="A75" s="4"/>
      <c r="B75" s="34">
        <f t="shared" ref="B75:F75" si="93">IF(B74="","",B74)</f>
        <v>10210</v>
      </c>
      <c r="C75" s="26">
        <f t="shared" si="93"/>
        <v>24</v>
      </c>
      <c r="D75" s="26">
        <f t="shared" si="93"/>
        <v>0</v>
      </c>
      <c r="E75" s="26">
        <f t="shared" si="93"/>
        <v>0</v>
      </c>
      <c r="F75" s="26">
        <f t="shared" si="93"/>
        <v>0</v>
      </c>
      <c r="G75" s="24"/>
      <c r="H75" s="24"/>
      <c r="I75" s="24"/>
      <c r="J75" s="24"/>
      <c r="K75" s="24"/>
      <c r="L75" s="24"/>
      <c r="M75" s="25"/>
      <c r="N75" s="26" t="str">
        <f t="shared" si="10"/>
        <v/>
      </c>
      <c r="O75" s="26" t="str">
        <f t="shared" si="11"/>
        <v/>
      </c>
      <c r="P75" s="26" t="str">
        <f t="shared" si="12"/>
        <v/>
      </c>
      <c r="Q75" s="26">
        <f t="shared" si="13"/>
        <v>0</v>
      </c>
      <c r="R75" s="26">
        <f t="shared" si="14"/>
        <v>0</v>
      </c>
      <c r="S75" s="26">
        <f t="shared" si="15"/>
        <v>0</v>
      </c>
      <c r="T75" s="26" t="str">
        <f t="shared" si="16"/>
        <v/>
      </c>
      <c r="U75" s="26" t="str">
        <f t="shared" si="17"/>
        <v/>
      </c>
      <c r="V75" s="26" t="str">
        <f t="shared" si="18"/>
        <v/>
      </c>
      <c r="W75" s="27" t="str">
        <f t="shared" si="19"/>
        <v/>
      </c>
      <c r="X75" s="27" t="str">
        <f t="shared" si="20"/>
        <v/>
      </c>
      <c r="Y75" s="28" t="str">
        <f t="shared" si="21"/>
        <v/>
      </c>
      <c r="Z75" s="27" t="str">
        <f t="shared" si="22"/>
        <v/>
      </c>
      <c r="AA75" s="27" t="str">
        <f t="shared" si="23"/>
        <v/>
      </c>
      <c r="AB75" s="27" t="str">
        <f t="shared" si="24"/>
        <v/>
      </c>
      <c r="AC75" s="27" t="str">
        <f t="shared" si="25"/>
        <v/>
      </c>
      <c r="AD75" s="29" t="str">
        <f t="shared" si="26"/>
        <v/>
      </c>
      <c r="AE75" s="30" t="str">
        <f t="shared" si="27"/>
        <v/>
      </c>
      <c r="AG75" s="31"/>
      <c r="AH75" s="31" t="e">
        <f t="shared" si="28"/>
        <v>#VALUE!</v>
      </c>
      <c r="AI75" s="31" t="e">
        <f t="shared" si="29"/>
        <v>#VALUE!</v>
      </c>
      <c r="AJ75" s="31" t="e">
        <f t="shared" si="30"/>
        <v>#VALUE!</v>
      </c>
      <c r="AK75" s="31" t="e">
        <f t="shared" si="31"/>
        <v>#VALUE!</v>
      </c>
      <c r="AL75" s="31" t="e">
        <f t="shared" si="32"/>
        <v>#VALUE!</v>
      </c>
      <c r="AM75" s="31" t="e">
        <f t="shared" si="33"/>
        <v>#VALUE!</v>
      </c>
      <c r="AN75" s="32" t="str">
        <f t="shared" si="34"/>
        <v/>
      </c>
      <c r="AO75" s="27" t="str">
        <f t="shared" si="35"/>
        <v/>
      </c>
      <c r="AP75" s="27" t="str">
        <f t="shared" si="36"/>
        <v/>
      </c>
      <c r="AQ75" s="27">
        <f t="shared" si="37"/>
        <v>0</v>
      </c>
      <c r="AR75" s="27">
        <f t="shared" si="38"/>
        <v>0</v>
      </c>
      <c r="AS75" s="33">
        <f t="shared" si="39"/>
        <v>0</v>
      </c>
    </row>
    <row r="76" spans="1:45" ht="15.75" hidden="1" customHeight="1" x14ac:dyDescent="0.25">
      <c r="A76" s="4"/>
      <c r="B76" s="34">
        <f t="shared" ref="B76:F76" si="94">IF(B75="","",B75)</f>
        <v>10210</v>
      </c>
      <c r="C76" s="26">
        <f t="shared" si="94"/>
        <v>24</v>
      </c>
      <c r="D76" s="26">
        <f t="shared" si="94"/>
        <v>0</v>
      </c>
      <c r="E76" s="26">
        <f t="shared" si="94"/>
        <v>0</v>
      </c>
      <c r="F76" s="26">
        <f t="shared" si="94"/>
        <v>0</v>
      </c>
      <c r="G76" s="24"/>
      <c r="H76" s="24"/>
      <c r="I76" s="24"/>
      <c r="J76" s="24"/>
      <c r="K76" s="24"/>
      <c r="L76" s="24"/>
      <c r="M76" s="25"/>
      <c r="N76" s="26" t="str">
        <f t="shared" si="10"/>
        <v/>
      </c>
      <c r="O76" s="26" t="str">
        <f t="shared" si="11"/>
        <v/>
      </c>
      <c r="P76" s="26" t="str">
        <f t="shared" si="12"/>
        <v/>
      </c>
      <c r="Q76" s="26">
        <f t="shared" si="13"/>
        <v>0</v>
      </c>
      <c r="R76" s="26">
        <f t="shared" si="14"/>
        <v>0</v>
      </c>
      <c r="S76" s="26">
        <f t="shared" si="15"/>
        <v>0</v>
      </c>
      <c r="T76" s="26" t="str">
        <f t="shared" si="16"/>
        <v/>
      </c>
      <c r="U76" s="26" t="str">
        <f t="shared" si="17"/>
        <v/>
      </c>
      <c r="V76" s="26" t="str">
        <f t="shared" si="18"/>
        <v/>
      </c>
      <c r="W76" s="27" t="str">
        <f t="shared" si="19"/>
        <v/>
      </c>
      <c r="X76" s="27" t="str">
        <f t="shared" si="20"/>
        <v/>
      </c>
      <c r="Y76" s="28" t="str">
        <f t="shared" si="21"/>
        <v/>
      </c>
      <c r="Z76" s="27" t="str">
        <f t="shared" si="22"/>
        <v/>
      </c>
      <c r="AA76" s="27" t="str">
        <f t="shared" si="23"/>
        <v/>
      </c>
      <c r="AB76" s="27" t="str">
        <f t="shared" si="24"/>
        <v/>
      </c>
      <c r="AC76" s="27" t="str">
        <f t="shared" si="25"/>
        <v/>
      </c>
      <c r="AD76" s="29" t="str">
        <f t="shared" si="26"/>
        <v/>
      </c>
      <c r="AE76" s="30" t="str">
        <f t="shared" si="27"/>
        <v/>
      </c>
      <c r="AG76" s="31"/>
      <c r="AH76" s="31" t="e">
        <f t="shared" si="28"/>
        <v>#VALUE!</v>
      </c>
      <c r="AI76" s="31" t="e">
        <f t="shared" si="29"/>
        <v>#VALUE!</v>
      </c>
      <c r="AJ76" s="31" t="e">
        <f t="shared" si="30"/>
        <v>#VALUE!</v>
      </c>
      <c r="AK76" s="31" t="e">
        <f t="shared" si="31"/>
        <v>#VALUE!</v>
      </c>
      <c r="AL76" s="31" t="e">
        <f t="shared" si="32"/>
        <v>#VALUE!</v>
      </c>
      <c r="AM76" s="31" t="e">
        <f t="shared" si="33"/>
        <v>#VALUE!</v>
      </c>
      <c r="AN76" s="32" t="str">
        <f t="shared" si="34"/>
        <v/>
      </c>
      <c r="AO76" s="27" t="str">
        <f t="shared" si="35"/>
        <v/>
      </c>
      <c r="AP76" s="27" t="str">
        <f t="shared" si="36"/>
        <v/>
      </c>
      <c r="AQ76" s="27">
        <f t="shared" si="37"/>
        <v>0</v>
      </c>
      <c r="AR76" s="27">
        <f t="shared" si="38"/>
        <v>0</v>
      </c>
      <c r="AS76" s="33">
        <f t="shared" si="39"/>
        <v>0</v>
      </c>
    </row>
    <row r="77" spans="1:45" ht="15.75" hidden="1" customHeight="1" x14ac:dyDescent="0.25">
      <c r="A77" s="4"/>
      <c r="B77" s="34">
        <f t="shared" ref="B77:F77" si="95">IF(B76="","",B76)</f>
        <v>10210</v>
      </c>
      <c r="C77" s="26">
        <f t="shared" si="95"/>
        <v>24</v>
      </c>
      <c r="D77" s="26">
        <f t="shared" si="95"/>
        <v>0</v>
      </c>
      <c r="E77" s="26">
        <f t="shared" si="95"/>
        <v>0</v>
      </c>
      <c r="F77" s="26">
        <f t="shared" si="95"/>
        <v>0</v>
      </c>
      <c r="G77" s="24"/>
      <c r="H77" s="24"/>
      <c r="I77" s="24"/>
      <c r="J77" s="24"/>
      <c r="K77" s="24"/>
      <c r="L77" s="24"/>
      <c r="M77" s="25"/>
      <c r="N77" s="26" t="str">
        <f t="shared" si="10"/>
        <v/>
      </c>
      <c r="O77" s="26" t="str">
        <f t="shared" si="11"/>
        <v/>
      </c>
      <c r="P77" s="26" t="str">
        <f t="shared" si="12"/>
        <v/>
      </c>
      <c r="Q77" s="26">
        <f t="shared" si="13"/>
        <v>0</v>
      </c>
      <c r="R77" s="26">
        <f t="shared" si="14"/>
        <v>0</v>
      </c>
      <c r="S77" s="26">
        <f t="shared" si="15"/>
        <v>0</v>
      </c>
      <c r="T77" s="26" t="str">
        <f t="shared" si="16"/>
        <v/>
      </c>
      <c r="U77" s="26" t="str">
        <f t="shared" si="17"/>
        <v/>
      </c>
      <c r="V77" s="26" t="str">
        <f t="shared" si="18"/>
        <v/>
      </c>
      <c r="W77" s="27" t="str">
        <f t="shared" si="19"/>
        <v/>
      </c>
      <c r="X77" s="27" t="str">
        <f t="shared" si="20"/>
        <v/>
      </c>
      <c r="Y77" s="28" t="str">
        <f t="shared" si="21"/>
        <v/>
      </c>
      <c r="Z77" s="27" t="str">
        <f t="shared" si="22"/>
        <v/>
      </c>
      <c r="AA77" s="27" t="str">
        <f t="shared" si="23"/>
        <v/>
      </c>
      <c r="AB77" s="27" t="str">
        <f t="shared" si="24"/>
        <v/>
      </c>
      <c r="AC77" s="27" t="str">
        <f t="shared" si="25"/>
        <v/>
      </c>
      <c r="AD77" s="29" t="str">
        <f t="shared" si="26"/>
        <v/>
      </c>
      <c r="AE77" s="30" t="str">
        <f t="shared" si="27"/>
        <v/>
      </c>
      <c r="AG77" s="31"/>
      <c r="AH77" s="31" t="e">
        <f t="shared" si="28"/>
        <v>#VALUE!</v>
      </c>
      <c r="AI77" s="31" t="e">
        <f t="shared" si="29"/>
        <v>#VALUE!</v>
      </c>
      <c r="AJ77" s="31" t="e">
        <f t="shared" si="30"/>
        <v>#VALUE!</v>
      </c>
      <c r="AK77" s="31" t="e">
        <f t="shared" si="31"/>
        <v>#VALUE!</v>
      </c>
      <c r="AL77" s="31" t="e">
        <f t="shared" si="32"/>
        <v>#VALUE!</v>
      </c>
      <c r="AM77" s="31" t="e">
        <f t="shared" si="33"/>
        <v>#VALUE!</v>
      </c>
      <c r="AN77" s="32" t="str">
        <f t="shared" si="34"/>
        <v/>
      </c>
      <c r="AO77" s="27" t="str">
        <f t="shared" si="35"/>
        <v/>
      </c>
      <c r="AP77" s="27" t="str">
        <f t="shared" si="36"/>
        <v/>
      </c>
      <c r="AQ77" s="27">
        <f t="shared" si="37"/>
        <v>0</v>
      </c>
      <c r="AR77" s="27">
        <f t="shared" si="38"/>
        <v>0</v>
      </c>
      <c r="AS77" s="33">
        <f t="shared" si="39"/>
        <v>0</v>
      </c>
    </row>
    <row r="78" spans="1:45" ht="15.75" hidden="1" customHeight="1" x14ac:dyDescent="0.25">
      <c r="A78" s="4"/>
      <c r="B78" s="34">
        <f t="shared" ref="B78:F78" si="96">IF(B77="","",B77)</f>
        <v>10210</v>
      </c>
      <c r="C78" s="26">
        <f t="shared" si="96"/>
        <v>24</v>
      </c>
      <c r="D78" s="26">
        <f t="shared" si="96"/>
        <v>0</v>
      </c>
      <c r="E78" s="26">
        <f t="shared" si="96"/>
        <v>0</v>
      </c>
      <c r="F78" s="26">
        <f t="shared" si="96"/>
        <v>0</v>
      </c>
      <c r="G78" s="24"/>
      <c r="H78" s="24"/>
      <c r="I78" s="24"/>
      <c r="J78" s="24"/>
      <c r="K78" s="24"/>
      <c r="L78" s="24"/>
      <c r="M78" s="25"/>
      <c r="N78" s="26" t="str">
        <f t="shared" si="10"/>
        <v/>
      </c>
      <c r="O78" s="26" t="str">
        <f t="shared" si="11"/>
        <v/>
      </c>
      <c r="P78" s="26" t="str">
        <f t="shared" si="12"/>
        <v/>
      </c>
      <c r="Q78" s="26">
        <f t="shared" si="13"/>
        <v>0</v>
      </c>
      <c r="R78" s="26">
        <f t="shared" si="14"/>
        <v>0</v>
      </c>
      <c r="S78" s="26">
        <f t="shared" si="15"/>
        <v>0</v>
      </c>
      <c r="T78" s="26" t="str">
        <f t="shared" si="16"/>
        <v/>
      </c>
      <c r="U78" s="26" t="str">
        <f t="shared" si="17"/>
        <v/>
      </c>
      <c r="V78" s="26" t="str">
        <f t="shared" si="18"/>
        <v/>
      </c>
      <c r="W78" s="27" t="str">
        <f t="shared" si="19"/>
        <v/>
      </c>
      <c r="X78" s="27" t="str">
        <f t="shared" si="20"/>
        <v/>
      </c>
      <c r="Y78" s="28" t="str">
        <f t="shared" si="21"/>
        <v/>
      </c>
      <c r="Z78" s="27" t="str">
        <f t="shared" si="22"/>
        <v/>
      </c>
      <c r="AA78" s="27" t="str">
        <f t="shared" si="23"/>
        <v/>
      </c>
      <c r="AB78" s="27" t="str">
        <f t="shared" si="24"/>
        <v/>
      </c>
      <c r="AC78" s="27" t="str">
        <f t="shared" si="25"/>
        <v/>
      </c>
      <c r="AD78" s="29" t="str">
        <f t="shared" si="26"/>
        <v/>
      </c>
      <c r="AE78" s="30" t="str">
        <f t="shared" si="27"/>
        <v/>
      </c>
      <c r="AG78" s="31"/>
      <c r="AH78" s="31" t="e">
        <f t="shared" si="28"/>
        <v>#VALUE!</v>
      </c>
      <c r="AI78" s="31" t="e">
        <f t="shared" si="29"/>
        <v>#VALUE!</v>
      </c>
      <c r="AJ78" s="31" t="e">
        <f t="shared" si="30"/>
        <v>#VALUE!</v>
      </c>
      <c r="AK78" s="31" t="e">
        <f t="shared" si="31"/>
        <v>#VALUE!</v>
      </c>
      <c r="AL78" s="31" t="e">
        <f t="shared" si="32"/>
        <v>#VALUE!</v>
      </c>
      <c r="AM78" s="31" t="e">
        <f t="shared" si="33"/>
        <v>#VALUE!</v>
      </c>
      <c r="AN78" s="32" t="str">
        <f t="shared" si="34"/>
        <v/>
      </c>
      <c r="AO78" s="27" t="str">
        <f t="shared" si="35"/>
        <v/>
      </c>
      <c r="AP78" s="27" t="str">
        <f t="shared" si="36"/>
        <v/>
      </c>
      <c r="AQ78" s="27">
        <f t="shared" si="37"/>
        <v>0</v>
      </c>
      <c r="AR78" s="27">
        <f t="shared" si="38"/>
        <v>0</v>
      </c>
      <c r="AS78" s="33">
        <f t="shared" si="39"/>
        <v>0</v>
      </c>
    </row>
    <row r="79" spans="1:45" ht="15.75" hidden="1" customHeight="1" x14ac:dyDescent="0.25">
      <c r="A79" s="4"/>
      <c r="B79" s="34">
        <f t="shared" ref="B79:F79" si="97">IF(B78="","",B78)</f>
        <v>10210</v>
      </c>
      <c r="C79" s="26">
        <f t="shared" si="97"/>
        <v>24</v>
      </c>
      <c r="D79" s="26">
        <f t="shared" si="97"/>
        <v>0</v>
      </c>
      <c r="E79" s="26">
        <f t="shared" si="97"/>
        <v>0</v>
      </c>
      <c r="F79" s="26">
        <f t="shared" si="97"/>
        <v>0</v>
      </c>
      <c r="G79" s="24"/>
      <c r="H79" s="24"/>
      <c r="I79" s="24"/>
      <c r="J79" s="24"/>
      <c r="K79" s="24"/>
      <c r="L79" s="24"/>
      <c r="M79" s="25"/>
      <c r="N79" s="26" t="str">
        <f t="shared" ref="N79:N142" si="98">IF($J$7="NO",IF(M79="","",IF($E$7="+X",D79,IF($E$7="-X",-D79,IF($E$7="+Z",F79,IF($E$7="-Z",-F79))))),IF(M79="","",IF($E$7="+X",D79,IF($E$7="-X",-D79,IF($E$7="+Y",E79,IF($E$7="-Y",-E79))))))</f>
        <v/>
      </c>
      <c r="O79" s="26" t="str">
        <f t="shared" ref="O79:O142" si="99">IF($J$7="NO",IF(M79="","",E79),IF(M79="","",F79))</f>
        <v/>
      </c>
      <c r="P79" s="26" t="str">
        <f t="shared" ref="P79:P142" si="100">IF($J$7="NO",IF(M79="","",IF($E$7="+X",F79,IF($E$7="-X",-F79,IF($E$7="+Z",-D79,IF($E$7="-Z",D79))))),IF(M79="","",IF($E$7="+X",-E79,IF($E$7="-X",E79,IF($E$7="+Y",D79,IF($E$7="-Y",-D79))))))</f>
        <v/>
      </c>
      <c r="Q79" s="26">
        <f t="shared" ref="Q79:Q142" si="101">IF($J$7="NO",IF(M79="",0,IF($E$7="+X",G79,IF($E$7="-X",-G79,IF($E$7="+Z",I79,IF($E$7="-Z",-I79))))),IF(M79="",0,IF($E$7="+X",G79,IF($E$7="-X",-G79,IF($E$7="+Y",H79,IF($E$7="-Y",-H79))))))</f>
        <v>0</v>
      </c>
      <c r="R79" s="26">
        <f t="shared" ref="R79:R142" si="102">IF($J$7="NO",IF(M79="",0,H79),IF(M79="",0,I79))</f>
        <v>0</v>
      </c>
      <c r="S79" s="26">
        <f t="shared" ref="S79:S142" si="103">IF($J$7="NO",IF(M79="",0,IF($E$7="+X",I79,IF($E$7="-X",-I79,IF($E$7="+Z",-G79,IF($E$7="-Z",G79))))),IF(M79="",0,IF($E$7="+X",-H79,IF($E$7="-X",H79,IF($E$7="+Y",G79,IF($E$7="-Y",-G79))))))</f>
        <v>0</v>
      </c>
      <c r="T79" s="26" t="str">
        <f t="shared" ref="T79:T142" si="104">IF($J$7="NO",IF(M79="","",IF($E$7="+X",J79,IF($E$7="-X",-J79,IF($E$7="+Z",L79,IF($E$7="-Z",-L79))))),IF(M79="","",IF($E$7="+X",J79,IF($E$7="-X",-J79,IF($E$7="+Y",K79,IF($E$7="-Y",-K79))))))</f>
        <v/>
      </c>
      <c r="U79" s="26" t="str">
        <f t="shared" ref="U79:U142" si="105">IF($J$7="NO",IF(M79="","",K79),IF(M79="","",L79))</f>
        <v/>
      </c>
      <c r="V79" s="26" t="str">
        <f t="shared" ref="V79:V142" si="106">IF($J$7="NO",IF(M79="","",IF($E$7="+X",L79,IF($E$7="-X",-L79,IF($E$7="+Z",-J79,IF($E$7="-Z",J79))))),IF(M79="","",IF($E$7="+X",-K79,IF($E$7="-X",K79,IF($E$7="+Y",J79,IF($E$7="-Y",-J79))))))</f>
        <v/>
      </c>
      <c r="W79" s="27" t="str">
        <f t="shared" ref="W79:W142" si="107">IF(M79="","",SQRT(Q79^2+R79^2+S79^2))</f>
        <v/>
      </c>
      <c r="X79" s="27" t="str">
        <f t="shared" ref="X79:X142" si="108">IF(M79="","",SQRT(T79^2+U79^2+V79^2))</f>
        <v/>
      </c>
      <c r="Y79" s="28" t="str">
        <f t="shared" ref="Y79:Y142" si="109">IF(M79="","",IF($C79&lt;=8,$C79,(16+$C79)/3))</f>
        <v/>
      </c>
      <c r="Z79" s="27" t="str">
        <f t="shared" ref="Z79:Z142" si="110">IF(M79="","",W79*0.224808)</f>
        <v/>
      </c>
      <c r="AA79" s="27" t="str">
        <f t="shared" ref="AA79:AA142" si="111">IF(M79="","",X79*0.737562)</f>
        <v/>
      </c>
      <c r="AB79" s="27" t="str">
        <f t="shared" ref="AB79:AB142" si="112">IF(M79="","",3*Z79+AA79)</f>
        <v/>
      </c>
      <c r="AC79" s="27" t="str">
        <f t="shared" ref="AC79:AC142" si="113">IF(M79="","",IF(M79="","",500*Y79*$O$7))</f>
        <v/>
      </c>
      <c r="AD79" s="29" t="str">
        <f t="shared" ref="AD79:AD142" si="114">IF(M79="","",IF(M79="","",AB79/AC79)*100)</f>
        <v/>
      </c>
      <c r="AE79" s="30" t="str">
        <f t="shared" ref="AE79:AE142" si="115">IF(M79="","",IF(AD79&lt;=100, "PASS","FAIL"))</f>
        <v/>
      </c>
      <c r="AG79" s="31"/>
      <c r="AH79" s="31" t="e">
        <f t="shared" ref="AH79:AH142" si="116">Q79*O79/1000*VLOOKUP(_xlfn.CONCAT($AH$13,IF(Q79&gt;0,"+","-"),IF(O79&gt;0,"+","-")),$AV:$BA,6,0)</f>
        <v>#VALUE!</v>
      </c>
      <c r="AI79" s="31" t="e">
        <f t="shared" ref="AI79:AI142" si="117">Q79*P79/1000*VLOOKUP(_xlfn.CONCAT($AI$13,IF(Q79&gt;0,"+","-"),IF(P79&gt;0,"+","-")),$AV:$BA,6,0)</f>
        <v>#VALUE!</v>
      </c>
      <c r="AJ79" s="31" t="e">
        <f t="shared" ref="AJ79:AJ142" si="118">R79*N79/1000*VLOOKUP(_xlfn.CONCAT($AJ$13,IF(R79&gt;0,"+","-"),IF(N79&gt;0,"+","-")),$AV:$BA,6,0)</f>
        <v>#VALUE!</v>
      </c>
      <c r="AK79" s="31" t="e">
        <f t="shared" ref="AK79:AK142" si="119">R79*P79/1000*VLOOKUP(_xlfn.CONCAT($AK$13,IF(R79&gt;0,"+","-"),IF(P79&gt;0,"+","-")),$AV:$BA,6,0)</f>
        <v>#VALUE!</v>
      </c>
      <c r="AL79" s="31" t="e">
        <f t="shared" ref="AL79:AL142" si="120">S79*N79/1000*VLOOKUP(_xlfn.CONCAT($AL$13,IF(S79&gt;0,"+","-"),IF(N79&gt;0,"+","-")),$AV:$BA,6,0)</f>
        <v>#VALUE!</v>
      </c>
      <c r="AM79" s="31" t="e">
        <f t="shared" ref="AM79:AM142" si="121">S79*O79/1000*VLOOKUP(_xlfn.CONCAT($AM$13,IF(S79&gt;0,"+","-"),IF(O79&gt;0,"+","-")),$AV:$BA,6,0)</f>
        <v>#VALUE!</v>
      </c>
      <c r="AN79" s="32" t="str">
        <f t="shared" ref="AN79:AN142" si="122">IF($M79="","",AK79+AM79)</f>
        <v/>
      </c>
      <c r="AO79" s="27" t="str">
        <f t="shared" ref="AO79:AO142" si="123">IF($M79="","",AI79+AL79)</f>
        <v/>
      </c>
      <c r="AP79" s="27" t="str">
        <f t="shared" ref="AP79:AP142" si="124">IF($M79="","",AH79+AJ79)</f>
        <v/>
      </c>
      <c r="AQ79" s="27">
        <f t="shared" ref="AQ79:AQ142" si="125">IF(M79="",0,AN79+T79)</f>
        <v>0</v>
      </c>
      <c r="AR79" s="27">
        <f t="shared" ref="AR79:AR142" si="126">IF(M79="",0,AO79+U79)</f>
        <v>0</v>
      </c>
      <c r="AS79" s="33">
        <f t="shared" ref="AS79:AS142" si="127">IF(M79="",0,AP79+V79)</f>
        <v>0</v>
      </c>
    </row>
    <row r="80" spans="1:45" ht="15.75" hidden="1" customHeight="1" x14ac:dyDescent="0.25">
      <c r="A80" s="4"/>
      <c r="B80" s="34">
        <f t="shared" ref="B80:F80" si="128">IF(B79="","",B79)</f>
        <v>10210</v>
      </c>
      <c r="C80" s="26">
        <f t="shared" si="128"/>
        <v>24</v>
      </c>
      <c r="D80" s="26">
        <f t="shared" si="128"/>
        <v>0</v>
      </c>
      <c r="E80" s="26">
        <f t="shared" si="128"/>
        <v>0</v>
      </c>
      <c r="F80" s="26">
        <f t="shared" si="128"/>
        <v>0</v>
      </c>
      <c r="G80" s="24"/>
      <c r="H80" s="24"/>
      <c r="I80" s="24"/>
      <c r="J80" s="24"/>
      <c r="K80" s="24"/>
      <c r="L80" s="24"/>
      <c r="M80" s="25"/>
      <c r="N80" s="26" t="str">
        <f t="shared" si="98"/>
        <v/>
      </c>
      <c r="O80" s="26" t="str">
        <f t="shared" si="99"/>
        <v/>
      </c>
      <c r="P80" s="26" t="str">
        <f t="shared" si="100"/>
        <v/>
      </c>
      <c r="Q80" s="26">
        <f t="shared" si="101"/>
        <v>0</v>
      </c>
      <c r="R80" s="26">
        <f t="shared" si="102"/>
        <v>0</v>
      </c>
      <c r="S80" s="26">
        <f t="shared" si="103"/>
        <v>0</v>
      </c>
      <c r="T80" s="26" t="str">
        <f t="shared" si="104"/>
        <v/>
      </c>
      <c r="U80" s="26" t="str">
        <f t="shared" si="105"/>
        <v/>
      </c>
      <c r="V80" s="26" t="str">
        <f t="shared" si="106"/>
        <v/>
      </c>
      <c r="W80" s="27" t="str">
        <f t="shared" si="107"/>
        <v/>
      </c>
      <c r="X80" s="27" t="str">
        <f t="shared" si="108"/>
        <v/>
      </c>
      <c r="Y80" s="28" t="str">
        <f t="shared" si="109"/>
        <v/>
      </c>
      <c r="Z80" s="27" t="str">
        <f t="shared" si="110"/>
        <v/>
      </c>
      <c r="AA80" s="27" t="str">
        <f t="shared" si="111"/>
        <v/>
      </c>
      <c r="AB80" s="27" t="str">
        <f t="shared" si="112"/>
        <v/>
      </c>
      <c r="AC80" s="27" t="str">
        <f t="shared" si="113"/>
        <v/>
      </c>
      <c r="AD80" s="29" t="str">
        <f t="shared" si="114"/>
        <v/>
      </c>
      <c r="AE80" s="30" t="str">
        <f t="shared" si="115"/>
        <v/>
      </c>
      <c r="AG80" s="31"/>
      <c r="AH80" s="31" t="e">
        <f t="shared" si="116"/>
        <v>#VALUE!</v>
      </c>
      <c r="AI80" s="31" t="e">
        <f t="shared" si="117"/>
        <v>#VALUE!</v>
      </c>
      <c r="AJ80" s="31" t="e">
        <f t="shared" si="118"/>
        <v>#VALUE!</v>
      </c>
      <c r="AK80" s="31" t="e">
        <f t="shared" si="119"/>
        <v>#VALUE!</v>
      </c>
      <c r="AL80" s="31" t="e">
        <f t="shared" si="120"/>
        <v>#VALUE!</v>
      </c>
      <c r="AM80" s="31" t="e">
        <f t="shared" si="121"/>
        <v>#VALUE!</v>
      </c>
      <c r="AN80" s="32" t="str">
        <f t="shared" si="122"/>
        <v/>
      </c>
      <c r="AO80" s="27" t="str">
        <f t="shared" si="123"/>
        <v/>
      </c>
      <c r="AP80" s="27" t="str">
        <f t="shared" si="124"/>
        <v/>
      </c>
      <c r="AQ80" s="27">
        <f t="shared" si="125"/>
        <v>0</v>
      </c>
      <c r="AR80" s="27">
        <f t="shared" si="126"/>
        <v>0</v>
      </c>
      <c r="AS80" s="33">
        <f t="shared" si="127"/>
        <v>0</v>
      </c>
    </row>
    <row r="81" spans="1:45" ht="15.75" hidden="1" customHeight="1" x14ac:dyDescent="0.25">
      <c r="A81" s="4"/>
      <c r="B81" s="34">
        <f t="shared" ref="B81:F81" si="129">IF(B80="","",B80)</f>
        <v>10210</v>
      </c>
      <c r="C81" s="26">
        <f t="shared" si="129"/>
        <v>24</v>
      </c>
      <c r="D81" s="26">
        <f t="shared" si="129"/>
        <v>0</v>
      </c>
      <c r="E81" s="26">
        <f t="shared" si="129"/>
        <v>0</v>
      </c>
      <c r="F81" s="26">
        <f t="shared" si="129"/>
        <v>0</v>
      </c>
      <c r="G81" s="24"/>
      <c r="H81" s="24"/>
      <c r="I81" s="24"/>
      <c r="J81" s="24"/>
      <c r="K81" s="24"/>
      <c r="L81" s="24"/>
      <c r="M81" s="25"/>
      <c r="N81" s="26" t="str">
        <f t="shared" si="98"/>
        <v/>
      </c>
      <c r="O81" s="26" t="str">
        <f t="shared" si="99"/>
        <v/>
      </c>
      <c r="P81" s="26" t="str">
        <f t="shared" si="100"/>
        <v/>
      </c>
      <c r="Q81" s="26">
        <f t="shared" si="101"/>
        <v>0</v>
      </c>
      <c r="R81" s="26">
        <f t="shared" si="102"/>
        <v>0</v>
      </c>
      <c r="S81" s="26">
        <f t="shared" si="103"/>
        <v>0</v>
      </c>
      <c r="T81" s="26" t="str">
        <f t="shared" si="104"/>
        <v/>
      </c>
      <c r="U81" s="26" t="str">
        <f t="shared" si="105"/>
        <v/>
      </c>
      <c r="V81" s="26" t="str">
        <f t="shared" si="106"/>
        <v/>
      </c>
      <c r="W81" s="27" t="str">
        <f t="shared" si="107"/>
        <v/>
      </c>
      <c r="X81" s="27" t="str">
        <f t="shared" si="108"/>
        <v/>
      </c>
      <c r="Y81" s="28" t="str">
        <f t="shared" si="109"/>
        <v/>
      </c>
      <c r="Z81" s="27" t="str">
        <f t="shared" si="110"/>
        <v/>
      </c>
      <c r="AA81" s="27" t="str">
        <f t="shared" si="111"/>
        <v/>
      </c>
      <c r="AB81" s="27" t="str">
        <f t="shared" si="112"/>
        <v/>
      </c>
      <c r="AC81" s="27" t="str">
        <f t="shared" si="113"/>
        <v/>
      </c>
      <c r="AD81" s="29" t="str">
        <f t="shared" si="114"/>
        <v/>
      </c>
      <c r="AE81" s="30" t="str">
        <f t="shared" si="115"/>
        <v/>
      </c>
      <c r="AG81" s="31"/>
      <c r="AH81" s="31" t="e">
        <f t="shared" si="116"/>
        <v>#VALUE!</v>
      </c>
      <c r="AI81" s="31" t="e">
        <f t="shared" si="117"/>
        <v>#VALUE!</v>
      </c>
      <c r="AJ81" s="31" t="e">
        <f t="shared" si="118"/>
        <v>#VALUE!</v>
      </c>
      <c r="AK81" s="31" t="e">
        <f t="shared" si="119"/>
        <v>#VALUE!</v>
      </c>
      <c r="AL81" s="31" t="e">
        <f t="shared" si="120"/>
        <v>#VALUE!</v>
      </c>
      <c r="AM81" s="31" t="e">
        <f t="shared" si="121"/>
        <v>#VALUE!</v>
      </c>
      <c r="AN81" s="32" t="str">
        <f t="shared" si="122"/>
        <v/>
      </c>
      <c r="AO81" s="27" t="str">
        <f t="shared" si="123"/>
        <v/>
      </c>
      <c r="AP81" s="27" t="str">
        <f t="shared" si="124"/>
        <v/>
      </c>
      <c r="AQ81" s="27">
        <f t="shared" si="125"/>
        <v>0</v>
      </c>
      <c r="AR81" s="27">
        <f t="shared" si="126"/>
        <v>0</v>
      </c>
      <c r="AS81" s="33">
        <f t="shared" si="127"/>
        <v>0</v>
      </c>
    </row>
    <row r="82" spans="1:45" ht="15.75" hidden="1" customHeight="1" x14ac:dyDescent="0.25">
      <c r="A82" s="4"/>
      <c r="B82" s="34">
        <f t="shared" ref="B82:F82" si="130">IF(B81="","",B81)</f>
        <v>10210</v>
      </c>
      <c r="C82" s="26">
        <f t="shared" si="130"/>
        <v>24</v>
      </c>
      <c r="D82" s="26">
        <f t="shared" si="130"/>
        <v>0</v>
      </c>
      <c r="E82" s="26">
        <f t="shared" si="130"/>
        <v>0</v>
      </c>
      <c r="F82" s="26">
        <f t="shared" si="130"/>
        <v>0</v>
      </c>
      <c r="G82" s="24"/>
      <c r="H82" s="24"/>
      <c r="I82" s="24"/>
      <c r="J82" s="24"/>
      <c r="K82" s="24"/>
      <c r="L82" s="24"/>
      <c r="M82" s="25"/>
      <c r="N82" s="26" t="str">
        <f t="shared" si="98"/>
        <v/>
      </c>
      <c r="O82" s="26" t="str">
        <f t="shared" si="99"/>
        <v/>
      </c>
      <c r="P82" s="26" t="str">
        <f t="shared" si="100"/>
        <v/>
      </c>
      <c r="Q82" s="26">
        <f t="shared" si="101"/>
        <v>0</v>
      </c>
      <c r="R82" s="26">
        <f t="shared" si="102"/>
        <v>0</v>
      </c>
      <c r="S82" s="26">
        <f t="shared" si="103"/>
        <v>0</v>
      </c>
      <c r="T82" s="26" t="str">
        <f t="shared" si="104"/>
        <v/>
      </c>
      <c r="U82" s="26" t="str">
        <f t="shared" si="105"/>
        <v/>
      </c>
      <c r="V82" s="26" t="str">
        <f t="shared" si="106"/>
        <v/>
      </c>
      <c r="W82" s="27" t="str">
        <f t="shared" si="107"/>
        <v/>
      </c>
      <c r="X82" s="27" t="str">
        <f t="shared" si="108"/>
        <v/>
      </c>
      <c r="Y82" s="28" t="str">
        <f t="shared" si="109"/>
        <v/>
      </c>
      <c r="Z82" s="27" t="str">
        <f t="shared" si="110"/>
        <v/>
      </c>
      <c r="AA82" s="27" t="str">
        <f t="shared" si="111"/>
        <v/>
      </c>
      <c r="AB82" s="27" t="str">
        <f t="shared" si="112"/>
        <v/>
      </c>
      <c r="AC82" s="27" t="str">
        <f t="shared" si="113"/>
        <v/>
      </c>
      <c r="AD82" s="29" t="str">
        <f t="shared" si="114"/>
        <v/>
      </c>
      <c r="AE82" s="30" t="str">
        <f t="shared" si="115"/>
        <v/>
      </c>
      <c r="AG82" s="31"/>
      <c r="AH82" s="31" t="e">
        <f t="shared" si="116"/>
        <v>#VALUE!</v>
      </c>
      <c r="AI82" s="31" t="e">
        <f t="shared" si="117"/>
        <v>#VALUE!</v>
      </c>
      <c r="AJ82" s="31" t="e">
        <f t="shared" si="118"/>
        <v>#VALUE!</v>
      </c>
      <c r="AK82" s="31" t="e">
        <f t="shared" si="119"/>
        <v>#VALUE!</v>
      </c>
      <c r="AL82" s="31" t="e">
        <f t="shared" si="120"/>
        <v>#VALUE!</v>
      </c>
      <c r="AM82" s="31" t="e">
        <f t="shared" si="121"/>
        <v>#VALUE!</v>
      </c>
      <c r="AN82" s="32" t="str">
        <f t="shared" si="122"/>
        <v/>
      </c>
      <c r="AO82" s="27" t="str">
        <f t="shared" si="123"/>
        <v/>
      </c>
      <c r="AP82" s="27" t="str">
        <f t="shared" si="124"/>
        <v/>
      </c>
      <c r="AQ82" s="27">
        <f t="shared" si="125"/>
        <v>0</v>
      </c>
      <c r="AR82" s="27">
        <f t="shared" si="126"/>
        <v>0</v>
      </c>
      <c r="AS82" s="33">
        <f t="shared" si="127"/>
        <v>0</v>
      </c>
    </row>
    <row r="83" spans="1:45" ht="15.75" hidden="1" customHeight="1" x14ac:dyDescent="0.25">
      <c r="A83" s="4"/>
      <c r="B83" s="34">
        <f t="shared" ref="B83:F83" si="131">IF(B82="","",B82)</f>
        <v>10210</v>
      </c>
      <c r="C83" s="26">
        <f t="shared" si="131"/>
        <v>24</v>
      </c>
      <c r="D83" s="26">
        <f t="shared" si="131"/>
        <v>0</v>
      </c>
      <c r="E83" s="26">
        <f t="shared" si="131"/>
        <v>0</v>
      </c>
      <c r="F83" s="26">
        <f t="shared" si="131"/>
        <v>0</v>
      </c>
      <c r="G83" s="24"/>
      <c r="H83" s="24"/>
      <c r="I83" s="24"/>
      <c r="J83" s="24"/>
      <c r="K83" s="24"/>
      <c r="L83" s="24"/>
      <c r="M83" s="25"/>
      <c r="N83" s="26" t="str">
        <f t="shared" si="98"/>
        <v/>
      </c>
      <c r="O83" s="26" t="str">
        <f t="shared" si="99"/>
        <v/>
      </c>
      <c r="P83" s="26" t="str">
        <f t="shared" si="100"/>
        <v/>
      </c>
      <c r="Q83" s="26">
        <f t="shared" si="101"/>
        <v>0</v>
      </c>
      <c r="R83" s="26">
        <f t="shared" si="102"/>
        <v>0</v>
      </c>
      <c r="S83" s="26">
        <f t="shared" si="103"/>
        <v>0</v>
      </c>
      <c r="T83" s="26" t="str">
        <f t="shared" si="104"/>
        <v/>
      </c>
      <c r="U83" s="26" t="str">
        <f t="shared" si="105"/>
        <v/>
      </c>
      <c r="V83" s="26" t="str">
        <f t="shared" si="106"/>
        <v/>
      </c>
      <c r="W83" s="27" t="str">
        <f t="shared" si="107"/>
        <v/>
      </c>
      <c r="X83" s="27" t="str">
        <f t="shared" si="108"/>
        <v/>
      </c>
      <c r="Y83" s="28" t="str">
        <f t="shared" si="109"/>
        <v/>
      </c>
      <c r="Z83" s="27" t="str">
        <f t="shared" si="110"/>
        <v/>
      </c>
      <c r="AA83" s="27" t="str">
        <f t="shared" si="111"/>
        <v/>
      </c>
      <c r="AB83" s="27" t="str">
        <f t="shared" si="112"/>
        <v/>
      </c>
      <c r="AC83" s="27" t="str">
        <f t="shared" si="113"/>
        <v/>
      </c>
      <c r="AD83" s="29" t="str">
        <f t="shared" si="114"/>
        <v/>
      </c>
      <c r="AE83" s="30" t="str">
        <f t="shared" si="115"/>
        <v/>
      </c>
      <c r="AG83" s="31"/>
      <c r="AH83" s="31" t="e">
        <f t="shared" si="116"/>
        <v>#VALUE!</v>
      </c>
      <c r="AI83" s="31" t="e">
        <f t="shared" si="117"/>
        <v>#VALUE!</v>
      </c>
      <c r="AJ83" s="31" t="e">
        <f t="shared" si="118"/>
        <v>#VALUE!</v>
      </c>
      <c r="AK83" s="31" t="e">
        <f t="shared" si="119"/>
        <v>#VALUE!</v>
      </c>
      <c r="AL83" s="31" t="e">
        <f t="shared" si="120"/>
        <v>#VALUE!</v>
      </c>
      <c r="AM83" s="31" t="e">
        <f t="shared" si="121"/>
        <v>#VALUE!</v>
      </c>
      <c r="AN83" s="32" t="str">
        <f t="shared" si="122"/>
        <v/>
      </c>
      <c r="AO83" s="27" t="str">
        <f t="shared" si="123"/>
        <v/>
      </c>
      <c r="AP83" s="27" t="str">
        <f t="shared" si="124"/>
        <v/>
      </c>
      <c r="AQ83" s="27">
        <f t="shared" si="125"/>
        <v>0</v>
      </c>
      <c r="AR83" s="27">
        <f t="shared" si="126"/>
        <v>0</v>
      </c>
      <c r="AS83" s="33">
        <f t="shared" si="127"/>
        <v>0</v>
      </c>
    </row>
    <row r="84" spans="1:45" ht="15.75" hidden="1" customHeight="1" x14ac:dyDescent="0.25">
      <c r="A84" s="4"/>
      <c r="B84" s="34">
        <f t="shared" ref="B84:F84" si="132">IF(B83="","",B83)</f>
        <v>10210</v>
      </c>
      <c r="C84" s="26">
        <f t="shared" si="132"/>
        <v>24</v>
      </c>
      <c r="D84" s="26">
        <f t="shared" si="132"/>
        <v>0</v>
      </c>
      <c r="E84" s="26">
        <f t="shared" si="132"/>
        <v>0</v>
      </c>
      <c r="F84" s="26">
        <f t="shared" si="132"/>
        <v>0</v>
      </c>
      <c r="G84" s="24"/>
      <c r="H84" s="24"/>
      <c r="I84" s="24"/>
      <c r="J84" s="24"/>
      <c r="K84" s="24"/>
      <c r="L84" s="24"/>
      <c r="M84" s="25"/>
      <c r="N84" s="26" t="str">
        <f t="shared" si="98"/>
        <v/>
      </c>
      <c r="O84" s="26" t="str">
        <f t="shared" si="99"/>
        <v/>
      </c>
      <c r="P84" s="26" t="str">
        <f t="shared" si="100"/>
        <v/>
      </c>
      <c r="Q84" s="26">
        <f t="shared" si="101"/>
        <v>0</v>
      </c>
      <c r="R84" s="26">
        <f t="shared" si="102"/>
        <v>0</v>
      </c>
      <c r="S84" s="26">
        <f t="shared" si="103"/>
        <v>0</v>
      </c>
      <c r="T84" s="26" t="str">
        <f t="shared" si="104"/>
        <v/>
      </c>
      <c r="U84" s="26" t="str">
        <f t="shared" si="105"/>
        <v/>
      </c>
      <c r="V84" s="26" t="str">
        <f t="shared" si="106"/>
        <v/>
      </c>
      <c r="W84" s="27" t="str">
        <f t="shared" si="107"/>
        <v/>
      </c>
      <c r="X84" s="27" t="str">
        <f t="shared" si="108"/>
        <v/>
      </c>
      <c r="Y84" s="28" t="str">
        <f t="shared" si="109"/>
        <v/>
      </c>
      <c r="Z84" s="27" t="str">
        <f t="shared" si="110"/>
        <v/>
      </c>
      <c r="AA84" s="27" t="str">
        <f t="shared" si="111"/>
        <v/>
      </c>
      <c r="AB84" s="27" t="str">
        <f t="shared" si="112"/>
        <v/>
      </c>
      <c r="AC84" s="27" t="str">
        <f t="shared" si="113"/>
        <v/>
      </c>
      <c r="AD84" s="29" t="str">
        <f t="shared" si="114"/>
        <v/>
      </c>
      <c r="AE84" s="30" t="str">
        <f t="shared" si="115"/>
        <v/>
      </c>
      <c r="AG84" s="31"/>
      <c r="AH84" s="31" t="e">
        <f t="shared" si="116"/>
        <v>#VALUE!</v>
      </c>
      <c r="AI84" s="31" t="e">
        <f t="shared" si="117"/>
        <v>#VALUE!</v>
      </c>
      <c r="AJ84" s="31" t="e">
        <f t="shared" si="118"/>
        <v>#VALUE!</v>
      </c>
      <c r="AK84" s="31" t="e">
        <f t="shared" si="119"/>
        <v>#VALUE!</v>
      </c>
      <c r="AL84" s="31" t="e">
        <f t="shared" si="120"/>
        <v>#VALUE!</v>
      </c>
      <c r="AM84" s="31" t="e">
        <f t="shared" si="121"/>
        <v>#VALUE!</v>
      </c>
      <c r="AN84" s="32" t="str">
        <f t="shared" si="122"/>
        <v/>
      </c>
      <c r="AO84" s="27" t="str">
        <f t="shared" si="123"/>
        <v/>
      </c>
      <c r="AP84" s="27" t="str">
        <f t="shared" si="124"/>
        <v/>
      </c>
      <c r="AQ84" s="27">
        <f t="shared" si="125"/>
        <v>0</v>
      </c>
      <c r="AR84" s="27">
        <f t="shared" si="126"/>
        <v>0</v>
      </c>
      <c r="AS84" s="33">
        <f t="shared" si="127"/>
        <v>0</v>
      </c>
    </row>
    <row r="85" spans="1:45" ht="15.75" hidden="1" customHeight="1" x14ac:dyDescent="0.25">
      <c r="A85" s="4"/>
      <c r="B85" s="34">
        <f t="shared" ref="B85:F85" si="133">IF(B84="","",B84)</f>
        <v>10210</v>
      </c>
      <c r="C85" s="26">
        <f t="shared" si="133"/>
        <v>24</v>
      </c>
      <c r="D85" s="26">
        <f t="shared" si="133"/>
        <v>0</v>
      </c>
      <c r="E85" s="26">
        <f t="shared" si="133"/>
        <v>0</v>
      </c>
      <c r="F85" s="26">
        <f t="shared" si="133"/>
        <v>0</v>
      </c>
      <c r="G85" s="24"/>
      <c r="H85" s="24"/>
      <c r="I85" s="24"/>
      <c r="J85" s="24"/>
      <c r="K85" s="24"/>
      <c r="L85" s="24"/>
      <c r="M85" s="25"/>
      <c r="N85" s="26" t="str">
        <f t="shared" si="98"/>
        <v/>
      </c>
      <c r="O85" s="26" t="str">
        <f t="shared" si="99"/>
        <v/>
      </c>
      <c r="P85" s="26" t="str">
        <f t="shared" si="100"/>
        <v/>
      </c>
      <c r="Q85" s="26">
        <f t="shared" si="101"/>
        <v>0</v>
      </c>
      <c r="R85" s="26">
        <f t="shared" si="102"/>
        <v>0</v>
      </c>
      <c r="S85" s="26">
        <f t="shared" si="103"/>
        <v>0</v>
      </c>
      <c r="T85" s="26" t="str">
        <f t="shared" si="104"/>
        <v/>
      </c>
      <c r="U85" s="26" t="str">
        <f t="shared" si="105"/>
        <v/>
      </c>
      <c r="V85" s="26" t="str">
        <f t="shared" si="106"/>
        <v/>
      </c>
      <c r="W85" s="27" t="str">
        <f t="shared" si="107"/>
        <v/>
      </c>
      <c r="X85" s="27" t="str">
        <f t="shared" si="108"/>
        <v/>
      </c>
      <c r="Y85" s="28" t="str">
        <f t="shared" si="109"/>
        <v/>
      </c>
      <c r="Z85" s="27" t="str">
        <f t="shared" si="110"/>
        <v/>
      </c>
      <c r="AA85" s="27" t="str">
        <f t="shared" si="111"/>
        <v/>
      </c>
      <c r="AB85" s="27" t="str">
        <f t="shared" si="112"/>
        <v/>
      </c>
      <c r="AC85" s="27" t="str">
        <f t="shared" si="113"/>
        <v/>
      </c>
      <c r="AD85" s="29" t="str">
        <f t="shared" si="114"/>
        <v/>
      </c>
      <c r="AE85" s="30" t="str">
        <f t="shared" si="115"/>
        <v/>
      </c>
      <c r="AG85" s="31"/>
      <c r="AH85" s="31" t="e">
        <f t="shared" si="116"/>
        <v>#VALUE!</v>
      </c>
      <c r="AI85" s="31" t="e">
        <f t="shared" si="117"/>
        <v>#VALUE!</v>
      </c>
      <c r="AJ85" s="31" t="e">
        <f t="shared" si="118"/>
        <v>#VALUE!</v>
      </c>
      <c r="AK85" s="31" t="e">
        <f t="shared" si="119"/>
        <v>#VALUE!</v>
      </c>
      <c r="AL85" s="31" t="e">
        <f t="shared" si="120"/>
        <v>#VALUE!</v>
      </c>
      <c r="AM85" s="31" t="e">
        <f t="shared" si="121"/>
        <v>#VALUE!</v>
      </c>
      <c r="AN85" s="32" t="str">
        <f t="shared" si="122"/>
        <v/>
      </c>
      <c r="AO85" s="27" t="str">
        <f t="shared" si="123"/>
        <v/>
      </c>
      <c r="AP85" s="27" t="str">
        <f t="shared" si="124"/>
        <v/>
      </c>
      <c r="AQ85" s="27">
        <f t="shared" si="125"/>
        <v>0</v>
      </c>
      <c r="AR85" s="27">
        <f t="shared" si="126"/>
        <v>0</v>
      </c>
      <c r="AS85" s="33">
        <f t="shared" si="127"/>
        <v>0</v>
      </c>
    </row>
    <row r="86" spans="1:45" ht="15.75" hidden="1" customHeight="1" x14ac:dyDescent="0.25">
      <c r="A86" s="4"/>
      <c r="B86" s="34">
        <f t="shared" ref="B86:F86" si="134">IF(B85="","",B85)</f>
        <v>10210</v>
      </c>
      <c r="C86" s="26">
        <f t="shared" si="134"/>
        <v>24</v>
      </c>
      <c r="D86" s="26">
        <f t="shared" si="134"/>
        <v>0</v>
      </c>
      <c r="E86" s="26">
        <f t="shared" si="134"/>
        <v>0</v>
      </c>
      <c r="F86" s="26">
        <f t="shared" si="134"/>
        <v>0</v>
      </c>
      <c r="G86" s="24"/>
      <c r="H86" s="24"/>
      <c r="I86" s="24"/>
      <c r="J86" s="24"/>
      <c r="K86" s="24"/>
      <c r="L86" s="24"/>
      <c r="M86" s="25"/>
      <c r="N86" s="26" t="str">
        <f t="shared" si="98"/>
        <v/>
      </c>
      <c r="O86" s="26" t="str">
        <f t="shared" si="99"/>
        <v/>
      </c>
      <c r="P86" s="26" t="str">
        <f t="shared" si="100"/>
        <v/>
      </c>
      <c r="Q86" s="26">
        <f t="shared" si="101"/>
        <v>0</v>
      </c>
      <c r="R86" s="26">
        <f t="shared" si="102"/>
        <v>0</v>
      </c>
      <c r="S86" s="26">
        <f t="shared" si="103"/>
        <v>0</v>
      </c>
      <c r="T86" s="26" t="str">
        <f t="shared" si="104"/>
        <v/>
      </c>
      <c r="U86" s="26" t="str">
        <f t="shared" si="105"/>
        <v/>
      </c>
      <c r="V86" s="26" t="str">
        <f t="shared" si="106"/>
        <v/>
      </c>
      <c r="W86" s="27" t="str">
        <f t="shared" si="107"/>
        <v/>
      </c>
      <c r="X86" s="27" t="str">
        <f t="shared" si="108"/>
        <v/>
      </c>
      <c r="Y86" s="28" t="str">
        <f t="shared" si="109"/>
        <v/>
      </c>
      <c r="Z86" s="27" t="str">
        <f t="shared" si="110"/>
        <v/>
      </c>
      <c r="AA86" s="27" t="str">
        <f t="shared" si="111"/>
        <v/>
      </c>
      <c r="AB86" s="27" t="str">
        <f t="shared" si="112"/>
        <v/>
      </c>
      <c r="AC86" s="27" t="str">
        <f t="shared" si="113"/>
        <v/>
      </c>
      <c r="AD86" s="29" t="str">
        <f t="shared" si="114"/>
        <v/>
      </c>
      <c r="AE86" s="30" t="str">
        <f t="shared" si="115"/>
        <v/>
      </c>
      <c r="AG86" s="31"/>
      <c r="AH86" s="31" t="e">
        <f t="shared" si="116"/>
        <v>#VALUE!</v>
      </c>
      <c r="AI86" s="31" t="e">
        <f t="shared" si="117"/>
        <v>#VALUE!</v>
      </c>
      <c r="AJ86" s="31" t="e">
        <f t="shared" si="118"/>
        <v>#VALUE!</v>
      </c>
      <c r="AK86" s="31" t="e">
        <f t="shared" si="119"/>
        <v>#VALUE!</v>
      </c>
      <c r="AL86" s="31" t="e">
        <f t="shared" si="120"/>
        <v>#VALUE!</v>
      </c>
      <c r="AM86" s="31" t="e">
        <f t="shared" si="121"/>
        <v>#VALUE!</v>
      </c>
      <c r="AN86" s="32" t="str">
        <f t="shared" si="122"/>
        <v/>
      </c>
      <c r="AO86" s="27" t="str">
        <f t="shared" si="123"/>
        <v/>
      </c>
      <c r="AP86" s="27" t="str">
        <f t="shared" si="124"/>
        <v/>
      </c>
      <c r="AQ86" s="27">
        <f t="shared" si="125"/>
        <v>0</v>
      </c>
      <c r="AR86" s="27">
        <f t="shared" si="126"/>
        <v>0</v>
      </c>
      <c r="AS86" s="33">
        <f t="shared" si="127"/>
        <v>0</v>
      </c>
    </row>
    <row r="87" spans="1:45" ht="15.75" hidden="1" customHeight="1" x14ac:dyDescent="0.25">
      <c r="B87" s="34">
        <f t="shared" ref="B87:F87" si="135">IF(B86="","",B86)</f>
        <v>10210</v>
      </c>
      <c r="C87" s="26">
        <f t="shared" si="135"/>
        <v>24</v>
      </c>
      <c r="D87" s="26">
        <f t="shared" si="135"/>
        <v>0</v>
      </c>
      <c r="E87" s="26">
        <f t="shared" si="135"/>
        <v>0</v>
      </c>
      <c r="F87" s="26">
        <f t="shared" si="135"/>
        <v>0</v>
      </c>
      <c r="G87" s="24"/>
      <c r="H87" s="24"/>
      <c r="I87" s="24"/>
      <c r="J87" s="24"/>
      <c r="K87" s="24"/>
      <c r="L87" s="24"/>
      <c r="M87" s="25"/>
      <c r="N87" s="26" t="str">
        <f t="shared" si="98"/>
        <v/>
      </c>
      <c r="O87" s="26" t="str">
        <f t="shared" si="99"/>
        <v/>
      </c>
      <c r="P87" s="26" t="str">
        <f t="shared" si="100"/>
        <v/>
      </c>
      <c r="Q87" s="26">
        <f t="shared" si="101"/>
        <v>0</v>
      </c>
      <c r="R87" s="26">
        <f t="shared" si="102"/>
        <v>0</v>
      </c>
      <c r="S87" s="26">
        <f t="shared" si="103"/>
        <v>0</v>
      </c>
      <c r="T87" s="26" t="str">
        <f t="shared" si="104"/>
        <v/>
      </c>
      <c r="U87" s="26" t="str">
        <f t="shared" si="105"/>
        <v/>
      </c>
      <c r="V87" s="26" t="str">
        <f t="shared" si="106"/>
        <v/>
      </c>
      <c r="W87" s="27" t="str">
        <f t="shared" si="107"/>
        <v/>
      </c>
      <c r="X87" s="27" t="str">
        <f t="shared" si="108"/>
        <v/>
      </c>
      <c r="Y87" s="28" t="str">
        <f t="shared" si="109"/>
        <v/>
      </c>
      <c r="Z87" s="27" t="str">
        <f t="shared" si="110"/>
        <v/>
      </c>
      <c r="AA87" s="27" t="str">
        <f t="shared" si="111"/>
        <v/>
      </c>
      <c r="AB87" s="27" t="str">
        <f t="shared" si="112"/>
        <v/>
      </c>
      <c r="AC87" s="27" t="str">
        <f t="shared" si="113"/>
        <v/>
      </c>
      <c r="AD87" s="29" t="str">
        <f t="shared" si="114"/>
        <v/>
      </c>
      <c r="AE87" s="30" t="str">
        <f t="shared" si="115"/>
        <v/>
      </c>
      <c r="AG87" s="31"/>
      <c r="AH87" s="31" t="e">
        <f t="shared" si="116"/>
        <v>#VALUE!</v>
      </c>
      <c r="AI87" s="31" t="e">
        <f t="shared" si="117"/>
        <v>#VALUE!</v>
      </c>
      <c r="AJ87" s="31" t="e">
        <f t="shared" si="118"/>
        <v>#VALUE!</v>
      </c>
      <c r="AK87" s="31" t="e">
        <f t="shared" si="119"/>
        <v>#VALUE!</v>
      </c>
      <c r="AL87" s="31" t="e">
        <f t="shared" si="120"/>
        <v>#VALUE!</v>
      </c>
      <c r="AM87" s="31" t="e">
        <f t="shared" si="121"/>
        <v>#VALUE!</v>
      </c>
      <c r="AN87" s="32" t="str">
        <f t="shared" si="122"/>
        <v/>
      </c>
      <c r="AO87" s="27" t="str">
        <f t="shared" si="123"/>
        <v/>
      </c>
      <c r="AP87" s="27" t="str">
        <f t="shared" si="124"/>
        <v/>
      </c>
      <c r="AQ87" s="27">
        <f t="shared" si="125"/>
        <v>0</v>
      </c>
      <c r="AR87" s="27">
        <f t="shared" si="126"/>
        <v>0</v>
      </c>
      <c r="AS87" s="33">
        <f t="shared" si="127"/>
        <v>0</v>
      </c>
    </row>
    <row r="88" spans="1:45" ht="15.75" hidden="1" customHeight="1" x14ac:dyDescent="0.25">
      <c r="B88" s="34">
        <f t="shared" ref="B88:F88" si="136">IF(B87="","",B87)</f>
        <v>10210</v>
      </c>
      <c r="C88" s="26">
        <f t="shared" si="136"/>
        <v>24</v>
      </c>
      <c r="D88" s="26">
        <f t="shared" si="136"/>
        <v>0</v>
      </c>
      <c r="E88" s="26">
        <f t="shared" si="136"/>
        <v>0</v>
      </c>
      <c r="F88" s="26">
        <f t="shared" si="136"/>
        <v>0</v>
      </c>
      <c r="G88" s="24"/>
      <c r="H88" s="24"/>
      <c r="I88" s="24"/>
      <c r="J88" s="24"/>
      <c r="K88" s="24"/>
      <c r="L88" s="24"/>
      <c r="M88" s="25"/>
      <c r="N88" s="26" t="str">
        <f t="shared" si="98"/>
        <v/>
      </c>
      <c r="O88" s="26" t="str">
        <f t="shared" si="99"/>
        <v/>
      </c>
      <c r="P88" s="26" t="str">
        <f t="shared" si="100"/>
        <v/>
      </c>
      <c r="Q88" s="26">
        <f t="shared" si="101"/>
        <v>0</v>
      </c>
      <c r="R88" s="26">
        <f t="shared" si="102"/>
        <v>0</v>
      </c>
      <c r="S88" s="26">
        <f t="shared" si="103"/>
        <v>0</v>
      </c>
      <c r="T88" s="26" t="str">
        <f t="shared" si="104"/>
        <v/>
      </c>
      <c r="U88" s="26" t="str">
        <f t="shared" si="105"/>
        <v/>
      </c>
      <c r="V88" s="26" t="str">
        <f t="shared" si="106"/>
        <v/>
      </c>
      <c r="W88" s="27" t="str">
        <f t="shared" si="107"/>
        <v/>
      </c>
      <c r="X88" s="27" t="str">
        <f t="shared" si="108"/>
        <v/>
      </c>
      <c r="Y88" s="28" t="str">
        <f t="shared" si="109"/>
        <v/>
      </c>
      <c r="Z88" s="27" t="str">
        <f t="shared" si="110"/>
        <v/>
      </c>
      <c r="AA88" s="27" t="str">
        <f t="shared" si="111"/>
        <v/>
      </c>
      <c r="AB88" s="27" t="str">
        <f t="shared" si="112"/>
        <v/>
      </c>
      <c r="AC88" s="27" t="str">
        <f t="shared" si="113"/>
        <v/>
      </c>
      <c r="AD88" s="29" t="str">
        <f t="shared" si="114"/>
        <v/>
      </c>
      <c r="AE88" s="30" t="str">
        <f t="shared" si="115"/>
        <v/>
      </c>
      <c r="AG88" s="31"/>
      <c r="AH88" s="31" t="e">
        <f t="shared" si="116"/>
        <v>#VALUE!</v>
      </c>
      <c r="AI88" s="31" t="e">
        <f t="shared" si="117"/>
        <v>#VALUE!</v>
      </c>
      <c r="AJ88" s="31" t="e">
        <f t="shared" si="118"/>
        <v>#VALUE!</v>
      </c>
      <c r="AK88" s="31" t="e">
        <f t="shared" si="119"/>
        <v>#VALUE!</v>
      </c>
      <c r="AL88" s="31" t="e">
        <f t="shared" si="120"/>
        <v>#VALUE!</v>
      </c>
      <c r="AM88" s="31" t="e">
        <f t="shared" si="121"/>
        <v>#VALUE!</v>
      </c>
      <c r="AN88" s="32" t="str">
        <f t="shared" si="122"/>
        <v/>
      </c>
      <c r="AO88" s="27" t="str">
        <f t="shared" si="123"/>
        <v/>
      </c>
      <c r="AP88" s="27" t="str">
        <f t="shared" si="124"/>
        <v/>
      </c>
      <c r="AQ88" s="27">
        <f t="shared" si="125"/>
        <v>0</v>
      </c>
      <c r="AR88" s="27">
        <f t="shared" si="126"/>
        <v>0</v>
      </c>
      <c r="AS88" s="33">
        <f t="shared" si="127"/>
        <v>0</v>
      </c>
    </row>
    <row r="89" spans="1:45" ht="15.75" hidden="1" customHeight="1" x14ac:dyDescent="0.25">
      <c r="A89" s="31"/>
      <c r="B89" s="34">
        <f t="shared" ref="B89:F89" si="137">IF(B88="","",B88)</f>
        <v>10210</v>
      </c>
      <c r="C89" s="26">
        <f t="shared" si="137"/>
        <v>24</v>
      </c>
      <c r="D89" s="26">
        <f t="shared" si="137"/>
        <v>0</v>
      </c>
      <c r="E89" s="26">
        <f t="shared" si="137"/>
        <v>0</v>
      </c>
      <c r="F89" s="26">
        <f t="shared" si="137"/>
        <v>0</v>
      </c>
      <c r="G89" s="24"/>
      <c r="H89" s="24"/>
      <c r="I89" s="24"/>
      <c r="J89" s="24"/>
      <c r="K89" s="24"/>
      <c r="L89" s="24"/>
      <c r="M89" s="25"/>
      <c r="N89" s="26" t="str">
        <f t="shared" si="98"/>
        <v/>
      </c>
      <c r="O89" s="26" t="str">
        <f t="shared" si="99"/>
        <v/>
      </c>
      <c r="P89" s="26" t="str">
        <f t="shared" si="100"/>
        <v/>
      </c>
      <c r="Q89" s="26">
        <f t="shared" si="101"/>
        <v>0</v>
      </c>
      <c r="R89" s="26">
        <f t="shared" si="102"/>
        <v>0</v>
      </c>
      <c r="S89" s="26">
        <f t="shared" si="103"/>
        <v>0</v>
      </c>
      <c r="T89" s="26" t="str">
        <f t="shared" si="104"/>
        <v/>
      </c>
      <c r="U89" s="26" t="str">
        <f t="shared" si="105"/>
        <v/>
      </c>
      <c r="V89" s="26" t="str">
        <f t="shared" si="106"/>
        <v/>
      </c>
      <c r="W89" s="27" t="str">
        <f t="shared" si="107"/>
        <v/>
      </c>
      <c r="X89" s="27" t="str">
        <f t="shared" si="108"/>
        <v/>
      </c>
      <c r="Y89" s="28" t="str">
        <f t="shared" si="109"/>
        <v/>
      </c>
      <c r="Z89" s="27" t="str">
        <f t="shared" si="110"/>
        <v/>
      </c>
      <c r="AA89" s="27" t="str">
        <f t="shared" si="111"/>
        <v/>
      </c>
      <c r="AB89" s="27" t="str">
        <f t="shared" si="112"/>
        <v/>
      </c>
      <c r="AC89" s="27" t="str">
        <f t="shared" si="113"/>
        <v/>
      </c>
      <c r="AD89" s="29" t="str">
        <f t="shared" si="114"/>
        <v/>
      </c>
      <c r="AE89" s="30" t="str">
        <f t="shared" si="115"/>
        <v/>
      </c>
      <c r="AG89" s="31"/>
      <c r="AH89" s="31" t="e">
        <f t="shared" si="116"/>
        <v>#VALUE!</v>
      </c>
      <c r="AI89" s="31" t="e">
        <f t="shared" si="117"/>
        <v>#VALUE!</v>
      </c>
      <c r="AJ89" s="31" t="e">
        <f t="shared" si="118"/>
        <v>#VALUE!</v>
      </c>
      <c r="AK89" s="31" t="e">
        <f t="shared" si="119"/>
        <v>#VALUE!</v>
      </c>
      <c r="AL89" s="31" t="e">
        <f t="shared" si="120"/>
        <v>#VALUE!</v>
      </c>
      <c r="AM89" s="31" t="e">
        <f t="shared" si="121"/>
        <v>#VALUE!</v>
      </c>
      <c r="AN89" s="32" t="str">
        <f t="shared" si="122"/>
        <v/>
      </c>
      <c r="AO89" s="27" t="str">
        <f t="shared" si="123"/>
        <v/>
      </c>
      <c r="AP89" s="27" t="str">
        <f t="shared" si="124"/>
        <v/>
      </c>
      <c r="AQ89" s="27">
        <f t="shared" si="125"/>
        <v>0</v>
      </c>
      <c r="AR89" s="27">
        <f t="shared" si="126"/>
        <v>0</v>
      </c>
      <c r="AS89" s="33">
        <f t="shared" si="127"/>
        <v>0</v>
      </c>
    </row>
    <row r="90" spans="1:45" s="18" customFormat="1" ht="15.75" hidden="1" customHeight="1" x14ac:dyDescent="0.25">
      <c r="A90" s="16"/>
      <c r="B90" s="34">
        <f t="shared" ref="B90:F90" si="138">IF(B89="","",B89)</f>
        <v>10210</v>
      </c>
      <c r="C90" s="26">
        <f t="shared" si="138"/>
        <v>24</v>
      </c>
      <c r="D90" s="26">
        <f t="shared" si="138"/>
        <v>0</v>
      </c>
      <c r="E90" s="26">
        <f t="shared" si="138"/>
        <v>0</v>
      </c>
      <c r="F90" s="26">
        <f t="shared" si="138"/>
        <v>0</v>
      </c>
      <c r="G90" s="24"/>
      <c r="H90" s="24"/>
      <c r="I90" s="24"/>
      <c r="J90" s="24"/>
      <c r="K90" s="24"/>
      <c r="L90" s="24"/>
      <c r="M90" s="25"/>
      <c r="N90" s="26" t="str">
        <f t="shared" si="98"/>
        <v/>
      </c>
      <c r="O90" s="26" t="str">
        <f t="shared" si="99"/>
        <v/>
      </c>
      <c r="P90" s="26" t="str">
        <f t="shared" si="100"/>
        <v/>
      </c>
      <c r="Q90" s="26">
        <f t="shared" si="101"/>
        <v>0</v>
      </c>
      <c r="R90" s="26">
        <f t="shared" si="102"/>
        <v>0</v>
      </c>
      <c r="S90" s="26">
        <f t="shared" si="103"/>
        <v>0</v>
      </c>
      <c r="T90" s="26" t="str">
        <f t="shared" si="104"/>
        <v/>
      </c>
      <c r="U90" s="26" t="str">
        <f t="shared" si="105"/>
        <v/>
      </c>
      <c r="V90" s="26" t="str">
        <f t="shared" si="106"/>
        <v/>
      </c>
      <c r="W90" s="27" t="str">
        <f t="shared" si="107"/>
        <v/>
      </c>
      <c r="X90" s="27" t="str">
        <f t="shared" si="108"/>
        <v/>
      </c>
      <c r="Y90" s="28" t="str">
        <f t="shared" si="109"/>
        <v/>
      </c>
      <c r="Z90" s="27" t="str">
        <f t="shared" si="110"/>
        <v/>
      </c>
      <c r="AA90" s="27" t="str">
        <f t="shared" si="111"/>
        <v/>
      </c>
      <c r="AB90" s="27" t="str">
        <f t="shared" si="112"/>
        <v/>
      </c>
      <c r="AC90" s="27" t="str">
        <f t="shared" si="113"/>
        <v/>
      </c>
      <c r="AD90" s="29" t="str">
        <f t="shared" si="114"/>
        <v/>
      </c>
      <c r="AE90" s="30" t="str">
        <f t="shared" si="115"/>
        <v/>
      </c>
      <c r="AF90" s="5"/>
      <c r="AG90" s="31"/>
      <c r="AH90" s="31" t="e">
        <f t="shared" si="116"/>
        <v>#VALUE!</v>
      </c>
      <c r="AI90" s="31" t="e">
        <f t="shared" si="117"/>
        <v>#VALUE!</v>
      </c>
      <c r="AJ90" s="31" t="e">
        <f t="shared" si="118"/>
        <v>#VALUE!</v>
      </c>
      <c r="AK90" s="31" t="e">
        <f t="shared" si="119"/>
        <v>#VALUE!</v>
      </c>
      <c r="AL90" s="31" t="e">
        <f t="shared" si="120"/>
        <v>#VALUE!</v>
      </c>
      <c r="AM90" s="31" t="e">
        <f t="shared" si="121"/>
        <v>#VALUE!</v>
      </c>
      <c r="AN90" s="32" t="str">
        <f t="shared" si="122"/>
        <v/>
      </c>
      <c r="AO90" s="27" t="str">
        <f t="shared" si="123"/>
        <v/>
      </c>
      <c r="AP90" s="27" t="str">
        <f t="shared" si="124"/>
        <v/>
      </c>
      <c r="AQ90" s="27">
        <f t="shared" si="125"/>
        <v>0</v>
      </c>
      <c r="AR90" s="27">
        <f t="shared" si="126"/>
        <v>0</v>
      </c>
      <c r="AS90" s="33">
        <f t="shared" si="127"/>
        <v>0</v>
      </c>
    </row>
    <row r="91" spans="1:45" s="18" customFormat="1" ht="15.75" hidden="1" customHeight="1" x14ac:dyDescent="0.25">
      <c r="A91" s="16"/>
      <c r="B91" s="34">
        <f t="shared" ref="B91:F91" si="139">IF(B90="","",B90)</f>
        <v>10210</v>
      </c>
      <c r="C91" s="26">
        <f t="shared" si="139"/>
        <v>24</v>
      </c>
      <c r="D91" s="26">
        <f t="shared" si="139"/>
        <v>0</v>
      </c>
      <c r="E91" s="26">
        <f t="shared" si="139"/>
        <v>0</v>
      </c>
      <c r="F91" s="26">
        <f t="shared" si="139"/>
        <v>0</v>
      </c>
      <c r="G91" s="24"/>
      <c r="H91" s="24"/>
      <c r="I91" s="24"/>
      <c r="J91" s="24"/>
      <c r="K91" s="24"/>
      <c r="L91" s="24"/>
      <c r="M91" s="25"/>
      <c r="N91" s="26" t="str">
        <f t="shared" si="98"/>
        <v/>
      </c>
      <c r="O91" s="26" t="str">
        <f t="shared" si="99"/>
        <v/>
      </c>
      <c r="P91" s="26" t="str">
        <f t="shared" si="100"/>
        <v/>
      </c>
      <c r="Q91" s="26">
        <f t="shared" si="101"/>
        <v>0</v>
      </c>
      <c r="R91" s="26">
        <f t="shared" si="102"/>
        <v>0</v>
      </c>
      <c r="S91" s="26">
        <f t="shared" si="103"/>
        <v>0</v>
      </c>
      <c r="T91" s="26" t="str">
        <f t="shared" si="104"/>
        <v/>
      </c>
      <c r="U91" s="26" t="str">
        <f t="shared" si="105"/>
        <v/>
      </c>
      <c r="V91" s="26" t="str">
        <f t="shared" si="106"/>
        <v/>
      </c>
      <c r="W91" s="27" t="str">
        <f t="shared" si="107"/>
        <v/>
      </c>
      <c r="X91" s="27" t="str">
        <f t="shared" si="108"/>
        <v/>
      </c>
      <c r="Y91" s="28" t="str">
        <f t="shared" si="109"/>
        <v/>
      </c>
      <c r="Z91" s="27" t="str">
        <f t="shared" si="110"/>
        <v/>
      </c>
      <c r="AA91" s="27" t="str">
        <f t="shared" si="111"/>
        <v/>
      </c>
      <c r="AB91" s="27" t="str">
        <f t="shared" si="112"/>
        <v/>
      </c>
      <c r="AC91" s="27" t="str">
        <f t="shared" si="113"/>
        <v/>
      </c>
      <c r="AD91" s="29" t="str">
        <f t="shared" si="114"/>
        <v/>
      </c>
      <c r="AE91" s="30" t="str">
        <f t="shared" si="115"/>
        <v/>
      </c>
      <c r="AF91" s="5"/>
      <c r="AG91" s="31"/>
      <c r="AH91" s="31" t="e">
        <f t="shared" si="116"/>
        <v>#VALUE!</v>
      </c>
      <c r="AI91" s="31" t="e">
        <f t="shared" si="117"/>
        <v>#VALUE!</v>
      </c>
      <c r="AJ91" s="31" t="e">
        <f t="shared" si="118"/>
        <v>#VALUE!</v>
      </c>
      <c r="AK91" s="31" t="e">
        <f t="shared" si="119"/>
        <v>#VALUE!</v>
      </c>
      <c r="AL91" s="31" t="e">
        <f t="shared" si="120"/>
        <v>#VALUE!</v>
      </c>
      <c r="AM91" s="31" t="e">
        <f t="shared" si="121"/>
        <v>#VALUE!</v>
      </c>
      <c r="AN91" s="32" t="str">
        <f t="shared" si="122"/>
        <v/>
      </c>
      <c r="AO91" s="27" t="str">
        <f t="shared" si="123"/>
        <v/>
      </c>
      <c r="AP91" s="27" t="str">
        <f t="shared" si="124"/>
        <v/>
      </c>
      <c r="AQ91" s="27">
        <f t="shared" si="125"/>
        <v>0</v>
      </c>
      <c r="AR91" s="27">
        <f t="shared" si="126"/>
        <v>0</v>
      </c>
      <c r="AS91" s="33">
        <f t="shared" si="127"/>
        <v>0</v>
      </c>
    </row>
    <row r="92" spans="1:45" s="15" customFormat="1" ht="15.75" hidden="1" customHeight="1" x14ac:dyDescent="0.25">
      <c r="A92" s="13"/>
      <c r="B92" s="34">
        <f t="shared" ref="B92:F92" si="140">IF(B91="","",B91)</f>
        <v>10210</v>
      </c>
      <c r="C92" s="26">
        <f t="shared" si="140"/>
        <v>24</v>
      </c>
      <c r="D92" s="26">
        <f t="shared" si="140"/>
        <v>0</v>
      </c>
      <c r="E92" s="26">
        <f t="shared" si="140"/>
        <v>0</v>
      </c>
      <c r="F92" s="26">
        <f t="shared" si="140"/>
        <v>0</v>
      </c>
      <c r="G92" s="24"/>
      <c r="H92" s="24"/>
      <c r="I92" s="24"/>
      <c r="J92" s="24"/>
      <c r="K92" s="24"/>
      <c r="L92" s="24"/>
      <c r="M92" s="25"/>
      <c r="N92" s="26" t="str">
        <f t="shared" si="98"/>
        <v/>
      </c>
      <c r="O92" s="26" t="str">
        <f t="shared" si="99"/>
        <v/>
      </c>
      <c r="P92" s="26" t="str">
        <f t="shared" si="100"/>
        <v/>
      </c>
      <c r="Q92" s="26">
        <f t="shared" si="101"/>
        <v>0</v>
      </c>
      <c r="R92" s="26">
        <f t="shared" si="102"/>
        <v>0</v>
      </c>
      <c r="S92" s="26">
        <f t="shared" si="103"/>
        <v>0</v>
      </c>
      <c r="T92" s="26" t="str">
        <f t="shared" si="104"/>
        <v/>
      </c>
      <c r="U92" s="26" t="str">
        <f t="shared" si="105"/>
        <v/>
      </c>
      <c r="V92" s="26" t="str">
        <f t="shared" si="106"/>
        <v/>
      </c>
      <c r="W92" s="27" t="str">
        <f t="shared" si="107"/>
        <v/>
      </c>
      <c r="X92" s="27" t="str">
        <f t="shared" si="108"/>
        <v/>
      </c>
      <c r="Y92" s="28" t="str">
        <f t="shared" si="109"/>
        <v/>
      </c>
      <c r="Z92" s="27" t="str">
        <f t="shared" si="110"/>
        <v/>
      </c>
      <c r="AA92" s="27" t="str">
        <f t="shared" si="111"/>
        <v/>
      </c>
      <c r="AB92" s="27" t="str">
        <f t="shared" si="112"/>
        <v/>
      </c>
      <c r="AC92" s="27" t="str">
        <f t="shared" si="113"/>
        <v/>
      </c>
      <c r="AD92" s="29" t="str">
        <f t="shared" si="114"/>
        <v/>
      </c>
      <c r="AE92" s="30" t="str">
        <f t="shared" si="115"/>
        <v/>
      </c>
      <c r="AF92" s="5"/>
      <c r="AG92" s="31"/>
      <c r="AH92" s="31" t="e">
        <f t="shared" si="116"/>
        <v>#VALUE!</v>
      </c>
      <c r="AI92" s="31" t="e">
        <f t="shared" si="117"/>
        <v>#VALUE!</v>
      </c>
      <c r="AJ92" s="31" t="e">
        <f t="shared" si="118"/>
        <v>#VALUE!</v>
      </c>
      <c r="AK92" s="31" t="e">
        <f t="shared" si="119"/>
        <v>#VALUE!</v>
      </c>
      <c r="AL92" s="31" t="e">
        <f t="shared" si="120"/>
        <v>#VALUE!</v>
      </c>
      <c r="AM92" s="31" t="e">
        <f t="shared" si="121"/>
        <v>#VALUE!</v>
      </c>
      <c r="AN92" s="32" t="str">
        <f t="shared" si="122"/>
        <v/>
      </c>
      <c r="AO92" s="27" t="str">
        <f t="shared" si="123"/>
        <v/>
      </c>
      <c r="AP92" s="27" t="str">
        <f t="shared" si="124"/>
        <v/>
      </c>
      <c r="AQ92" s="27">
        <f t="shared" si="125"/>
        <v>0</v>
      </c>
      <c r="AR92" s="27">
        <f t="shared" si="126"/>
        <v>0</v>
      </c>
      <c r="AS92" s="33">
        <f t="shared" si="127"/>
        <v>0</v>
      </c>
    </row>
    <row r="93" spans="1:45" ht="15.75" hidden="1" customHeight="1" x14ac:dyDescent="0.25">
      <c r="A93" s="4"/>
      <c r="B93" s="34">
        <f t="shared" ref="B93:F93" si="141">IF(B92="","",B92)</f>
        <v>10210</v>
      </c>
      <c r="C93" s="26">
        <f t="shared" si="141"/>
        <v>24</v>
      </c>
      <c r="D93" s="26">
        <f t="shared" si="141"/>
        <v>0</v>
      </c>
      <c r="E93" s="26">
        <f t="shared" si="141"/>
        <v>0</v>
      </c>
      <c r="F93" s="26">
        <f t="shared" si="141"/>
        <v>0</v>
      </c>
      <c r="G93" s="24"/>
      <c r="H93" s="24"/>
      <c r="I93" s="24"/>
      <c r="J93" s="24"/>
      <c r="K93" s="24"/>
      <c r="L93" s="24"/>
      <c r="M93" s="25"/>
      <c r="N93" s="26" t="str">
        <f t="shared" si="98"/>
        <v/>
      </c>
      <c r="O93" s="26" t="str">
        <f t="shared" si="99"/>
        <v/>
      </c>
      <c r="P93" s="26" t="str">
        <f t="shared" si="100"/>
        <v/>
      </c>
      <c r="Q93" s="26">
        <f t="shared" si="101"/>
        <v>0</v>
      </c>
      <c r="R93" s="26">
        <f t="shared" si="102"/>
        <v>0</v>
      </c>
      <c r="S93" s="26">
        <f t="shared" si="103"/>
        <v>0</v>
      </c>
      <c r="T93" s="26" t="str">
        <f t="shared" si="104"/>
        <v/>
      </c>
      <c r="U93" s="26" t="str">
        <f t="shared" si="105"/>
        <v/>
      </c>
      <c r="V93" s="26" t="str">
        <f t="shared" si="106"/>
        <v/>
      </c>
      <c r="W93" s="27" t="str">
        <f t="shared" si="107"/>
        <v/>
      </c>
      <c r="X93" s="27" t="str">
        <f t="shared" si="108"/>
        <v/>
      </c>
      <c r="Y93" s="28" t="str">
        <f t="shared" si="109"/>
        <v/>
      </c>
      <c r="Z93" s="27" t="str">
        <f t="shared" si="110"/>
        <v/>
      </c>
      <c r="AA93" s="27" t="str">
        <f t="shared" si="111"/>
        <v/>
      </c>
      <c r="AB93" s="27" t="str">
        <f t="shared" si="112"/>
        <v/>
      </c>
      <c r="AC93" s="27" t="str">
        <f t="shared" si="113"/>
        <v/>
      </c>
      <c r="AD93" s="29" t="str">
        <f t="shared" si="114"/>
        <v/>
      </c>
      <c r="AE93" s="30" t="str">
        <f t="shared" si="115"/>
        <v/>
      </c>
      <c r="AG93" s="31"/>
      <c r="AH93" s="31" t="e">
        <f t="shared" si="116"/>
        <v>#VALUE!</v>
      </c>
      <c r="AI93" s="31" t="e">
        <f t="shared" si="117"/>
        <v>#VALUE!</v>
      </c>
      <c r="AJ93" s="31" t="e">
        <f t="shared" si="118"/>
        <v>#VALUE!</v>
      </c>
      <c r="AK93" s="31" t="e">
        <f t="shared" si="119"/>
        <v>#VALUE!</v>
      </c>
      <c r="AL93" s="31" t="e">
        <f t="shared" si="120"/>
        <v>#VALUE!</v>
      </c>
      <c r="AM93" s="31" t="e">
        <f t="shared" si="121"/>
        <v>#VALUE!</v>
      </c>
      <c r="AN93" s="32" t="str">
        <f t="shared" si="122"/>
        <v/>
      </c>
      <c r="AO93" s="27" t="str">
        <f t="shared" si="123"/>
        <v/>
      </c>
      <c r="AP93" s="27" t="str">
        <f t="shared" si="124"/>
        <v/>
      </c>
      <c r="AQ93" s="27">
        <f t="shared" si="125"/>
        <v>0</v>
      </c>
      <c r="AR93" s="27">
        <f t="shared" si="126"/>
        <v>0</v>
      </c>
      <c r="AS93" s="33">
        <f t="shared" si="127"/>
        <v>0</v>
      </c>
    </row>
    <row r="94" spans="1:45" ht="15.75" hidden="1" customHeight="1" x14ac:dyDescent="0.25">
      <c r="A94" s="4"/>
      <c r="B94" s="34">
        <f t="shared" ref="B94:F94" si="142">IF(B93="","",B93)</f>
        <v>10210</v>
      </c>
      <c r="C94" s="26">
        <f t="shared" si="142"/>
        <v>24</v>
      </c>
      <c r="D94" s="26">
        <f t="shared" si="142"/>
        <v>0</v>
      </c>
      <c r="E94" s="26">
        <f t="shared" si="142"/>
        <v>0</v>
      </c>
      <c r="F94" s="26">
        <f t="shared" si="142"/>
        <v>0</v>
      </c>
      <c r="G94" s="24"/>
      <c r="H94" s="24"/>
      <c r="I94" s="24"/>
      <c r="J94" s="24"/>
      <c r="K94" s="24"/>
      <c r="L94" s="24"/>
      <c r="M94" s="25"/>
      <c r="N94" s="26" t="str">
        <f t="shared" si="98"/>
        <v/>
      </c>
      <c r="O94" s="26" t="str">
        <f t="shared" si="99"/>
        <v/>
      </c>
      <c r="P94" s="26" t="str">
        <f t="shared" si="100"/>
        <v/>
      </c>
      <c r="Q94" s="26">
        <f t="shared" si="101"/>
        <v>0</v>
      </c>
      <c r="R94" s="26">
        <f t="shared" si="102"/>
        <v>0</v>
      </c>
      <c r="S94" s="26">
        <f t="shared" si="103"/>
        <v>0</v>
      </c>
      <c r="T94" s="26" t="str">
        <f t="shared" si="104"/>
        <v/>
      </c>
      <c r="U94" s="26" t="str">
        <f t="shared" si="105"/>
        <v/>
      </c>
      <c r="V94" s="26" t="str">
        <f t="shared" si="106"/>
        <v/>
      </c>
      <c r="W94" s="27" t="str">
        <f t="shared" si="107"/>
        <v/>
      </c>
      <c r="X94" s="27" t="str">
        <f t="shared" si="108"/>
        <v/>
      </c>
      <c r="Y94" s="28" t="str">
        <f t="shared" si="109"/>
        <v/>
      </c>
      <c r="Z94" s="27" t="str">
        <f t="shared" si="110"/>
        <v/>
      </c>
      <c r="AA94" s="27" t="str">
        <f t="shared" si="111"/>
        <v/>
      </c>
      <c r="AB94" s="27" t="str">
        <f t="shared" si="112"/>
        <v/>
      </c>
      <c r="AC94" s="27" t="str">
        <f t="shared" si="113"/>
        <v/>
      </c>
      <c r="AD94" s="29" t="str">
        <f t="shared" si="114"/>
        <v/>
      </c>
      <c r="AE94" s="30" t="str">
        <f t="shared" si="115"/>
        <v/>
      </c>
      <c r="AG94" s="31"/>
      <c r="AH94" s="31" t="e">
        <f t="shared" si="116"/>
        <v>#VALUE!</v>
      </c>
      <c r="AI94" s="31" t="e">
        <f t="shared" si="117"/>
        <v>#VALUE!</v>
      </c>
      <c r="AJ94" s="31" t="e">
        <f t="shared" si="118"/>
        <v>#VALUE!</v>
      </c>
      <c r="AK94" s="31" t="e">
        <f t="shared" si="119"/>
        <v>#VALUE!</v>
      </c>
      <c r="AL94" s="31" t="e">
        <f t="shared" si="120"/>
        <v>#VALUE!</v>
      </c>
      <c r="AM94" s="31" t="e">
        <f t="shared" si="121"/>
        <v>#VALUE!</v>
      </c>
      <c r="AN94" s="32" t="str">
        <f t="shared" si="122"/>
        <v/>
      </c>
      <c r="AO94" s="27" t="str">
        <f t="shared" si="123"/>
        <v/>
      </c>
      <c r="AP94" s="27" t="str">
        <f t="shared" si="124"/>
        <v/>
      </c>
      <c r="AQ94" s="27">
        <f t="shared" si="125"/>
        <v>0</v>
      </c>
      <c r="AR94" s="27">
        <f t="shared" si="126"/>
        <v>0</v>
      </c>
      <c r="AS94" s="33">
        <f t="shared" si="127"/>
        <v>0</v>
      </c>
    </row>
    <row r="95" spans="1:45" ht="15.75" hidden="1" customHeight="1" x14ac:dyDescent="0.25">
      <c r="A95" s="4"/>
      <c r="B95" s="34">
        <f t="shared" ref="B95:F95" si="143">IF(B94="","",B94)</f>
        <v>10210</v>
      </c>
      <c r="C95" s="26">
        <f t="shared" si="143"/>
        <v>24</v>
      </c>
      <c r="D95" s="26">
        <f t="shared" si="143"/>
        <v>0</v>
      </c>
      <c r="E95" s="26">
        <f t="shared" si="143"/>
        <v>0</v>
      </c>
      <c r="F95" s="26">
        <f t="shared" si="143"/>
        <v>0</v>
      </c>
      <c r="G95" s="24"/>
      <c r="H95" s="24"/>
      <c r="I95" s="24"/>
      <c r="J95" s="24"/>
      <c r="K95" s="24"/>
      <c r="L95" s="24"/>
      <c r="M95" s="25"/>
      <c r="N95" s="26" t="str">
        <f t="shared" si="98"/>
        <v/>
      </c>
      <c r="O95" s="26" t="str">
        <f t="shared" si="99"/>
        <v/>
      </c>
      <c r="P95" s="26" t="str">
        <f t="shared" si="100"/>
        <v/>
      </c>
      <c r="Q95" s="26">
        <f t="shared" si="101"/>
        <v>0</v>
      </c>
      <c r="R95" s="26">
        <f t="shared" si="102"/>
        <v>0</v>
      </c>
      <c r="S95" s="26">
        <f t="shared" si="103"/>
        <v>0</v>
      </c>
      <c r="T95" s="26" t="str">
        <f t="shared" si="104"/>
        <v/>
      </c>
      <c r="U95" s="26" t="str">
        <f t="shared" si="105"/>
        <v/>
      </c>
      <c r="V95" s="26" t="str">
        <f t="shared" si="106"/>
        <v/>
      </c>
      <c r="W95" s="27" t="str">
        <f t="shared" si="107"/>
        <v/>
      </c>
      <c r="X95" s="27" t="str">
        <f t="shared" si="108"/>
        <v/>
      </c>
      <c r="Y95" s="28" t="str">
        <f t="shared" si="109"/>
        <v/>
      </c>
      <c r="Z95" s="27" t="str">
        <f t="shared" si="110"/>
        <v/>
      </c>
      <c r="AA95" s="27" t="str">
        <f t="shared" si="111"/>
        <v/>
      </c>
      <c r="AB95" s="27" t="str">
        <f t="shared" si="112"/>
        <v/>
      </c>
      <c r="AC95" s="27" t="str">
        <f t="shared" si="113"/>
        <v/>
      </c>
      <c r="AD95" s="29" t="str">
        <f t="shared" si="114"/>
        <v/>
      </c>
      <c r="AE95" s="30" t="str">
        <f t="shared" si="115"/>
        <v/>
      </c>
      <c r="AG95" s="31"/>
      <c r="AH95" s="31" t="e">
        <f t="shared" si="116"/>
        <v>#VALUE!</v>
      </c>
      <c r="AI95" s="31" t="e">
        <f t="shared" si="117"/>
        <v>#VALUE!</v>
      </c>
      <c r="AJ95" s="31" t="e">
        <f t="shared" si="118"/>
        <v>#VALUE!</v>
      </c>
      <c r="AK95" s="31" t="e">
        <f t="shared" si="119"/>
        <v>#VALUE!</v>
      </c>
      <c r="AL95" s="31" t="e">
        <f t="shared" si="120"/>
        <v>#VALUE!</v>
      </c>
      <c r="AM95" s="31" t="e">
        <f t="shared" si="121"/>
        <v>#VALUE!</v>
      </c>
      <c r="AN95" s="32" t="str">
        <f t="shared" si="122"/>
        <v/>
      </c>
      <c r="AO95" s="27" t="str">
        <f t="shared" si="123"/>
        <v/>
      </c>
      <c r="AP95" s="27" t="str">
        <f t="shared" si="124"/>
        <v/>
      </c>
      <c r="AQ95" s="27">
        <f t="shared" si="125"/>
        <v>0</v>
      </c>
      <c r="AR95" s="27">
        <f t="shared" si="126"/>
        <v>0</v>
      </c>
      <c r="AS95" s="33">
        <f t="shared" si="127"/>
        <v>0</v>
      </c>
    </row>
    <row r="96" spans="1:45" ht="15.75" hidden="1" customHeight="1" x14ac:dyDescent="0.25">
      <c r="A96" s="4"/>
      <c r="B96" s="34">
        <f t="shared" ref="B96:F96" si="144">IF(B95="","",B95)</f>
        <v>10210</v>
      </c>
      <c r="C96" s="26">
        <f t="shared" si="144"/>
        <v>24</v>
      </c>
      <c r="D96" s="26">
        <f t="shared" si="144"/>
        <v>0</v>
      </c>
      <c r="E96" s="26">
        <f t="shared" si="144"/>
        <v>0</v>
      </c>
      <c r="F96" s="26">
        <f t="shared" si="144"/>
        <v>0</v>
      </c>
      <c r="G96" s="24"/>
      <c r="H96" s="24"/>
      <c r="I96" s="24"/>
      <c r="J96" s="24"/>
      <c r="K96" s="24"/>
      <c r="L96" s="24"/>
      <c r="M96" s="25"/>
      <c r="N96" s="26" t="str">
        <f t="shared" si="98"/>
        <v/>
      </c>
      <c r="O96" s="26" t="str">
        <f t="shared" si="99"/>
        <v/>
      </c>
      <c r="P96" s="26" t="str">
        <f t="shared" si="100"/>
        <v/>
      </c>
      <c r="Q96" s="26">
        <f t="shared" si="101"/>
        <v>0</v>
      </c>
      <c r="R96" s="26">
        <f t="shared" si="102"/>
        <v>0</v>
      </c>
      <c r="S96" s="26">
        <f t="shared" si="103"/>
        <v>0</v>
      </c>
      <c r="T96" s="26" t="str">
        <f t="shared" si="104"/>
        <v/>
      </c>
      <c r="U96" s="26" t="str">
        <f t="shared" si="105"/>
        <v/>
      </c>
      <c r="V96" s="26" t="str">
        <f t="shared" si="106"/>
        <v/>
      </c>
      <c r="W96" s="27" t="str">
        <f t="shared" si="107"/>
        <v/>
      </c>
      <c r="X96" s="27" t="str">
        <f t="shared" si="108"/>
        <v/>
      </c>
      <c r="Y96" s="28" t="str">
        <f t="shared" si="109"/>
        <v/>
      </c>
      <c r="Z96" s="27" t="str">
        <f t="shared" si="110"/>
        <v/>
      </c>
      <c r="AA96" s="27" t="str">
        <f t="shared" si="111"/>
        <v/>
      </c>
      <c r="AB96" s="27" t="str">
        <f t="shared" si="112"/>
        <v/>
      </c>
      <c r="AC96" s="27" t="str">
        <f t="shared" si="113"/>
        <v/>
      </c>
      <c r="AD96" s="29" t="str">
        <f t="shared" si="114"/>
        <v/>
      </c>
      <c r="AE96" s="30" t="str">
        <f t="shared" si="115"/>
        <v/>
      </c>
      <c r="AG96" s="31"/>
      <c r="AH96" s="31" t="e">
        <f t="shared" si="116"/>
        <v>#VALUE!</v>
      </c>
      <c r="AI96" s="31" t="e">
        <f t="shared" si="117"/>
        <v>#VALUE!</v>
      </c>
      <c r="AJ96" s="31" t="e">
        <f t="shared" si="118"/>
        <v>#VALUE!</v>
      </c>
      <c r="AK96" s="31" t="e">
        <f t="shared" si="119"/>
        <v>#VALUE!</v>
      </c>
      <c r="AL96" s="31" t="e">
        <f t="shared" si="120"/>
        <v>#VALUE!</v>
      </c>
      <c r="AM96" s="31" t="e">
        <f t="shared" si="121"/>
        <v>#VALUE!</v>
      </c>
      <c r="AN96" s="32" t="str">
        <f t="shared" si="122"/>
        <v/>
      </c>
      <c r="AO96" s="27" t="str">
        <f t="shared" si="123"/>
        <v/>
      </c>
      <c r="AP96" s="27" t="str">
        <f t="shared" si="124"/>
        <v/>
      </c>
      <c r="AQ96" s="27">
        <f t="shared" si="125"/>
        <v>0</v>
      </c>
      <c r="AR96" s="27">
        <f t="shared" si="126"/>
        <v>0</v>
      </c>
      <c r="AS96" s="33">
        <f t="shared" si="127"/>
        <v>0</v>
      </c>
    </row>
    <row r="97" spans="1:45" ht="15.75" hidden="1" customHeight="1" x14ac:dyDescent="0.25">
      <c r="A97" s="4"/>
      <c r="B97" s="34">
        <f t="shared" ref="B97:F97" si="145">IF(B96="","",B96)</f>
        <v>10210</v>
      </c>
      <c r="C97" s="26">
        <f t="shared" si="145"/>
        <v>24</v>
      </c>
      <c r="D97" s="26">
        <f t="shared" si="145"/>
        <v>0</v>
      </c>
      <c r="E97" s="26">
        <f t="shared" si="145"/>
        <v>0</v>
      </c>
      <c r="F97" s="26">
        <f t="shared" si="145"/>
        <v>0</v>
      </c>
      <c r="G97" s="24"/>
      <c r="H97" s="24"/>
      <c r="I97" s="24"/>
      <c r="J97" s="24"/>
      <c r="K97" s="24"/>
      <c r="L97" s="24"/>
      <c r="M97" s="25"/>
      <c r="N97" s="26" t="str">
        <f t="shared" si="98"/>
        <v/>
      </c>
      <c r="O97" s="26" t="str">
        <f t="shared" si="99"/>
        <v/>
      </c>
      <c r="P97" s="26" t="str">
        <f t="shared" si="100"/>
        <v/>
      </c>
      <c r="Q97" s="26">
        <f t="shared" si="101"/>
        <v>0</v>
      </c>
      <c r="R97" s="26">
        <f t="shared" si="102"/>
        <v>0</v>
      </c>
      <c r="S97" s="26">
        <f t="shared" si="103"/>
        <v>0</v>
      </c>
      <c r="T97" s="26" t="str">
        <f t="shared" si="104"/>
        <v/>
      </c>
      <c r="U97" s="26" t="str">
        <f t="shared" si="105"/>
        <v/>
      </c>
      <c r="V97" s="26" t="str">
        <f t="shared" si="106"/>
        <v/>
      </c>
      <c r="W97" s="27" t="str">
        <f t="shared" si="107"/>
        <v/>
      </c>
      <c r="X97" s="27" t="str">
        <f t="shared" si="108"/>
        <v/>
      </c>
      <c r="Y97" s="28" t="str">
        <f t="shared" si="109"/>
        <v/>
      </c>
      <c r="Z97" s="27" t="str">
        <f t="shared" si="110"/>
        <v/>
      </c>
      <c r="AA97" s="27" t="str">
        <f t="shared" si="111"/>
        <v/>
      </c>
      <c r="AB97" s="27" t="str">
        <f t="shared" si="112"/>
        <v/>
      </c>
      <c r="AC97" s="27" t="str">
        <f t="shared" si="113"/>
        <v/>
      </c>
      <c r="AD97" s="29" t="str">
        <f t="shared" si="114"/>
        <v/>
      </c>
      <c r="AE97" s="30" t="str">
        <f t="shared" si="115"/>
        <v/>
      </c>
      <c r="AG97" s="31"/>
      <c r="AH97" s="31" t="e">
        <f t="shared" si="116"/>
        <v>#VALUE!</v>
      </c>
      <c r="AI97" s="31" t="e">
        <f t="shared" si="117"/>
        <v>#VALUE!</v>
      </c>
      <c r="AJ97" s="31" t="e">
        <f t="shared" si="118"/>
        <v>#VALUE!</v>
      </c>
      <c r="AK97" s="31" t="e">
        <f t="shared" si="119"/>
        <v>#VALUE!</v>
      </c>
      <c r="AL97" s="31" t="e">
        <f t="shared" si="120"/>
        <v>#VALUE!</v>
      </c>
      <c r="AM97" s="31" t="e">
        <f t="shared" si="121"/>
        <v>#VALUE!</v>
      </c>
      <c r="AN97" s="32" t="str">
        <f t="shared" si="122"/>
        <v/>
      </c>
      <c r="AO97" s="27" t="str">
        <f t="shared" si="123"/>
        <v/>
      </c>
      <c r="AP97" s="27" t="str">
        <f t="shared" si="124"/>
        <v/>
      </c>
      <c r="AQ97" s="27">
        <f t="shared" si="125"/>
        <v>0</v>
      </c>
      <c r="AR97" s="27">
        <f t="shared" si="126"/>
        <v>0</v>
      </c>
      <c r="AS97" s="33">
        <f t="shared" si="127"/>
        <v>0</v>
      </c>
    </row>
    <row r="98" spans="1:45" ht="15.75" hidden="1" customHeight="1" x14ac:dyDescent="0.25">
      <c r="A98" s="4"/>
      <c r="B98" s="34">
        <f t="shared" ref="B98:F98" si="146">IF(B97="","",B97)</f>
        <v>10210</v>
      </c>
      <c r="C98" s="26">
        <f t="shared" si="146"/>
        <v>24</v>
      </c>
      <c r="D98" s="26">
        <f t="shared" si="146"/>
        <v>0</v>
      </c>
      <c r="E98" s="26">
        <f t="shared" si="146"/>
        <v>0</v>
      </c>
      <c r="F98" s="26">
        <f t="shared" si="146"/>
        <v>0</v>
      </c>
      <c r="G98" s="24"/>
      <c r="H98" s="24"/>
      <c r="I98" s="24"/>
      <c r="J98" s="24"/>
      <c r="K98" s="24"/>
      <c r="L98" s="24"/>
      <c r="M98" s="25"/>
      <c r="N98" s="26" t="str">
        <f t="shared" si="98"/>
        <v/>
      </c>
      <c r="O98" s="26" t="str">
        <f t="shared" si="99"/>
        <v/>
      </c>
      <c r="P98" s="26" t="str">
        <f t="shared" si="100"/>
        <v/>
      </c>
      <c r="Q98" s="26">
        <f t="shared" si="101"/>
        <v>0</v>
      </c>
      <c r="R98" s="26">
        <f t="shared" si="102"/>
        <v>0</v>
      </c>
      <c r="S98" s="26">
        <f t="shared" si="103"/>
        <v>0</v>
      </c>
      <c r="T98" s="26" t="str">
        <f t="shared" si="104"/>
        <v/>
      </c>
      <c r="U98" s="26" t="str">
        <f t="shared" si="105"/>
        <v/>
      </c>
      <c r="V98" s="26" t="str">
        <f t="shared" si="106"/>
        <v/>
      </c>
      <c r="W98" s="27" t="str">
        <f t="shared" si="107"/>
        <v/>
      </c>
      <c r="X98" s="27" t="str">
        <f t="shared" si="108"/>
        <v/>
      </c>
      <c r="Y98" s="28" t="str">
        <f t="shared" si="109"/>
        <v/>
      </c>
      <c r="Z98" s="27" t="str">
        <f t="shared" si="110"/>
        <v/>
      </c>
      <c r="AA98" s="27" t="str">
        <f t="shared" si="111"/>
        <v/>
      </c>
      <c r="AB98" s="27" t="str">
        <f t="shared" si="112"/>
        <v/>
      </c>
      <c r="AC98" s="27" t="str">
        <f t="shared" si="113"/>
        <v/>
      </c>
      <c r="AD98" s="29" t="str">
        <f t="shared" si="114"/>
        <v/>
      </c>
      <c r="AE98" s="30" t="str">
        <f t="shared" si="115"/>
        <v/>
      </c>
      <c r="AG98" s="31"/>
      <c r="AH98" s="31" t="e">
        <f t="shared" si="116"/>
        <v>#VALUE!</v>
      </c>
      <c r="AI98" s="31" t="e">
        <f t="shared" si="117"/>
        <v>#VALUE!</v>
      </c>
      <c r="AJ98" s="31" t="e">
        <f t="shared" si="118"/>
        <v>#VALUE!</v>
      </c>
      <c r="AK98" s="31" t="e">
        <f t="shared" si="119"/>
        <v>#VALUE!</v>
      </c>
      <c r="AL98" s="31" t="e">
        <f t="shared" si="120"/>
        <v>#VALUE!</v>
      </c>
      <c r="AM98" s="31" t="e">
        <f t="shared" si="121"/>
        <v>#VALUE!</v>
      </c>
      <c r="AN98" s="32" t="str">
        <f t="shared" si="122"/>
        <v/>
      </c>
      <c r="AO98" s="27" t="str">
        <f t="shared" si="123"/>
        <v/>
      </c>
      <c r="AP98" s="27" t="str">
        <f t="shared" si="124"/>
        <v/>
      </c>
      <c r="AQ98" s="27">
        <f t="shared" si="125"/>
        <v>0</v>
      </c>
      <c r="AR98" s="27">
        <f t="shared" si="126"/>
        <v>0</v>
      </c>
      <c r="AS98" s="33">
        <f t="shared" si="127"/>
        <v>0</v>
      </c>
    </row>
    <row r="99" spans="1:45" ht="15.75" hidden="1" customHeight="1" x14ac:dyDescent="0.25">
      <c r="A99" s="4"/>
      <c r="B99" s="34">
        <f t="shared" ref="B99:F99" si="147">IF(B98="","",B98)</f>
        <v>10210</v>
      </c>
      <c r="C99" s="26">
        <f t="shared" si="147"/>
        <v>24</v>
      </c>
      <c r="D99" s="26">
        <f t="shared" si="147"/>
        <v>0</v>
      </c>
      <c r="E99" s="26">
        <f t="shared" si="147"/>
        <v>0</v>
      </c>
      <c r="F99" s="26">
        <f t="shared" si="147"/>
        <v>0</v>
      </c>
      <c r="G99" s="24"/>
      <c r="H99" s="24"/>
      <c r="I99" s="24"/>
      <c r="J99" s="24"/>
      <c r="K99" s="24"/>
      <c r="L99" s="24"/>
      <c r="M99" s="25"/>
      <c r="N99" s="26" t="str">
        <f t="shared" si="98"/>
        <v/>
      </c>
      <c r="O99" s="26" t="str">
        <f t="shared" si="99"/>
        <v/>
      </c>
      <c r="P99" s="26" t="str">
        <f t="shared" si="100"/>
        <v/>
      </c>
      <c r="Q99" s="26">
        <f t="shared" si="101"/>
        <v>0</v>
      </c>
      <c r="R99" s="26">
        <f t="shared" si="102"/>
        <v>0</v>
      </c>
      <c r="S99" s="26">
        <f t="shared" si="103"/>
        <v>0</v>
      </c>
      <c r="T99" s="26" t="str">
        <f t="shared" si="104"/>
        <v/>
      </c>
      <c r="U99" s="26" t="str">
        <f t="shared" si="105"/>
        <v/>
      </c>
      <c r="V99" s="26" t="str">
        <f t="shared" si="106"/>
        <v/>
      </c>
      <c r="W99" s="27" t="str">
        <f t="shared" si="107"/>
        <v/>
      </c>
      <c r="X99" s="27" t="str">
        <f t="shared" si="108"/>
        <v/>
      </c>
      <c r="Y99" s="28" t="str">
        <f t="shared" si="109"/>
        <v/>
      </c>
      <c r="Z99" s="27" t="str">
        <f t="shared" si="110"/>
        <v/>
      </c>
      <c r="AA99" s="27" t="str">
        <f t="shared" si="111"/>
        <v/>
      </c>
      <c r="AB99" s="27" t="str">
        <f t="shared" si="112"/>
        <v/>
      </c>
      <c r="AC99" s="27" t="str">
        <f t="shared" si="113"/>
        <v/>
      </c>
      <c r="AD99" s="29" t="str">
        <f t="shared" si="114"/>
        <v/>
      </c>
      <c r="AE99" s="30" t="str">
        <f t="shared" si="115"/>
        <v/>
      </c>
      <c r="AG99" s="31"/>
      <c r="AH99" s="31" t="e">
        <f t="shared" si="116"/>
        <v>#VALUE!</v>
      </c>
      <c r="AI99" s="31" t="e">
        <f t="shared" si="117"/>
        <v>#VALUE!</v>
      </c>
      <c r="AJ99" s="31" t="e">
        <f t="shared" si="118"/>
        <v>#VALUE!</v>
      </c>
      <c r="AK99" s="31" t="e">
        <f t="shared" si="119"/>
        <v>#VALUE!</v>
      </c>
      <c r="AL99" s="31" t="e">
        <f t="shared" si="120"/>
        <v>#VALUE!</v>
      </c>
      <c r="AM99" s="31" t="e">
        <f t="shared" si="121"/>
        <v>#VALUE!</v>
      </c>
      <c r="AN99" s="32" t="str">
        <f t="shared" si="122"/>
        <v/>
      </c>
      <c r="AO99" s="27" t="str">
        <f t="shared" si="123"/>
        <v/>
      </c>
      <c r="AP99" s="27" t="str">
        <f t="shared" si="124"/>
        <v/>
      </c>
      <c r="AQ99" s="27">
        <f t="shared" si="125"/>
        <v>0</v>
      </c>
      <c r="AR99" s="27">
        <f t="shared" si="126"/>
        <v>0</v>
      </c>
      <c r="AS99" s="33">
        <f t="shared" si="127"/>
        <v>0</v>
      </c>
    </row>
    <row r="100" spans="1:45" ht="15.75" hidden="1" customHeight="1" x14ac:dyDescent="0.25">
      <c r="A100" s="4"/>
      <c r="B100" s="34">
        <f t="shared" ref="B100:F100" si="148">IF(B99="","",B99)</f>
        <v>10210</v>
      </c>
      <c r="C100" s="26">
        <f t="shared" si="148"/>
        <v>24</v>
      </c>
      <c r="D100" s="26">
        <f t="shared" si="148"/>
        <v>0</v>
      </c>
      <c r="E100" s="26">
        <f t="shared" si="148"/>
        <v>0</v>
      </c>
      <c r="F100" s="26">
        <f t="shared" si="148"/>
        <v>0</v>
      </c>
      <c r="G100" s="24"/>
      <c r="H100" s="24"/>
      <c r="I100" s="24"/>
      <c r="J100" s="24"/>
      <c r="K100" s="24"/>
      <c r="L100" s="24"/>
      <c r="M100" s="25"/>
      <c r="N100" s="26" t="str">
        <f t="shared" si="98"/>
        <v/>
      </c>
      <c r="O100" s="26" t="str">
        <f t="shared" si="99"/>
        <v/>
      </c>
      <c r="P100" s="26" t="str">
        <f t="shared" si="100"/>
        <v/>
      </c>
      <c r="Q100" s="26">
        <f t="shared" si="101"/>
        <v>0</v>
      </c>
      <c r="R100" s="26">
        <f t="shared" si="102"/>
        <v>0</v>
      </c>
      <c r="S100" s="26">
        <f t="shared" si="103"/>
        <v>0</v>
      </c>
      <c r="T100" s="26" t="str">
        <f t="shared" si="104"/>
        <v/>
      </c>
      <c r="U100" s="26" t="str">
        <f t="shared" si="105"/>
        <v/>
      </c>
      <c r="V100" s="26" t="str">
        <f t="shared" si="106"/>
        <v/>
      </c>
      <c r="W100" s="27" t="str">
        <f t="shared" si="107"/>
        <v/>
      </c>
      <c r="X100" s="27" t="str">
        <f t="shared" si="108"/>
        <v/>
      </c>
      <c r="Y100" s="28" t="str">
        <f t="shared" si="109"/>
        <v/>
      </c>
      <c r="Z100" s="27" t="str">
        <f t="shared" si="110"/>
        <v/>
      </c>
      <c r="AA100" s="27" t="str">
        <f t="shared" si="111"/>
        <v/>
      </c>
      <c r="AB100" s="27" t="str">
        <f t="shared" si="112"/>
        <v/>
      </c>
      <c r="AC100" s="27" t="str">
        <f t="shared" si="113"/>
        <v/>
      </c>
      <c r="AD100" s="29" t="str">
        <f t="shared" si="114"/>
        <v/>
      </c>
      <c r="AE100" s="30" t="str">
        <f t="shared" si="115"/>
        <v/>
      </c>
      <c r="AG100" s="31"/>
      <c r="AH100" s="31" t="e">
        <f t="shared" si="116"/>
        <v>#VALUE!</v>
      </c>
      <c r="AI100" s="31" t="e">
        <f t="shared" si="117"/>
        <v>#VALUE!</v>
      </c>
      <c r="AJ100" s="31" t="e">
        <f t="shared" si="118"/>
        <v>#VALUE!</v>
      </c>
      <c r="AK100" s="31" t="e">
        <f t="shared" si="119"/>
        <v>#VALUE!</v>
      </c>
      <c r="AL100" s="31" t="e">
        <f t="shared" si="120"/>
        <v>#VALUE!</v>
      </c>
      <c r="AM100" s="31" t="e">
        <f t="shared" si="121"/>
        <v>#VALUE!</v>
      </c>
      <c r="AN100" s="32" t="str">
        <f t="shared" si="122"/>
        <v/>
      </c>
      <c r="AO100" s="27" t="str">
        <f t="shared" si="123"/>
        <v/>
      </c>
      <c r="AP100" s="27" t="str">
        <f t="shared" si="124"/>
        <v/>
      </c>
      <c r="AQ100" s="27">
        <f t="shared" si="125"/>
        <v>0</v>
      </c>
      <c r="AR100" s="27">
        <f t="shared" si="126"/>
        <v>0</v>
      </c>
      <c r="AS100" s="33">
        <f t="shared" si="127"/>
        <v>0</v>
      </c>
    </row>
    <row r="101" spans="1:45" ht="15.75" hidden="1" customHeight="1" x14ac:dyDescent="0.25">
      <c r="A101" s="4"/>
      <c r="B101" s="34">
        <f t="shared" ref="B101:F101" si="149">IF(B100="","",B100)</f>
        <v>10210</v>
      </c>
      <c r="C101" s="26">
        <f t="shared" si="149"/>
        <v>24</v>
      </c>
      <c r="D101" s="26">
        <f t="shared" si="149"/>
        <v>0</v>
      </c>
      <c r="E101" s="26">
        <f t="shared" si="149"/>
        <v>0</v>
      </c>
      <c r="F101" s="26">
        <f t="shared" si="149"/>
        <v>0</v>
      </c>
      <c r="G101" s="24"/>
      <c r="H101" s="24"/>
      <c r="I101" s="24"/>
      <c r="J101" s="24"/>
      <c r="K101" s="24"/>
      <c r="L101" s="24"/>
      <c r="M101" s="25"/>
      <c r="N101" s="26" t="str">
        <f t="shared" si="98"/>
        <v/>
      </c>
      <c r="O101" s="26" t="str">
        <f t="shared" si="99"/>
        <v/>
      </c>
      <c r="P101" s="26" t="str">
        <f t="shared" si="100"/>
        <v/>
      </c>
      <c r="Q101" s="26">
        <f t="shared" si="101"/>
        <v>0</v>
      </c>
      <c r="R101" s="26">
        <f t="shared" si="102"/>
        <v>0</v>
      </c>
      <c r="S101" s="26">
        <f t="shared" si="103"/>
        <v>0</v>
      </c>
      <c r="T101" s="26" t="str">
        <f t="shared" si="104"/>
        <v/>
      </c>
      <c r="U101" s="26" t="str">
        <f t="shared" si="105"/>
        <v/>
      </c>
      <c r="V101" s="26" t="str">
        <f t="shared" si="106"/>
        <v/>
      </c>
      <c r="W101" s="27" t="str">
        <f t="shared" si="107"/>
        <v/>
      </c>
      <c r="X101" s="27" t="str">
        <f t="shared" si="108"/>
        <v/>
      </c>
      <c r="Y101" s="28" t="str">
        <f t="shared" si="109"/>
        <v/>
      </c>
      <c r="Z101" s="27" t="str">
        <f t="shared" si="110"/>
        <v/>
      </c>
      <c r="AA101" s="27" t="str">
        <f t="shared" si="111"/>
        <v/>
      </c>
      <c r="AB101" s="27" t="str">
        <f t="shared" si="112"/>
        <v/>
      </c>
      <c r="AC101" s="27" t="str">
        <f t="shared" si="113"/>
        <v/>
      </c>
      <c r="AD101" s="29" t="str">
        <f t="shared" si="114"/>
        <v/>
      </c>
      <c r="AE101" s="30" t="str">
        <f t="shared" si="115"/>
        <v/>
      </c>
      <c r="AG101" s="31"/>
      <c r="AH101" s="31" t="e">
        <f t="shared" si="116"/>
        <v>#VALUE!</v>
      </c>
      <c r="AI101" s="31" t="e">
        <f t="shared" si="117"/>
        <v>#VALUE!</v>
      </c>
      <c r="AJ101" s="31" t="e">
        <f t="shared" si="118"/>
        <v>#VALUE!</v>
      </c>
      <c r="AK101" s="31" t="e">
        <f t="shared" si="119"/>
        <v>#VALUE!</v>
      </c>
      <c r="AL101" s="31" t="e">
        <f t="shared" si="120"/>
        <v>#VALUE!</v>
      </c>
      <c r="AM101" s="31" t="e">
        <f t="shared" si="121"/>
        <v>#VALUE!</v>
      </c>
      <c r="AN101" s="32" t="str">
        <f t="shared" si="122"/>
        <v/>
      </c>
      <c r="AO101" s="27" t="str">
        <f t="shared" si="123"/>
        <v/>
      </c>
      <c r="AP101" s="27" t="str">
        <f t="shared" si="124"/>
        <v/>
      </c>
      <c r="AQ101" s="27">
        <f t="shared" si="125"/>
        <v>0</v>
      </c>
      <c r="AR101" s="27">
        <f t="shared" si="126"/>
        <v>0</v>
      </c>
      <c r="AS101" s="33">
        <f t="shared" si="127"/>
        <v>0</v>
      </c>
    </row>
    <row r="102" spans="1:45" ht="15.75" hidden="1" customHeight="1" x14ac:dyDescent="0.25">
      <c r="A102" s="4"/>
      <c r="B102" s="34">
        <f t="shared" ref="B102:F102" si="150">IF(B101="","",B101)</f>
        <v>10210</v>
      </c>
      <c r="C102" s="26">
        <f t="shared" si="150"/>
        <v>24</v>
      </c>
      <c r="D102" s="26">
        <f t="shared" si="150"/>
        <v>0</v>
      </c>
      <c r="E102" s="26">
        <f t="shared" si="150"/>
        <v>0</v>
      </c>
      <c r="F102" s="26">
        <f t="shared" si="150"/>
        <v>0</v>
      </c>
      <c r="G102" s="24"/>
      <c r="H102" s="24"/>
      <c r="I102" s="24"/>
      <c r="J102" s="24"/>
      <c r="K102" s="24"/>
      <c r="L102" s="24"/>
      <c r="M102" s="25"/>
      <c r="N102" s="26" t="str">
        <f t="shared" si="98"/>
        <v/>
      </c>
      <c r="O102" s="26" t="str">
        <f t="shared" si="99"/>
        <v/>
      </c>
      <c r="P102" s="26" t="str">
        <f t="shared" si="100"/>
        <v/>
      </c>
      <c r="Q102" s="26">
        <f t="shared" si="101"/>
        <v>0</v>
      </c>
      <c r="R102" s="26">
        <f t="shared" si="102"/>
        <v>0</v>
      </c>
      <c r="S102" s="26">
        <f t="shared" si="103"/>
        <v>0</v>
      </c>
      <c r="T102" s="26" t="str">
        <f t="shared" si="104"/>
        <v/>
      </c>
      <c r="U102" s="26" t="str">
        <f t="shared" si="105"/>
        <v/>
      </c>
      <c r="V102" s="26" t="str">
        <f t="shared" si="106"/>
        <v/>
      </c>
      <c r="W102" s="27" t="str">
        <f t="shared" si="107"/>
        <v/>
      </c>
      <c r="X102" s="27" t="str">
        <f t="shared" si="108"/>
        <v/>
      </c>
      <c r="Y102" s="28" t="str">
        <f t="shared" si="109"/>
        <v/>
      </c>
      <c r="Z102" s="27" t="str">
        <f t="shared" si="110"/>
        <v/>
      </c>
      <c r="AA102" s="27" t="str">
        <f t="shared" si="111"/>
        <v/>
      </c>
      <c r="AB102" s="27" t="str">
        <f t="shared" si="112"/>
        <v/>
      </c>
      <c r="AC102" s="27" t="str">
        <f t="shared" si="113"/>
        <v/>
      </c>
      <c r="AD102" s="29" t="str">
        <f t="shared" si="114"/>
        <v/>
      </c>
      <c r="AE102" s="30" t="str">
        <f t="shared" si="115"/>
        <v/>
      </c>
      <c r="AG102" s="31"/>
      <c r="AH102" s="31" t="e">
        <f t="shared" si="116"/>
        <v>#VALUE!</v>
      </c>
      <c r="AI102" s="31" t="e">
        <f t="shared" si="117"/>
        <v>#VALUE!</v>
      </c>
      <c r="AJ102" s="31" t="e">
        <f t="shared" si="118"/>
        <v>#VALUE!</v>
      </c>
      <c r="AK102" s="31" t="e">
        <f t="shared" si="119"/>
        <v>#VALUE!</v>
      </c>
      <c r="AL102" s="31" t="e">
        <f t="shared" si="120"/>
        <v>#VALUE!</v>
      </c>
      <c r="AM102" s="31" t="e">
        <f t="shared" si="121"/>
        <v>#VALUE!</v>
      </c>
      <c r="AN102" s="32" t="str">
        <f t="shared" si="122"/>
        <v/>
      </c>
      <c r="AO102" s="27" t="str">
        <f t="shared" si="123"/>
        <v/>
      </c>
      <c r="AP102" s="27" t="str">
        <f t="shared" si="124"/>
        <v/>
      </c>
      <c r="AQ102" s="27">
        <f t="shared" si="125"/>
        <v>0</v>
      </c>
      <c r="AR102" s="27">
        <f t="shared" si="126"/>
        <v>0</v>
      </c>
      <c r="AS102" s="33">
        <f t="shared" si="127"/>
        <v>0</v>
      </c>
    </row>
    <row r="103" spans="1:45" ht="15.75" hidden="1" customHeight="1" x14ac:dyDescent="0.25">
      <c r="A103" s="4"/>
      <c r="B103" s="34">
        <f t="shared" ref="B103:F103" si="151">IF(B102="","",B102)</f>
        <v>10210</v>
      </c>
      <c r="C103" s="26">
        <f t="shared" si="151"/>
        <v>24</v>
      </c>
      <c r="D103" s="26">
        <f t="shared" si="151"/>
        <v>0</v>
      </c>
      <c r="E103" s="26">
        <f t="shared" si="151"/>
        <v>0</v>
      </c>
      <c r="F103" s="26">
        <f t="shared" si="151"/>
        <v>0</v>
      </c>
      <c r="G103" s="24"/>
      <c r="H103" s="24"/>
      <c r="I103" s="24"/>
      <c r="J103" s="24"/>
      <c r="K103" s="24"/>
      <c r="L103" s="24"/>
      <c r="M103" s="25"/>
      <c r="N103" s="26" t="str">
        <f t="shared" si="98"/>
        <v/>
      </c>
      <c r="O103" s="26" t="str">
        <f t="shared" si="99"/>
        <v/>
      </c>
      <c r="P103" s="26" t="str">
        <f t="shared" si="100"/>
        <v/>
      </c>
      <c r="Q103" s="26">
        <f t="shared" si="101"/>
        <v>0</v>
      </c>
      <c r="R103" s="26">
        <f t="shared" si="102"/>
        <v>0</v>
      </c>
      <c r="S103" s="26">
        <f t="shared" si="103"/>
        <v>0</v>
      </c>
      <c r="T103" s="26" t="str">
        <f t="shared" si="104"/>
        <v/>
      </c>
      <c r="U103" s="26" t="str">
        <f t="shared" si="105"/>
        <v/>
      </c>
      <c r="V103" s="26" t="str">
        <f t="shared" si="106"/>
        <v/>
      </c>
      <c r="W103" s="27" t="str">
        <f t="shared" si="107"/>
        <v/>
      </c>
      <c r="X103" s="27" t="str">
        <f t="shared" si="108"/>
        <v/>
      </c>
      <c r="Y103" s="28" t="str">
        <f t="shared" si="109"/>
        <v/>
      </c>
      <c r="Z103" s="27" t="str">
        <f t="shared" si="110"/>
        <v/>
      </c>
      <c r="AA103" s="27" t="str">
        <f t="shared" si="111"/>
        <v/>
      </c>
      <c r="AB103" s="27" t="str">
        <f t="shared" si="112"/>
        <v/>
      </c>
      <c r="AC103" s="27" t="str">
        <f t="shared" si="113"/>
        <v/>
      </c>
      <c r="AD103" s="29" t="str">
        <f t="shared" si="114"/>
        <v/>
      </c>
      <c r="AE103" s="30" t="str">
        <f t="shared" si="115"/>
        <v/>
      </c>
      <c r="AG103" s="31"/>
      <c r="AH103" s="31" t="e">
        <f t="shared" si="116"/>
        <v>#VALUE!</v>
      </c>
      <c r="AI103" s="31" t="e">
        <f t="shared" si="117"/>
        <v>#VALUE!</v>
      </c>
      <c r="AJ103" s="31" t="e">
        <f t="shared" si="118"/>
        <v>#VALUE!</v>
      </c>
      <c r="AK103" s="31" t="e">
        <f t="shared" si="119"/>
        <v>#VALUE!</v>
      </c>
      <c r="AL103" s="31" t="e">
        <f t="shared" si="120"/>
        <v>#VALUE!</v>
      </c>
      <c r="AM103" s="31" t="e">
        <f t="shared" si="121"/>
        <v>#VALUE!</v>
      </c>
      <c r="AN103" s="32" t="str">
        <f t="shared" si="122"/>
        <v/>
      </c>
      <c r="AO103" s="27" t="str">
        <f t="shared" si="123"/>
        <v/>
      </c>
      <c r="AP103" s="27" t="str">
        <f t="shared" si="124"/>
        <v/>
      </c>
      <c r="AQ103" s="27">
        <f t="shared" si="125"/>
        <v>0</v>
      </c>
      <c r="AR103" s="27">
        <f t="shared" si="126"/>
        <v>0</v>
      </c>
      <c r="AS103" s="33">
        <f t="shared" si="127"/>
        <v>0</v>
      </c>
    </row>
    <row r="104" spans="1:45" ht="15.75" hidden="1" customHeight="1" x14ac:dyDescent="0.25">
      <c r="A104" s="4"/>
      <c r="B104" s="34">
        <f t="shared" ref="B104:F104" si="152">IF(B103="","",B103)</f>
        <v>10210</v>
      </c>
      <c r="C104" s="26">
        <f t="shared" si="152"/>
        <v>24</v>
      </c>
      <c r="D104" s="26">
        <f t="shared" si="152"/>
        <v>0</v>
      </c>
      <c r="E104" s="26">
        <f t="shared" si="152"/>
        <v>0</v>
      </c>
      <c r="F104" s="26">
        <f t="shared" si="152"/>
        <v>0</v>
      </c>
      <c r="G104" s="24"/>
      <c r="H104" s="24"/>
      <c r="I104" s="24"/>
      <c r="J104" s="24"/>
      <c r="K104" s="24"/>
      <c r="L104" s="24"/>
      <c r="M104" s="25"/>
      <c r="N104" s="26" t="str">
        <f t="shared" si="98"/>
        <v/>
      </c>
      <c r="O104" s="26" t="str">
        <f t="shared" si="99"/>
        <v/>
      </c>
      <c r="P104" s="26" t="str">
        <f t="shared" si="100"/>
        <v/>
      </c>
      <c r="Q104" s="26">
        <f t="shared" si="101"/>
        <v>0</v>
      </c>
      <c r="R104" s="26">
        <f t="shared" si="102"/>
        <v>0</v>
      </c>
      <c r="S104" s="26">
        <f t="shared" si="103"/>
        <v>0</v>
      </c>
      <c r="T104" s="26" t="str">
        <f t="shared" si="104"/>
        <v/>
      </c>
      <c r="U104" s="26" t="str">
        <f t="shared" si="105"/>
        <v/>
      </c>
      <c r="V104" s="26" t="str">
        <f t="shared" si="106"/>
        <v/>
      </c>
      <c r="W104" s="27" t="str">
        <f t="shared" si="107"/>
        <v/>
      </c>
      <c r="X104" s="27" t="str">
        <f t="shared" si="108"/>
        <v/>
      </c>
      <c r="Y104" s="28" t="str">
        <f t="shared" si="109"/>
        <v/>
      </c>
      <c r="Z104" s="27" t="str">
        <f t="shared" si="110"/>
        <v/>
      </c>
      <c r="AA104" s="27" t="str">
        <f t="shared" si="111"/>
        <v/>
      </c>
      <c r="AB104" s="27" t="str">
        <f t="shared" si="112"/>
        <v/>
      </c>
      <c r="AC104" s="27" t="str">
        <f t="shared" si="113"/>
        <v/>
      </c>
      <c r="AD104" s="29" t="str">
        <f t="shared" si="114"/>
        <v/>
      </c>
      <c r="AE104" s="30" t="str">
        <f t="shared" si="115"/>
        <v/>
      </c>
      <c r="AG104" s="31"/>
      <c r="AH104" s="31" t="e">
        <f t="shared" si="116"/>
        <v>#VALUE!</v>
      </c>
      <c r="AI104" s="31" t="e">
        <f t="shared" si="117"/>
        <v>#VALUE!</v>
      </c>
      <c r="AJ104" s="31" t="e">
        <f t="shared" si="118"/>
        <v>#VALUE!</v>
      </c>
      <c r="AK104" s="31" t="e">
        <f t="shared" si="119"/>
        <v>#VALUE!</v>
      </c>
      <c r="AL104" s="31" t="e">
        <f t="shared" si="120"/>
        <v>#VALUE!</v>
      </c>
      <c r="AM104" s="31" t="e">
        <f t="shared" si="121"/>
        <v>#VALUE!</v>
      </c>
      <c r="AN104" s="32" t="str">
        <f t="shared" si="122"/>
        <v/>
      </c>
      <c r="AO104" s="27" t="str">
        <f t="shared" si="123"/>
        <v/>
      </c>
      <c r="AP104" s="27" t="str">
        <f t="shared" si="124"/>
        <v/>
      </c>
      <c r="AQ104" s="27">
        <f t="shared" si="125"/>
        <v>0</v>
      </c>
      <c r="AR104" s="27">
        <f t="shared" si="126"/>
        <v>0</v>
      </c>
      <c r="AS104" s="33">
        <f t="shared" si="127"/>
        <v>0</v>
      </c>
    </row>
    <row r="105" spans="1:45" ht="15.75" hidden="1" customHeight="1" x14ac:dyDescent="0.25">
      <c r="A105" s="4"/>
      <c r="B105" s="34">
        <f t="shared" ref="B105:F105" si="153">IF(B104="","",B104)</f>
        <v>10210</v>
      </c>
      <c r="C105" s="26">
        <f t="shared" si="153"/>
        <v>24</v>
      </c>
      <c r="D105" s="26">
        <f t="shared" si="153"/>
        <v>0</v>
      </c>
      <c r="E105" s="26">
        <f t="shared" si="153"/>
        <v>0</v>
      </c>
      <c r="F105" s="26">
        <f t="shared" si="153"/>
        <v>0</v>
      </c>
      <c r="G105" s="24"/>
      <c r="H105" s="24"/>
      <c r="I105" s="24"/>
      <c r="J105" s="24"/>
      <c r="K105" s="24"/>
      <c r="L105" s="24"/>
      <c r="M105" s="25"/>
      <c r="N105" s="26" t="str">
        <f t="shared" si="98"/>
        <v/>
      </c>
      <c r="O105" s="26" t="str">
        <f t="shared" si="99"/>
        <v/>
      </c>
      <c r="P105" s="26" t="str">
        <f t="shared" si="100"/>
        <v/>
      </c>
      <c r="Q105" s="26">
        <f t="shared" si="101"/>
        <v>0</v>
      </c>
      <c r="R105" s="26">
        <f t="shared" si="102"/>
        <v>0</v>
      </c>
      <c r="S105" s="26">
        <f t="shared" si="103"/>
        <v>0</v>
      </c>
      <c r="T105" s="26" t="str">
        <f t="shared" si="104"/>
        <v/>
      </c>
      <c r="U105" s="26" t="str">
        <f t="shared" si="105"/>
        <v/>
      </c>
      <c r="V105" s="26" t="str">
        <f t="shared" si="106"/>
        <v/>
      </c>
      <c r="W105" s="27" t="str">
        <f t="shared" si="107"/>
        <v/>
      </c>
      <c r="X105" s="27" t="str">
        <f t="shared" si="108"/>
        <v/>
      </c>
      <c r="Y105" s="28" t="str">
        <f t="shared" si="109"/>
        <v/>
      </c>
      <c r="Z105" s="27" t="str">
        <f t="shared" si="110"/>
        <v/>
      </c>
      <c r="AA105" s="27" t="str">
        <f t="shared" si="111"/>
        <v/>
      </c>
      <c r="AB105" s="27" t="str">
        <f t="shared" si="112"/>
        <v/>
      </c>
      <c r="AC105" s="27" t="str">
        <f t="shared" si="113"/>
        <v/>
      </c>
      <c r="AD105" s="29" t="str">
        <f t="shared" si="114"/>
        <v/>
      </c>
      <c r="AE105" s="30" t="str">
        <f t="shared" si="115"/>
        <v/>
      </c>
      <c r="AG105" s="31"/>
      <c r="AH105" s="31" t="e">
        <f t="shared" si="116"/>
        <v>#VALUE!</v>
      </c>
      <c r="AI105" s="31" t="e">
        <f t="shared" si="117"/>
        <v>#VALUE!</v>
      </c>
      <c r="AJ105" s="31" t="e">
        <f t="shared" si="118"/>
        <v>#VALUE!</v>
      </c>
      <c r="AK105" s="31" t="e">
        <f t="shared" si="119"/>
        <v>#VALUE!</v>
      </c>
      <c r="AL105" s="31" t="e">
        <f t="shared" si="120"/>
        <v>#VALUE!</v>
      </c>
      <c r="AM105" s="31" t="e">
        <f t="shared" si="121"/>
        <v>#VALUE!</v>
      </c>
      <c r="AN105" s="32" t="str">
        <f t="shared" si="122"/>
        <v/>
      </c>
      <c r="AO105" s="27" t="str">
        <f t="shared" si="123"/>
        <v/>
      </c>
      <c r="AP105" s="27" t="str">
        <f t="shared" si="124"/>
        <v/>
      </c>
      <c r="AQ105" s="27">
        <f t="shared" si="125"/>
        <v>0</v>
      </c>
      <c r="AR105" s="27">
        <f t="shared" si="126"/>
        <v>0</v>
      </c>
      <c r="AS105" s="33">
        <f t="shared" si="127"/>
        <v>0</v>
      </c>
    </row>
    <row r="106" spans="1:45" ht="15.75" hidden="1" customHeight="1" x14ac:dyDescent="0.25">
      <c r="A106" s="4"/>
      <c r="B106" s="34">
        <f t="shared" ref="B106:F106" si="154">IF(B105="","",B105)</f>
        <v>10210</v>
      </c>
      <c r="C106" s="26">
        <f t="shared" si="154"/>
        <v>24</v>
      </c>
      <c r="D106" s="26">
        <f t="shared" si="154"/>
        <v>0</v>
      </c>
      <c r="E106" s="26">
        <f t="shared" si="154"/>
        <v>0</v>
      </c>
      <c r="F106" s="26">
        <f t="shared" si="154"/>
        <v>0</v>
      </c>
      <c r="G106" s="24"/>
      <c r="H106" s="24"/>
      <c r="I106" s="24"/>
      <c r="J106" s="24"/>
      <c r="K106" s="24"/>
      <c r="L106" s="24"/>
      <c r="M106" s="25"/>
      <c r="N106" s="26" t="str">
        <f t="shared" si="98"/>
        <v/>
      </c>
      <c r="O106" s="26" t="str">
        <f t="shared" si="99"/>
        <v/>
      </c>
      <c r="P106" s="26" t="str">
        <f t="shared" si="100"/>
        <v/>
      </c>
      <c r="Q106" s="26">
        <f t="shared" si="101"/>
        <v>0</v>
      </c>
      <c r="R106" s="26">
        <f t="shared" si="102"/>
        <v>0</v>
      </c>
      <c r="S106" s="26">
        <f t="shared" si="103"/>
        <v>0</v>
      </c>
      <c r="T106" s="26" t="str">
        <f t="shared" si="104"/>
        <v/>
      </c>
      <c r="U106" s="26" t="str">
        <f t="shared" si="105"/>
        <v/>
      </c>
      <c r="V106" s="26" t="str">
        <f t="shared" si="106"/>
        <v/>
      </c>
      <c r="W106" s="27" t="str">
        <f t="shared" si="107"/>
        <v/>
      </c>
      <c r="X106" s="27" t="str">
        <f t="shared" si="108"/>
        <v/>
      </c>
      <c r="Y106" s="28" t="str">
        <f t="shared" si="109"/>
        <v/>
      </c>
      <c r="Z106" s="27" t="str">
        <f t="shared" si="110"/>
        <v/>
      </c>
      <c r="AA106" s="27" t="str">
        <f t="shared" si="111"/>
        <v/>
      </c>
      <c r="AB106" s="27" t="str">
        <f t="shared" si="112"/>
        <v/>
      </c>
      <c r="AC106" s="27" t="str">
        <f t="shared" si="113"/>
        <v/>
      </c>
      <c r="AD106" s="29" t="str">
        <f t="shared" si="114"/>
        <v/>
      </c>
      <c r="AE106" s="30" t="str">
        <f t="shared" si="115"/>
        <v/>
      </c>
      <c r="AG106" s="31"/>
      <c r="AH106" s="31" t="e">
        <f t="shared" si="116"/>
        <v>#VALUE!</v>
      </c>
      <c r="AI106" s="31" t="e">
        <f t="shared" si="117"/>
        <v>#VALUE!</v>
      </c>
      <c r="AJ106" s="31" t="e">
        <f t="shared" si="118"/>
        <v>#VALUE!</v>
      </c>
      <c r="AK106" s="31" t="e">
        <f t="shared" si="119"/>
        <v>#VALUE!</v>
      </c>
      <c r="AL106" s="31" t="e">
        <f t="shared" si="120"/>
        <v>#VALUE!</v>
      </c>
      <c r="AM106" s="31" t="e">
        <f t="shared" si="121"/>
        <v>#VALUE!</v>
      </c>
      <c r="AN106" s="32" t="str">
        <f t="shared" si="122"/>
        <v/>
      </c>
      <c r="AO106" s="27" t="str">
        <f t="shared" si="123"/>
        <v/>
      </c>
      <c r="AP106" s="27" t="str">
        <f t="shared" si="124"/>
        <v/>
      </c>
      <c r="AQ106" s="27">
        <f t="shared" si="125"/>
        <v>0</v>
      </c>
      <c r="AR106" s="27">
        <f t="shared" si="126"/>
        <v>0</v>
      </c>
      <c r="AS106" s="33">
        <f t="shared" si="127"/>
        <v>0</v>
      </c>
    </row>
    <row r="107" spans="1:45" ht="15.75" hidden="1" customHeight="1" x14ac:dyDescent="0.25">
      <c r="A107" s="4"/>
      <c r="B107" s="34">
        <f t="shared" ref="B107:F107" si="155">IF(B106="","",B106)</f>
        <v>10210</v>
      </c>
      <c r="C107" s="26">
        <f t="shared" si="155"/>
        <v>24</v>
      </c>
      <c r="D107" s="26">
        <f t="shared" si="155"/>
        <v>0</v>
      </c>
      <c r="E107" s="26">
        <f t="shared" si="155"/>
        <v>0</v>
      </c>
      <c r="F107" s="26">
        <f t="shared" si="155"/>
        <v>0</v>
      </c>
      <c r="G107" s="24"/>
      <c r="H107" s="24"/>
      <c r="I107" s="24"/>
      <c r="J107" s="24"/>
      <c r="K107" s="24"/>
      <c r="L107" s="24"/>
      <c r="M107" s="25"/>
      <c r="N107" s="26" t="str">
        <f t="shared" si="98"/>
        <v/>
      </c>
      <c r="O107" s="26" t="str">
        <f t="shared" si="99"/>
        <v/>
      </c>
      <c r="P107" s="26" t="str">
        <f t="shared" si="100"/>
        <v/>
      </c>
      <c r="Q107" s="26">
        <f t="shared" si="101"/>
        <v>0</v>
      </c>
      <c r="R107" s="26">
        <f t="shared" si="102"/>
        <v>0</v>
      </c>
      <c r="S107" s="26">
        <f t="shared" si="103"/>
        <v>0</v>
      </c>
      <c r="T107" s="26" t="str">
        <f t="shared" si="104"/>
        <v/>
      </c>
      <c r="U107" s="26" t="str">
        <f t="shared" si="105"/>
        <v/>
      </c>
      <c r="V107" s="26" t="str">
        <f t="shared" si="106"/>
        <v/>
      </c>
      <c r="W107" s="27" t="str">
        <f t="shared" si="107"/>
        <v/>
      </c>
      <c r="X107" s="27" t="str">
        <f t="shared" si="108"/>
        <v/>
      </c>
      <c r="Y107" s="28" t="str">
        <f t="shared" si="109"/>
        <v/>
      </c>
      <c r="Z107" s="27" t="str">
        <f t="shared" si="110"/>
        <v/>
      </c>
      <c r="AA107" s="27" t="str">
        <f t="shared" si="111"/>
        <v/>
      </c>
      <c r="AB107" s="27" t="str">
        <f t="shared" si="112"/>
        <v/>
      </c>
      <c r="AC107" s="27" t="str">
        <f t="shared" si="113"/>
        <v/>
      </c>
      <c r="AD107" s="29" t="str">
        <f t="shared" si="114"/>
        <v/>
      </c>
      <c r="AE107" s="30" t="str">
        <f t="shared" si="115"/>
        <v/>
      </c>
      <c r="AG107" s="31"/>
      <c r="AH107" s="31" t="e">
        <f t="shared" si="116"/>
        <v>#VALUE!</v>
      </c>
      <c r="AI107" s="31" t="e">
        <f t="shared" si="117"/>
        <v>#VALUE!</v>
      </c>
      <c r="AJ107" s="31" t="e">
        <f t="shared" si="118"/>
        <v>#VALUE!</v>
      </c>
      <c r="AK107" s="31" t="e">
        <f t="shared" si="119"/>
        <v>#VALUE!</v>
      </c>
      <c r="AL107" s="31" t="e">
        <f t="shared" si="120"/>
        <v>#VALUE!</v>
      </c>
      <c r="AM107" s="31" t="e">
        <f t="shared" si="121"/>
        <v>#VALUE!</v>
      </c>
      <c r="AN107" s="32" t="str">
        <f t="shared" si="122"/>
        <v/>
      </c>
      <c r="AO107" s="27" t="str">
        <f t="shared" si="123"/>
        <v/>
      </c>
      <c r="AP107" s="27" t="str">
        <f t="shared" si="124"/>
        <v/>
      </c>
      <c r="AQ107" s="27">
        <f t="shared" si="125"/>
        <v>0</v>
      </c>
      <c r="AR107" s="27">
        <f t="shared" si="126"/>
        <v>0</v>
      </c>
      <c r="AS107" s="33">
        <f t="shared" si="127"/>
        <v>0</v>
      </c>
    </row>
    <row r="108" spans="1:45" ht="15.75" hidden="1" customHeight="1" x14ac:dyDescent="0.25">
      <c r="B108" s="34">
        <f t="shared" ref="B108:F108" si="156">IF(B107="","",B107)</f>
        <v>10210</v>
      </c>
      <c r="C108" s="26">
        <f t="shared" si="156"/>
        <v>24</v>
      </c>
      <c r="D108" s="26">
        <f t="shared" si="156"/>
        <v>0</v>
      </c>
      <c r="E108" s="26">
        <f t="shared" si="156"/>
        <v>0</v>
      </c>
      <c r="F108" s="26">
        <f t="shared" si="156"/>
        <v>0</v>
      </c>
      <c r="G108" s="24"/>
      <c r="H108" s="24"/>
      <c r="I108" s="24"/>
      <c r="J108" s="24"/>
      <c r="K108" s="24"/>
      <c r="L108" s="24"/>
      <c r="M108" s="25"/>
      <c r="N108" s="26" t="str">
        <f t="shared" si="98"/>
        <v/>
      </c>
      <c r="O108" s="26" t="str">
        <f t="shared" si="99"/>
        <v/>
      </c>
      <c r="P108" s="26" t="str">
        <f t="shared" si="100"/>
        <v/>
      </c>
      <c r="Q108" s="26">
        <f t="shared" si="101"/>
        <v>0</v>
      </c>
      <c r="R108" s="26">
        <f t="shared" si="102"/>
        <v>0</v>
      </c>
      <c r="S108" s="26">
        <f t="shared" si="103"/>
        <v>0</v>
      </c>
      <c r="T108" s="26" t="str">
        <f t="shared" si="104"/>
        <v/>
      </c>
      <c r="U108" s="26" t="str">
        <f t="shared" si="105"/>
        <v/>
      </c>
      <c r="V108" s="26" t="str">
        <f t="shared" si="106"/>
        <v/>
      </c>
      <c r="W108" s="27" t="str">
        <f t="shared" si="107"/>
        <v/>
      </c>
      <c r="X108" s="27" t="str">
        <f t="shared" si="108"/>
        <v/>
      </c>
      <c r="Y108" s="28" t="str">
        <f t="shared" si="109"/>
        <v/>
      </c>
      <c r="Z108" s="27" t="str">
        <f t="shared" si="110"/>
        <v/>
      </c>
      <c r="AA108" s="27" t="str">
        <f t="shared" si="111"/>
        <v/>
      </c>
      <c r="AB108" s="27" t="str">
        <f t="shared" si="112"/>
        <v/>
      </c>
      <c r="AC108" s="27" t="str">
        <f t="shared" si="113"/>
        <v/>
      </c>
      <c r="AD108" s="29" t="str">
        <f t="shared" si="114"/>
        <v/>
      </c>
      <c r="AE108" s="30" t="str">
        <f t="shared" si="115"/>
        <v/>
      </c>
      <c r="AG108" s="31"/>
      <c r="AH108" s="31" t="e">
        <f t="shared" si="116"/>
        <v>#VALUE!</v>
      </c>
      <c r="AI108" s="31" t="e">
        <f t="shared" si="117"/>
        <v>#VALUE!</v>
      </c>
      <c r="AJ108" s="31" t="e">
        <f t="shared" si="118"/>
        <v>#VALUE!</v>
      </c>
      <c r="AK108" s="31" t="e">
        <f t="shared" si="119"/>
        <v>#VALUE!</v>
      </c>
      <c r="AL108" s="31" t="e">
        <f t="shared" si="120"/>
        <v>#VALUE!</v>
      </c>
      <c r="AM108" s="31" t="e">
        <f t="shared" si="121"/>
        <v>#VALUE!</v>
      </c>
      <c r="AN108" s="32" t="str">
        <f t="shared" si="122"/>
        <v/>
      </c>
      <c r="AO108" s="27" t="str">
        <f t="shared" si="123"/>
        <v/>
      </c>
      <c r="AP108" s="27" t="str">
        <f t="shared" si="124"/>
        <v/>
      </c>
      <c r="AQ108" s="27">
        <f t="shared" si="125"/>
        <v>0</v>
      </c>
      <c r="AR108" s="27">
        <f t="shared" si="126"/>
        <v>0</v>
      </c>
      <c r="AS108" s="33">
        <f t="shared" si="127"/>
        <v>0</v>
      </c>
    </row>
    <row r="109" spans="1:45" ht="15.75" hidden="1" customHeight="1" x14ac:dyDescent="0.25">
      <c r="B109" s="34">
        <f t="shared" ref="B109:F109" si="157">IF(B108="","",B108)</f>
        <v>10210</v>
      </c>
      <c r="C109" s="26">
        <f t="shared" si="157"/>
        <v>24</v>
      </c>
      <c r="D109" s="26">
        <f t="shared" si="157"/>
        <v>0</v>
      </c>
      <c r="E109" s="26">
        <f t="shared" si="157"/>
        <v>0</v>
      </c>
      <c r="F109" s="26">
        <f t="shared" si="157"/>
        <v>0</v>
      </c>
      <c r="G109" s="24"/>
      <c r="H109" s="24"/>
      <c r="I109" s="24"/>
      <c r="J109" s="24"/>
      <c r="K109" s="24"/>
      <c r="L109" s="24"/>
      <c r="M109" s="25"/>
      <c r="N109" s="26" t="str">
        <f t="shared" si="98"/>
        <v/>
      </c>
      <c r="O109" s="26" t="str">
        <f t="shared" si="99"/>
        <v/>
      </c>
      <c r="P109" s="26" t="str">
        <f t="shared" si="100"/>
        <v/>
      </c>
      <c r="Q109" s="26">
        <f t="shared" si="101"/>
        <v>0</v>
      </c>
      <c r="R109" s="26">
        <f t="shared" si="102"/>
        <v>0</v>
      </c>
      <c r="S109" s="26">
        <f t="shared" si="103"/>
        <v>0</v>
      </c>
      <c r="T109" s="26" t="str">
        <f t="shared" si="104"/>
        <v/>
      </c>
      <c r="U109" s="26" t="str">
        <f t="shared" si="105"/>
        <v/>
      </c>
      <c r="V109" s="26" t="str">
        <f t="shared" si="106"/>
        <v/>
      </c>
      <c r="W109" s="27" t="str">
        <f t="shared" si="107"/>
        <v/>
      </c>
      <c r="X109" s="27" t="str">
        <f t="shared" si="108"/>
        <v/>
      </c>
      <c r="Y109" s="28" t="str">
        <f t="shared" si="109"/>
        <v/>
      </c>
      <c r="Z109" s="27" t="str">
        <f t="shared" si="110"/>
        <v/>
      </c>
      <c r="AA109" s="27" t="str">
        <f t="shared" si="111"/>
        <v/>
      </c>
      <c r="AB109" s="27" t="str">
        <f t="shared" si="112"/>
        <v/>
      </c>
      <c r="AC109" s="27" t="str">
        <f t="shared" si="113"/>
        <v/>
      </c>
      <c r="AD109" s="29" t="str">
        <f t="shared" si="114"/>
        <v/>
      </c>
      <c r="AE109" s="30" t="str">
        <f t="shared" si="115"/>
        <v/>
      </c>
      <c r="AG109" s="31"/>
      <c r="AH109" s="31" t="e">
        <f t="shared" si="116"/>
        <v>#VALUE!</v>
      </c>
      <c r="AI109" s="31" t="e">
        <f t="shared" si="117"/>
        <v>#VALUE!</v>
      </c>
      <c r="AJ109" s="31" t="e">
        <f t="shared" si="118"/>
        <v>#VALUE!</v>
      </c>
      <c r="AK109" s="31" t="e">
        <f t="shared" si="119"/>
        <v>#VALUE!</v>
      </c>
      <c r="AL109" s="31" t="e">
        <f t="shared" si="120"/>
        <v>#VALUE!</v>
      </c>
      <c r="AM109" s="31" t="e">
        <f t="shared" si="121"/>
        <v>#VALUE!</v>
      </c>
      <c r="AN109" s="32" t="str">
        <f t="shared" si="122"/>
        <v/>
      </c>
      <c r="AO109" s="27" t="str">
        <f t="shared" si="123"/>
        <v/>
      </c>
      <c r="AP109" s="27" t="str">
        <f t="shared" si="124"/>
        <v/>
      </c>
      <c r="AQ109" s="27">
        <f t="shared" si="125"/>
        <v>0</v>
      </c>
      <c r="AR109" s="27">
        <f t="shared" si="126"/>
        <v>0</v>
      </c>
      <c r="AS109" s="33">
        <f t="shared" si="127"/>
        <v>0</v>
      </c>
    </row>
    <row r="110" spans="1:45" ht="15.75" hidden="1" customHeight="1" x14ac:dyDescent="0.25">
      <c r="A110" s="31"/>
      <c r="B110" s="34">
        <f t="shared" ref="B110:F110" si="158">IF(B109="","",B109)</f>
        <v>10210</v>
      </c>
      <c r="C110" s="26">
        <f t="shared" si="158"/>
        <v>24</v>
      </c>
      <c r="D110" s="26">
        <f t="shared" si="158"/>
        <v>0</v>
      </c>
      <c r="E110" s="26">
        <f t="shared" si="158"/>
        <v>0</v>
      </c>
      <c r="F110" s="26">
        <f t="shared" si="158"/>
        <v>0</v>
      </c>
      <c r="G110" s="24"/>
      <c r="H110" s="24"/>
      <c r="I110" s="24"/>
      <c r="J110" s="24"/>
      <c r="K110" s="24"/>
      <c r="L110" s="24"/>
      <c r="M110" s="25"/>
      <c r="N110" s="26" t="str">
        <f t="shared" si="98"/>
        <v/>
      </c>
      <c r="O110" s="26" t="str">
        <f t="shared" si="99"/>
        <v/>
      </c>
      <c r="P110" s="26" t="str">
        <f t="shared" si="100"/>
        <v/>
      </c>
      <c r="Q110" s="26">
        <f t="shared" si="101"/>
        <v>0</v>
      </c>
      <c r="R110" s="26">
        <f t="shared" si="102"/>
        <v>0</v>
      </c>
      <c r="S110" s="26">
        <f t="shared" si="103"/>
        <v>0</v>
      </c>
      <c r="T110" s="26" t="str">
        <f t="shared" si="104"/>
        <v/>
      </c>
      <c r="U110" s="26" t="str">
        <f t="shared" si="105"/>
        <v/>
      </c>
      <c r="V110" s="26" t="str">
        <f t="shared" si="106"/>
        <v/>
      </c>
      <c r="W110" s="27" t="str">
        <f t="shared" si="107"/>
        <v/>
      </c>
      <c r="X110" s="27" t="str">
        <f t="shared" si="108"/>
        <v/>
      </c>
      <c r="Y110" s="28" t="str">
        <f t="shared" si="109"/>
        <v/>
      </c>
      <c r="Z110" s="27" t="str">
        <f t="shared" si="110"/>
        <v/>
      </c>
      <c r="AA110" s="27" t="str">
        <f t="shared" si="111"/>
        <v/>
      </c>
      <c r="AB110" s="27" t="str">
        <f t="shared" si="112"/>
        <v/>
      </c>
      <c r="AC110" s="27" t="str">
        <f t="shared" si="113"/>
        <v/>
      </c>
      <c r="AD110" s="29" t="str">
        <f t="shared" si="114"/>
        <v/>
      </c>
      <c r="AE110" s="30" t="str">
        <f t="shared" si="115"/>
        <v/>
      </c>
      <c r="AG110" s="31"/>
      <c r="AH110" s="31" t="e">
        <f t="shared" si="116"/>
        <v>#VALUE!</v>
      </c>
      <c r="AI110" s="31" t="e">
        <f t="shared" si="117"/>
        <v>#VALUE!</v>
      </c>
      <c r="AJ110" s="31" t="e">
        <f t="shared" si="118"/>
        <v>#VALUE!</v>
      </c>
      <c r="AK110" s="31" t="e">
        <f t="shared" si="119"/>
        <v>#VALUE!</v>
      </c>
      <c r="AL110" s="31" t="e">
        <f t="shared" si="120"/>
        <v>#VALUE!</v>
      </c>
      <c r="AM110" s="31" t="e">
        <f t="shared" si="121"/>
        <v>#VALUE!</v>
      </c>
      <c r="AN110" s="32" t="str">
        <f t="shared" si="122"/>
        <v/>
      </c>
      <c r="AO110" s="27" t="str">
        <f t="shared" si="123"/>
        <v/>
      </c>
      <c r="AP110" s="27" t="str">
        <f t="shared" si="124"/>
        <v/>
      </c>
      <c r="AQ110" s="27">
        <f t="shared" si="125"/>
        <v>0</v>
      </c>
      <c r="AR110" s="27">
        <f t="shared" si="126"/>
        <v>0</v>
      </c>
      <c r="AS110" s="33">
        <f t="shared" si="127"/>
        <v>0</v>
      </c>
    </row>
    <row r="111" spans="1:45" s="18" customFormat="1" ht="15.75" hidden="1" customHeight="1" x14ac:dyDescent="0.25">
      <c r="A111" s="16"/>
      <c r="B111" s="34">
        <f t="shared" ref="B111:F111" si="159">IF(B110="","",B110)</f>
        <v>10210</v>
      </c>
      <c r="C111" s="26">
        <f t="shared" si="159"/>
        <v>24</v>
      </c>
      <c r="D111" s="26">
        <f t="shared" si="159"/>
        <v>0</v>
      </c>
      <c r="E111" s="26">
        <f t="shared" si="159"/>
        <v>0</v>
      </c>
      <c r="F111" s="26">
        <f t="shared" si="159"/>
        <v>0</v>
      </c>
      <c r="G111" s="24"/>
      <c r="H111" s="24"/>
      <c r="I111" s="24"/>
      <c r="J111" s="24"/>
      <c r="K111" s="24"/>
      <c r="L111" s="24"/>
      <c r="M111" s="25"/>
      <c r="N111" s="26" t="str">
        <f t="shared" si="98"/>
        <v/>
      </c>
      <c r="O111" s="26" t="str">
        <f t="shared" si="99"/>
        <v/>
      </c>
      <c r="P111" s="26" t="str">
        <f t="shared" si="100"/>
        <v/>
      </c>
      <c r="Q111" s="26">
        <f t="shared" si="101"/>
        <v>0</v>
      </c>
      <c r="R111" s="26">
        <f t="shared" si="102"/>
        <v>0</v>
      </c>
      <c r="S111" s="26">
        <f t="shared" si="103"/>
        <v>0</v>
      </c>
      <c r="T111" s="26" t="str">
        <f t="shared" si="104"/>
        <v/>
      </c>
      <c r="U111" s="26" t="str">
        <f t="shared" si="105"/>
        <v/>
      </c>
      <c r="V111" s="26" t="str">
        <f t="shared" si="106"/>
        <v/>
      </c>
      <c r="W111" s="27" t="str">
        <f t="shared" si="107"/>
        <v/>
      </c>
      <c r="X111" s="27" t="str">
        <f t="shared" si="108"/>
        <v/>
      </c>
      <c r="Y111" s="28" t="str">
        <f t="shared" si="109"/>
        <v/>
      </c>
      <c r="Z111" s="27" t="str">
        <f t="shared" si="110"/>
        <v/>
      </c>
      <c r="AA111" s="27" t="str">
        <f t="shared" si="111"/>
        <v/>
      </c>
      <c r="AB111" s="27" t="str">
        <f t="shared" si="112"/>
        <v/>
      </c>
      <c r="AC111" s="27" t="str">
        <f t="shared" si="113"/>
        <v/>
      </c>
      <c r="AD111" s="29" t="str">
        <f t="shared" si="114"/>
        <v/>
      </c>
      <c r="AE111" s="30" t="str">
        <f t="shared" si="115"/>
        <v/>
      </c>
      <c r="AF111" s="5"/>
      <c r="AG111" s="31"/>
      <c r="AH111" s="31" t="e">
        <f t="shared" si="116"/>
        <v>#VALUE!</v>
      </c>
      <c r="AI111" s="31" t="e">
        <f t="shared" si="117"/>
        <v>#VALUE!</v>
      </c>
      <c r="AJ111" s="31" t="e">
        <f t="shared" si="118"/>
        <v>#VALUE!</v>
      </c>
      <c r="AK111" s="31" t="e">
        <f t="shared" si="119"/>
        <v>#VALUE!</v>
      </c>
      <c r="AL111" s="31" t="e">
        <f t="shared" si="120"/>
        <v>#VALUE!</v>
      </c>
      <c r="AM111" s="31" t="e">
        <f t="shared" si="121"/>
        <v>#VALUE!</v>
      </c>
      <c r="AN111" s="32" t="str">
        <f t="shared" si="122"/>
        <v/>
      </c>
      <c r="AO111" s="27" t="str">
        <f t="shared" si="123"/>
        <v/>
      </c>
      <c r="AP111" s="27" t="str">
        <f t="shared" si="124"/>
        <v/>
      </c>
      <c r="AQ111" s="27">
        <f t="shared" si="125"/>
        <v>0</v>
      </c>
      <c r="AR111" s="27">
        <f t="shared" si="126"/>
        <v>0</v>
      </c>
      <c r="AS111" s="33">
        <f t="shared" si="127"/>
        <v>0</v>
      </c>
    </row>
    <row r="112" spans="1:45" s="18" customFormat="1" ht="15.75" hidden="1" customHeight="1" x14ac:dyDescent="0.25">
      <c r="A112" s="16"/>
      <c r="B112" s="34">
        <f t="shared" ref="B112:F112" si="160">IF(B111="","",B111)</f>
        <v>10210</v>
      </c>
      <c r="C112" s="26">
        <f t="shared" si="160"/>
        <v>24</v>
      </c>
      <c r="D112" s="26">
        <f t="shared" si="160"/>
        <v>0</v>
      </c>
      <c r="E112" s="26">
        <f t="shared" si="160"/>
        <v>0</v>
      </c>
      <c r="F112" s="26">
        <f t="shared" si="160"/>
        <v>0</v>
      </c>
      <c r="G112" s="24"/>
      <c r="H112" s="24"/>
      <c r="I112" s="24"/>
      <c r="J112" s="24"/>
      <c r="K112" s="24"/>
      <c r="L112" s="24"/>
      <c r="M112" s="25"/>
      <c r="N112" s="26" t="str">
        <f t="shared" si="98"/>
        <v/>
      </c>
      <c r="O112" s="26" t="str">
        <f t="shared" si="99"/>
        <v/>
      </c>
      <c r="P112" s="26" t="str">
        <f t="shared" si="100"/>
        <v/>
      </c>
      <c r="Q112" s="26">
        <f t="shared" si="101"/>
        <v>0</v>
      </c>
      <c r="R112" s="26">
        <f t="shared" si="102"/>
        <v>0</v>
      </c>
      <c r="S112" s="26">
        <f t="shared" si="103"/>
        <v>0</v>
      </c>
      <c r="T112" s="26" t="str">
        <f t="shared" si="104"/>
        <v/>
      </c>
      <c r="U112" s="26" t="str">
        <f t="shared" si="105"/>
        <v/>
      </c>
      <c r="V112" s="26" t="str">
        <f t="shared" si="106"/>
        <v/>
      </c>
      <c r="W112" s="27" t="str">
        <f t="shared" si="107"/>
        <v/>
      </c>
      <c r="X112" s="27" t="str">
        <f t="shared" si="108"/>
        <v/>
      </c>
      <c r="Y112" s="28" t="str">
        <f t="shared" si="109"/>
        <v/>
      </c>
      <c r="Z112" s="27" t="str">
        <f t="shared" si="110"/>
        <v/>
      </c>
      <c r="AA112" s="27" t="str">
        <f t="shared" si="111"/>
        <v/>
      </c>
      <c r="AB112" s="27" t="str">
        <f t="shared" si="112"/>
        <v/>
      </c>
      <c r="AC112" s="27" t="str">
        <f t="shared" si="113"/>
        <v/>
      </c>
      <c r="AD112" s="29" t="str">
        <f t="shared" si="114"/>
        <v/>
      </c>
      <c r="AE112" s="30" t="str">
        <f t="shared" si="115"/>
        <v/>
      </c>
      <c r="AF112" s="5"/>
      <c r="AG112" s="31"/>
      <c r="AH112" s="31" t="e">
        <f t="shared" si="116"/>
        <v>#VALUE!</v>
      </c>
      <c r="AI112" s="31" t="e">
        <f t="shared" si="117"/>
        <v>#VALUE!</v>
      </c>
      <c r="AJ112" s="31" t="e">
        <f t="shared" si="118"/>
        <v>#VALUE!</v>
      </c>
      <c r="AK112" s="31" t="e">
        <f t="shared" si="119"/>
        <v>#VALUE!</v>
      </c>
      <c r="AL112" s="31" t="e">
        <f t="shared" si="120"/>
        <v>#VALUE!</v>
      </c>
      <c r="AM112" s="31" t="e">
        <f t="shared" si="121"/>
        <v>#VALUE!</v>
      </c>
      <c r="AN112" s="32" t="str">
        <f t="shared" si="122"/>
        <v/>
      </c>
      <c r="AO112" s="27" t="str">
        <f t="shared" si="123"/>
        <v/>
      </c>
      <c r="AP112" s="27" t="str">
        <f t="shared" si="124"/>
        <v/>
      </c>
      <c r="AQ112" s="27">
        <f t="shared" si="125"/>
        <v>0</v>
      </c>
      <c r="AR112" s="27">
        <f t="shared" si="126"/>
        <v>0</v>
      </c>
      <c r="AS112" s="33">
        <f t="shared" si="127"/>
        <v>0</v>
      </c>
    </row>
    <row r="113" spans="1:45" s="15" customFormat="1" ht="15.75" hidden="1" customHeight="1" x14ac:dyDescent="0.25">
      <c r="A113" s="13"/>
      <c r="B113" s="34">
        <f t="shared" ref="B113:F113" si="161">IF(B112="","",B112)</f>
        <v>10210</v>
      </c>
      <c r="C113" s="26">
        <f t="shared" si="161"/>
        <v>24</v>
      </c>
      <c r="D113" s="26">
        <f t="shared" si="161"/>
        <v>0</v>
      </c>
      <c r="E113" s="26">
        <f t="shared" si="161"/>
        <v>0</v>
      </c>
      <c r="F113" s="26">
        <f t="shared" si="161"/>
        <v>0</v>
      </c>
      <c r="G113" s="24"/>
      <c r="H113" s="24"/>
      <c r="I113" s="24"/>
      <c r="J113" s="24"/>
      <c r="K113" s="24"/>
      <c r="L113" s="24"/>
      <c r="M113" s="25"/>
      <c r="N113" s="26" t="str">
        <f t="shared" si="98"/>
        <v/>
      </c>
      <c r="O113" s="26" t="str">
        <f t="shared" si="99"/>
        <v/>
      </c>
      <c r="P113" s="26" t="str">
        <f t="shared" si="100"/>
        <v/>
      </c>
      <c r="Q113" s="26">
        <f t="shared" si="101"/>
        <v>0</v>
      </c>
      <c r="R113" s="26">
        <f t="shared" si="102"/>
        <v>0</v>
      </c>
      <c r="S113" s="26">
        <f t="shared" si="103"/>
        <v>0</v>
      </c>
      <c r="T113" s="26" t="str">
        <f t="shared" si="104"/>
        <v/>
      </c>
      <c r="U113" s="26" t="str">
        <f t="shared" si="105"/>
        <v/>
      </c>
      <c r="V113" s="26" t="str">
        <f t="shared" si="106"/>
        <v/>
      </c>
      <c r="W113" s="27" t="str">
        <f t="shared" si="107"/>
        <v/>
      </c>
      <c r="X113" s="27" t="str">
        <f t="shared" si="108"/>
        <v/>
      </c>
      <c r="Y113" s="28" t="str">
        <f t="shared" si="109"/>
        <v/>
      </c>
      <c r="Z113" s="27" t="str">
        <f t="shared" si="110"/>
        <v/>
      </c>
      <c r="AA113" s="27" t="str">
        <f t="shared" si="111"/>
        <v/>
      </c>
      <c r="AB113" s="27" t="str">
        <f t="shared" si="112"/>
        <v/>
      </c>
      <c r="AC113" s="27" t="str">
        <f t="shared" si="113"/>
        <v/>
      </c>
      <c r="AD113" s="29" t="str">
        <f t="shared" si="114"/>
        <v/>
      </c>
      <c r="AE113" s="30" t="str">
        <f t="shared" si="115"/>
        <v/>
      </c>
      <c r="AF113" s="5"/>
      <c r="AG113" s="31"/>
      <c r="AH113" s="31" t="e">
        <f t="shared" si="116"/>
        <v>#VALUE!</v>
      </c>
      <c r="AI113" s="31" t="e">
        <f t="shared" si="117"/>
        <v>#VALUE!</v>
      </c>
      <c r="AJ113" s="31" t="e">
        <f t="shared" si="118"/>
        <v>#VALUE!</v>
      </c>
      <c r="AK113" s="31" t="e">
        <f t="shared" si="119"/>
        <v>#VALUE!</v>
      </c>
      <c r="AL113" s="31" t="e">
        <f t="shared" si="120"/>
        <v>#VALUE!</v>
      </c>
      <c r="AM113" s="31" t="e">
        <f t="shared" si="121"/>
        <v>#VALUE!</v>
      </c>
      <c r="AN113" s="32" t="str">
        <f t="shared" si="122"/>
        <v/>
      </c>
      <c r="AO113" s="27" t="str">
        <f t="shared" si="123"/>
        <v/>
      </c>
      <c r="AP113" s="27" t="str">
        <f t="shared" si="124"/>
        <v/>
      </c>
      <c r="AQ113" s="27">
        <f t="shared" si="125"/>
        <v>0</v>
      </c>
      <c r="AR113" s="27">
        <f t="shared" si="126"/>
        <v>0</v>
      </c>
      <c r="AS113" s="33">
        <f t="shared" si="127"/>
        <v>0</v>
      </c>
    </row>
    <row r="114" spans="1:45" ht="15.75" hidden="1" customHeight="1" x14ac:dyDescent="0.25">
      <c r="A114" s="4"/>
      <c r="B114" s="34">
        <f t="shared" ref="B114:F114" si="162">IF(B113="","",B113)</f>
        <v>10210</v>
      </c>
      <c r="C114" s="26">
        <f t="shared" si="162"/>
        <v>24</v>
      </c>
      <c r="D114" s="26">
        <f t="shared" si="162"/>
        <v>0</v>
      </c>
      <c r="E114" s="26">
        <f t="shared" si="162"/>
        <v>0</v>
      </c>
      <c r="F114" s="26">
        <f t="shared" si="162"/>
        <v>0</v>
      </c>
      <c r="G114" s="24"/>
      <c r="H114" s="24"/>
      <c r="I114" s="24"/>
      <c r="J114" s="24"/>
      <c r="K114" s="24"/>
      <c r="L114" s="24"/>
      <c r="M114" s="25"/>
      <c r="N114" s="26" t="str">
        <f t="shared" si="98"/>
        <v/>
      </c>
      <c r="O114" s="26" t="str">
        <f t="shared" si="99"/>
        <v/>
      </c>
      <c r="P114" s="26" t="str">
        <f t="shared" si="100"/>
        <v/>
      </c>
      <c r="Q114" s="26">
        <f t="shared" si="101"/>
        <v>0</v>
      </c>
      <c r="R114" s="26">
        <f t="shared" si="102"/>
        <v>0</v>
      </c>
      <c r="S114" s="26">
        <f t="shared" si="103"/>
        <v>0</v>
      </c>
      <c r="T114" s="26" t="str">
        <f t="shared" si="104"/>
        <v/>
      </c>
      <c r="U114" s="26" t="str">
        <f t="shared" si="105"/>
        <v/>
      </c>
      <c r="V114" s="26" t="str">
        <f t="shared" si="106"/>
        <v/>
      </c>
      <c r="W114" s="27" t="str">
        <f t="shared" si="107"/>
        <v/>
      </c>
      <c r="X114" s="27" t="str">
        <f t="shared" si="108"/>
        <v/>
      </c>
      <c r="Y114" s="28" t="str">
        <f t="shared" si="109"/>
        <v/>
      </c>
      <c r="Z114" s="27" t="str">
        <f t="shared" si="110"/>
        <v/>
      </c>
      <c r="AA114" s="27" t="str">
        <f t="shared" si="111"/>
        <v/>
      </c>
      <c r="AB114" s="27" t="str">
        <f t="shared" si="112"/>
        <v/>
      </c>
      <c r="AC114" s="27" t="str">
        <f t="shared" si="113"/>
        <v/>
      </c>
      <c r="AD114" s="29" t="str">
        <f t="shared" si="114"/>
        <v/>
      </c>
      <c r="AE114" s="30" t="str">
        <f t="shared" si="115"/>
        <v/>
      </c>
      <c r="AG114" s="31"/>
      <c r="AH114" s="31" t="e">
        <f t="shared" si="116"/>
        <v>#VALUE!</v>
      </c>
      <c r="AI114" s="31" t="e">
        <f t="shared" si="117"/>
        <v>#VALUE!</v>
      </c>
      <c r="AJ114" s="31" t="e">
        <f t="shared" si="118"/>
        <v>#VALUE!</v>
      </c>
      <c r="AK114" s="31" t="e">
        <f t="shared" si="119"/>
        <v>#VALUE!</v>
      </c>
      <c r="AL114" s="31" t="e">
        <f t="shared" si="120"/>
        <v>#VALUE!</v>
      </c>
      <c r="AM114" s="31" t="e">
        <f t="shared" si="121"/>
        <v>#VALUE!</v>
      </c>
      <c r="AN114" s="32" t="str">
        <f t="shared" si="122"/>
        <v/>
      </c>
      <c r="AO114" s="27" t="str">
        <f t="shared" si="123"/>
        <v/>
      </c>
      <c r="AP114" s="27" t="str">
        <f t="shared" si="124"/>
        <v/>
      </c>
      <c r="AQ114" s="27">
        <f t="shared" si="125"/>
        <v>0</v>
      </c>
      <c r="AR114" s="27">
        <f t="shared" si="126"/>
        <v>0</v>
      </c>
      <c r="AS114" s="33">
        <f t="shared" si="127"/>
        <v>0</v>
      </c>
    </row>
    <row r="115" spans="1:45" ht="15.75" hidden="1" customHeight="1" x14ac:dyDescent="0.25">
      <c r="A115" s="4"/>
      <c r="B115" s="34">
        <f t="shared" ref="B115:F115" si="163">IF(B114="","",B114)</f>
        <v>10210</v>
      </c>
      <c r="C115" s="26">
        <f t="shared" si="163"/>
        <v>24</v>
      </c>
      <c r="D115" s="26">
        <f t="shared" si="163"/>
        <v>0</v>
      </c>
      <c r="E115" s="26">
        <f t="shared" si="163"/>
        <v>0</v>
      </c>
      <c r="F115" s="26">
        <f t="shared" si="163"/>
        <v>0</v>
      </c>
      <c r="G115" s="24"/>
      <c r="H115" s="24"/>
      <c r="I115" s="24"/>
      <c r="J115" s="24"/>
      <c r="K115" s="24"/>
      <c r="L115" s="24"/>
      <c r="M115" s="25"/>
      <c r="N115" s="26" t="str">
        <f t="shared" si="98"/>
        <v/>
      </c>
      <c r="O115" s="26" t="str">
        <f t="shared" si="99"/>
        <v/>
      </c>
      <c r="P115" s="26" t="str">
        <f t="shared" si="100"/>
        <v/>
      </c>
      <c r="Q115" s="26">
        <f t="shared" si="101"/>
        <v>0</v>
      </c>
      <c r="R115" s="26">
        <f t="shared" si="102"/>
        <v>0</v>
      </c>
      <c r="S115" s="26">
        <f t="shared" si="103"/>
        <v>0</v>
      </c>
      <c r="T115" s="26" t="str">
        <f t="shared" si="104"/>
        <v/>
      </c>
      <c r="U115" s="26" t="str">
        <f t="shared" si="105"/>
        <v/>
      </c>
      <c r="V115" s="26" t="str">
        <f t="shared" si="106"/>
        <v/>
      </c>
      <c r="W115" s="27" t="str">
        <f t="shared" si="107"/>
        <v/>
      </c>
      <c r="X115" s="27" t="str">
        <f t="shared" si="108"/>
        <v/>
      </c>
      <c r="Y115" s="28" t="str">
        <f t="shared" si="109"/>
        <v/>
      </c>
      <c r="Z115" s="27" t="str">
        <f t="shared" si="110"/>
        <v/>
      </c>
      <c r="AA115" s="27" t="str">
        <f t="shared" si="111"/>
        <v/>
      </c>
      <c r="AB115" s="27" t="str">
        <f t="shared" si="112"/>
        <v/>
      </c>
      <c r="AC115" s="27" t="str">
        <f t="shared" si="113"/>
        <v/>
      </c>
      <c r="AD115" s="29" t="str">
        <f t="shared" si="114"/>
        <v/>
      </c>
      <c r="AE115" s="30" t="str">
        <f t="shared" si="115"/>
        <v/>
      </c>
      <c r="AG115" s="31"/>
      <c r="AH115" s="31" t="e">
        <f t="shared" si="116"/>
        <v>#VALUE!</v>
      </c>
      <c r="AI115" s="31" t="e">
        <f t="shared" si="117"/>
        <v>#VALUE!</v>
      </c>
      <c r="AJ115" s="31" t="e">
        <f t="shared" si="118"/>
        <v>#VALUE!</v>
      </c>
      <c r="AK115" s="31" t="e">
        <f t="shared" si="119"/>
        <v>#VALUE!</v>
      </c>
      <c r="AL115" s="31" t="e">
        <f t="shared" si="120"/>
        <v>#VALUE!</v>
      </c>
      <c r="AM115" s="31" t="e">
        <f t="shared" si="121"/>
        <v>#VALUE!</v>
      </c>
      <c r="AN115" s="32" t="str">
        <f t="shared" si="122"/>
        <v/>
      </c>
      <c r="AO115" s="27" t="str">
        <f t="shared" si="123"/>
        <v/>
      </c>
      <c r="AP115" s="27" t="str">
        <f t="shared" si="124"/>
        <v/>
      </c>
      <c r="AQ115" s="27">
        <f t="shared" si="125"/>
        <v>0</v>
      </c>
      <c r="AR115" s="27">
        <f t="shared" si="126"/>
        <v>0</v>
      </c>
      <c r="AS115" s="33">
        <f t="shared" si="127"/>
        <v>0</v>
      </c>
    </row>
    <row r="116" spans="1:45" ht="15.75" hidden="1" customHeight="1" x14ac:dyDescent="0.25">
      <c r="A116" s="4"/>
      <c r="B116" s="34">
        <f>IF(B115="","",B115)</f>
        <v>10210</v>
      </c>
      <c r="C116" s="26">
        <f t="shared" ref="C116:F116" si="164">IF(C115="","",C115)</f>
        <v>24</v>
      </c>
      <c r="D116" s="26">
        <f t="shared" si="164"/>
        <v>0</v>
      </c>
      <c r="E116" s="26">
        <f t="shared" si="164"/>
        <v>0</v>
      </c>
      <c r="F116" s="26">
        <f t="shared" si="164"/>
        <v>0</v>
      </c>
      <c r="G116" s="24"/>
      <c r="H116" s="24"/>
      <c r="I116" s="24"/>
      <c r="J116" s="24"/>
      <c r="K116" s="24"/>
      <c r="L116" s="24"/>
      <c r="M116" s="25"/>
      <c r="N116" s="26" t="str">
        <f t="shared" si="98"/>
        <v/>
      </c>
      <c r="O116" s="26" t="str">
        <f t="shared" si="99"/>
        <v/>
      </c>
      <c r="P116" s="26" t="str">
        <f t="shared" si="100"/>
        <v/>
      </c>
      <c r="Q116" s="26">
        <f t="shared" si="101"/>
        <v>0</v>
      </c>
      <c r="R116" s="26">
        <f t="shared" si="102"/>
        <v>0</v>
      </c>
      <c r="S116" s="26">
        <f t="shared" si="103"/>
        <v>0</v>
      </c>
      <c r="T116" s="26" t="str">
        <f t="shared" si="104"/>
        <v/>
      </c>
      <c r="U116" s="26" t="str">
        <f t="shared" si="105"/>
        <v/>
      </c>
      <c r="V116" s="26" t="str">
        <f t="shared" si="106"/>
        <v/>
      </c>
      <c r="W116" s="27" t="str">
        <f t="shared" si="107"/>
        <v/>
      </c>
      <c r="X116" s="27" t="str">
        <f t="shared" si="108"/>
        <v/>
      </c>
      <c r="Y116" s="28" t="str">
        <f t="shared" si="109"/>
        <v/>
      </c>
      <c r="Z116" s="27" t="str">
        <f t="shared" si="110"/>
        <v/>
      </c>
      <c r="AA116" s="27" t="str">
        <f t="shared" si="111"/>
        <v/>
      </c>
      <c r="AB116" s="27" t="str">
        <f t="shared" si="112"/>
        <v/>
      </c>
      <c r="AC116" s="27" t="str">
        <f t="shared" si="113"/>
        <v/>
      </c>
      <c r="AD116" s="29" t="str">
        <f t="shared" si="114"/>
        <v/>
      </c>
      <c r="AE116" s="30" t="str">
        <f t="shared" si="115"/>
        <v/>
      </c>
      <c r="AG116" s="31"/>
      <c r="AH116" s="31" t="e">
        <f t="shared" si="116"/>
        <v>#VALUE!</v>
      </c>
      <c r="AI116" s="31" t="e">
        <f t="shared" si="117"/>
        <v>#VALUE!</v>
      </c>
      <c r="AJ116" s="31" t="e">
        <f t="shared" si="118"/>
        <v>#VALUE!</v>
      </c>
      <c r="AK116" s="31" t="e">
        <f t="shared" si="119"/>
        <v>#VALUE!</v>
      </c>
      <c r="AL116" s="31" t="e">
        <f t="shared" si="120"/>
        <v>#VALUE!</v>
      </c>
      <c r="AM116" s="31" t="e">
        <f t="shared" si="121"/>
        <v>#VALUE!</v>
      </c>
      <c r="AN116" s="32" t="str">
        <f t="shared" si="122"/>
        <v/>
      </c>
      <c r="AO116" s="27" t="str">
        <f t="shared" si="123"/>
        <v/>
      </c>
      <c r="AP116" s="27" t="str">
        <f t="shared" si="124"/>
        <v/>
      </c>
      <c r="AQ116" s="27">
        <f t="shared" si="125"/>
        <v>0</v>
      </c>
      <c r="AR116" s="27">
        <f t="shared" si="126"/>
        <v>0</v>
      </c>
      <c r="AS116" s="33">
        <f t="shared" si="127"/>
        <v>0</v>
      </c>
    </row>
    <row r="117" spans="1:45" ht="15.75" hidden="1" customHeight="1" x14ac:dyDescent="0.25">
      <c r="A117" s="4"/>
      <c r="B117" s="34">
        <f t="shared" ref="B117:F117" si="165">IF(B116="","",B116)</f>
        <v>10210</v>
      </c>
      <c r="C117" s="26">
        <f t="shared" si="165"/>
        <v>24</v>
      </c>
      <c r="D117" s="26">
        <f t="shared" si="165"/>
        <v>0</v>
      </c>
      <c r="E117" s="26">
        <f t="shared" si="165"/>
        <v>0</v>
      </c>
      <c r="F117" s="26">
        <f t="shared" si="165"/>
        <v>0</v>
      </c>
      <c r="G117" s="24"/>
      <c r="H117" s="24"/>
      <c r="I117" s="24"/>
      <c r="J117" s="24"/>
      <c r="K117" s="24"/>
      <c r="L117" s="24"/>
      <c r="M117" s="25"/>
      <c r="N117" s="26" t="str">
        <f t="shared" si="98"/>
        <v/>
      </c>
      <c r="O117" s="26" t="str">
        <f t="shared" si="99"/>
        <v/>
      </c>
      <c r="P117" s="26" t="str">
        <f t="shared" si="100"/>
        <v/>
      </c>
      <c r="Q117" s="26">
        <f t="shared" si="101"/>
        <v>0</v>
      </c>
      <c r="R117" s="26">
        <f t="shared" si="102"/>
        <v>0</v>
      </c>
      <c r="S117" s="26">
        <f t="shared" si="103"/>
        <v>0</v>
      </c>
      <c r="T117" s="26" t="str">
        <f t="shared" si="104"/>
        <v/>
      </c>
      <c r="U117" s="26" t="str">
        <f t="shared" si="105"/>
        <v/>
      </c>
      <c r="V117" s="26" t="str">
        <f t="shared" si="106"/>
        <v/>
      </c>
      <c r="W117" s="27" t="str">
        <f t="shared" si="107"/>
        <v/>
      </c>
      <c r="X117" s="27" t="str">
        <f t="shared" si="108"/>
        <v/>
      </c>
      <c r="Y117" s="28" t="str">
        <f t="shared" si="109"/>
        <v/>
      </c>
      <c r="Z117" s="27" t="str">
        <f t="shared" si="110"/>
        <v/>
      </c>
      <c r="AA117" s="27" t="str">
        <f t="shared" si="111"/>
        <v/>
      </c>
      <c r="AB117" s="27" t="str">
        <f t="shared" si="112"/>
        <v/>
      </c>
      <c r="AC117" s="27" t="str">
        <f t="shared" si="113"/>
        <v/>
      </c>
      <c r="AD117" s="29" t="str">
        <f t="shared" si="114"/>
        <v/>
      </c>
      <c r="AE117" s="30" t="str">
        <f t="shared" si="115"/>
        <v/>
      </c>
      <c r="AG117" s="31"/>
      <c r="AH117" s="31" t="e">
        <f t="shared" si="116"/>
        <v>#VALUE!</v>
      </c>
      <c r="AI117" s="31" t="e">
        <f t="shared" si="117"/>
        <v>#VALUE!</v>
      </c>
      <c r="AJ117" s="31" t="e">
        <f t="shared" si="118"/>
        <v>#VALUE!</v>
      </c>
      <c r="AK117" s="31" t="e">
        <f t="shared" si="119"/>
        <v>#VALUE!</v>
      </c>
      <c r="AL117" s="31" t="e">
        <f t="shared" si="120"/>
        <v>#VALUE!</v>
      </c>
      <c r="AM117" s="31" t="e">
        <f t="shared" si="121"/>
        <v>#VALUE!</v>
      </c>
      <c r="AN117" s="32" t="str">
        <f t="shared" si="122"/>
        <v/>
      </c>
      <c r="AO117" s="27" t="str">
        <f t="shared" si="123"/>
        <v/>
      </c>
      <c r="AP117" s="27" t="str">
        <f t="shared" si="124"/>
        <v/>
      </c>
      <c r="AQ117" s="27">
        <f t="shared" si="125"/>
        <v>0</v>
      </c>
      <c r="AR117" s="27">
        <f t="shared" si="126"/>
        <v>0</v>
      </c>
      <c r="AS117" s="33">
        <f t="shared" si="127"/>
        <v>0</v>
      </c>
    </row>
    <row r="118" spans="1:45" ht="15.75" hidden="1" customHeight="1" x14ac:dyDescent="0.25">
      <c r="A118" s="4"/>
      <c r="B118" s="34">
        <f t="shared" ref="B118:F118" si="166">IF(B117="","",B117)</f>
        <v>10210</v>
      </c>
      <c r="C118" s="26">
        <f t="shared" si="166"/>
        <v>24</v>
      </c>
      <c r="D118" s="26">
        <f t="shared" si="166"/>
        <v>0</v>
      </c>
      <c r="E118" s="26">
        <f t="shared" si="166"/>
        <v>0</v>
      </c>
      <c r="F118" s="26">
        <f t="shared" si="166"/>
        <v>0</v>
      </c>
      <c r="G118" s="24"/>
      <c r="H118" s="24"/>
      <c r="I118" s="24"/>
      <c r="J118" s="24"/>
      <c r="K118" s="24"/>
      <c r="L118" s="24"/>
      <c r="M118" s="25"/>
      <c r="N118" s="26" t="str">
        <f t="shared" si="98"/>
        <v/>
      </c>
      <c r="O118" s="26" t="str">
        <f t="shared" si="99"/>
        <v/>
      </c>
      <c r="P118" s="26" t="str">
        <f t="shared" si="100"/>
        <v/>
      </c>
      <c r="Q118" s="26">
        <f t="shared" si="101"/>
        <v>0</v>
      </c>
      <c r="R118" s="26">
        <f t="shared" si="102"/>
        <v>0</v>
      </c>
      <c r="S118" s="26">
        <f t="shared" si="103"/>
        <v>0</v>
      </c>
      <c r="T118" s="26" t="str">
        <f t="shared" si="104"/>
        <v/>
      </c>
      <c r="U118" s="26" t="str">
        <f t="shared" si="105"/>
        <v/>
      </c>
      <c r="V118" s="26" t="str">
        <f t="shared" si="106"/>
        <v/>
      </c>
      <c r="W118" s="27" t="str">
        <f t="shared" si="107"/>
        <v/>
      </c>
      <c r="X118" s="27" t="str">
        <f t="shared" si="108"/>
        <v/>
      </c>
      <c r="Y118" s="28" t="str">
        <f t="shared" si="109"/>
        <v/>
      </c>
      <c r="Z118" s="27" t="str">
        <f t="shared" si="110"/>
        <v/>
      </c>
      <c r="AA118" s="27" t="str">
        <f t="shared" si="111"/>
        <v/>
      </c>
      <c r="AB118" s="27" t="str">
        <f t="shared" si="112"/>
        <v/>
      </c>
      <c r="AC118" s="27" t="str">
        <f t="shared" si="113"/>
        <v/>
      </c>
      <c r="AD118" s="29" t="str">
        <f t="shared" si="114"/>
        <v/>
      </c>
      <c r="AE118" s="30" t="str">
        <f t="shared" si="115"/>
        <v/>
      </c>
      <c r="AG118" s="31"/>
      <c r="AH118" s="31" t="e">
        <f t="shared" si="116"/>
        <v>#VALUE!</v>
      </c>
      <c r="AI118" s="31" t="e">
        <f t="shared" si="117"/>
        <v>#VALUE!</v>
      </c>
      <c r="AJ118" s="31" t="e">
        <f t="shared" si="118"/>
        <v>#VALUE!</v>
      </c>
      <c r="AK118" s="31" t="e">
        <f t="shared" si="119"/>
        <v>#VALUE!</v>
      </c>
      <c r="AL118" s="31" t="e">
        <f t="shared" si="120"/>
        <v>#VALUE!</v>
      </c>
      <c r="AM118" s="31" t="e">
        <f t="shared" si="121"/>
        <v>#VALUE!</v>
      </c>
      <c r="AN118" s="32" t="str">
        <f t="shared" si="122"/>
        <v/>
      </c>
      <c r="AO118" s="27" t="str">
        <f t="shared" si="123"/>
        <v/>
      </c>
      <c r="AP118" s="27" t="str">
        <f t="shared" si="124"/>
        <v/>
      </c>
      <c r="AQ118" s="27">
        <f t="shared" si="125"/>
        <v>0</v>
      </c>
      <c r="AR118" s="27">
        <f t="shared" si="126"/>
        <v>0</v>
      </c>
      <c r="AS118" s="33">
        <f t="shared" si="127"/>
        <v>0</v>
      </c>
    </row>
    <row r="119" spans="1:45" ht="15.75" hidden="1" customHeight="1" x14ac:dyDescent="0.25">
      <c r="A119" s="4"/>
      <c r="B119" s="34">
        <f t="shared" ref="B119:F119" si="167">IF(B118="","",B118)</f>
        <v>10210</v>
      </c>
      <c r="C119" s="26">
        <f t="shared" si="167"/>
        <v>24</v>
      </c>
      <c r="D119" s="26">
        <f t="shared" si="167"/>
        <v>0</v>
      </c>
      <c r="E119" s="26">
        <f t="shared" si="167"/>
        <v>0</v>
      </c>
      <c r="F119" s="26">
        <f t="shared" si="167"/>
        <v>0</v>
      </c>
      <c r="G119" s="24"/>
      <c r="H119" s="24"/>
      <c r="I119" s="24"/>
      <c r="J119" s="24"/>
      <c r="K119" s="24"/>
      <c r="L119" s="24"/>
      <c r="M119" s="25"/>
      <c r="N119" s="26" t="str">
        <f t="shared" si="98"/>
        <v/>
      </c>
      <c r="O119" s="26" t="str">
        <f t="shared" si="99"/>
        <v/>
      </c>
      <c r="P119" s="26" t="str">
        <f t="shared" si="100"/>
        <v/>
      </c>
      <c r="Q119" s="26">
        <f t="shared" si="101"/>
        <v>0</v>
      </c>
      <c r="R119" s="26">
        <f t="shared" si="102"/>
        <v>0</v>
      </c>
      <c r="S119" s="26">
        <f t="shared" si="103"/>
        <v>0</v>
      </c>
      <c r="T119" s="26" t="str">
        <f t="shared" si="104"/>
        <v/>
      </c>
      <c r="U119" s="26" t="str">
        <f t="shared" si="105"/>
        <v/>
      </c>
      <c r="V119" s="26" t="str">
        <f t="shared" si="106"/>
        <v/>
      </c>
      <c r="W119" s="27" t="str">
        <f t="shared" si="107"/>
        <v/>
      </c>
      <c r="X119" s="27" t="str">
        <f t="shared" si="108"/>
        <v/>
      </c>
      <c r="Y119" s="28" t="str">
        <f t="shared" si="109"/>
        <v/>
      </c>
      <c r="Z119" s="27" t="str">
        <f t="shared" si="110"/>
        <v/>
      </c>
      <c r="AA119" s="27" t="str">
        <f t="shared" si="111"/>
        <v/>
      </c>
      <c r="AB119" s="27" t="str">
        <f t="shared" si="112"/>
        <v/>
      </c>
      <c r="AC119" s="27" t="str">
        <f t="shared" si="113"/>
        <v/>
      </c>
      <c r="AD119" s="29" t="str">
        <f t="shared" si="114"/>
        <v/>
      </c>
      <c r="AE119" s="30" t="str">
        <f t="shared" si="115"/>
        <v/>
      </c>
      <c r="AG119" s="31"/>
      <c r="AH119" s="31" t="e">
        <f t="shared" si="116"/>
        <v>#VALUE!</v>
      </c>
      <c r="AI119" s="31" t="e">
        <f t="shared" si="117"/>
        <v>#VALUE!</v>
      </c>
      <c r="AJ119" s="31" t="e">
        <f t="shared" si="118"/>
        <v>#VALUE!</v>
      </c>
      <c r="AK119" s="31" t="e">
        <f t="shared" si="119"/>
        <v>#VALUE!</v>
      </c>
      <c r="AL119" s="31" t="e">
        <f t="shared" si="120"/>
        <v>#VALUE!</v>
      </c>
      <c r="AM119" s="31" t="e">
        <f t="shared" si="121"/>
        <v>#VALUE!</v>
      </c>
      <c r="AN119" s="32" t="str">
        <f t="shared" si="122"/>
        <v/>
      </c>
      <c r="AO119" s="27" t="str">
        <f t="shared" si="123"/>
        <v/>
      </c>
      <c r="AP119" s="27" t="str">
        <f t="shared" si="124"/>
        <v/>
      </c>
      <c r="AQ119" s="27">
        <f t="shared" si="125"/>
        <v>0</v>
      </c>
      <c r="AR119" s="27">
        <f t="shared" si="126"/>
        <v>0</v>
      </c>
      <c r="AS119" s="33">
        <f t="shared" si="127"/>
        <v>0</v>
      </c>
    </row>
    <row r="120" spans="1:45" ht="15.75" hidden="1" customHeight="1" x14ac:dyDescent="0.25">
      <c r="A120" s="4"/>
      <c r="B120" s="34">
        <f t="shared" ref="B120:F120" si="168">IF(B119="","",B119)</f>
        <v>10210</v>
      </c>
      <c r="C120" s="26">
        <f t="shared" si="168"/>
        <v>24</v>
      </c>
      <c r="D120" s="26">
        <f t="shared" si="168"/>
        <v>0</v>
      </c>
      <c r="E120" s="26">
        <f t="shared" si="168"/>
        <v>0</v>
      </c>
      <c r="F120" s="26">
        <f t="shared" si="168"/>
        <v>0</v>
      </c>
      <c r="G120" s="24"/>
      <c r="H120" s="24"/>
      <c r="I120" s="24"/>
      <c r="J120" s="24"/>
      <c r="K120" s="24"/>
      <c r="L120" s="24"/>
      <c r="M120" s="25"/>
      <c r="N120" s="26" t="str">
        <f t="shared" si="98"/>
        <v/>
      </c>
      <c r="O120" s="26" t="str">
        <f t="shared" si="99"/>
        <v/>
      </c>
      <c r="P120" s="26" t="str">
        <f t="shared" si="100"/>
        <v/>
      </c>
      <c r="Q120" s="26">
        <f t="shared" si="101"/>
        <v>0</v>
      </c>
      <c r="R120" s="26">
        <f t="shared" si="102"/>
        <v>0</v>
      </c>
      <c r="S120" s="26">
        <f t="shared" si="103"/>
        <v>0</v>
      </c>
      <c r="T120" s="26" t="str">
        <f t="shared" si="104"/>
        <v/>
      </c>
      <c r="U120" s="26" t="str">
        <f t="shared" si="105"/>
        <v/>
      </c>
      <c r="V120" s="26" t="str">
        <f t="shared" si="106"/>
        <v/>
      </c>
      <c r="W120" s="27" t="str">
        <f t="shared" si="107"/>
        <v/>
      </c>
      <c r="X120" s="27" t="str">
        <f t="shared" si="108"/>
        <v/>
      </c>
      <c r="Y120" s="28" t="str">
        <f t="shared" si="109"/>
        <v/>
      </c>
      <c r="Z120" s="27" t="str">
        <f t="shared" si="110"/>
        <v/>
      </c>
      <c r="AA120" s="27" t="str">
        <f t="shared" si="111"/>
        <v/>
      </c>
      <c r="AB120" s="27" t="str">
        <f t="shared" si="112"/>
        <v/>
      </c>
      <c r="AC120" s="27" t="str">
        <f t="shared" si="113"/>
        <v/>
      </c>
      <c r="AD120" s="29" t="str">
        <f t="shared" si="114"/>
        <v/>
      </c>
      <c r="AE120" s="30" t="str">
        <f t="shared" si="115"/>
        <v/>
      </c>
      <c r="AG120" s="31"/>
      <c r="AH120" s="31" t="e">
        <f t="shared" si="116"/>
        <v>#VALUE!</v>
      </c>
      <c r="AI120" s="31" t="e">
        <f t="shared" si="117"/>
        <v>#VALUE!</v>
      </c>
      <c r="AJ120" s="31" t="e">
        <f t="shared" si="118"/>
        <v>#VALUE!</v>
      </c>
      <c r="AK120" s="31" t="e">
        <f t="shared" si="119"/>
        <v>#VALUE!</v>
      </c>
      <c r="AL120" s="31" t="e">
        <f t="shared" si="120"/>
        <v>#VALUE!</v>
      </c>
      <c r="AM120" s="31" t="e">
        <f t="shared" si="121"/>
        <v>#VALUE!</v>
      </c>
      <c r="AN120" s="32" t="str">
        <f t="shared" si="122"/>
        <v/>
      </c>
      <c r="AO120" s="27" t="str">
        <f t="shared" si="123"/>
        <v/>
      </c>
      <c r="AP120" s="27" t="str">
        <f t="shared" si="124"/>
        <v/>
      </c>
      <c r="AQ120" s="27">
        <f t="shared" si="125"/>
        <v>0</v>
      </c>
      <c r="AR120" s="27">
        <f t="shared" si="126"/>
        <v>0</v>
      </c>
      <c r="AS120" s="33">
        <f t="shared" si="127"/>
        <v>0</v>
      </c>
    </row>
    <row r="121" spans="1:45" ht="15.75" hidden="1" customHeight="1" x14ac:dyDescent="0.25">
      <c r="A121" s="4"/>
      <c r="B121" s="34">
        <f t="shared" ref="B121:F121" si="169">IF(B120="","",B120)</f>
        <v>10210</v>
      </c>
      <c r="C121" s="26">
        <f t="shared" si="169"/>
        <v>24</v>
      </c>
      <c r="D121" s="26">
        <f t="shared" si="169"/>
        <v>0</v>
      </c>
      <c r="E121" s="26">
        <f t="shared" si="169"/>
        <v>0</v>
      </c>
      <c r="F121" s="26">
        <f t="shared" si="169"/>
        <v>0</v>
      </c>
      <c r="G121" s="24"/>
      <c r="H121" s="24"/>
      <c r="I121" s="24"/>
      <c r="J121" s="24"/>
      <c r="K121" s="24"/>
      <c r="L121" s="24"/>
      <c r="M121" s="25"/>
      <c r="N121" s="26" t="str">
        <f t="shared" si="98"/>
        <v/>
      </c>
      <c r="O121" s="26" t="str">
        <f t="shared" si="99"/>
        <v/>
      </c>
      <c r="P121" s="26" t="str">
        <f t="shared" si="100"/>
        <v/>
      </c>
      <c r="Q121" s="26">
        <f t="shared" si="101"/>
        <v>0</v>
      </c>
      <c r="R121" s="26">
        <f t="shared" si="102"/>
        <v>0</v>
      </c>
      <c r="S121" s="26">
        <f t="shared" si="103"/>
        <v>0</v>
      </c>
      <c r="T121" s="26" t="str">
        <f t="shared" si="104"/>
        <v/>
      </c>
      <c r="U121" s="26" t="str">
        <f t="shared" si="105"/>
        <v/>
      </c>
      <c r="V121" s="26" t="str">
        <f t="shared" si="106"/>
        <v/>
      </c>
      <c r="W121" s="27" t="str">
        <f t="shared" si="107"/>
        <v/>
      </c>
      <c r="X121" s="27" t="str">
        <f t="shared" si="108"/>
        <v/>
      </c>
      <c r="Y121" s="28" t="str">
        <f t="shared" si="109"/>
        <v/>
      </c>
      <c r="Z121" s="27" t="str">
        <f t="shared" si="110"/>
        <v/>
      </c>
      <c r="AA121" s="27" t="str">
        <f t="shared" si="111"/>
        <v/>
      </c>
      <c r="AB121" s="27" t="str">
        <f t="shared" si="112"/>
        <v/>
      </c>
      <c r="AC121" s="27" t="str">
        <f t="shared" si="113"/>
        <v/>
      </c>
      <c r="AD121" s="29" t="str">
        <f t="shared" si="114"/>
        <v/>
      </c>
      <c r="AE121" s="30" t="str">
        <f t="shared" si="115"/>
        <v/>
      </c>
      <c r="AG121" s="31"/>
      <c r="AH121" s="31" t="e">
        <f t="shared" si="116"/>
        <v>#VALUE!</v>
      </c>
      <c r="AI121" s="31" t="e">
        <f t="shared" si="117"/>
        <v>#VALUE!</v>
      </c>
      <c r="AJ121" s="31" t="e">
        <f t="shared" si="118"/>
        <v>#VALUE!</v>
      </c>
      <c r="AK121" s="31" t="e">
        <f t="shared" si="119"/>
        <v>#VALUE!</v>
      </c>
      <c r="AL121" s="31" t="e">
        <f t="shared" si="120"/>
        <v>#VALUE!</v>
      </c>
      <c r="AM121" s="31" t="e">
        <f t="shared" si="121"/>
        <v>#VALUE!</v>
      </c>
      <c r="AN121" s="32" t="str">
        <f t="shared" si="122"/>
        <v/>
      </c>
      <c r="AO121" s="27" t="str">
        <f t="shared" si="123"/>
        <v/>
      </c>
      <c r="AP121" s="27" t="str">
        <f t="shared" si="124"/>
        <v/>
      </c>
      <c r="AQ121" s="27">
        <f t="shared" si="125"/>
        <v>0</v>
      </c>
      <c r="AR121" s="27">
        <f t="shared" si="126"/>
        <v>0</v>
      </c>
      <c r="AS121" s="33">
        <f t="shared" si="127"/>
        <v>0</v>
      </c>
    </row>
    <row r="122" spans="1:45" ht="15.75" hidden="1" customHeight="1" x14ac:dyDescent="0.25">
      <c r="A122" s="4"/>
      <c r="B122" s="34">
        <f t="shared" ref="B122:F122" si="170">IF(B121="","",B121)</f>
        <v>10210</v>
      </c>
      <c r="C122" s="26">
        <f t="shared" si="170"/>
        <v>24</v>
      </c>
      <c r="D122" s="26">
        <f t="shared" si="170"/>
        <v>0</v>
      </c>
      <c r="E122" s="26">
        <f t="shared" si="170"/>
        <v>0</v>
      </c>
      <c r="F122" s="26">
        <f t="shared" si="170"/>
        <v>0</v>
      </c>
      <c r="G122" s="24"/>
      <c r="H122" s="24"/>
      <c r="I122" s="24"/>
      <c r="J122" s="24"/>
      <c r="K122" s="24"/>
      <c r="L122" s="24"/>
      <c r="M122" s="25"/>
      <c r="N122" s="26" t="str">
        <f t="shared" si="98"/>
        <v/>
      </c>
      <c r="O122" s="26" t="str">
        <f t="shared" si="99"/>
        <v/>
      </c>
      <c r="P122" s="26" t="str">
        <f t="shared" si="100"/>
        <v/>
      </c>
      <c r="Q122" s="26">
        <f t="shared" si="101"/>
        <v>0</v>
      </c>
      <c r="R122" s="26">
        <f t="shared" si="102"/>
        <v>0</v>
      </c>
      <c r="S122" s="26">
        <f t="shared" si="103"/>
        <v>0</v>
      </c>
      <c r="T122" s="26" t="str">
        <f t="shared" si="104"/>
        <v/>
      </c>
      <c r="U122" s="26" t="str">
        <f t="shared" si="105"/>
        <v/>
      </c>
      <c r="V122" s="26" t="str">
        <f t="shared" si="106"/>
        <v/>
      </c>
      <c r="W122" s="27" t="str">
        <f t="shared" si="107"/>
        <v/>
      </c>
      <c r="X122" s="27" t="str">
        <f t="shared" si="108"/>
        <v/>
      </c>
      <c r="Y122" s="28" t="str">
        <f t="shared" si="109"/>
        <v/>
      </c>
      <c r="Z122" s="27" t="str">
        <f t="shared" si="110"/>
        <v/>
      </c>
      <c r="AA122" s="27" t="str">
        <f t="shared" si="111"/>
        <v/>
      </c>
      <c r="AB122" s="27" t="str">
        <f t="shared" si="112"/>
        <v/>
      </c>
      <c r="AC122" s="27" t="str">
        <f t="shared" si="113"/>
        <v/>
      </c>
      <c r="AD122" s="29" t="str">
        <f t="shared" si="114"/>
        <v/>
      </c>
      <c r="AE122" s="30" t="str">
        <f t="shared" si="115"/>
        <v/>
      </c>
      <c r="AG122" s="31"/>
      <c r="AH122" s="31" t="e">
        <f t="shared" si="116"/>
        <v>#VALUE!</v>
      </c>
      <c r="AI122" s="31" t="e">
        <f t="shared" si="117"/>
        <v>#VALUE!</v>
      </c>
      <c r="AJ122" s="31" t="e">
        <f t="shared" si="118"/>
        <v>#VALUE!</v>
      </c>
      <c r="AK122" s="31" t="e">
        <f t="shared" si="119"/>
        <v>#VALUE!</v>
      </c>
      <c r="AL122" s="31" t="e">
        <f t="shared" si="120"/>
        <v>#VALUE!</v>
      </c>
      <c r="AM122" s="31" t="e">
        <f t="shared" si="121"/>
        <v>#VALUE!</v>
      </c>
      <c r="AN122" s="32" t="str">
        <f t="shared" si="122"/>
        <v/>
      </c>
      <c r="AO122" s="27" t="str">
        <f t="shared" si="123"/>
        <v/>
      </c>
      <c r="AP122" s="27" t="str">
        <f t="shared" si="124"/>
        <v/>
      </c>
      <c r="AQ122" s="27">
        <f t="shared" si="125"/>
        <v>0</v>
      </c>
      <c r="AR122" s="27">
        <f t="shared" si="126"/>
        <v>0</v>
      </c>
      <c r="AS122" s="33">
        <f t="shared" si="127"/>
        <v>0</v>
      </c>
    </row>
    <row r="123" spans="1:45" ht="15.75" hidden="1" customHeight="1" x14ac:dyDescent="0.25">
      <c r="A123" s="4"/>
      <c r="B123" s="34">
        <f t="shared" ref="B123:F123" si="171">IF(B122="","",B122)</f>
        <v>10210</v>
      </c>
      <c r="C123" s="26">
        <f t="shared" si="171"/>
        <v>24</v>
      </c>
      <c r="D123" s="26">
        <f t="shared" si="171"/>
        <v>0</v>
      </c>
      <c r="E123" s="26">
        <f t="shared" si="171"/>
        <v>0</v>
      </c>
      <c r="F123" s="26">
        <f t="shared" si="171"/>
        <v>0</v>
      </c>
      <c r="G123" s="24"/>
      <c r="H123" s="24"/>
      <c r="I123" s="24"/>
      <c r="J123" s="24"/>
      <c r="K123" s="24"/>
      <c r="L123" s="24"/>
      <c r="M123" s="25"/>
      <c r="N123" s="26" t="str">
        <f t="shared" si="98"/>
        <v/>
      </c>
      <c r="O123" s="26" t="str">
        <f t="shared" si="99"/>
        <v/>
      </c>
      <c r="P123" s="26" t="str">
        <f t="shared" si="100"/>
        <v/>
      </c>
      <c r="Q123" s="26">
        <f t="shared" si="101"/>
        <v>0</v>
      </c>
      <c r="R123" s="26">
        <f t="shared" si="102"/>
        <v>0</v>
      </c>
      <c r="S123" s="26">
        <f t="shared" si="103"/>
        <v>0</v>
      </c>
      <c r="T123" s="26" t="str">
        <f t="shared" si="104"/>
        <v/>
      </c>
      <c r="U123" s="26" t="str">
        <f t="shared" si="105"/>
        <v/>
      </c>
      <c r="V123" s="26" t="str">
        <f t="shared" si="106"/>
        <v/>
      </c>
      <c r="W123" s="27" t="str">
        <f t="shared" si="107"/>
        <v/>
      </c>
      <c r="X123" s="27" t="str">
        <f t="shared" si="108"/>
        <v/>
      </c>
      <c r="Y123" s="28" t="str">
        <f t="shared" si="109"/>
        <v/>
      </c>
      <c r="Z123" s="27" t="str">
        <f t="shared" si="110"/>
        <v/>
      </c>
      <c r="AA123" s="27" t="str">
        <f t="shared" si="111"/>
        <v/>
      </c>
      <c r="AB123" s="27" t="str">
        <f t="shared" si="112"/>
        <v/>
      </c>
      <c r="AC123" s="27" t="str">
        <f t="shared" si="113"/>
        <v/>
      </c>
      <c r="AD123" s="29" t="str">
        <f t="shared" si="114"/>
        <v/>
      </c>
      <c r="AE123" s="30" t="str">
        <f t="shared" si="115"/>
        <v/>
      </c>
      <c r="AG123" s="31"/>
      <c r="AH123" s="31" t="e">
        <f t="shared" si="116"/>
        <v>#VALUE!</v>
      </c>
      <c r="AI123" s="31" t="e">
        <f t="shared" si="117"/>
        <v>#VALUE!</v>
      </c>
      <c r="AJ123" s="31" t="e">
        <f t="shared" si="118"/>
        <v>#VALUE!</v>
      </c>
      <c r="AK123" s="31" t="e">
        <f t="shared" si="119"/>
        <v>#VALUE!</v>
      </c>
      <c r="AL123" s="31" t="e">
        <f t="shared" si="120"/>
        <v>#VALUE!</v>
      </c>
      <c r="AM123" s="31" t="e">
        <f t="shared" si="121"/>
        <v>#VALUE!</v>
      </c>
      <c r="AN123" s="32" t="str">
        <f t="shared" si="122"/>
        <v/>
      </c>
      <c r="AO123" s="27" t="str">
        <f t="shared" si="123"/>
        <v/>
      </c>
      <c r="AP123" s="27" t="str">
        <f t="shared" si="124"/>
        <v/>
      </c>
      <c r="AQ123" s="27">
        <f t="shared" si="125"/>
        <v>0</v>
      </c>
      <c r="AR123" s="27">
        <f t="shared" si="126"/>
        <v>0</v>
      </c>
      <c r="AS123" s="33">
        <f t="shared" si="127"/>
        <v>0</v>
      </c>
    </row>
    <row r="124" spans="1:45" ht="15.75" hidden="1" customHeight="1" x14ac:dyDescent="0.25">
      <c r="A124" s="4"/>
      <c r="B124" s="34">
        <f t="shared" ref="B124:F124" si="172">IF(B123="","",B123)</f>
        <v>10210</v>
      </c>
      <c r="C124" s="26">
        <f t="shared" si="172"/>
        <v>24</v>
      </c>
      <c r="D124" s="26">
        <f t="shared" si="172"/>
        <v>0</v>
      </c>
      <c r="E124" s="26">
        <f t="shared" si="172"/>
        <v>0</v>
      </c>
      <c r="F124" s="26">
        <f t="shared" si="172"/>
        <v>0</v>
      </c>
      <c r="G124" s="24"/>
      <c r="H124" s="24"/>
      <c r="I124" s="24"/>
      <c r="J124" s="24"/>
      <c r="K124" s="24"/>
      <c r="L124" s="24"/>
      <c r="M124" s="25"/>
      <c r="N124" s="26" t="str">
        <f t="shared" si="98"/>
        <v/>
      </c>
      <c r="O124" s="26" t="str">
        <f t="shared" si="99"/>
        <v/>
      </c>
      <c r="P124" s="26" t="str">
        <f t="shared" si="100"/>
        <v/>
      </c>
      <c r="Q124" s="26">
        <f t="shared" si="101"/>
        <v>0</v>
      </c>
      <c r="R124" s="26">
        <f t="shared" si="102"/>
        <v>0</v>
      </c>
      <c r="S124" s="26">
        <f t="shared" si="103"/>
        <v>0</v>
      </c>
      <c r="T124" s="26" t="str">
        <f t="shared" si="104"/>
        <v/>
      </c>
      <c r="U124" s="26" t="str">
        <f t="shared" si="105"/>
        <v/>
      </c>
      <c r="V124" s="26" t="str">
        <f t="shared" si="106"/>
        <v/>
      </c>
      <c r="W124" s="27" t="str">
        <f t="shared" si="107"/>
        <v/>
      </c>
      <c r="X124" s="27" t="str">
        <f t="shared" si="108"/>
        <v/>
      </c>
      <c r="Y124" s="28" t="str">
        <f t="shared" si="109"/>
        <v/>
      </c>
      <c r="Z124" s="27" t="str">
        <f t="shared" si="110"/>
        <v/>
      </c>
      <c r="AA124" s="27" t="str">
        <f t="shared" si="111"/>
        <v/>
      </c>
      <c r="AB124" s="27" t="str">
        <f t="shared" si="112"/>
        <v/>
      </c>
      <c r="AC124" s="27" t="str">
        <f t="shared" si="113"/>
        <v/>
      </c>
      <c r="AD124" s="29" t="str">
        <f t="shared" si="114"/>
        <v/>
      </c>
      <c r="AE124" s="30" t="str">
        <f t="shared" si="115"/>
        <v/>
      </c>
      <c r="AG124" s="31"/>
      <c r="AH124" s="31" t="e">
        <f t="shared" si="116"/>
        <v>#VALUE!</v>
      </c>
      <c r="AI124" s="31" t="e">
        <f t="shared" si="117"/>
        <v>#VALUE!</v>
      </c>
      <c r="AJ124" s="31" t="e">
        <f t="shared" si="118"/>
        <v>#VALUE!</v>
      </c>
      <c r="AK124" s="31" t="e">
        <f t="shared" si="119"/>
        <v>#VALUE!</v>
      </c>
      <c r="AL124" s="31" t="e">
        <f t="shared" si="120"/>
        <v>#VALUE!</v>
      </c>
      <c r="AM124" s="31" t="e">
        <f t="shared" si="121"/>
        <v>#VALUE!</v>
      </c>
      <c r="AN124" s="32" t="str">
        <f t="shared" si="122"/>
        <v/>
      </c>
      <c r="AO124" s="27" t="str">
        <f t="shared" si="123"/>
        <v/>
      </c>
      <c r="AP124" s="27" t="str">
        <f t="shared" si="124"/>
        <v/>
      </c>
      <c r="AQ124" s="27">
        <f t="shared" si="125"/>
        <v>0</v>
      </c>
      <c r="AR124" s="27">
        <f t="shared" si="126"/>
        <v>0</v>
      </c>
      <c r="AS124" s="33">
        <f t="shared" si="127"/>
        <v>0</v>
      </c>
    </row>
    <row r="125" spans="1:45" ht="15.75" hidden="1" customHeight="1" x14ac:dyDescent="0.25">
      <c r="A125" s="4"/>
      <c r="B125" s="34">
        <f t="shared" ref="B125:F125" si="173">IF(B124="","",B124)</f>
        <v>10210</v>
      </c>
      <c r="C125" s="26">
        <f t="shared" si="173"/>
        <v>24</v>
      </c>
      <c r="D125" s="26">
        <f t="shared" si="173"/>
        <v>0</v>
      </c>
      <c r="E125" s="26">
        <f t="shared" si="173"/>
        <v>0</v>
      </c>
      <c r="F125" s="26">
        <f t="shared" si="173"/>
        <v>0</v>
      </c>
      <c r="G125" s="24"/>
      <c r="H125" s="24"/>
      <c r="I125" s="24"/>
      <c r="J125" s="24"/>
      <c r="K125" s="24"/>
      <c r="L125" s="24"/>
      <c r="M125" s="25"/>
      <c r="N125" s="26" t="str">
        <f t="shared" si="98"/>
        <v/>
      </c>
      <c r="O125" s="26" t="str">
        <f t="shared" si="99"/>
        <v/>
      </c>
      <c r="P125" s="26" t="str">
        <f t="shared" si="100"/>
        <v/>
      </c>
      <c r="Q125" s="26">
        <f t="shared" si="101"/>
        <v>0</v>
      </c>
      <c r="R125" s="26">
        <f t="shared" si="102"/>
        <v>0</v>
      </c>
      <c r="S125" s="26">
        <f t="shared" si="103"/>
        <v>0</v>
      </c>
      <c r="T125" s="26" t="str">
        <f t="shared" si="104"/>
        <v/>
      </c>
      <c r="U125" s="26" t="str">
        <f t="shared" si="105"/>
        <v/>
      </c>
      <c r="V125" s="26" t="str">
        <f t="shared" si="106"/>
        <v/>
      </c>
      <c r="W125" s="27" t="str">
        <f t="shared" si="107"/>
        <v/>
      </c>
      <c r="X125" s="27" t="str">
        <f t="shared" si="108"/>
        <v/>
      </c>
      <c r="Y125" s="28" t="str">
        <f t="shared" si="109"/>
        <v/>
      </c>
      <c r="Z125" s="27" t="str">
        <f t="shared" si="110"/>
        <v/>
      </c>
      <c r="AA125" s="27" t="str">
        <f t="shared" si="111"/>
        <v/>
      </c>
      <c r="AB125" s="27" t="str">
        <f t="shared" si="112"/>
        <v/>
      </c>
      <c r="AC125" s="27" t="str">
        <f t="shared" si="113"/>
        <v/>
      </c>
      <c r="AD125" s="29" t="str">
        <f t="shared" si="114"/>
        <v/>
      </c>
      <c r="AE125" s="30" t="str">
        <f t="shared" si="115"/>
        <v/>
      </c>
      <c r="AG125" s="31"/>
      <c r="AH125" s="31" t="e">
        <f t="shared" si="116"/>
        <v>#VALUE!</v>
      </c>
      <c r="AI125" s="31" t="e">
        <f t="shared" si="117"/>
        <v>#VALUE!</v>
      </c>
      <c r="AJ125" s="31" t="e">
        <f t="shared" si="118"/>
        <v>#VALUE!</v>
      </c>
      <c r="AK125" s="31" t="e">
        <f t="shared" si="119"/>
        <v>#VALUE!</v>
      </c>
      <c r="AL125" s="31" t="e">
        <f t="shared" si="120"/>
        <v>#VALUE!</v>
      </c>
      <c r="AM125" s="31" t="e">
        <f t="shared" si="121"/>
        <v>#VALUE!</v>
      </c>
      <c r="AN125" s="32" t="str">
        <f t="shared" si="122"/>
        <v/>
      </c>
      <c r="AO125" s="27" t="str">
        <f t="shared" si="123"/>
        <v/>
      </c>
      <c r="AP125" s="27" t="str">
        <f t="shared" si="124"/>
        <v/>
      </c>
      <c r="AQ125" s="27">
        <f t="shared" si="125"/>
        <v>0</v>
      </c>
      <c r="AR125" s="27">
        <f t="shared" si="126"/>
        <v>0</v>
      </c>
      <c r="AS125" s="33">
        <f t="shared" si="127"/>
        <v>0</v>
      </c>
    </row>
    <row r="126" spans="1:45" ht="15.75" hidden="1" customHeight="1" x14ac:dyDescent="0.25">
      <c r="A126" s="4"/>
      <c r="B126" s="34">
        <f t="shared" ref="B126:F126" si="174">IF(B125="","",B125)</f>
        <v>10210</v>
      </c>
      <c r="C126" s="26">
        <f t="shared" si="174"/>
        <v>24</v>
      </c>
      <c r="D126" s="26">
        <f t="shared" si="174"/>
        <v>0</v>
      </c>
      <c r="E126" s="26">
        <f t="shared" si="174"/>
        <v>0</v>
      </c>
      <c r="F126" s="26">
        <f t="shared" si="174"/>
        <v>0</v>
      </c>
      <c r="G126" s="24"/>
      <c r="H126" s="24"/>
      <c r="I126" s="24"/>
      <c r="J126" s="24"/>
      <c r="K126" s="24"/>
      <c r="L126" s="24"/>
      <c r="M126" s="25"/>
      <c r="N126" s="26" t="str">
        <f t="shared" si="98"/>
        <v/>
      </c>
      <c r="O126" s="26" t="str">
        <f t="shared" si="99"/>
        <v/>
      </c>
      <c r="P126" s="26" t="str">
        <f t="shared" si="100"/>
        <v/>
      </c>
      <c r="Q126" s="26">
        <f t="shared" si="101"/>
        <v>0</v>
      </c>
      <c r="R126" s="26">
        <f t="shared" si="102"/>
        <v>0</v>
      </c>
      <c r="S126" s="26">
        <f t="shared" si="103"/>
        <v>0</v>
      </c>
      <c r="T126" s="26" t="str">
        <f t="shared" si="104"/>
        <v/>
      </c>
      <c r="U126" s="26" t="str">
        <f t="shared" si="105"/>
        <v/>
      </c>
      <c r="V126" s="26" t="str">
        <f t="shared" si="106"/>
        <v/>
      </c>
      <c r="W126" s="27" t="str">
        <f t="shared" si="107"/>
        <v/>
      </c>
      <c r="X126" s="27" t="str">
        <f t="shared" si="108"/>
        <v/>
      </c>
      <c r="Y126" s="28" t="str">
        <f t="shared" si="109"/>
        <v/>
      </c>
      <c r="Z126" s="27" t="str">
        <f t="shared" si="110"/>
        <v/>
      </c>
      <c r="AA126" s="27" t="str">
        <f t="shared" si="111"/>
        <v/>
      </c>
      <c r="AB126" s="27" t="str">
        <f t="shared" si="112"/>
        <v/>
      </c>
      <c r="AC126" s="27" t="str">
        <f t="shared" si="113"/>
        <v/>
      </c>
      <c r="AD126" s="29" t="str">
        <f t="shared" si="114"/>
        <v/>
      </c>
      <c r="AE126" s="30" t="str">
        <f t="shared" si="115"/>
        <v/>
      </c>
      <c r="AG126" s="31"/>
      <c r="AH126" s="31" t="e">
        <f t="shared" si="116"/>
        <v>#VALUE!</v>
      </c>
      <c r="AI126" s="31" t="e">
        <f t="shared" si="117"/>
        <v>#VALUE!</v>
      </c>
      <c r="AJ126" s="31" t="e">
        <f t="shared" si="118"/>
        <v>#VALUE!</v>
      </c>
      <c r="AK126" s="31" t="e">
        <f t="shared" si="119"/>
        <v>#VALUE!</v>
      </c>
      <c r="AL126" s="31" t="e">
        <f t="shared" si="120"/>
        <v>#VALUE!</v>
      </c>
      <c r="AM126" s="31" t="e">
        <f t="shared" si="121"/>
        <v>#VALUE!</v>
      </c>
      <c r="AN126" s="32" t="str">
        <f t="shared" si="122"/>
        <v/>
      </c>
      <c r="AO126" s="27" t="str">
        <f t="shared" si="123"/>
        <v/>
      </c>
      <c r="AP126" s="27" t="str">
        <f t="shared" si="124"/>
        <v/>
      </c>
      <c r="AQ126" s="27">
        <f t="shared" si="125"/>
        <v>0</v>
      </c>
      <c r="AR126" s="27">
        <f t="shared" si="126"/>
        <v>0</v>
      </c>
      <c r="AS126" s="33">
        <f t="shared" si="127"/>
        <v>0</v>
      </c>
    </row>
    <row r="127" spans="1:45" ht="15.75" hidden="1" customHeight="1" x14ac:dyDescent="0.25">
      <c r="A127" s="4"/>
      <c r="B127" s="34">
        <f t="shared" ref="B127:F127" si="175">IF(B126="","",B126)</f>
        <v>10210</v>
      </c>
      <c r="C127" s="26">
        <f t="shared" si="175"/>
        <v>24</v>
      </c>
      <c r="D127" s="26">
        <f t="shared" si="175"/>
        <v>0</v>
      </c>
      <c r="E127" s="26">
        <f t="shared" si="175"/>
        <v>0</v>
      </c>
      <c r="F127" s="26">
        <f t="shared" si="175"/>
        <v>0</v>
      </c>
      <c r="G127" s="24"/>
      <c r="H127" s="24"/>
      <c r="I127" s="24"/>
      <c r="J127" s="24"/>
      <c r="K127" s="24"/>
      <c r="L127" s="24"/>
      <c r="M127" s="25"/>
      <c r="N127" s="26" t="str">
        <f t="shared" si="98"/>
        <v/>
      </c>
      <c r="O127" s="26" t="str">
        <f t="shared" si="99"/>
        <v/>
      </c>
      <c r="P127" s="26" t="str">
        <f t="shared" si="100"/>
        <v/>
      </c>
      <c r="Q127" s="26">
        <f t="shared" si="101"/>
        <v>0</v>
      </c>
      <c r="R127" s="26">
        <f t="shared" si="102"/>
        <v>0</v>
      </c>
      <c r="S127" s="26">
        <f t="shared" si="103"/>
        <v>0</v>
      </c>
      <c r="T127" s="26" t="str">
        <f t="shared" si="104"/>
        <v/>
      </c>
      <c r="U127" s="26" t="str">
        <f t="shared" si="105"/>
        <v/>
      </c>
      <c r="V127" s="26" t="str">
        <f t="shared" si="106"/>
        <v/>
      </c>
      <c r="W127" s="27" t="str">
        <f t="shared" si="107"/>
        <v/>
      </c>
      <c r="X127" s="27" t="str">
        <f t="shared" si="108"/>
        <v/>
      </c>
      <c r="Y127" s="28" t="str">
        <f t="shared" si="109"/>
        <v/>
      </c>
      <c r="Z127" s="27" t="str">
        <f t="shared" si="110"/>
        <v/>
      </c>
      <c r="AA127" s="27" t="str">
        <f t="shared" si="111"/>
        <v/>
      </c>
      <c r="AB127" s="27" t="str">
        <f t="shared" si="112"/>
        <v/>
      </c>
      <c r="AC127" s="27" t="str">
        <f t="shared" si="113"/>
        <v/>
      </c>
      <c r="AD127" s="29" t="str">
        <f t="shared" si="114"/>
        <v/>
      </c>
      <c r="AE127" s="30" t="str">
        <f t="shared" si="115"/>
        <v/>
      </c>
      <c r="AG127" s="31"/>
      <c r="AH127" s="31" t="e">
        <f t="shared" si="116"/>
        <v>#VALUE!</v>
      </c>
      <c r="AI127" s="31" t="e">
        <f t="shared" si="117"/>
        <v>#VALUE!</v>
      </c>
      <c r="AJ127" s="31" t="e">
        <f t="shared" si="118"/>
        <v>#VALUE!</v>
      </c>
      <c r="AK127" s="31" t="e">
        <f t="shared" si="119"/>
        <v>#VALUE!</v>
      </c>
      <c r="AL127" s="31" t="e">
        <f t="shared" si="120"/>
        <v>#VALUE!</v>
      </c>
      <c r="AM127" s="31" t="e">
        <f t="shared" si="121"/>
        <v>#VALUE!</v>
      </c>
      <c r="AN127" s="32" t="str">
        <f t="shared" si="122"/>
        <v/>
      </c>
      <c r="AO127" s="27" t="str">
        <f t="shared" si="123"/>
        <v/>
      </c>
      <c r="AP127" s="27" t="str">
        <f t="shared" si="124"/>
        <v/>
      </c>
      <c r="AQ127" s="27">
        <f t="shared" si="125"/>
        <v>0</v>
      </c>
      <c r="AR127" s="27">
        <f t="shared" si="126"/>
        <v>0</v>
      </c>
      <c r="AS127" s="33">
        <f t="shared" si="127"/>
        <v>0</v>
      </c>
    </row>
    <row r="128" spans="1:45" ht="15.75" hidden="1" customHeight="1" x14ac:dyDescent="0.25">
      <c r="A128" s="4"/>
      <c r="B128" s="34">
        <f t="shared" ref="B128:F128" si="176">IF(B127="","",B127)</f>
        <v>10210</v>
      </c>
      <c r="C128" s="26">
        <f t="shared" si="176"/>
        <v>24</v>
      </c>
      <c r="D128" s="26">
        <f t="shared" si="176"/>
        <v>0</v>
      </c>
      <c r="E128" s="26">
        <f t="shared" si="176"/>
        <v>0</v>
      </c>
      <c r="F128" s="26">
        <f t="shared" si="176"/>
        <v>0</v>
      </c>
      <c r="G128" s="24"/>
      <c r="H128" s="24"/>
      <c r="I128" s="24"/>
      <c r="J128" s="24"/>
      <c r="K128" s="24"/>
      <c r="L128" s="24"/>
      <c r="M128" s="25"/>
      <c r="N128" s="26" t="str">
        <f t="shared" si="98"/>
        <v/>
      </c>
      <c r="O128" s="26" t="str">
        <f t="shared" si="99"/>
        <v/>
      </c>
      <c r="P128" s="26" t="str">
        <f t="shared" si="100"/>
        <v/>
      </c>
      <c r="Q128" s="26">
        <f t="shared" si="101"/>
        <v>0</v>
      </c>
      <c r="R128" s="26">
        <f t="shared" si="102"/>
        <v>0</v>
      </c>
      <c r="S128" s="26">
        <f t="shared" si="103"/>
        <v>0</v>
      </c>
      <c r="T128" s="26" t="str">
        <f t="shared" si="104"/>
        <v/>
      </c>
      <c r="U128" s="26" t="str">
        <f t="shared" si="105"/>
        <v/>
      </c>
      <c r="V128" s="26" t="str">
        <f t="shared" si="106"/>
        <v/>
      </c>
      <c r="W128" s="27" t="str">
        <f t="shared" si="107"/>
        <v/>
      </c>
      <c r="X128" s="27" t="str">
        <f t="shared" si="108"/>
        <v/>
      </c>
      <c r="Y128" s="28" t="str">
        <f t="shared" si="109"/>
        <v/>
      </c>
      <c r="Z128" s="27" t="str">
        <f t="shared" si="110"/>
        <v/>
      </c>
      <c r="AA128" s="27" t="str">
        <f t="shared" si="111"/>
        <v/>
      </c>
      <c r="AB128" s="27" t="str">
        <f t="shared" si="112"/>
        <v/>
      </c>
      <c r="AC128" s="27" t="str">
        <f t="shared" si="113"/>
        <v/>
      </c>
      <c r="AD128" s="29" t="str">
        <f t="shared" si="114"/>
        <v/>
      </c>
      <c r="AE128" s="30" t="str">
        <f t="shared" si="115"/>
        <v/>
      </c>
      <c r="AG128" s="31"/>
      <c r="AH128" s="31" t="e">
        <f t="shared" si="116"/>
        <v>#VALUE!</v>
      </c>
      <c r="AI128" s="31" t="e">
        <f t="shared" si="117"/>
        <v>#VALUE!</v>
      </c>
      <c r="AJ128" s="31" t="e">
        <f t="shared" si="118"/>
        <v>#VALUE!</v>
      </c>
      <c r="AK128" s="31" t="e">
        <f t="shared" si="119"/>
        <v>#VALUE!</v>
      </c>
      <c r="AL128" s="31" t="e">
        <f t="shared" si="120"/>
        <v>#VALUE!</v>
      </c>
      <c r="AM128" s="31" t="e">
        <f t="shared" si="121"/>
        <v>#VALUE!</v>
      </c>
      <c r="AN128" s="32" t="str">
        <f t="shared" si="122"/>
        <v/>
      </c>
      <c r="AO128" s="27" t="str">
        <f t="shared" si="123"/>
        <v/>
      </c>
      <c r="AP128" s="27" t="str">
        <f t="shared" si="124"/>
        <v/>
      </c>
      <c r="AQ128" s="27">
        <f t="shared" si="125"/>
        <v>0</v>
      </c>
      <c r="AR128" s="27">
        <f t="shared" si="126"/>
        <v>0</v>
      </c>
      <c r="AS128" s="33">
        <f t="shared" si="127"/>
        <v>0</v>
      </c>
    </row>
    <row r="129" spans="2:45" ht="15.75" hidden="1" customHeight="1" x14ac:dyDescent="0.25">
      <c r="B129" s="34">
        <f t="shared" ref="B129:F129" si="177">IF(B128="","",B128)</f>
        <v>10210</v>
      </c>
      <c r="C129" s="26">
        <f t="shared" si="177"/>
        <v>24</v>
      </c>
      <c r="D129" s="26">
        <f t="shared" si="177"/>
        <v>0</v>
      </c>
      <c r="E129" s="26">
        <f t="shared" si="177"/>
        <v>0</v>
      </c>
      <c r="F129" s="26">
        <f t="shared" si="177"/>
        <v>0</v>
      </c>
      <c r="G129" s="24"/>
      <c r="H129" s="24"/>
      <c r="I129" s="24"/>
      <c r="J129" s="24"/>
      <c r="K129" s="24"/>
      <c r="L129" s="24"/>
      <c r="M129" s="25"/>
      <c r="N129" s="26" t="str">
        <f t="shared" si="98"/>
        <v/>
      </c>
      <c r="O129" s="26" t="str">
        <f t="shared" si="99"/>
        <v/>
      </c>
      <c r="P129" s="26" t="str">
        <f t="shared" si="100"/>
        <v/>
      </c>
      <c r="Q129" s="26">
        <f t="shared" si="101"/>
        <v>0</v>
      </c>
      <c r="R129" s="26">
        <f t="shared" si="102"/>
        <v>0</v>
      </c>
      <c r="S129" s="26">
        <f t="shared" si="103"/>
        <v>0</v>
      </c>
      <c r="T129" s="26" t="str">
        <f t="shared" si="104"/>
        <v/>
      </c>
      <c r="U129" s="26" t="str">
        <f t="shared" si="105"/>
        <v/>
      </c>
      <c r="V129" s="26" t="str">
        <f t="shared" si="106"/>
        <v/>
      </c>
      <c r="W129" s="27" t="str">
        <f t="shared" si="107"/>
        <v/>
      </c>
      <c r="X129" s="27" t="str">
        <f t="shared" si="108"/>
        <v/>
      </c>
      <c r="Y129" s="28" t="str">
        <f t="shared" si="109"/>
        <v/>
      </c>
      <c r="Z129" s="27" t="str">
        <f t="shared" si="110"/>
        <v/>
      </c>
      <c r="AA129" s="27" t="str">
        <f t="shared" si="111"/>
        <v/>
      </c>
      <c r="AB129" s="27" t="str">
        <f t="shared" si="112"/>
        <v/>
      </c>
      <c r="AC129" s="27" t="str">
        <f t="shared" si="113"/>
        <v/>
      </c>
      <c r="AD129" s="29" t="str">
        <f t="shared" si="114"/>
        <v/>
      </c>
      <c r="AE129" s="30" t="str">
        <f t="shared" si="115"/>
        <v/>
      </c>
      <c r="AG129" s="31"/>
      <c r="AH129" s="31" t="e">
        <f t="shared" si="116"/>
        <v>#VALUE!</v>
      </c>
      <c r="AI129" s="31" t="e">
        <f t="shared" si="117"/>
        <v>#VALUE!</v>
      </c>
      <c r="AJ129" s="31" t="e">
        <f t="shared" si="118"/>
        <v>#VALUE!</v>
      </c>
      <c r="AK129" s="31" t="e">
        <f t="shared" si="119"/>
        <v>#VALUE!</v>
      </c>
      <c r="AL129" s="31" t="e">
        <f t="shared" si="120"/>
        <v>#VALUE!</v>
      </c>
      <c r="AM129" s="31" t="e">
        <f t="shared" si="121"/>
        <v>#VALUE!</v>
      </c>
      <c r="AN129" s="32" t="str">
        <f t="shared" si="122"/>
        <v/>
      </c>
      <c r="AO129" s="27" t="str">
        <f t="shared" si="123"/>
        <v/>
      </c>
      <c r="AP129" s="27" t="str">
        <f t="shared" si="124"/>
        <v/>
      </c>
      <c r="AQ129" s="27">
        <f t="shared" si="125"/>
        <v>0</v>
      </c>
      <c r="AR129" s="27">
        <f t="shared" si="126"/>
        <v>0</v>
      </c>
      <c r="AS129" s="33">
        <f t="shared" si="127"/>
        <v>0</v>
      </c>
    </row>
    <row r="130" spans="2:45" ht="15.75" hidden="1" customHeight="1" x14ac:dyDescent="0.25">
      <c r="B130" s="34">
        <f t="shared" ref="B130:F130" si="178">IF(B129="","",B129)</f>
        <v>10210</v>
      </c>
      <c r="C130" s="26">
        <f t="shared" si="178"/>
        <v>24</v>
      </c>
      <c r="D130" s="26">
        <f t="shared" si="178"/>
        <v>0</v>
      </c>
      <c r="E130" s="26">
        <f t="shared" si="178"/>
        <v>0</v>
      </c>
      <c r="F130" s="26">
        <f t="shared" si="178"/>
        <v>0</v>
      </c>
      <c r="G130" s="24"/>
      <c r="H130" s="24"/>
      <c r="I130" s="24"/>
      <c r="J130" s="24"/>
      <c r="K130" s="24"/>
      <c r="L130" s="24"/>
      <c r="M130" s="25"/>
      <c r="N130" s="26" t="str">
        <f t="shared" si="98"/>
        <v/>
      </c>
      <c r="O130" s="26" t="str">
        <f t="shared" si="99"/>
        <v/>
      </c>
      <c r="P130" s="26" t="str">
        <f t="shared" si="100"/>
        <v/>
      </c>
      <c r="Q130" s="26">
        <f t="shared" si="101"/>
        <v>0</v>
      </c>
      <c r="R130" s="26">
        <f t="shared" si="102"/>
        <v>0</v>
      </c>
      <c r="S130" s="26">
        <f t="shared" si="103"/>
        <v>0</v>
      </c>
      <c r="T130" s="26" t="str">
        <f t="shared" si="104"/>
        <v/>
      </c>
      <c r="U130" s="26" t="str">
        <f t="shared" si="105"/>
        <v/>
      </c>
      <c r="V130" s="26" t="str">
        <f t="shared" si="106"/>
        <v/>
      </c>
      <c r="W130" s="27" t="str">
        <f t="shared" si="107"/>
        <v/>
      </c>
      <c r="X130" s="27" t="str">
        <f t="shared" si="108"/>
        <v/>
      </c>
      <c r="Y130" s="28" t="str">
        <f t="shared" si="109"/>
        <v/>
      </c>
      <c r="Z130" s="27" t="str">
        <f t="shared" si="110"/>
        <v/>
      </c>
      <c r="AA130" s="27" t="str">
        <f t="shared" si="111"/>
        <v/>
      </c>
      <c r="AB130" s="27" t="str">
        <f t="shared" si="112"/>
        <v/>
      </c>
      <c r="AC130" s="27" t="str">
        <f t="shared" si="113"/>
        <v/>
      </c>
      <c r="AD130" s="29" t="str">
        <f t="shared" si="114"/>
        <v/>
      </c>
      <c r="AE130" s="30" t="str">
        <f t="shared" si="115"/>
        <v/>
      </c>
      <c r="AG130" s="31"/>
      <c r="AH130" s="31" t="e">
        <f t="shared" si="116"/>
        <v>#VALUE!</v>
      </c>
      <c r="AI130" s="31" t="e">
        <f t="shared" si="117"/>
        <v>#VALUE!</v>
      </c>
      <c r="AJ130" s="31" t="e">
        <f t="shared" si="118"/>
        <v>#VALUE!</v>
      </c>
      <c r="AK130" s="31" t="e">
        <f t="shared" si="119"/>
        <v>#VALUE!</v>
      </c>
      <c r="AL130" s="31" t="e">
        <f t="shared" si="120"/>
        <v>#VALUE!</v>
      </c>
      <c r="AM130" s="31" t="e">
        <f t="shared" si="121"/>
        <v>#VALUE!</v>
      </c>
      <c r="AN130" s="32" t="str">
        <f t="shared" si="122"/>
        <v/>
      </c>
      <c r="AO130" s="27" t="str">
        <f t="shared" si="123"/>
        <v/>
      </c>
      <c r="AP130" s="27" t="str">
        <f t="shared" si="124"/>
        <v/>
      </c>
      <c r="AQ130" s="27">
        <f t="shared" si="125"/>
        <v>0</v>
      </c>
      <c r="AR130" s="27">
        <f t="shared" si="126"/>
        <v>0</v>
      </c>
      <c r="AS130" s="33">
        <f t="shared" si="127"/>
        <v>0</v>
      </c>
    </row>
    <row r="131" spans="2:45" ht="15.75" hidden="1" customHeight="1" x14ac:dyDescent="0.25">
      <c r="B131" s="34">
        <f t="shared" ref="B131:F131" si="179">IF(B130="","",B130)</f>
        <v>10210</v>
      </c>
      <c r="C131" s="26">
        <f t="shared" si="179"/>
        <v>24</v>
      </c>
      <c r="D131" s="26">
        <f t="shared" si="179"/>
        <v>0</v>
      </c>
      <c r="E131" s="26">
        <f t="shared" si="179"/>
        <v>0</v>
      </c>
      <c r="F131" s="26">
        <f t="shared" si="179"/>
        <v>0</v>
      </c>
      <c r="G131" s="24"/>
      <c r="H131" s="24"/>
      <c r="I131" s="24"/>
      <c r="J131" s="24"/>
      <c r="K131" s="24"/>
      <c r="L131" s="24"/>
      <c r="M131" s="25"/>
      <c r="N131" s="26" t="str">
        <f t="shared" si="98"/>
        <v/>
      </c>
      <c r="O131" s="26" t="str">
        <f t="shared" si="99"/>
        <v/>
      </c>
      <c r="P131" s="26" t="str">
        <f t="shared" si="100"/>
        <v/>
      </c>
      <c r="Q131" s="26">
        <f t="shared" si="101"/>
        <v>0</v>
      </c>
      <c r="R131" s="26">
        <f t="shared" si="102"/>
        <v>0</v>
      </c>
      <c r="S131" s="26">
        <f t="shared" si="103"/>
        <v>0</v>
      </c>
      <c r="T131" s="26" t="str">
        <f t="shared" si="104"/>
        <v/>
      </c>
      <c r="U131" s="26" t="str">
        <f t="shared" si="105"/>
        <v/>
      </c>
      <c r="V131" s="26" t="str">
        <f t="shared" si="106"/>
        <v/>
      </c>
      <c r="W131" s="27" t="str">
        <f t="shared" si="107"/>
        <v/>
      </c>
      <c r="X131" s="27" t="str">
        <f t="shared" si="108"/>
        <v/>
      </c>
      <c r="Y131" s="28" t="str">
        <f t="shared" si="109"/>
        <v/>
      </c>
      <c r="Z131" s="27" t="str">
        <f t="shared" si="110"/>
        <v/>
      </c>
      <c r="AA131" s="27" t="str">
        <f t="shared" si="111"/>
        <v/>
      </c>
      <c r="AB131" s="27" t="str">
        <f t="shared" si="112"/>
        <v/>
      </c>
      <c r="AC131" s="27" t="str">
        <f t="shared" si="113"/>
        <v/>
      </c>
      <c r="AD131" s="29" t="str">
        <f t="shared" si="114"/>
        <v/>
      </c>
      <c r="AE131" s="30" t="str">
        <f t="shared" si="115"/>
        <v/>
      </c>
      <c r="AG131" s="31"/>
      <c r="AH131" s="31" t="e">
        <f t="shared" si="116"/>
        <v>#VALUE!</v>
      </c>
      <c r="AI131" s="31" t="e">
        <f t="shared" si="117"/>
        <v>#VALUE!</v>
      </c>
      <c r="AJ131" s="31" t="e">
        <f t="shared" si="118"/>
        <v>#VALUE!</v>
      </c>
      <c r="AK131" s="31" t="e">
        <f t="shared" si="119"/>
        <v>#VALUE!</v>
      </c>
      <c r="AL131" s="31" t="e">
        <f t="shared" si="120"/>
        <v>#VALUE!</v>
      </c>
      <c r="AM131" s="31" t="e">
        <f t="shared" si="121"/>
        <v>#VALUE!</v>
      </c>
      <c r="AN131" s="32" t="str">
        <f t="shared" si="122"/>
        <v/>
      </c>
      <c r="AO131" s="27" t="str">
        <f t="shared" si="123"/>
        <v/>
      </c>
      <c r="AP131" s="27" t="str">
        <f t="shared" si="124"/>
        <v/>
      </c>
      <c r="AQ131" s="27">
        <f t="shared" si="125"/>
        <v>0</v>
      </c>
      <c r="AR131" s="27">
        <f t="shared" si="126"/>
        <v>0</v>
      </c>
      <c r="AS131" s="33">
        <f t="shared" si="127"/>
        <v>0</v>
      </c>
    </row>
    <row r="132" spans="2:45" ht="15.75" hidden="1" customHeight="1" x14ac:dyDescent="0.25">
      <c r="B132" s="34">
        <f t="shared" ref="B132:F132" si="180">IF(B131="","",B131)</f>
        <v>10210</v>
      </c>
      <c r="C132" s="26">
        <f t="shared" si="180"/>
        <v>24</v>
      </c>
      <c r="D132" s="26">
        <f t="shared" si="180"/>
        <v>0</v>
      </c>
      <c r="E132" s="26">
        <f t="shared" si="180"/>
        <v>0</v>
      </c>
      <c r="F132" s="26">
        <f t="shared" si="180"/>
        <v>0</v>
      </c>
      <c r="G132" s="24"/>
      <c r="H132" s="24"/>
      <c r="I132" s="24"/>
      <c r="J132" s="24"/>
      <c r="K132" s="24"/>
      <c r="L132" s="24"/>
      <c r="M132" s="25"/>
      <c r="N132" s="26" t="str">
        <f t="shared" si="98"/>
        <v/>
      </c>
      <c r="O132" s="26" t="str">
        <f t="shared" si="99"/>
        <v/>
      </c>
      <c r="P132" s="26" t="str">
        <f t="shared" si="100"/>
        <v/>
      </c>
      <c r="Q132" s="26">
        <f t="shared" si="101"/>
        <v>0</v>
      </c>
      <c r="R132" s="26">
        <f t="shared" si="102"/>
        <v>0</v>
      </c>
      <c r="S132" s="26">
        <f t="shared" si="103"/>
        <v>0</v>
      </c>
      <c r="T132" s="26" t="str">
        <f t="shared" si="104"/>
        <v/>
      </c>
      <c r="U132" s="26" t="str">
        <f t="shared" si="105"/>
        <v/>
      </c>
      <c r="V132" s="26" t="str">
        <f t="shared" si="106"/>
        <v/>
      </c>
      <c r="W132" s="27" t="str">
        <f t="shared" si="107"/>
        <v/>
      </c>
      <c r="X132" s="27" t="str">
        <f t="shared" si="108"/>
        <v/>
      </c>
      <c r="Y132" s="28" t="str">
        <f t="shared" si="109"/>
        <v/>
      </c>
      <c r="Z132" s="27" t="str">
        <f t="shared" si="110"/>
        <v/>
      </c>
      <c r="AA132" s="27" t="str">
        <f t="shared" si="111"/>
        <v/>
      </c>
      <c r="AB132" s="27" t="str">
        <f t="shared" si="112"/>
        <v/>
      </c>
      <c r="AC132" s="27" t="str">
        <f t="shared" si="113"/>
        <v/>
      </c>
      <c r="AD132" s="29" t="str">
        <f t="shared" si="114"/>
        <v/>
      </c>
      <c r="AE132" s="30" t="str">
        <f t="shared" si="115"/>
        <v/>
      </c>
      <c r="AG132" s="31"/>
      <c r="AH132" s="31" t="e">
        <f t="shared" si="116"/>
        <v>#VALUE!</v>
      </c>
      <c r="AI132" s="31" t="e">
        <f t="shared" si="117"/>
        <v>#VALUE!</v>
      </c>
      <c r="AJ132" s="31" t="e">
        <f t="shared" si="118"/>
        <v>#VALUE!</v>
      </c>
      <c r="AK132" s="31" t="e">
        <f t="shared" si="119"/>
        <v>#VALUE!</v>
      </c>
      <c r="AL132" s="31" t="e">
        <f t="shared" si="120"/>
        <v>#VALUE!</v>
      </c>
      <c r="AM132" s="31" t="e">
        <f t="shared" si="121"/>
        <v>#VALUE!</v>
      </c>
      <c r="AN132" s="32" t="str">
        <f t="shared" si="122"/>
        <v/>
      </c>
      <c r="AO132" s="27" t="str">
        <f t="shared" si="123"/>
        <v/>
      </c>
      <c r="AP132" s="27" t="str">
        <f t="shared" si="124"/>
        <v/>
      </c>
      <c r="AQ132" s="27">
        <f t="shared" si="125"/>
        <v>0</v>
      </c>
      <c r="AR132" s="27">
        <f t="shared" si="126"/>
        <v>0</v>
      </c>
      <c r="AS132" s="33">
        <f t="shared" si="127"/>
        <v>0</v>
      </c>
    </row>
    <row r="133" spans="2:45" ht="15.75" hidden="1" customHeight="1" x14ac:dyDescent="0.25">
      <c r="B133" s="34">
        <f t="shared" ref="B133:F133" si="181">IF(B132="","",B132)</f>
        <v>10210</v>
      </c>
      <c r="C133" s="26">
        <f t="shared" si="181"/>
        <v>24</v>
      </c>
      <c r="D133" s="26">
        <f t="shared" si="181"/>
        <v>0</v>
      </c>
      <c r="E133" s="26">
        <f t="shared" si="181"/>
        <v>0</v>
      </c>
      <c r="F133" s="26">
        <f t="shared" si="181"/>
        <v>0</v>
      </c>
      <c r="G133" s="24"/>
      <c r="H133" s="24"/>
      <c r="I133" s="24"/>
      <c r="J133" s="24"/>
      <c r="K133" s="24"/>
      <c r="L133" s="24"/>
      <c r="M133" s="25"/>
      <c r="N133" s="26" t="str">
        <f t="shared" si="98"/>
        <v/>
      </c>
      <c r="O133" s="26" t="str">
        <f t="shared" si="99"/>
        <v/>
      </c>
      <c r="P133" s="26" t="str">
        <f t="shared" si="100"/>
        <v/>
      </c>
      <c r="Q133" s="26">
        <f t="shared" si="101"/>
        <v>0</v>
      </c>
      <c r="R133" s="26">
        <f t="shared" si="102"/>
        <v>0</v>
      </c>
      <c r="S133" s="26">
        <f t="shared" si="103"/>
        <v>0</v>
      </c>
      <c r="T133" s="26" t="str">
        <f t="shared" si="104"/>
        <v/>
      </c>
      <c r="U133" s="26" t="str">
        <f t="shared" si="105"/>
        <v/>
      </c>
      <c r="V133" s="26" t="str">
        <f t="shared" si="106"/>
        <v/>
      </c>
      <c r="W133" s="27" t="str">
        <f t="shared" si="107"/>
        <v/>
      </c>
      <c r="X133" s="27" t="str">
        <f t="shared" si="108"/>
        <v/>
      </c>
      <c r="Y133" s="28" t="str">
        <f t="shared" si="109"/>
        <v/>
      </c>
      <c r="Z133" s="27" t="str">
        <f t="shared" si="110"/>
        <v/>
      </c>
      <c r="AA133" s="27" t="str">
        <f t="shared" si="111"/>
        <v/>
      </c>
      <c r="AB133" s="27" t="str">
        <f t="shared" si="112"/>
        <v/>
      </c>
      <c r="AC133" s="27" t="str">
        <f t="shared" si="113"/>
        <v/>
      </c>
      <c r="AD133" s="29" t="str">
        <f t="shared" si="114"/>
        <v/>
      </c>
      <c r="AE133" s="30" t="str">
        <f t="shared" si="115"/>
        <v/>
      </c>
      <c r="AG133" s="31"/>
      <c r="AH133" s="31" t="e">
        <f t="shared" si="116"/>
        <v>#VALUE!</v>
      </c>
      <c r="AI133" s="31" t="e">
        <f t="shared" si="117"/>
        <v>#VALUE!</v>
      </c>
      <c r="AJ133" s="31" t="e">
        <f t="shared" si="118"/>
        <v>#VALUE!</v>
      </c>
      <c r="AK133" s="31" t="e">
        <f t="shared" si="119"/>
        <v>#VALUE!</v>
      </c>
      <c r="AL133" s="31" t="e">
        <f t="shared" si="120"/>
        <v>#VALUE!</v>
      </c>
      <c r="AM133" s="31" t="e">
        <f t="shared" si="121"/>
        <v>#VALUE!</v>
      </c>
      <c r="AN133" s="32" t="str">
        <f t="shared" si="122"/>
        <v/>
      </c>
      <c r="AO133" s="27" t="str">
        <f t="shared" si="123"/>
        <v/>
      </c>
      <c r="AP133" s="27" t="str">
        <f t="shared" si="124"/>
        <v/>
      </c>
      <c r="AQ133" s="27">
        <f t="shared" si="125"/>
        <v>0</v>
      </c>
      <c r="AR133" s="27">
        <f t="shared" si="126"/>
        <v>0</v>
      </c>
      <c r="AS133" s="33">
        <f t="shared" si="127"/>
        <v>0</v>
      </c>
    </row>
    <row r="134" spans="2:45" ht="15.75" hidden="1" customHeight="1" x14ac:dyDescent="0.25">
      <c r="B134" s="34">
        <f t="shared" ref="B134:F134" si="182">IF(B133="","",B133)</f>
        <v>10210</v>
      </c>
      <c r="C134" s="26">
        <f t="shared" si="182"/>
        <v>24</v>
      </c>
      <c r="D134" s="26">
        <f t="shared" si="182"/>
        <v>0</v>
      </c>
      <c r="E134" s="26">
        <f t="shared" si="182"/>
        <v>0</v>
      </c>
      <c r="F134" s="26">
        <f t="shared" si="182"/>
        <v>0</v>
      </c>
      <c r="G134" s="24"/>
      <c r="H134" s="24"/>
      <c r="I134" s="24"/>
      <c r="J134" s="24"/>
      <c r="K134" s="24"/>
      <c r="L134" s="24"/>
      <c r="M134" s="25"/>
      <c r="N134" s="26" t="str">
        <f t="shared" si="98"/>
        <v/>
      </c>
      <c r="O134" s="26" t="str">
        <f t="shared" si="99"/>
        <v/>
      </c>
      <c r="P134" s="26" t="str">
        <f t="shared" si="100"/>
        <v/>
      </c>
      <c r="Q134" s="26">
        <f t="shared" si="101"/>
        <v>0</v>
      </c>
      <c r="R134" s="26">
        <f t="shared" si="102"/>
        <v>0</v>
      </c>
      <c r="S134" s="26">
        <f t="shared" si="103"/>
        <v>0</v>
      </c>
      <c r="T134" s="26" t="str">
        <f t="shared" si="104"/>
        <v/>
      </c>
      <c r="U134" s="26" t="str">
        <f t="shared" si="105"/>
        <v/>
      </c>
      <c r="V134" s="26" t="str">
        <f t="shared" si="106"/>
        <v/>
      </c>
      <c r="W134" s="27" t="str">
        <f t="shared" si="107"/>
        <v/>
      </c>
      <c r="X134" s="27" t="str">
        <f t="shared" si="108"/>
        <v/>
      </c>
      <c r="Y134" s="28" t="str">
        <f t="shared" si="109"/>
        <v/>
      </c>
      <c r="Z134" s="27" t="str">
        <f t="shared" si="110"/>
        <v/>
      </c>
      <c r="AA134" s="27" t="str">
        <f t="shared" si="111"/>
        <v/>
      </c>
      <c r="AB134" s="27" t="str">
        <f t="shared" si="112"/>
        <v/>
      </c>
      <c r="AC134" s="27" t="str">
        <f t="shared" si="113"/>
        <v/>
      </c>
      <c r="AD134" s="29" t="str">
        <f t="shared" si="114"/>
        <v/>
      </c>
      <c r="AE134" s="30" t="str">
        <f t="shared" si="115"/>
        <v/>
      </c>
      <c r="AG134" s="31"/>
      <c r="AH134" s="31" t="e">
        <f t="shared" si="116"/>
        <v>#VALUE!</v>
      </c>
      <c r="AI134" s="31" t="e">
        <f t="shared" si="117"/>
        <v>#VALUE!</v>
      </c>
      <c r="AJ134" s="31" t="e">
        <f t="shared" si="118"/>
        <v>#VALUE!</v>
      </c>
      <c r="AK134" s="31" t="e">
        <f t="shared" si="119"/>
        <v>#VALUE!</v>
      </c>
      <c r="AL134" s="31" t="e">
        <f t="shared" si="120"/>
        <v>#VALUE!</v>
      </c>
      <c r="AM134" s="31" t="e">
        <f t="shared" si="121"/>
        <v>#VALUE!</v>
      </c>
      <c r="AN134" s="32" t="str">
        <f t="shared" si="122"/>
        <v/>
      </c>
      <c r="AO134" s="27" t="str">
        <f t="shared" si="123"/>
        <v/>
      </c>
      <c r="AP134" s="27" t="str">
        <f t="shared" si="124"/>
        <v/>
      </c>
      <c r="AQ134" s="27">
        <f t="shared" si="125"/>
        <v>0</v>
      </c>
      <c r="AR134" s="27">
        <f t="shared" si="126"/>
        <v>0</v>
      </c>
      <c r="AS134" s="33">
        <f t="shared" si="127"/>
        <v>0</v>
      </c>
    </row>
    <row r="135" spans="2:45" ht="15.75" hidden="1" customHeight="1" x14ac:dyDescent="0.25">
      <c r="B135" s="34">
        <f t="shared" ref="B135:F135" si="183">IF(B134="","",B134)</f>
        <v>10210</v>
      </c>
      <c r="C135" s="26">
        <f t="shared" si="183"/>
        <v>24</v>
      </c>
      <c r="D135" s="26">
        <f t="shared" si="183"/>
        <v>0</v>
      </c>
      <c r="E135" s="26">
        <f t="shared" si="183"/>
        <v>0</v>
      </c>
      <c r="F135" s="26">
        <f t="shared" si="183"/>
        <v>0</v>
      </c>
      <c r="G135" s="24"/>
      <c r="H135" s="24"/>
      <c r="I135" s="24"/>
      <c r="J135" s="24"/>
      <c r="K135" s="24"/>
      <c r="L135" s="24"/>
      <c r="M135" s="25"/>
      <c r="N135" s="26" t="str">
        <f t="shared" si="98"/>
        <v/>
      </c>
      <c r="O135" s="26" t="str">
        <f t="shared" si="99"/>
        <v/>
      </c>
      <c r="P135" s="26" t="str">
        <f t="shared" si="100"/>
        <v/>
      </c>
      <c r="Q135" s="26">
        <f t="shared" si="101"/>
        <v>0</v>
      </c>
      <c r="R135" s="26">
        <f t="shared" si="102"/>
        <v>0</v>
      </c>
      <c r="S135" s="26">
        <f t="shared" si="103"/>
        <v>0</v>
      </c>
      <c r="T135" s="26" t="str">
        <f t="shared" si="104"/>
        <v/>
      </c>
      <c r="U135" s="26" t="str">
        <f t="shared" si="105"/>
        <v/>
      </c>
      <c r="V135" s="26" t="str">
        <f t="shared" si="106"/>
        <v/>
      </c>
      <c r="W135" s="27" t="str">
        <f t="shared" si="107"/>
        <v/>
      </c>
      <c r="X135" s="27" t="str">
        <f t="shared" si="108"/>
        <v/>
      </c>
      <c r="Y135" s="28" t="str">
        <f t="shared" si="109"/>
        <v/>
      </c>
      <c r="Z135" s="27" t="str">
        <f t="shared" si="110"/>
        <v/>
      </c>
      <c r="AA135" s="27" t="str">
        <f t="shared" si="111"/>
        <v/>
      </c>
      <c r="AB135" s="27" t="str">
        <f t="shared" si="112"/>
        <v/>
      </c>
      <c r="AC135" s="27" t="str">
        <f t="shared" si="113"/>
        <v/>
      </c>
      <c r="AD135" s="29" t="str">
        <f t="shared" si="114"/>
        <v/>
      </c>
      <c r="AE135" s="30" t="str">
        <f t="shared" si="115"/>
        <v/>
      </c>
      <c r="AG135" s="31"/>
      <c r="AH135" s="31" t="e">
        <f t="shared" si="116"/>
        <v>#VALUE!</v>
      </c>
      <c r="AI135" s="31" t="e">
        <f t="shared" si="117"/>
        <v>#VALUE!</v>
      </c>
      <c r="AJ135" s="31" t="e">
        <f t="shared" si="118"/>
        <v>#VALUE!</v>
      </c>
      <c r="AK135" s="31" t="e">
        <f t="shared" si="119"/>
        <v>#VALUE!</v>
      </c>
      <c r="AL135" s="31" t="e">
        <f t="shared" si="120"/>
        <v>#VALUE!</v>
      </c>
      <c r="AM135" s="31" t="e">
        <f t="shared" si="121"/>
        <v>#VALUE!</v>
      </c>
      <c r="AN135" s="32" t="str">
        <f t="shared" si="122"/>
        <v/>
      </c>
      <c r="AO135" s="27" t="str">
        <f t="shared" si="123"/>
        <v/>
      </c>
      <c r="AP135" s="27" t="str">
        <f t="shared" si="124"/>
        <v/>
      </c>
      <c r="AQ135" s="27">
        <f t="shared" si="125"/>
        <v>0</v>
      </c>
      <c r="AR135" s="27">
        <f t="shared" si="126"/>
        <v>0</v>
      </c>
      <c r="AS135" s="33">
        <f t="shared" si="127"/>
        <v>0</v>
      </c>
    </row>
    <row r="136" spans="2:45" ht="15.75" hidden="1" customHeight="1" x14ac:dyDescent="0.25">
      <c r="B136" s="34">
        <f t="shared" ref="B136:F136" si="184">IF(B135="","",B135)</f>
        <v>10210</v>
      </c>
      <c r="C136" s="26">
        <f t="shared" si="184"/>
        <v>24</v>
      </c>
      <c r="D136" s="26">
        <f t="shared" si="184"/>
        <v>0</v>
      </c>
      <c r="E136" s="26">
        <f t="shared" si="184"/>
        <v>0</v>
      </c>
      <c r="F136" s="26">
        <f t="shared" si="184"/>
        <v>0</v>
      </c>
      <c r="G136" s="24"/>
      <c r="H136" s="24"/>
      <c r="I136" s="24"/>
      <c r="J136" s="24"/>
      <c r="K136" s="24"/>
      <c r="L136" s="24"/>
      <c r="M136" s="25"/>
      <c r="N136" s="26" t="str">
        <f t="shared" si="98"/>
        <v/>
      </c>
      <c r="O136" s="26" t="str">
        <f t="shared" si="99"/>
        <v/>
      </c>
      <c r="P136" s="26" t="str">
        <f t="shared" si="100"/>
        <v/>
      </c>
      <c r="Q136" s="26">
        <f t="shared" si="101"/>
        <v>0</v>
      </c>
      <c r="R136" s="26">
        <f t="shared" si="102"/>
        <v>0</v>
      </c>
      <c r="S136" s="26">
        <f t="shared" si="103"/>
        <v>0</v>
      </c>
      <c r="T136" s="26" t="str">
        <f t="shared" si="104"/>
        <v/>
      </c>
      <c r="U136" s="26" t="str">
        <f t="shared" si="105"/>
        <v/>
      </c>
      <c r="V136" s="26" t="str">
        <f t="shared" si="106"/>
        <v/>
      </c>
      <c r="W136" s="27" t="str">
        <f t="shared" si="107"/>
        <v/>
      </c>
      <c r="X136" s="27" t="str">
        <f t="shared" si="108"/>
        <v/>
      </c>
      <c r="Y136" s="28" t="str">
        <f t="shared" si="109"/>
        <v/>
      </c>
      <c r="Z136" s="27" t="str">
        <f t="shared" si="110"/>
        <v/>
      </c>
      <c r="AA136" s="27" t="str">
        <f t="shared" si="111"/>
        <v/>
      </c>
      <c r="AB136" s="27" t="str">
        <f t="shared" si="112"/>
        <v/>
      </c>
      <c r="AC136" s="27" t="str">
        <f t="shared" si="113"/>
        <v/>
      </c>
      <c r="AD136" s="29" t="str">
        <f t="shared" si="114"/>
        <v/>
      </c>
      <c r="AE136" s="30" t="str">
        <f t="shared" si="115"/>
        <v/>
      </c>
      <c r="AG136" s="31"/>
      <c r="AH136" s="31" t="e">
        <f t="shared" si="116"/>
        <v>#VALUE!</v>
      </c>
      <c r="AI136" s="31" t="e">
        <f t="shared" si="117"/>
        <v>#VALUE!</v>
      </c>
      <c r="AJ136" s="31" t="e">
        <f t="shared" si="118"/>
        <v>#VALUE!</v>
      </c>
      <c r="AK136" s="31" t="e">
        <f t="shared" si="119"/>
        <v>#VALUE!</v>
      </c>
      <c r="AL136" s="31" t="e">
        <f t="shared" si="120"/>
        <v>#VALUE!</v>
      </c>
      <c r="AM136" s="31" t="e">
        <f t="shared" si="121"/>
        <v>#VALUE!</v>
      </c>
      <c r="AN136" s="32" t="str">
        <f t="shared" si="122"/>
        <v/>
      </c>
      <c r="AO136" s="27" t="str">
        <f t="shared" si="123"/>
        <v/>
      </c>
      <c r="AP136" s="27" t="str">
        <f t="shared" si="124"/>
        <v/>
      </c>
      <c r="AQ136" s="27">
        <f t="shared" si="125"/>
        <v>0</v>
      </c>
      <c r="AR136" s="27">
        <f t="shared" si="126"/>
        <v>0</v>
      </c>
      <c r="AS136" s="33">
        <f t="shared" si="127"/>
        <v>0</v>
      </c>
    </row>
    <row r="137" spans="2:45" ht="15.75" hidden="1" customHeight="1" x14ac:dyDescent="0.25">
      <c r="B137" s="34">
        <f t="shared" ref="B137:F137" si="185">IF(B136="","",B136)</f>
        <v>10210</v>
      </c>
      <c r="C137" s="26">
        <f t="shared" si="185"/>
        <v>24</v>
      </c>
      <c r="D137" s="26">
        <f t="shared" si="185"/>
        <v>0</v>
      </c>
      <c r="E137" s="26">
        <f t="shared" si="185"/>
        <v>0</v>
      </c>
      <c r="F137" s="26">
        <f t="shared" si="185"/>
        <v>0</v>
      </c>
      <c r="G137" s="24"/>
      <c r="H137" s="24"/>
      <c r="I137" s="24"/>
      <c r="J137" s="24"/>
      <c r="K137" s="24"/>
      <c r="L137" s="24"/>
      <c r="M137" s="25"/>
      <c r="N137" s="26" t="str">
        <f t="shared" si="98"/>
        <v/>
      </c>
      <c r="O137" s="26" t="str">
        <f t="shared" si="99"/>
        <v/>
      </c>
      <c r="P137" s="26" t="str">
        <f t="shared" si="100"/>
        <v/>
      </c>
      <c r="Q137" s="26">
        <f t="shared" si="101"/>
        <v>0</v>
      </c>
      <c r="R137" s="26">
        <f t="shared" si="102"/>
        <v>0</v>
      </c>
      <c r="S137" s="26">
        <f t="shared" si="103"/>
        <v>0</v>
      </c>
      <c r="T137" s="26" t="str">
        <f t="shared" si="104"/>
        <v/>
      </c>
      <c r="U137" s="26" t="str">
        <f t="shared" si="105"/>
        <v/>
      </c>
      <c r="V137" s="26" t="str">
        <f t="shared" si="106"/>
        <v/>
      </c>
      <c r="W137" s="27" t="str">
        <f t="shared" si="107"/>
        <v/>
      </c>
      <c r="X137" s="27" t="str">
        <f t="shared" si="108"/>
        <v/>
      </c>
      <c r="Y137" s="28" t="str">
        <f t="shared" si="109"/>
        <v/>
      </c>
      <c r="Z137" s="27" t="str">
        <f t="shared" si="110"/>
        <v/>
      </c>
      <c r="AA137" s="27" t="str">
        <f t="shared" si="111"/>
        <v/>
      </c>
      <c r="AB137" s="27" t="str">
        <f t="shared" si="112"/>
        <v/>
      </c>
      <c r="AC137" s="27" t="str">
        <f t="shared" si="113"/>
        <v/>
      </c>
      <c r="AD137" s="29" t="str">
        <f t="shared" si="114"/>
        <v/>
      </c>
      <c r="AE137" s="30" t="str">
        <f t="shared" si="115"/>
        <v/>
      </c>
      <c r="AG137" s="31"/>
      <c r="AH137" s="31" t="e">
        <f t="shared" si="116"/>
        <v>#VALUE!</v>
      </c>
      <c r="AI137" s="31" t="e">
        <f t="shared" si="117"/>
        <v>#VALUE!</v>
      </c>
      <c r="AJ137" s="31" t="e">
        <f t="shared" si="118"/>
        <v>#VALUE!</v>
      </c>
      <c r="AK137" s="31" t="e">
        <f t="shared" si="119"/>
        <v>#VALUE!</v>
      </c>
      <c r="AL137" s="31" t="e">
        <f t="shared" si="120"/>
        <v>#VALUE!</v>
      </c>
      <c r="AM137" s="31" t="e">
        <f t="shared" si="121"/>
        <v>#VALUE!</v>
      </c>
      <c r="AN137" s="32" t="str">
        <f t="shared" si="122"/>
        <v/>
      </c>
      <c r="AO137" s="27" t="str">
        <f t="shared" si="123"/>
        <v/>
      </c>
      <c r="AP137" s="27" t="str">
        <f t="shared" si="124"/>
        <v/>
      </c>
      <c r="AQ137" s="27">
        <f t="shared" si="125"/>
        <v>0</v>
      </c>
      <c r="AR137" s="27">
        <f t="shared" si="126"/>
        <v>0</v>
      </c>
      <c r="AS137" s="33">
        <f t="shared" si="127"/>
        <v>0</v>
      </c>
    </row>
    <row r="138" spans="2:45" ht="15.75" hidden="1" customHeight="1" x14ac:dyDescent="0.25">
      <c r="B138" s="34">
        <f t="shared" ref="B138:F138" si="186">IF(B137="","",B137)</f>
        <v>10210</v>
      </c>
      <c r="C138" s="26">
        <f t="shared" si="186"/>
        <v>24</v>
      </c>
      <c r="D138" s="26">
        <f t="shared" si="186"/>
        <v>0</v>
      </c>
      <c r="E138" s="26">
        <f t="shared" si="186"/>
        <v>0</v>
      </c>
      <c r="F138" s="26">
        <f t="shared" si="186"/>
        <v>0</v>
      </c>
      <c r="G138" s="24"/>
      <c r="H138" s="24"/>
      <c r="I138" s="24"/>
      <c r="J138" s="24"/>
      <c r="K138" s="24"/>
      <c r="L138" s="24"/>
      <c r="M138" s="25"/>
      <c r="N138" s="26" t="str">
        <f t="shared" si="98"/>
        <v/>
      </c>
      <c r="O138" s="26" t="str">
        <f t="shared" si="99"/>
        <v/>
      </c>
      <c r="P138" s="26" t="str">
        <f t="shared" si="100"/>
        <v/>
      </c>
      <c r="Q138" s="26">
        <f t="shared" si="101"/>
        <v>0</v>
      </c>
      <c r="R138" s="26">
        <f t="shared" si="102"/>
        <v>0</v>
      </c>
      <c r="S138" s="26">
        <f t="shared" si="103"/>
        <v>0</v>
      </c>
      <c r="T138" s="26" t="str">
        <f t="shared" si="104"/>
        <v/>
      </c>
      <c r="U138" s="26" t="str">
        <f t="shared" si="105"/>
        <v/>
      </c>
      <c r="V138" s="26" t="str">
        <f t="shared" si="106"/>
        <v/>
      </c>
      <c r="W138" s="27" t="str">
        <f t="shared" si="107"/>
        <v/>
      </c>
      <c r="X138" s="27" t="str">
        <f t="shared" si="108"/>
        <v/>
      </c>
      <c r="Y138" s="28" t="str">
        <f t="shared" si="109"/>
        <v/>
      </c>
      <c r="Z138" s="27" t="str">
        <f t="shared" si="110"/>
        <v/>
      </c>
      <c r="AA138" s="27" t="str">
        <f t="shared" si="111"/>
        <v/>
      </c>
      <c r="AB138" s="27" t="str">
        <f t="shared" si="112"/>
        <v/>
      </c>
      <c r="AC138" s="27" t="str">
        <f t="shared" si="113"/>
        <v/>
      </c>
      <c r="AD138" s="29" t="str">
        <f t="shared" si="114"/>
        <v/>
      </c>
      <c r="AE138" s="30" t="str">
        <f t="shared" si="115"/>
        <v/>
      </c>
      <c r="AG138" s="31"/>
      <c r="AH138" s="31" t="e">
        <f t="shared" si="116"/>
        <v>#VALUE!</v>
      </c>
      <c r="AI138" s="31" t="e">
        <f t="shared" si="117"/>
        <v>#VALUE!</v>
      </c>
      <c r="AJ138" s="31" t="e">
        <f t="shared" si="118"/>
        <v>#VALUE!</v>
      </c>
      <c r="AK138" s="31" t="e">
        <f t="shared" si="119"/>
        <v>#VALUE!</v>
      </c>
      <c r="AL138" s="31" t="e">
        <f t="shared" si="120"/>
        <v>#VALUE!</v>
      </c>
      <c r="AM138" s="31" t="e">
        <f t="shared" si="121"/>
        <v>#VALUE!</v>
      </c>
      <c r="AN138" s="32" t="str">
        <f t="shared" si="122"/>
        <v/>
      </c>
      <c r="AO138" s="27" t="str">
        <f t="shared" si="123"/>
        <v/>
      </c>
      <c r="AP138" s="27" t="str">
        <f t="shared" si="124"/>
        <v/>
      </c>
      <c r="AQ138" s="27">
        <f t="shared" si="125"/>
        <v>0</v>
      </c>
      <c r="AR138" s="27">
        <f t="shared" si="126"/>
        <v>0</v>
      </c>
      <c r="AS138" s="33">
        <f t="shared" si="127"/>
        <v>0</v>
      </c>
    </row>
    <row r="139" spans="2:45" ht="15.75" hidden="1" customHeight="1" x14ac:dyDescent="0.25">
      <c r="B139" s="34">
        <f t="shared" ref="B139:F139" si="187">IF(B138="","",B138)</f>
        <v>10210</v>
      </c>
      <c r="C139" s="26">
        <f t="shared" si="187"/>
        <v>24</v>
      </c>
      <c r="D139" s="26">
        <f t="shared" si="187"/>
        <v>0</v>
      </c>
      <c r="E139" s="26">
        <f t="shared" si="187"/>
        <v>0</v>
      </c>
      <c r="F139" s="26">
        <f t="shared" si="187"/>
        <v>0</v>
      </c>
      <c r="G139" s="24"/>
      <c r="H139" s="24"/>
      <c r="I139" s="24"/>
      <c r="J139" s="24"/>
      <c r="K139" s="24"/>
      <c r="L139" s="24"/>
      <c r="M139" s="25"/>
      <c r="N139" s="26" t="str">
        <f t="shared" si="98"/>
        <v/>
      </c>
      <c r="O139" s="26" t="str">
        <f t="shared" si="99"/>
        <v/>
      </c>
      <c r="P139" s="26" t="str">
        <f t="shared" si="100"/>
        <v/>
      </c>
      <c r="Q139" s="26">
        <f t="shared" si="101"/>
        <v>0</v>
      </c>
      <c r="R139" s="26">
        <f t="shared" si="102"/>
        <v>0</v>
      </c>
      <c r="S139" s="26">
        <f t="shared" si="103"/>
        <v>0</v>
      </c>
      <c r="T139" s="26" t="str">
        <f t="shared" si="104"/>
        <v/>
      </c>
      <c r="U139" s="26" t="str">
        <f t="shared" si="105"/>
        <v/>
      </c>
      <c r="V139" s="26" t="str">
        <f t="shared" si="106"/>
        <v/>
      </c>
      <c r="W139" s="27" t="str">
        <f t="shared" si="107"/>
        <v/>
      </c>
      <c r="X139" s="27" t="str">
        <f t="shared" si="108"/>
        <v/>
      </c>
      <c r="Y139" s="28" t="str">
        <f t="shared" si="109"/>
        <v/>
      </c>
      <c r="Z139" s="27" t="str">
        <f t="shared" si="110"/>
        <v/>
      </c>
      <c r="AA139" s="27" t="str">
        <f t="shared" si="111"/>
        <v/>
      </c>
      <c r="AB139" s="27" t="str">
        <f t="shared" si="112"/>
        <v/>
      </c>
      <c r="AC139" s="27" t="str">
        <f t="shared" si="113"/>
        <v/>
      </c>
      <c r="AD139" s="29" t="str">
        <f t="shared" si="114"/>
        <v/>
      </c>
      <c r="AE139" s="30" t="str">
        <f t="shared" si="115"/>
        <v/>
      </c>
      <c r="AG139" s="31"/>
      <c r="AH139" s="31" t="e">
        <f t="shared" si="116"/>
        <v>#VALUE!</v>
      </c>
      <c r="AI139" s="31" t="e">
        <f t="shared" si="117"/>
        <v>#VALUE!</v>
      </c>
      <c r="AJ139" s="31" t="e">
        <f t="shared" si="118"/>
        <v>#VALUE!</v>
      </c>
      <c r="AK139" s="31" t="e">
        <f t="shared" si="119"/>
        <v>#VALUE!</v>
      </c>
      <c r="AL139" s="31" t="e">
        <f t="shared" si="120"/>
        <v>#VALUE!</v>
      </c>
      <c r="AM139" s="31" t="e">
        <f t="shared" si="121"/>
        <v>#VALUE!</v>
      </c>
      <c r="AN139" s="32" t="str">
        <f t="shared" si="122"/>
        <v/>
      </c>
      <c r="AO139" s="27" t="str">
        <f t="shared" si="123"/>
        <v/>
      </c>
      <c r="AP139" s="27" t="str">
        <f t="shared" si="124"/>
        <v/>
      </c>
      <c r="AQ139" s="27">
        <f t="shared" si="125"/>
        <v>0</v>
      </c>
      <c r="AR139" s="27">
        <f t="shared" si="126"/>
        <v>0</v>
      </c>
      <c r="AS139" s="33">
        <f t="shared" si="127"/>
        <v>0</v>
      </c>
    </row>
    <row r="140" spans="2:45" ht="15.75" hidden="1" customHeight="1" x14ac:dyDescent="0.25">
      <c r="B140" s="34">
        <f t="shared" ref="B140:F140" si="188">IF(B139="","",B139)</f>
        <v>10210</v>
      </c>
      <c r="C140" s="26">
        <f t="shared" si="188"/>
        <v>24</v>
      </c>
      <c r="D140" s="26">
        <f t="shared" si="188"/>
        <v>0</v>
      </c>
      <c r="E140" s="26">
        <f t="shared" si="188"/>
        <v>0</v>
      </c>
      <c r="F140" s="26">
        <f t="shared" si="188"/>
        <v>0</v>
      </c>
      <c r="G140" s="24"/>
      <c r="H140" s="24"/>
      <c r="I140" s="24"/>
      <c r="J140" s="24"/>
      <c r="K140" s="24"/>
      <c r="L140" s="24"/>
      <c r="M140" s="25"/>
      <c r="N140" s="26" t="str">
        <f t="shared" si="98"/>
        <v/>
      </c>
      <c r="O140" s="26" t="str">
        <f t="shared" si="99"/>
        <v/>
      </c>
      <c r="P140" s="26" t="str">
        <f t="shared" si="100"/>
        <v/>
      </c>
      <c r="Q140" s="26">
        <f t="shared" si="101"/>
        <v>0</v>
      </c>
      <c r="R140" s="26">
        <f t="shared" si="102"/>
        <v>0</v>
      </c>
      <c r="S140" s="26">
        <f t="shared" si="103"/>
        <v>0</v>
      </c>
      <c r="T140" s="26" t="str">
        <f t="shared" si="104"/>
        <v/>
      </c>
      <c r="U140" s="26" t="str">
        <f t="shared" si="105"/>
        <v/>
      </c>
      <c r="V140" s="26" t="str">
        <f t="shared" si="106"/>
        <v/>
      </c>
      <c r="W140" s="27" t="str">
        <f t="shared" si="107"/>
        <v/>
      </c>
      <c r="X140" s="27" t="str">
        <f t="shared" si="108"/>
        <v/>
      </c>
      <c r="Y140" s="28" t="str">
        <f t="shared" si="109"/>
        <v/>
      </c>
      <c r="Z140" s="27" t="str">
        <f t="shared" si="110"/>
        <v/>
      </c>
      <c r="AA140" s="27" t="str">
        <f t="shared" si="111"/>
        <v/>
      </c>
      <c r="AB140" s="27" t="str">
        <f t="shared" si="112"/>
        <v/>
      </c>
      <c r="AC140" s="27" t="str">
        <f t="shared" si="113"/>
        <v/>
      </c>
      <c r="AD140" s="29" t="str">
        <f t="shared" si="114"/>
        <v/>
      </c>
      <c r="AE140" s="30" t="str">
        <f t="shared" si="115"/>
        <v/>
      </c>
      <c r="AG140" s="31"/>
      <c r="AH140" s="31" t="e">
        <f t="shared" si="116"/>
        <v>#VALUE!</v>
      </c>
      <c r="AI140" s="31" t="e">
        <f t="shared" si="117"/>
        <v>#VALUE!</v>
      </c>
      <c r="AJ140" s="31" t="e">
        <f t="shared" si="118"/>
        <v>#VALUE!</v>
      </c>
      <c r="AK140" s="31" t="e">
        <f t="shared" si="119"/>
        <v>#VALUE!</v>
      </c>
      <c r="AL140" s="31" t="e">
        <f t="shared" si="120"/>
        <v>#VALUE!</v>
      </c>
      <c r="AM140" s="31" t="e">
        <f t="shared" si="121"/>
        <v>#VALUE!</v>
      </c>
      <c r="AN140" s="32" t="str">
        <f t="shared" si="122"/>
        <v/>
      </c>
      <c r="AO140" s="27" t="str">
        <f t="shared" si="123"/>
        <v/>
      </c>
      <c r="AP140" s="27" t="str">
        <f t="shared" si="124"/>
        <v/>
      </c>
      <c r="AQ140" s="27">
        <f t="shared" si="125"/>
        <v>0</v>
      </c>
      <c r="AR140" s="27">
        <f t="shared" si="126"/>
        <v>0</v>
      </c>
      <c r="AS140" s="33">
        <f t="shared" si="127"/>
        <v>0</v>
      </c>
    </row>
    <row r="141" spans="2:45" ht="15.75" hidden="1" customHeight="1" x14ac:dyDescent="0.25">
      <c r="B141" s="34">
        <f t="shared" ref="B141:F141" si="189">IF(B140="","",B140)</f>
        <v>10210</v>
      </c>
      <c r="C141" s="26">
        <f t="shared" si="189"/>
        <v>24</v>
      </c>
      <c r="D141" s="26">
        <f t="shared" si="189"/>
        <v>0</v>
      </c>
      <c r="E141" s="26">
        <f t="shared" si="189"/>
        <v>0</v>
      </c>
      <c r="F141" s="26">
        <f t="shared" si="189"/>
        <v>0</v>
      </c>
      <c r="G141" s="24"/>
      <c r="H141" s="24"/>
      <c r="I141" s="24"/>
      <c r="J141" s="24"/>
      <c r="K141" s="24"/>
      <c r="L141" s="24"/>
      <c r="M141" s="25"/>
      <c r="N141" s="26" t="str">
        <f t="shared" si="98"/>
        <v/>
      </c>
      <c r="O141" s="26" t="str">
        <f t="shared" si="99"/>
        <v/>
      </c>
      <c r="P141" s="26" t="str">
        <f t="shared" si="100"/>
        <v/>
      </c>
      <c r="Q141" s="26">
        <f t="shared" si="101"/>
        <v>0</v>
      </c>
      <c r="R141" s="26">
        <f t="shared" si="102"/>
        <v>0</v>
      </c>
      <c r="S141" s="26">
        <f t="shared" si="103"/>
        <v>0</v>
      </c>
      <c r="T141" s="26" t="str">
        <f t="shared" si="104"/>
        <v/>
      </c>
      <c r="U141" s="26" t="str">
        <f t="shared" si="105"/>
        <v/>
      </c>
      <c r="V141" s="26" t="str">
        <f t="shared" si="106"/>
        <v/>
      </c>
      <c r="W141" s="27" t="str">
        <f t="shared" si="107"/>
        <v/>
      </c>
      <c r="X141" s="27" t="str">
        <f t="shared" si="108"/>
        <v/>
      </c>
      <c r="Y141" s="28" t="str">
        <f t="shared" si="109"/>
        <v/>
      </c>
      <c r="Z141" s="27" t="str">
        <f t="shared" si="110"/>
        <v/>
      </c>
      <c r="AA141" s="27" t="str">
        <f t="shared" si="111"/>
        <v/>
      </c>
      <c r="AB141" s="27" t="str">
        <f t="shared" si="112"/>
        <v/>
      </c>
      <c r="AC141" s="27" t="str">
        <f t="shared" si="113"/>
        <v/>
      </c>
      <c r="AD141" s="29" t="str">
        <f t="shared" si="114"/>
        <v/>
      </c>
      <c r="AE141" s="30" t="str">
        <f t="shared" si="115"/>
        <v/>
      </c>
      <c r="AG141" s="31"/>
      <c r="AH141" s="31" t="e">
        <f t="shared" si="116"/>
        <v>#VALUE!</v>
      </c>
      <c r="AI141" s="31" t="e">
        <f t="shared" si="117"/>
        <v>#VALUE!</v>
      </c>
      <c r="AJ141" s="31" t="e">
        <f t="shared" si="118"/>
        <v>#VALUE!</v>
      </c>
      <c r="AK141" s="31" t="e">
        <f t="shared" si="119"/>
        <v>#VALUE!</v>
      </c>
      <c r="AL141" s="31" t="e">
        <f t="shared" si="120"/>
        <v>#VALUE!</v>
      </c>
      <c r="AM141" s="31" t="e">
        <f t="shared" si="121"/>
        <v>#VALUE!</v>
      </c>
      <c r="AN141" s="32" t="str">
        <f t="shared" si="122"/>
        <v/>
      </c>
      <c r="AO141" s="27" t="str">
        <f t="shared" si="123"/>
        <v/>
      </c>
      <c r="AP141" s="27" t="str">
        <f t="shared" si="124"/>
        <v/>
      </c>
      <c r="AQ141" s="27">
        <f t="shared" si="125"/>
        <v>0</v>
      </c>
      <c r="AR141" s="27">
        <f t="shared" si="126"/>
        <v>0</v>
      </c>
      <c r="AS141" s="33">
        <f t="shared" si="127"/>
        <v>0</v>
      </c>
    </row>
    <row r="142" spans="2:45" ht="15.75" hidden="1" customHeight="1" x14ac:dyDescent="0.25">
      <c r="B142" s="34">
        <f t="shared" ref="B142:F142" si="190">IF(B141="","",B141)</f>
        <v>10210</v>
      </c>
      <c r="C142" s="26">
        <f t="shared" si="190"/>
        <v>24</v>
      </c>
      <c r="D142" s="26">
        <f t="shared" si="190"/>
        <v>0</v>
      </c>
      <c r="E142" s="26">
        <f t="shared" si="190"/>
        <v>0</v>
      </c>
      <c r="F142" s="26">
        <f t="shared" si="190"/>
        <v>0</v>
      </c>
      <c r="G142" s="24"/>
      <c r="H142" s="24"/>
      <c r="I142" s="24"/>
      <c r="J142" s="24"/>
      <c r="K142" s="24"/>
      <c r="L142" s="24"/>
      <c r="M142" s="25"/>
      <c r="N142" s="26" t="str">
        <f t="shared" si="98"/>
        <v/>
      </c>
      <c r="O142" s="26" t="str">
        <f t="shared" si="99"/>
        <v/>
      </c>
      <c r="P142" s="26" t="str">
        <f t="shared" si="100"/>
        <v/>
      </c>
      <c r="Q142" s="26">
        <f t="shared" si="101"/>
        <v>0</v>
      </c>
      <c r="R142" s="26">
        <f t="shared" si="102"/>
        <v>0</v>
      </c>
      <c r="S142" s="26">
        <f t="shared" si="103"/>
        <v>0</v>
      </c>
      <c r="T142" s="26" t="str">
        <f t="shared" si="104"/>
        <v/>
      </c>
      <c r="U142" s="26" t="str">
        <f t="shared" si="105"/>
        <v/>
      </c>
      <c r="V142" s="26" t="str">
        <f t="shared" si="106"/>
        <v/>
      </c>
      <c r="W142" s="27" t="str">
        <f t="shared" si="107"/>
        <v/>
      </c>
      <c r="X142" s="27" t="str">
        <f t="shared" si="108"/>
        <v/>
      </c>
      <c r="Y142" s="28" t="str">
        <f t="shared" si="109"/>
        <v/>
      </c>
      <c r="Z142" s="27" t="str">
        <f t="shared" si="110"/>
        <v/>
      </c>
      <c r="AA142" s="27" t="str">
        <f t="shared" si="111"/>
        <v/>
      </c>
      <c r="AB142" s="27" t="str">
        <f t="shared" si="112"/>
        <v/>
      </c>
      <c r="AC142" s="27" t="str">
        <f t="shared" si="113"/>
        <v/>
      </c>
      <c r="AD142" s="29" t="str">
        <f t="shared" si="114"/>
        <v/>
      </c>
      <c r="AE142" s="30" t="str">
        <f t="shared" si="115"/>
        <v/>
      </c>
      <c r="AG142" s="31"/>
      <c r="AH142" s="31" t="e">
        <f t="shared" si="116"/>
        <v>#VALUE!</v>
      </c>
      <c r="AI142" s="31" t="e">
        <f t="shared" si="117"/>
        <v>#VALUE!</v>
      </c>
      <c r="AJ142" s="31" t="e">
        <f t="shared" si="118"/>
        <v>#VALUE!</v>
      </c>
      <c r="AK142" s="31" t="e">
        <f t="shared" si="119"/>
        <v>#VALUE!</v>
      </c>
      <c r="AL142" s="31" t="e">
        <f t="shared" si="120"/>
        <v>#VALUE!</v>
      </c>
      <c r="AM142" s="31" t="e">
        <f t="shared" si="121"/>
        <v>#VALUE!</v>
      </c>
      <c r="AN142" s="32" t="str">
        <f t="shared" si="122"/>
        <v/>
      </c>
      <c r="AO142" s="27" t="str">
        <f t="shared" si="123"/>
        <v/>
      </c>
      <c r="AP142" s="27" t="str">
        <f t="shared" si="124"/>
        <v/>
      </c>
      <c r="AQ142" s="27">
        <f t="shared" si="125"/>
        <v>0</v>
      </c>
      <c r="AR142" s="27">
        <f t="shared" si="126"/>
        <v>0</v>
      </c>
      <c r="AS142" s="33">
        <f t="shared" si="127"/>
        <v>0</v>
      </c>
    </row>
    <row r="143" spans="2:45" ht="15.75" hidden="1" customHeight="1" x14ac:dyDescent="0.25">
      <c r="B143" s="34">
        <f t="shared" ref="B143:F143" si="191">IF(B142="","",B142)</f>
        <v>10210</v>
      </c>
      <c r="C143" s="26">
        <f t="shared" si="191"/>
        <v>24</v>
      </c>
      <c r="D143" s="26">
        <f t="shared" si="191"/>
        <v>0</v>
      </c>
      <c r="E143" s="26">
        <f t="shared" si="191"/>
        <v>0</v>
      </c>
      <c r="F143" s="26">
        <f t="shared" si="191"/>
        <v>0</v>
      </c>
      <c r="G143" s="24"/>
      <c r="H143" s="24"/>
      <c r="I143" s="24"/>
      <c r="J143" s="24"/>
      <c r="K143" s="24"/>
      <c r="L143" s="24"/>
      <c r="M143" s="25"/>
      <c r="N143" s="26" t="str">
        <f t="shared" ref="N143:N163" si="192">IF($J$7="NO",IF(M143="","",IF($E$7="+X",D143,IF($E$7="-X",-D143,IF($E$7="+Z",F143,IF($E$7="-Z",-F143))))),IF(M143="","",IF($E$7="+X",D143,IF($E$7="-X",-D143,IF($E$7="+Y",E143,IF($E$7="-Y",-E143))))))</f>
        <v/>
      </c>
      <c r="O143" s="26" t="str">
        <f t="shared" ref="O143:O163" si="193">IF($J$7="NO",IF(M143="","",E143),IF(M143="","",F143))</f>
        <v/>
      </c>
      <c r="P143" s="26" t="str">
        <f t="shared" ref="P143:P163" si="194">IF($J$7="NO",IF(M143="","",IF($E$7="+X",F143,IF($E$7="-X",-F143,IF($E$7="+Z",-D143,IF($E$7="-Z",D143))))),IF(M143="","",IF($E$7="+X",-E143,IF($E$7="-X",E143,IF($E$7="+Y",D143,IF($E$7="-Y",-D143))))))</f>
        <v/>
      </c>
      <c r="Q143" s="26">
        <f t="shared" ref="Q143:Q163" si="195">IF($J$7="NO",IF(M143="",0,IF($E$7="+X",G143,IF($E$7="-X",-G143,IF($E$7="+Z",I143,IF($E$7="-Z",-I143))))),IF(M143="",0,IF($E$7="+X",G143,IF($E$7="-X",-G143,IF($E$7="+Y",H143,IF($E$7="-Y",-H143))))))</f>
        <v>0</v>
      </c>
      <c r="R143" s="26">
        <f t="shared" ref="R143:R163" si="196">IF($J$7="NO",IF(M143="",0,H143),IF(M143="",0,I143))</f>
        <v>0</v>
      </c>
      <c r="S143" s="26">
        <f t="shared" ref="S143:S163" si="197">IF($J$7="NO",IF(M143="",0,IF($E$7="+X",I143,IF($E$7="-X",-I143,IF($E$7="+Z",-G143,IF($E$7="-Z",G143))))),IF(M143="",0,IF($E$7="+X",-H143,IF($E$7="-X",H143,IF($E$7="+Y",G143,IF($E$7="-Y",-G143))))))</f>
        <v>0</v>
      </c>
      <c r="T143" s="26" t="str">
        <f t="shared" ref="T143:T163" si="198">IF($J$7="NO",IF(M143="","",IF($E$7="+X",J143,IF($E$7="-X",-J143,IF($E$7="+Z",L143,IF($E$7="-Z",-L143))))),IF(M143="","",IF($E$7="+X",J143,IF($E$7="-X",-J143,IF($E$7="+Y",K143,IF($E$7="-Y",-K143))))))</f>
        <v/>
      </c>
      <c r="U143" s="26" t="str">
        <f t="shared" ref="U143:U163" si="199">IF($J$7="NO",IF(M143="","",K143),IF(M143="","",L143))</f>
        <v/>
      </c>
      <c r="V143" s="26" t="str">
        <f t="shared" ref="V143:V163" si="200">IF($J$7="NO",IF(M143="","",IF($E$7="+X",L143,IF($E$7="-X",-L143,IF($E$7="+Z",-J143,IF($E$7="-Z",J143))))),IF(M143="","",IF($E$7="+X",-K143,IF($E$7="-X",K143,IF($E$7="+Y",J143,IF($E$7="-Y",-J143))))))</f>
        <v/>
      </c>
      <c r="W143" s="27" t="str">
        <f t="shared" ref="W143:W163" si="201">IF(M143="","",SQRT(Q143^2+R143^2+S143^2))</f>
        <v/>
      </c>
      <c r="X143" s="27" t="str">
        <f t="shared" ref="X143:X163" si="202">IF(M143="","",SQRT(T143^2+U143^2+V143^2))</f>
        <v/>
      </c>
      <c r="Y143" s="28" t="str">
        <f t="shared" ref="Y143:Y163" si="203">IF(M143="","",IF($C143&lt;=8,$C143,(16+$C143)/3))</f>
        <v/>
      </c>
      <c r="Z143" s="27" t="str">
        <f t="shared" ref="Z143:Z163" si="204">IF(M143="","",W143*0.224808)</f>
        <v/>
      </c>
      <c r="AA143" s="27" t="str">
        <f t="shared" ref="AA143:AA163" si="205">IF(M143="","",X143*0.737562)</f>
        <v/>
      </c>
      <c r="AB143" s="27" t="str">
        <f t="shared" ref="AB143:AB163" si="206">IF(M143="","",3*Z143+AA143)</f>
        <v/>
      </c>
      <c r="AC143" s="27" t="str">
        <f t="shared" ref="AC143:AC163" si="207">IF(M143="","",IF(M143="","",500*Y143*$O$7))</f>
        <v/>
      </c>
      <c r="AD143" s="29" t="str">
        <f t="shared" ref="AD143:AD163" si="208">IF(M143="","",IF(M143="","",AB143/AC143)*100)</f>
        <v/>
      </c>
      <c r="AE143" s="30" t="str">
        <f t="shared" ref="AE143:AE163" si="209">IF(M143="","",IF(AD143&lt;=100, "PASS","FAIL"))</f>
        <v/>
      </c>
      <c r="AG143" s="31"/>
      <c r="AH143" s="31" t="e">
        <f t="shared" ref="AH143:AH163" si="210">Q143*O143/1000*VLOOKUP(_xlfn.CONCAT($AH$13,IF(Q143&gt;0,"+","-"),IF(O143&gt;0,"+","-")),$AV:$BA,6,0)</f>
        <v>#VALUE!</v>
      </c>
      <c r="AI143" s="31" t="e">
        <f t="shared" ref="AI143:AI163" si="211">Q143*P143/1000*VLOOKUP(_xlfn.CONCAT($AI$13,IF(Q143&gt;0,"+","-"),IF(P143&gt;0,"+","-")),$AV:$BA,6,0)</f>
        <v>#VALUE!</v>
      </c>
      <c r="AJ143" s="31" t="e">
        <f t="shared" ref="AJ143:AJ163" si="212">R143*N143/1000*VLOOKUP(_xlfn.CONCAT($AJ$13,IF(R143&gt;0,"+","-"),IF(N143&gt;0,"+","-")),$AV:$BA,6,0)</f>
        <v>#VALUE!</v>
      </c>
      <c r="AK143" s="31" t="e">
        <f t="shared" ref="AK143:AK163" si="213">R143*P143/1000*VLOOKUP(_xlfn.CONCAT($AK$13,IF(R143&gt;0,"+","-"),IF(P143&gt;0,"+","-")),$AV:$BA,6,0)</f>
        <v>#VALUE!</v>
      </c>
      <c r="AL143" s="31" t="e">
        <f t="shared" ref="AL143:AL163" si="214">S143*N143/1000*VLOOKUP(_xlfn.CONCAT($AL$13,IF(S143&gt;0,"+","-"),IF(N143&gt;0,"+","-")),$AV:$BA,6,0)</f>
        <v>#VALUE!</v>
      </c>
      <c r="AM143" s="31" t="e">
        <f t="shared" ref="AM143:AM163" si="215">S143*O143/1000*VLOOKUP(_xlfn.CONCAT($AM$13,IF(S143&gt;0,"+","-"),IF(O143&gt;0,"+","-")),$AV:$BA,6,0)</f>
        <v>#VALUE!</v>
      </c>
      <c r="AN143" s="32" t="str">
        <f t="shared" ref="AN143:AN163" si="216">IF($M143="","",AK143+AM143)</f>
        <v/>
      </c>
      <c r="AO143" s="27" t="str">
        <f t="shared" ref="AO143:AO163" si="217">IF($M143="","",AI143+AL143)</f>
        <v/>
      </c>
      <c r="AP143" s="27" t="str">
        <f t="shared" ref="AP143:AP163" si="218">IF($M143="","",AH143+AJ143)</f>
        <v/>
      </c>
      <c r="AQ143" s="27">
        <f t="shared" ref="AQ143:AQ163" si="219">IF(M143="",0,AN143+T143)</f>
        <v>0</v>
      </c>
      <c r="AR143" s="27">
        <f t="shared" ref="AR143:AR163" si="220">IF(M143="",0,AO143+U143)</f>
        <v>0</v>
      </c>
      <c r="AS143" s="33">
        <f t="shared" ref="AS143:AS163" si="221">IF(M143="",0,AP143+V143)</f>
        <v>0</v>
      </c>
    </row>
    <row r="144" spans="2:45" ht="15.75" hidden="1" customHeight="1" x14ac:dyDescent="0.25">
      <c r="B144" s="34">
        <f t="shared" ref="B144:F144" si="222">IF(B143="","",B143)</f>
        <v>10210</v>
      </c>
      <c r="C144" s="26">
        <f t="shared" si="222"/>
        <v>24</v>
      </c>
      <c r="D144" s="26">
        <f t="shared" si="222"/>
        <v>0</v>
      </c>
      <c r="E144" s="26">
        <f t="shared" si="222"/>
        <v>0</v>
      </c>
      <c r="F144" s="26">
        <f t="shared" si="222"/>
        <v>0</v>
      </c>
      <c r="G144" s="24"/>
      <c r="H144" s="24"/>
      <c r="I144" s="24"/>
      <c r="J144" s="24"/>
      <c r="K144" s="24"/>
      <c r="L144" s="24"/>
      <c r="M144" s="25"/>
      <c r="N144" s="26" t="str">
        <f t="shared" si="192"/>
        <v/>
      </c>
      <c r="O144" s="26" t="str">
        <f t="shared" si="193"/>
        <v/>
      </c>
      <c r="P144" s="26" t="str">
        <f t="shared" si="194"/>
        <v/>
      </c>
      <c r="Q144" s="26">
        <f t="shared" si="195"/>
        <v>0</v>
      </c>
      <c r="R144" s="26">
        <f t="shared" si="196"/>
        <v>0</v>
      </c>
      <c r="S144" s="26">
        <f t="shared" si="197"/>
        <v>0</v>
      </c>
      <c r="T144" s="26" t="str">
        <f t="shared" si="198"/>
        <v/>
      </c>
      <c r="U144" s="26" t="str">
        <f t="shared" si="199"/>
        <v/>
      </c>
      <c r="V144" s="26" t="str">
        <f t="shared" si="200"/>
        <v/>
      </c>
      <c r="W144" s="27" t="str">
        <f t="shared" si="201"/>
        <v/>
      </c>
      <c r="X144" s="27" t="str">
        <f t="shared" si="202"/>
        <v/>
      </c>
      <c r="Y144" s="28" t="str">
        <f t="shared" si="203"/>
        <v/>
      </c>
      <c r="Z144" s="27" t="str">
        <f t="shared" si="204"/>
        <v/>
      </c>
      <c r="AA144" s="27" t="str">
        <f t="shared" si="205"/>
        <v/>
      </c>
      <c r="AB144" s="27" t="str">
        <f t="shared" si="206"/>
        <v/>
      </c>
      <c r="AC144" s="27" t="str">
        <f t="shared" si="207"/>
        <v/>
      </c>
      <c r="AD144" s="29" t="str">
        <f t="shared" si="208"/>
        <v/>
      </c>
      <c r="AE144" s="30" t="str">
        <f t="shared" si="209"/>
        <v/>
      </c>
      <c r="AG144" s="31"/>
      <c r="AH144" s="31" t="e">
        <f t="shared" si="210"/>
        <v>#VALUE!</v>
      </c>
      <c r="AI144" s="31" t="e">
        <f t="shared" si="211"/>
        <v>#VALUE!</v>
      </c>
      <c r="AJ144" s="31" t="e">
        <f t="shared" si="212"/>
        <v>#VALUE!</v>
      </c>
      <c r="AK144" s="31" t="e">
        <f t="shared" si="213"/>
        <v>#VALUE!</v>
      </c>
      <c r="AL144" s="31" t="e">
        <f t="shared" si="214"/>
        <v>#VALUE!</v>
      </c>
      <c r="AM144" s="31" t="e">
        <f t="shared" si="215"/>
        <v>#VALUE!</v>
      </c>
      <c r="AN144" s="32" t="str">
        <f t="shared" si="216"/>
        <v/>
      </c>
      <c r="AO144" s="27" t="str">
        <f t="shared" si="217"/>
        <v/>
      </c>
      <c r="AP144" s="27" t="str">
        <f t="shared" si="218"/>
        <v/>
      </c>
      <c r="AQ144" s="27">
        <f t="shared" si="219"/>
        <v>0</v>
      </c>
      <c r="AR144" s="27">
        <f t="shared" si="220"/>
        <v>0</v>
      </c>
      <c r="AS144" s="33">
        <f t="shared" si="221"/>
        <v>0</v>
      </c>
    </row>
    <row r="145" spans="2:45" ht="15.75" hidden="1" customHeight="1" x14ac:dyDescent="0.25">
      <c r="B145" s="34">
        <f t="shared" ref="B145:F145" si="223">IF(B144="","",B144)</f>
        <v>10210</v>
      </c>
      <c r="C145" s="26">
        <f t="shared" si="223"/>
        <v>24</v>
      </c>
      <c r="D145" s="26">
        <f t="shared" si="223"/>
        <v>0</v>
      </c>
      <c r="E145" s="26">
        <f t="shared" si="223"/>
        <v>0</v>
      </c>
      <c r="F145" s="26">
        <f t="shared" si="223"/>
        <v>0</v>
      </c>
      <c r="G145" s="24"/>
      <c r="H145" s="24"/>
      <c r="I145" s="24"/>
      <c r="J145" s="24"/>
      <c r="K145" s="24"/>
      <c r="L145" s="24"/>
      <c r="M145" s="25"/>
      <c r="N145" s="26" t="str">
        <f t="shared" si="192"/>
        <v/>
      </c>
      <c r="O145" s="26" t="str">
        <f t="shared" si="193"/>
        <v/>
      </c>
      <c r="P145" s="26" t="str">
        <f t="shared" si="194"/>
        <v/>
      </c>
      <c r="Q145" s="26">
        <f t="shared" si="195"/>
        <v>0</v>
      </c>
      <c r="R145" s="26">
        <f t="shared" si="196"/>
        <v>0</v>
      </c>
      <c r="S145" s="26">
        <f t="shared" si="197"/>
        <v>0</v>
      </c>
      <c r="T145" s="26" t="str">
        <f t="shared" si="198"/>
        <v/>
      </c>
      <c r="U145" s="26" t="str">
        <f t="shared" si="199"/>
        <v/>
      </c>
      <c r="V145" s="26" t="str">
        <f t="shared" si="200"/>
        <v/>
      </c>
      <c r="W145" s="27" t="str">
        <f t="shared" si="201"/>
        <v/>
      </c>
      <c r="X145" s="27" t="str">
        <f t="shared" si="202"/>
        <v/>
      </c>
      <c r="Y145" s="28" t="str">
        <f t="shared" si="203"/>
        <v/>
      </c>
      <c r="Z145" s="27" t="str">
        <f t="shared" si="204"/>
        <v/>
      </c>
      <c r="AA145" s="27" t="str">
        <f t="shared" si="205"/>
        <v/>
      </c>
      <c r="AB145" s="27" t="str">
        <f t="shared" si="206"/>
        <v/>
      </c>
      <c r="AC145" s="27" t="str">
        <f t="shared" si="207"/>
        <v/>
      </c>
      <c r="AD145" s="29" t="str">
        <f t="shared" si="208"/>
        <v/>
      </c>
      <c r="AE145" s="30" t="str">
        <f t="shared" si="209"/>
        <v/>
      </c>
      <c r="AG145" s="31"/>
      <c r="AH145" s="31" t="e">
        <f t="shared" si="210"/>
        <v>#VALUE!</v>
      </c>
      <c r="AI145" s="31" t="e">
        <f t="shared" si="211"/>
        <v>#VALUE!</v>
      </c>
      <c r="AJ145" s="31" t="e">
        <f t="shared" si="212"/>
        <v>#VALUE!</v>
      </c>
      <c r="AK145" s="31" t="e">
        <f t="shared" si="213"/>
        <v>#VALUE!</v>
      </c>
      <c r="AL145" s="31" t="e">
        <f t="shared" si="214"/>
        <v>#VALUE!</v>
      </c>
      <c r="AM145" s="31" t="e">
        <f t="shared" si="215"/>
        <v>#VALUE!</v>
      </c>
      <c r="AN145" s="32" t="str">
        <f t="shared" si="216"/>
        <v/>
      </c>
      <c r="AO145" s="27" t="str">
        <f t="shared" si="217"/>
        <v/>
      </c>
      <c r="AP145" s="27" t="str">
        <f t="shared" si="218"/>
        <v/>
      </c>
      <c r="AQ145" s="27">
        <f t="shared" si="219"/>
        <v>0</v>
      </c>
      <c r="AR145" s="27">
        <f t="shared" si="220"/>
        <v>0</v>
      </c>
      <c r="AS145" s="33">
        <f t="shared" si="221"/>
        <v>0</v>
      </c>
    </row>
    <row r="146" spans="2:45" ht="15.75" hidden="1" customHeight="1" x14ac:dyDescent="0.25">
      <c r="B146" s="34">
        <f t="shared" ref="B146:F146" si="224">IF(B145="","",B145)</f>
        <v>10210</v>
      </c>
      <c r="C146" s="26">
        <f t="shared" si="224"/>
        <v>24</v>
      </c>
      <c r="D146" s="26">
        <f t="shared" si="224"/>
        <v>0</v>
      </c>
      <c r="E146" s="26">
        <f t="shared" si="224"/>
        <v>0</v>
      </c>
      <c r="F146" s="26">
        <f t="shared" si="224"/>
        <v>0</v>
      </c>
      <c r="G146" s="24"/>
      <c r="H146" s="24"/>
      <c r="I146" s="24"/>
      <c r="J146" s="24"/>
      <c r="K146" s="24"/>
      <c r="L146" s="24"/>
      <c r="M146" s="25"/>
      <c r="N146" s="26" t="str">
        <f t="shared" si="192"/>
        <v/>
      </c>
      <c r="O146" s="26" t="str">
        <f t="shared" si="193"/>
        <v/>
      </c>
      <c r="P146" s="26" t="str">
        <f t="shared" si="194"/>
        <v/>
      </c>
      <c r="Q146" s="26">
        <f t="shared" si="195"/>
        <v>0</v>
      </c>
      <c r="R146" s="26">
        <f t="shared" si="196"/>
        <v>0</v>
      </c>
      <c r="S146" s="26">
        <f t="shared" si="197"/>
        <v>0</v>
      </c>
      <c r="T146" s="26" t="str">
        <f t="shared" si="198"/>
        <v/>
      </c>
      <c r="U146" s="26" t="str">
        <f t="shared" si="199"/>
        <v/>
      </c>
      <c r="V146" s="26" t="str">
        <f t="shared" si="200"/>
        <v/>
      </c>
      <c r="W146" s="27" t="str">
        <f t="shared" si="201"/>
        <v/>
      </c>
      <c r="X146" s="27" t="str">
        <f t="shared" si="202"/>
        <v/>
      </c>
      <c r="Y146" s="28" t="str">
        <f t="shared" si="203"/>
        <v/>
      </c>
      <c r="Z146" s="27" t="str">
        <f t="shared" si="204"/>
        <v/>
      </c>
      <c r="AA146" s="27" t="str">
        <f t="shared" si="205"/>
        <v/>
      </c>
      <c r="AB146" s="27" t="str">
        <f t="shared" si="206"/>
        <v/>
      </c>
      <c r="AC146" s="27" t="str">
        <f t="shared" si="207"/>
        <v/>
      </c>
      <c r="AD146" s="29" t="str">
        <f t="shared" si="208"/>
        <v/>
      </c>
      <c r="AE146" s="30" t="str">
        <f t="shared" si="209"/>
        <v/>
      </c>
      <c r="AG146" s="31"/>
      <c r="AH146" s="31" t="e">
        <f t="shared" si="210"/>
        <v>#VALUE!</v>
      </c>
      <c r="AI146" s="31" t="e">
        <f t="shared" si="211"/>
        <v>#VALUE!</v>
      </c>
      <c r="AJ146" s="31" t="e">
        <f t="shared" si="212"/>
        <v>#VALUE!</v>
      </c>
      <c r="AK146" s="31" t="e">
        <f t="shared" si="213"/>
        <v>#VALUE!</v>
      </c>
      <c r="AL146" s="31" t="e">
        <f t="shared" si="214"/>
        <v>#VALUE!</v>
      </c>
      <c r="AM146" s="31" t="e">
        <f t="shared" si="215"/>
        <v>#VALUE!</v>
      </c>
      <c r="AN146" s="32" t="str">
        <f t="shared" si="216"/>
        <v/>
      </c>
      <c r="AO146" s="27" t="str">
        <f t="shared" si="217"/>
        <v/>
      </c>
      <c r="AP146" s="27" t="str">
        <f t="shared" si="218"/>
        <v/>
      </c>
      <c r="AQ146" s="27">
        <f t="shared" si="219"/>
        <v>0</v>
      </c>
      <c r="AR146" s="27">
        <f t="shared" si="220"/>
        <v>0</v>
      </c>
      <c r="AS146" s="33">
        <f t="shared" si="221"/>
        <v>0</v>
      </c>
    </row>
    <row r="147" spans="2:45" ht="15.75" hidden="1" customHeight="1" x14ac:dyDescent="0.25">
      <c r="B147" s="34">
        <f t="shared" ref="B147:F147" si="225">IF(B146="","",B146)</f>
        <v>10210</v>
      </c>
      <c r="C147" s="26">
        <f t="shared" si="225"/>
        <v>24</v>
      </c>
      <c r="D147" s="26">
        <f t="shared" si="225"/>
        <v>0</v>
      </c>
      <c r="E147" s="26">
        <f t="shared" si="225"/>
        <v>0</v>
      </c>
      <c r="F147" s="26">
        <f t="shared" si="225"/>
        <v>0</v>
      </c>
      <c r="G147" s="24"/>
      <c r="H147" s="24"/>
      <c r="I147" s="24"/>
      <c r="J147" s="24"/>
      <c r="K147" s="24"/>
      <c r="L147" s="24"/>
      <c r="M147" s="25"/>
      <c r="N147" s="26" t="str">
        <f t="shared" si="192"/>
        <v/>
      </c>
      <c r="O147" s="26" t="str">
        <f t="shared" si="193"/>
        <v/>
      </c>
      <c r="P147" s="26" t="str">
        <f t="shared" si="194"/>
        <v/>
      </c>
      <c r="Q147" s="26">
        <f t="shared" si="195"/>
        <v>0</v>
      </c>
      <c r="R147" s="26">
        <f t="shared" si="196"/>
        <v>0</v>
      </c>
      <c r="S147" s="26">
        <f t="shared" si="197"/>
        <v>0</v>
      </c>
      <c r="T147" s="26" t="str">
        <f t="shared" si="198"/>
        <v/>
      </c>
      <c r="U147" s="26" t="str">
        <f t="shared" si="199"/>
        <v/>
      </c>
      <c r="V147" s="26" t="str">
        <f t="shared" si="200"/>
        <v/>
      </c>
      <c r="W147" s="27" t="str">
        <f t="shared" si="201"/>
        <v/>
      </c>
      <c r="X147" s="27" t="str">
        <f t="shared" si="202"/>
        <v/>
      </c>
      <c r="Y147" s="28" t="str">
        <f t="shared" si="203"/>
        <v/>
      </c>
      <c r="Z147" s="27" t="str">
        <f t="shared" si="204"/>
        <v/>
      </c>
      <c r="AA147" s="27" t="str">
        <f t="shared" si="205"/>
        <v/>
      </c>
      <c r="AB147" s="27" t="str">
        <f t="shared" si="206"/>
        <v/>
      </c>
      <c r="AC147" s="27" t="str">
        <f t="shared" si="207"/>
        <v/>
      </c>
      <c r="AD147" s="29" t="str">
        <f t="shared" si="208"/>
        <v/>
      </c>
      <c r="AE147" s="30" t="str">
        <f t="shared" si="209"/>
        <v/>
      </c>
      <c r="AG147" s="31"/>
      <c r="AH147" s="31" t="e">
        <f t="shared" si="210"/>
        <v>#VALUE!</v>
      </c>
      <c r="AI147" s="31" t="e">
        <f t="shared" si="211"/>
        <v>#VALUE!</v>
      </c>
      <c r="AJ147" s="31" t="e">
        <f t="shared" si="212"/>
        <v>#VALUE!</v>
      </c>
      <c r="AK147" s="31" t="e">
        <f t="shared" si="213"/>
        <v>#VALUE!</v>
      </c>
      <c r="AL147" s="31" t="e">
        <f t="shared" si="214"/>
        <v>#VALUE!</v>
      </c>
      <c r="AM147" s="31" t="e">
        <f t="shared" si="215"/>
        <v>#VALUE!</v>
      </c>
      <c r="AN147" s="32" t="str">
        <f t="shared" si="216"/>
        <v/>
      </c>
      <c r="AO147" s="27" t="str">
        <f t="shared" si="217"/>
        <v/>
      </c>
      <c r="AP147" s="27" t="str">
        <f t="shared" si="218"/>
        <v/>
      </c>
      <c r="AQ147" s="27">
        <f t="shared" si="219"/>
        <v>0</v>
      </c>
      <c r="AR147" s="27">
        <f t="shared" si="220"/>
        <v>0</v>
      </c>
      <c r="AS147" s="33">
        <f t="shared" si="221"/>
        <v>0</v>
      </c>
    </row>
    <row r="148" spans="2:45" ht="15.75" hidden="1" customHeight="1" x14ac:dyDescent="0.25">
      <c r="B148" s="34">
        <f t="shared" ref="B148:F148" si="226">IF(B147="","",B147)</f>
        <v>10210</v>
      </c>
      <c r="C148" s="26">
        <f t="shared" si="226"/>
        <v>24</v>
      </c>
      <c r="D148" s="26">
        <f t="shared" si="226"/>
        <v>0</v>
      </c>
      <c r="E148" s="26">
        <f t="shared" si="226"/>
        <v>0</v>
      </c>
      <c r="F148" s="26">
        <f t="shared" si="226"/>
        <v>0</v>
      </c>
      <c r="G148" s="24"/>
      <c r="H148" s="24"/>
      <c r="I148" s="24"/>
      <c r="J148" s="24"/>
      <c r="K148" s="24"/>
      <c r="L148" s="24"/>
      <c r="M148" s="25"/>
      <c r="N148" s="26" t="str">
        <f t="shared" si="192"/>
        <v/>
      </c>
      <c r="O148" s="26" t="str">
        <f t="shared" si="193"/>
        <v/>
      </c>
      <c r="P148" s="26" t="str">
        <f t="shared" si="194"/>
        <v/>
      </c>
      <c r="Q148" s="26">
        <f t="shared" si="195"/>
        <v>0</v>
      </c>
      <c r="R148" s="26">
        <f t="shared" si="196"/>
        <v>0</v>
      </c>
      <c r="S148" s="26">
        <f t="shared" si="197"/>
        <v>0</v>
      </c>
      <c r="T148" s="26" t="str">
        <f t="shared" si="198"/>
        <v/>
      </c>
      <c r="U148" s="26" t="str">
        <f t="shared" si="199"/>
        <v/>
      </c>
      <c r="V148" s="26" t="str">
        <f t="shared" si="200"/>
        <v/>
      </c>
      <c r="W148" s="27" t="str">
        <f t="shared" si="201"/>
        <v/>
      </c>
      <c r="X148" s="27" t="str">
        <f t="shared" si="202"/>
        <v/>
      </c>
      <c r="Y148" s="28" t="str">
        <f t="shared" si="203"/>
        <v/>
      </c>
      <c r="Z148" s="27" t="str">
        <f t="shared" si="204"/>
        <v/>
      </c>
      <c r="AA148" s="27" t="str">
        <f t="shared" si="205"/>
        <v/>
      </c>
      <c r="AB148" s="27" t="str">
        <f t="shared" si="206"/>
        <v/>
      </c>
      <c r="AC148" s="27" t="str">
        <f t="shared" si="207"/>
        <v/>
      </c>
      <c r="AD148" s="29" t="str">
        <f t="shared" si="208"/>
        <v/>
      </c>
      <c r="AE148" s="30" t="str">
        <f t="shared" si="209"/>
        <v/>
      </c>
      <c r="AG148" s="31"/>
      <c r="AH148" s="31" t="e">
        <f t="shared" si="210"/>
        <v>#VALUE!</v>
      </c>
      <c r="AI148" s="31" t="e">
        <f t="shared" si="211"/>
        <v>#VALUE!</v>
      </c>
      <c r="AJ148" s="31" t="e">
        <f t="shared" si="212"/>
        <v>#VALUE!</v>
      </c>
      <c r="AK148" s="31" t="e">
        <f t="shared" si="213"/>
        <v>#VALUE!</v>
      </c>
      <c r="AL148" s="31" t="e">
        <f t="shared" si="214"/>
        <v>#VALUE!</v>
      </c>
      <c r="AM148" s="31" t="e">
        <f t="shared" si="215"/>
        <v>#VALUE!</v>
      </c>
      <c r="AN148" s="32" t="str">
        <f t="shared" si="216"/>
        <v/>
      </c>
      <c r="AO148" s="27" t="str">
        <f t="shared" si="217"/>
        <v/>
      </c>
      <c r="AP148" s="27" t="str">
        <f t="shared" si="218"/>
        <v/>
      </c>
      <c r="AQ148" s="27">
        <f t="shared" si="219"/>
        <v>0</v>
      </c>
      <c r="AR148" s="27">
        <f t="shared" si="220"/>
        <v>0</v>
      </c>
      <c r="AS148" s="33">
        <f t="shared" si="221"/>
        <v>0</v>
      </c>
    </row>
    <row r="149" spans="2:45" ht="15.75" hidden="1" customHeight="1" x14ac:dyDescent="0.25">
      <c r="B149" s="34">
        <f t="shared" ref="B149:F149" si="227">IF(B148="","",B148)</f>
        <v>10210</v>
      </c>
      <c r="C149" s="26">
        <f t="shared" si="227"/>
        <v>24</v>
      </c>
      <c r="D149" s="26">
        <f t="shared" si="227"/>
        <v>0</v>
      </c>
      <c r="E149" s="26">
        <f t="shared" si="227"/>
        <v>0</v>
      </c>
      <c r="F149" s="26">
        <f t="shared" si="227"/>
        <v>0</v>
      </c>
      <c r="G149" s="24"/>
      <c r="H149" s="24"/>
      <c r="I149" s="24"/>
      <c r="J149" s="24"/>
      <c r="K149" s="24"/>
      <c r="L149" s="24"/>
      <c r="M149" s="25"/>
      <c r="N149" s="26" t="str">
        <f t="shared" si="192"/>
        <v/>
      </c>
      <c r="O149" s="26" t="str">
        <f t="shared" si="193"/>
        <v/>
      </c>
      <c r="P149" s="26" t="str">
        <f t="shared" si="194"/>
        <v/>
      </c>
      <c r="Q149" s="26">
        <f t="shared" si="195"/>
        <v>0</v>
      </c>
      <c r="R149" s="26">
        <f t="shared" si="196"/>
        <v>0</v>
      </c>
      <c r="S149" s="26">
        <f t="shared" si="197"/>
        <v>0</v>
      </c>
      <c r="T149" s="26" t="str">
        <f t="shared" si="198"/>
        <v/>
      </c>
      <c r="U149" s="26" t="str">
        <f t="shared" si="199"/>
        <v/>
      </c>
      <c r="V149" s="26" t="str">
        <f t="shared" si="200"/>
        <v/>
      </c>
      <c r="W149" s="27" t="str">
        <f t="shared" si="201"/>
        <v/>
      </c>
      <c r="X149" s="27" t="str">
        <f t="shared" si="202"/>
        <v/>
      </c>
      <c r="Y149" s="28" t="str">
        <f t="shared" si="203"/>
        <v/>
      </c>
      <c r="Z149" s="27" t="str">
        <f t="shared" si="204"/>
        <v/>
      </c>
      <c r="AA149" s="27" t="str">
        <f t="shared" si="205"/>
        <v/>
      </c>
      <c r="AB149" s="27" t="str">
        <f t="shared" si="206"/>
        <v/>
      </c>
      <c r="AC149" s="27" t="str">
        <f t="shared" si="207"/>
        <v/>
      </c>
      <c r="AD149" s="29" t="str">
        <f t="shared" si="208"/>
        <v/>
      </c>
      <c r="AE149" s="30" t="str">
        <f t="shared" si="209"/>
        <v/>
      </c>
      <c r="AG149" s="31"/>
      <c r="AH149" s="31" t="e">
        <f t="shared" si="210"/>
        <v>#VALUE!</v>
      </c>
      <c r="AI149" s="31" t="e">
        <f t="shared" si="211"/>
        <v>#VALUE!</v>
      </c>
      <c r="AJ149" s="31" t="e">
        <f t="shared" si="212"/>
        <v>#VALUE!</v>
      </c>
      <c r="AK149" s="31" t="e">
        <f t="shared" si="213"/>
        <v>#VALUE!</v>
      </c>
      <c r="AL149" s="31" t="e">
        <f t="shared" si="214"/>
        <v>#VALUE!</v>
      </c>
      <c r="AM149" s="31" t="e">
        <f t="shared" si="215"/>
        <v>#VALUE!</v>
      </c>
      <c r="AN149" s="32" t="str">
        <f t="shared" si="216"/>
        <v/>
      </c>
      <c r="AO149" s="27" t="str">
        <f t="shared" si="217"/>
        <v/>
      </c>
      <c r="AP149" s="27" t="str">
        <f t="shared" si="218"/>
        <v/>
      </c>
      <c r="AQ149" s="27">
        <f t="shared" si="219"/>
        <v>0</v>
      </c>
      <c r="AR149" s="27">
        <f t="shared" si="220"/>
        <v>0</v>
      </c>
      <c r="AS149" s="33">
        <f t="shared" si="221"/>
        <v>0</v>
      </c>
    </row>
    <row r="150" spans="2:45" ht="15.75" hidden="1" customHeight="1" x14ac:dyDescent="0.25">
      <c r="B150" s="34">
        <f t="shared" ref="B150:F150" si="228">IF(B149="","",B149)</f>
        <v>10210</v>
      </c>
      <c r="C150" s="26">
        <f t="shared" si="228"/>
        <v>24</v>
      </c>
      <c r="D150" s="26">
        <f t="shared" si="228"/>
        <v>0</v>
      </c>
      <c r="E150" s="26">
        <f t="shared" si="228"/>
        <v>0</v>
      </c>
      <c r="F150" s="26">
        <f t="shared" si="228"/>
        <v>0</v>
      </c>
      <c r="G150" s="24"/>
      <c r="H150" s="24"/>
      <c r="I150" s="24"/>
      <c r="J150" s="24"/>
      <c r="K150" s="24"/>
      <c r="L150" s="24"/>
      <c r="M150" s="25"/>
      <c r="N150" s="26" t="str">
        <f t="shared" si="192"/>
        <v/>
      </c>
      <c r="O150" s="26" t="str">
        <f t="shared" si="193"/>
        <v/>
      </c>
      <c r="P150" s="26" t="str">
        <f t="shared" si="194"/>
        <v/>
      </c>
      <c r="Q150" s="26">
        <f t="shared" si="195"/>
        <v>0</v>
      </c>
      <c r="R150" s="26">
        <f t="shared" si="196"/>
        <v>0</v>
      </c>
      <c r="S150" s="26">
        <f t="shared" si="197"/>
        <v>0</v>
      </c>
      <c r="T150" s="26" t="str">
        <f t="shared" si="198"/>
        <v/>
      </c>
      <c r="U150" s="26" t="str">
        <f t="shared" si="199"/>
        <v/>
      </c>
      <c r="V150" s="26" t="str">
        <f t="shared" si="200"/>
        <v/>
      </c>
      <c r="W150" s="27" t="str">
        <f t="shared" si="201"/>
        <v/>
      </c>
      <c r="X150" s="27" t="str">
        <f t="shared" si="202"/>
        <v/>
      </c>
      <c r="Y150" s="28" t="str">
        <f t="shared" si="203"/>
        <v/>
      </c>
      <c r="Z150" s="27" t="str">
        <f t="shared" si="204"/>
        <v/>
      </c>
      <c r="AA150" s="27" t="str">
        <f t="shared" si="205"/>
        <v/>
      </c>
      <c r="AB150" s="27" t="str">
        <f t="shared" si="206"/>
        <v/>
      </c>
      <c r="AC150" s="27" t="str">
        <f t="shared" si="207"/>
        <v/>
      </c>
      <c r="AD150" s="29" t="str">
        <f t="shared" si="208"/>
        <v/>
      </c>
      <c r="AE150" s="30" t="str">
        <f t="shared" si="209"/>
        <v/>
      </c>
      <c r="AG150" s="31"/>
      <c r="AH150" s="31" t="e">
        <f t="shared" si="210"/>
        <v>#VALUE!</v>
      </c>
      <c r="AI150" s="31" t="e">
        <f t="shared" si="211"/>
        <v>#VALUE!</v>
      </c>
      <c r="AJ150" s="31" t="e">
        <f t="shared" si="212"/>
        <v>#VALUE!</v>
      </c>
      <c r="AK150" s="31" t="e">
        <f t="shared" si="213"/>
        <v>#VALUE!</v>
      </c>
      <c r="AL150" s="31" t="e">
        <f t="shared" si="214"/>
        <v>#VALUE!</v>
      </c>
      <c r="AM150" s="31" t="e">
        <f t="shared" si="215"/>
        <v>#VALUE!</v>
      </c>
      <c r="AN150" s="32" t="str">
        <f t="shared" si="216"/>
        <v/>
      </c>
      <c r="AO150" s="27" t="str">
        <f t="shared" si="217"/>
        <v/>
      </c>
      <c r="AP150" s="27" t="str">
        <f t="shared" si="218"/>
        <v/>
      </c>
      <c r="AQ150" s="27">
        <f t="shared" si="219"/>
        <v>0</v>
      </c>
      <c r="AR150" s="27">
        <f t="shared" si="220"/>
        <v>0</v>
      </c>
      <c r="AS150" s="33">
        <f t="shared" si="221"/>
        <v>0</v>
      </c>
    </row>
    <row r="151" spans="2:45" ht="15.75" hidden="1" customHeight="1" x14ac:dyDescent="0.25">
      <c r="B151" s="34">
        <f t="shared" ref="B151:F151" si="229">IF(B150="","",B150)</f>
        <v>10210</v>
      </c>
      <c r="C151" s="26">
        <f t="shared" si="229"/>
        <v>24</v>
      </c>
      <c r="D151" s="26">
        <f t="shared" si="229"/>
        <v>0</v>
      </c>
      <c r="E151" s="26">
        <f t="shared" si="229"/>
        <v>0</v>
      </c>
      <c r="F151" s="26">
        <f t="shared" si="229"/>
        <v>0</v>
      </c>
      <c r="G151" s="24"/>
      <c r="H151" s="24"/>
      <c r="I151" s="24"/>
      <c r="J151" s="24"/>
      <c r="K151" s="24"/>
      <c r="L151" s="24"/>
      <c r="M151" s="25"/>
      <c r="N151" s="26" t="str">
        <f t="shared" si="192"/>
        <v/>
      </c>
      <c r="O151" s="26" t="str">
        <f t="shared" si="193"/>
        <v/>
      </c>
      <c r="P151" s="26" t="str">
        <f t="shared" si="194"/>
        <v/>
      </c>
      <c r="Q151" s="26">
        <f t="shared" si="195"/>
        <v>0</v>
      </c>
      <c r="R151" s="26">
        <f t="shared" si="196"/>
        <v>0</v>
      </c>
      <c r="S151" s="26">
        <f t="shared" si="197"/>
        <v>0</v>
      </c>
      <c r="T151" s="26" t="str">
        <f t="shared" si="198"/>
        <v/>
      </c>
      <c r="U151" s="26" t="str">
        <f t="shared" si="199"/>
        <v/>
      </c>
      <c r="V151" s="26" t="str">
        <f t="shared" si="200"/>
        <v/>
      </c>
      <c r="W151" s="27" t="str">
        <f t="shared" si="201"/>
        <v/>
      </c>
      <c r="X151" s="27" t="str">
        <f t="shared" si="202"/>
        <v/>
      </c>
      <c r="Y151" s="28" t="str">
        <f t="shared" si="203"/>
        <v/>
      </c>
      <c r="Z151" s="27" t="str">
        <f t="shared" si="204"/>
        <v/>
      </c>
      <c r="AA151" s="27" t="str">
        <f t="shared" si="205"/>
        <v/>
      </c>
      <c r="AB151" s="27" t="str">
        <f t="shared" si="206"/>
        <v/>
      </c>
      <c r="AC151" s="27" t="str">
        <f t="shared" si="207"/>
        <v/>
      </c>
      <c r="AD151" s="29" t="str">
        <f t="shared" si="208"/>
        <v/>
      </c>
      <c r="AE151" s="30" t="str">
        <f t="shared" si="209"/>
        <v/>
      </c>
      <c r="AG151" s="31"/>
      <c r="AH151" s="31" t="e">
        <f t="shared" si="210"/>
        <v>#VALUE!</v>
      </c>
      <c r="AI151" s="31" t="e">
        <f t="shared" si="211"/>
        <v>#VALUE!</v>
      </c>
      <c r="AJ151" s="31" t="e">
        <f t="shared" si="212"/>
        <v>#VALUE!</v>
      </c>
      <c r="AK151" s="31" t="e">
        <f t="shared" si="213"/>
        <v>#VALUE!</v>
      </c>
      <c r="AL151" s="31" t="e">
        <f t="shared" si="214"/>
        <v>#VALUE!</v>
      </c>
      <c r="AM151" s="31" t="e">
        <f t="shared" si="215"/>
        <v>#VALUE!</v>
      </c>
      <c r="AN151" s="32" t="str">
        <f t="shared" si="216"/>
        <v/>
      </c>
      <c r="AO151" s="27" t="str">
        <f t="shared" si="217"/>
        <v/>
      </c>
      <c r="AP151" s="27" t="str">
        <f t="shared" si="218"/>
        <v/>
      </c>
      <c r="AQ151" s="27">
        <f t="shared" si="219"/>
        <v>0</v>
      </c>
      <c r="AR151" s="27">
        <f t="shared" si="220"/>
        <v>0</v>
      </c>
      <c r="AS151" s="33">
        <f t="shared" si="221"/>
        <v>0</v>
      </c>
    </row>
    <row r="152" spans="2:45" ht="15.75" hidden="1" customHeight="1" x14ac:dyDescent="0.25">
      <c r="B152" s="34">
        <f t="shared" ref="B152:F152" si="230">IF(B151="","",B151)</f>
        <v>10210</v>
      </c>
      <c r="C152" s="26">
        <f t="shared" si="230"/>
        <v>24</v>
      </c>
      <c r="D152" s="26">
        <f t="shared" si="230"/>
        <v>0</v>
      </c>
      <c r="E152" s="26">
        <f t="shared" si="230"/>
        <v>0</v>
      </c>
      <c r="F152" s="26">
        <f t="shared" si="230"/>
        <v>0</v>
      </c>
      <c r="G152" s="24"/>
      <c r="H152" s="24"/>
      <c r="I152" s="24"/>
      <c r="J152" s="24"/>
      <c r="K152" s="24"/>
      <c r="L152" s="24"/>
      <c r="M152" s="25"/>
      <c r="N152" s="26" t="str">
        <f t="shared" si="192"/>
        <v/>
      </c>
      <c r="O152" s="26" t="str">
        <f t="shared" si="193"/>
        <v/>
      </c>
      <c r="P152" s="26" t="str">
        <f t="shared" si="194"/>
        <v/>
      </c>
      <c r="Q152" s="26">
        <f t="shared" si="195"/>
        <v>0</v>
      </c>
      <c r="R152" s="26">
        <f t="shared" si="196"/>
        <v>0</v>
      </c>
      <c r="S152" s="26">
        <f t="shared" si="197"/>
        <v>0</v>
      </c>
      <c r="T152" s="26" t="str">
        <f t="shared" si="198"/>
        <v/>
      </c>
      <c r="U152" s="26" t="str">
        <f t="shared" si="199"/>
        <v/>
      </c>
      <c r="V152" s="26" t="str">
        <f t="shared" si="200"/>
        <v/>
      </c>
      <c r="W152" s="27" t="str">
        <f t="shared" si="201"/>
        <v/>
      </c>
      <c r="X152" s="27" t="str">
        <f t="shared" si="202"/>
        <v/>
      </c>
      <c r="Y152" s="28" t="str">
        <f t="shared" si="203"/>
        <v/>
      </c>
      <c r="Z152" s="27" t="str">
        <f t="shared" si="204"/>
        <v/>
      </c>
      <c r="AA152" s="27" t="str">
        <f t="shared" si="205"/>
        <v/>
      </c>
      <c r="AB152" s="27" t="str">
        <f t="shared" si="206"/>
        <v/>
      </c>
      <c r="AC152" s="27" t="str">
        <f t="shared" si="207"/>
        <v/>
      </c>
      <c r="AD152" s="29" t="str">
        <f t="shared" si="208"/>
        <v/>
      </c>
      <c r="AE152" s="30" t="str">
        <f t="shared" si="209"/>
        <v/>
      </c>
      <c r="AG152" s="31"/>
      <c r="AH152" s="31" t="e">
        <f t="shared" si="210"/>
        <v>#VALUE!</v>
      </c>
      <c r="AI152" s="31" t="e">
        <f t="shared" si="211"/>
        <v>#VALUE!</v>
      </c>
      <c r="AJ152" s="31" t="e">
        <f t="shared" si="212"/>
        <v>#VALUE!</v>
      </c>
      <c r="AK152" s="31" t="e">
        <f t="shared" si="213"/>
        <v>#VALUE!</v>
      </c>
      <c r="AL152" s="31" t="e">
        <f t="shared" si="214"/>
        <v>#VALUE!</v>
      </c>
      <c r="AM152" s="31" t="e">
        <f t="shared" si="215"/>
        <v>#VALUE!</v>
      </c>
      <c r="AN152" s="32" t="str">
        <f t="shared" si="216"/>
        <v/>
      </c>
      <c r="AO152" s="27" t="str">
        <f t="shared" si="217"/>
        <v/>
      </c>
      <c r="AP152" s="27" t="str">
        <f t="shared" si="218"/>
        <v/>
      </c>
      <c r="AQ152" s="27">
        <f t="shared" si="219"/>
        <v>0</v>
      </c>
      <c r="AR152" s="27">
        <f t="shared" si="220"/>
        <v>0</v>
      </c>
      <c r="AS152" s="33">
        <f t="shared" si="221"/>
        <v>0</v>
      </c>
    </row>
    <row r="153" spans="2:45" ht="15.75" hidden="1" customHeight="1" x14ac:dyDescent="0.25">
      <c r="B153" s="34">
        <f t="shared" ref="B153:F153" si="231">IF(B152="","",B152)</f>
        <v>10210</v>
      </c>
      <c r="C153" s="26">
        <f t="shared" si="231"/>
        <v>24</v>
      </c>
      <c r="D153" s="26">
        <f t="shared" si="231"/>
        <v>0</v>
      </c>
      <c r="E153" s="26">
        <f t="shared" si="231"/>
        <v>0</v>
      </c>
      <c r="F153" s="26">
        <f t="shared" si="231"/>
        <v>0</v>
      </c>
      <c r="G153" s="24"/>
      <c r="H153" s="24"/>
      <c r="I153" s="24"/>
      <c r="J153" s="24"/>
      <c r="K153" s="24"/>
      <c r="L153" s="24"/>
      <c r="M153" s="25"/>
      <c r="N153" s="26" t="str">
        <f t="shared" si="192"/>
        <v/>
      </c>
      <c r="O153" s="26" t="str">
        <f t="shared" si="193"/>
        <v/>
      </c>
      <c r="P153" s="26" t="str">
        <f t="shared" si="194"/>
        <v/>
      </c>
      <c r="Q153" s="26">
        <f t="shared" si="195"/>
        <v>0</v>
      </c>
      <c r="R153" s="26">
        <f t="shared" si="196"/>
        <v>0</v>
      </c>
      <c r="S153" s="26">
        <f t="shared" si="197"/>
        <v>0</v>
      </c>
      <c r="T153" s="26" t="str">
        <f t="shared" si="198"/>
        <v/>
      </c>
      <c r="U153" s="26" t="str">
        <f t="shared" si="199"/>
        <v/>
      </c>
      <c r="V153" s="26" t="str">
        <f t="shared" si="200"/>
        <v/>
      </c>
      <c r="W153" s="27" t="str">
        <f t="shared" si="201"/>
        <v/>
      </c>
      <c r="X153" s="27" t="str">
        <f t="shared" si="202"/>
        <v/>
      </c>
      <c r="Y153" s="28" t="str">
        <f t="shared" si="203"/>
        <v/>
      </c>
      <c r="Z153" s="27" t="str">
        <f t="shared" si="204"/>
        <v/>
      </c>
      <c r="AA153" s="27" t="str">
        <f t="shared" si="205"/>
        <v/>
      </c>
      <c r="AB153" s="27" t="str">
        <f t="shared" si="206"/>
        <v/>
      </c>
      <c r="AC153" s="27" t="str">
        <f t="shared" si="207"/>
        <v/>
      </c>
      <c r="AD153" s="29" t="str">
        <f t="shared" si="208"/>
        <v/>
      </c>
      <c r="AE153" s="30" t="str">
        <f t="shared" si="209"/>
        <v/>
      </c>
      <c r="AG153" s="31"/>
      <c r="AH153" s="31" t="e">
        <f t="shared" si="210"/>
        <v>#VALUE!</v>
      </c>
      <c r="AI153" s="31" t="e">
        <f t="shared" si="211"/>
        <v>#VALUE!</v>
      </c>
      <c r="AJ153" s="31" t="e">
        <f t="shared" si="212"/>
        <v>#VALUE!</v>
      </c>
      <c r="AK153" s="31" t="e">
        <f t="shared" si="213"/>
        <v>#VALUE!</v>
      </c>
      <c r="AL153" s="31" t="e">
        <f t="shared" si="214"/>
        <v>#VALUE!</v>
      </c>
      <c r="AM153" s="31" t="e">
        <f t="shared" si="215"/>
        <v>#VALUE!</v>
      </c>
      <c r="AN153" s="32" t="str">
        <f t="shared" si="216"/>
        <v/>
      </c>
      <c r="AO153" s="27" t="str">
        <f t="shared" si="217"/>
        <v/>
      </c>
      <c r="AP153" s="27" t="str">
        <f t="shared" si="218"/>
        <v/>
      </c>
      <c r="AQ153" s="27">
        <f t="shared" si="219"/>
        <v>0</v>
      </c>
      <c r="AR153" s="27">
        <f t="shared" si="220"/>
        <v>0</v>
      </c>
      <c r="AS153" s="33">
        <f t="shared" si="221"/>
        <v>0</v>
      </c>
    </row>
    <row r="154" spans="2:45" ht="15.75" hidden="1" customHeight="1" x14ac:dyDescent="0.25">
      <c r="B154" s="34">
        <f t="shared" ref="B154:F154" si="232">IF(B153="","",B153)</f>
        <v>10210</v>
      </c>
      <c r="C154" s="26">
        <f t="shared" si="232"/>
        <v>24</v>
      </c>
      <c r="D154" s="26">
        <f t="shared" si="232"/>
        <v>0</v>
      </c>
      <c r="E154" s="26">
        <f t="shared" si="232"/>
        <v>0</v>
      </c>
      <c r="F154" s="26">
        <f t="shared" si="232"/>
        <v>0</v>
      </c>
      <c r="G154" s="24"/>
      <c r="H154" s="24"/>
      <c r="I154" s="24"/>
      <c r="J154" s="24"/>
      <c r="K154" s="24"/>
      <c r="L154" s="24"/>
      <c r="M154" s="25"/>
      <c r="N154" s="26" t="str">
        <f t="shared" si="192"/>
        <v/>
      </c>
      <c r="O154" s="26" t="str">
        <f t="shared" si="193"/>
        <v/>
      </c>
      <c r="P154" s="26" t="str">
        <f t="shared" si="194"/>
        <v/>
      </c>
      <c r="Q154" s="26">
        <f t="shared" si="195"/>
        <v>0</v>
      </c>
      <c r="R154" s="26">
        <f t="shared" si="196"/>
        <v>0</v>
      </c>
      <c r="S154" s="26">
        <f t="shared" si="197"/>
        <v>0</v>
      </c>
      <c r="T154" s="26" t="str">
        <f t="shared" si="198"/>
        <v/>
      </c>
      <c r="U154" s="26" t="str">
        <f t="shared" si="199"/>
        <v/>
      </c>
      <c r="V154" s="26" t="str">
        <f t="shared" si="200"/>
        <v/>
      </c>
      <c r="W154" s="27" t="str">
        <f t="shared" si="201"/>
        <v/>
      </c>
      <c r="X154" s="27" t="str">
        <f t="shared" si="202"/>
        <v/>
      </c>
      <c r="Y154" s="28" t="str">
        <f t="shared" si="203"/>
        <v/>
      </c>
      <c r="Z154" s="27" t="str">
        <f t="shared" si="204"/>
        <v/>
      </c>
      <c r="AA154" s="27" t="str">
        <f t="shared" si="205"/>
        <v/>
      </c>
      <c r="AB154" s="27" t="str">
        <f t="shared" si="206"/>
        <v/>
      </c>
      <c r="AC154" s="27" t="str">
        <f t="shared" si="207"/>
        <v/>
      </c>
      <c r="AD154" s="29" t="str">
        <f t="shared" si="208"/>
        <v/>
      </c>
      <c r="AE154" s="30" t="str">
        <f t="shared" si="209"/>
        <v/>
      </c>
      <c r="AG154" s="31"/>
      <c r="AH154" s="31" t="e">
        <f t="shared" si="210"/>
        <v>#VALUE!</v>
      </c>
      <c r="AI154" s="31" t="e">
        <f t="shared" si="211"/>
        <v>#VALUE!</v>
      </c>
      <c r="AJ154" s="31" t="e">
        <f t="shared" si="212"/>
        <v>#VALUE!</v>
      </c>
      <c r="AK154" s="31" t="e">
        <f t="shared" si="213"/>
        <v>#VALUE!</v>
      </c>
      <c r="AL154" s="31" t="e">
        <f t="shared" si="214"/>
        <v>#VALUE!</v>
      </c>
      <c r="AM154" s="31" t="e">
        <f t="shared" si="215"/>
        <v>#VALUE!</v>
      </c>
      <c r="AN154" s="32" t="str">
        <f t="shared" si="216"/>
        <v/>
      </c>
      <c r="AO154" s="27" t="str">
        <f t="shared" si="217"/>
        <v/>
      </c>
      <c r="AP154" s="27" t="str">
        <f t="shared" si="218"/>
        <v/>
      </c>
      <c r="AQ154" s="27">
        <f t="shared" si="219"/>
        <v>0</v>
      </c>
      <c r="AR154" s="27">
        <f t="shared" si="220"/>
        <v>0</v>
      </c>
      <c r="AS154" s="33">
        <f t="shared" si="221"/>
        <v>0</v>
      </c>
    </row>
    <row r="155" spans="2:45" ht="15.75" hidden="1" customHeight="1" x14ac:dyDescent="0.25">
      <c r="B155" s="34">
        <f t="shared" ref="B155:F155" si="233">IF(B154="","",B154)</f>
        <v>10210</v>
      </c>
      <c r="C155" s="26">
        <f t="shared" si="233"/>
        <v>24</v>
      </c>
      <c r="D155" s="26">
        <f t="shared" si="233"/>
        <v>0</v>
      </c>
      <c r="E155" s="26">
        <f t="shared" si="233"/>
        <v>0</v>
      </c>
      <c r="F155" s="26">
        <f t="shared" si="233"/>
        <v>0</v>
      </c>
      <c r="G155" s="24"/>
      <c r="H155" s="24"/>
      <c r="I155" s="24"/>
      <c r="J155" s="24"/>
      <c r="K155" s="24"/>
      <c r="L155" s="24"/>
      <c r="M155" s="25"/>
      <c r="N155" s="26" t="str">
        <f t="shared" si="192"/>
        <v/>
      </c>
      <c r="O155" s="26" t="str">
        <f t="shared" si="193"/>
        <v/>
      </c>
      <c r="P155" s="26" t="str">
        <f t="shared" si="194"/>
        <v/>
      </c>
      <c r="Q155" s="26">
        <f t="shared" si="195"/>
        <v>0</v>
      </c>
      <c r="R155" s="26">
        <f t="shared" si="196"/>
        <v>0</v>
      </c>
      <c r="S155" s="26">
        <f t="shared" si="197"/>
        <v>0</v>
      </c>
      <c r="T155" s="26" t="str">
        <f t="shared" si="198"/>
        <v/>
      </c>
      <c r="U155" s="26" t="str">
        <f t="shared" si="199"/>
        <v/>
      </c>
      <c r="V155" s="26" t="str">
        <f t="shared" si="200"/>
        <v/>
      </c>
      <c r="W155" s="27" t="str">
        <f t="shared" si="201"/>
        <v/>
      </c>
      <c r="X155" s="27" t="str">
        <f t="shared" si="202"/>
        <v/>
      </c>
      <c r="Y155" s="28" t="str">
        <f t="shared" si="203"/>
        <v/>
      </c>
      <c r="Z155" s="27" t="str">
        <f t="shared" si="204"/>
        <v/>
      </c>
      <c r="AA155" s="27" t="str">
        <f t="shared" si="205"/>
        <v/>
      </c>
      <c r="AB155" s="27" t="str">
        <f t="shared" si="206"/>
        <v/>
      </c>
      <c r="AC155" s="27" t="str">
        <f t="shared" si="207"/>
        <v/>
      </c>
      <c r="AD155" s="29" t="str">
        <f t="shared" si="208"/>
        <v/>
      </c>
      <c r="AE155" s="30" t="str">
        <f t="shared" si="209"/>
        <v/>
      </c>
      <c r="AG155" s="31"/>
      <c r="AH155" s="31" t="e">
        <f t="shared" si="210"/>
        <v>#VALUE!</v>
      </c>
      <c r="AI155" s="31" t="e">
        <f t="shared" si="211"/>
        <v>#VALUE!</v>
      </c>
      <c r="AJ155" s="31" t="e">
        <f t="shared" si="212"/>
        <v>#VALUE!</v>
      </c>
      <c r="AK155" s="31" t="e">
        <f t="shared" si="213"/>
        <v>#VALUE!</v>
      </c>
      <c r="AL155" s="31" t="e">
        <f t="shared" si="214"/>
        <v>#VALUE!</v>
      </c>
      <c r="AM155" s="31" t="e">
        <f t="shared" si="215"/>
        <v>#VALUE!</v>
      </c>
      <c r="AN155" s="32" t="str">
        <f t="shared" si="216"/>
        <v/>
      </c>
      <c r="AO155" s="27" t="str">
        <f t="shared" si="217"/>
        <v/>
      </c>
      <c r="AP155" s="27" t="str">
        <f t="shared" si="218"/>
        <v/>
      </c>
      <c r="AQ155" s="27">
        <f t="shared" si="219"/>
        <v>0</v>
      </c>
      <c r="AR155" s="27">
        <f t="shared" si="220"/>
        <v>0</v>
      </c>
      <c r="AS155" s="33">
        <f t="shared" si="221"/>
        <v>0</v>
      </c>
    </row>
    <row r="156" spans="2:45" ht="15.75" hidden="1" customHeight="1" x14ac:dyDescent="0.25">
      <c r="B156" s="34">
        <f t="shared" ref="B156:F156" si="234">IF(B155="","",B155)</f>
        <v>10210</v>
      </c>
      <c r="C156" s="26">
        <f t="shared" si="234"/>
        <v>24</v>
      </c>
      <c r="D156" s="26">
        <f t="shared" si="234"/>
        <v>0</v>
      </c>
      <c r="E156" s="26">
        <f t="shared" si="234"/>
        <v>0</v>
      </c>
      <c r="F156" s="26">
        <f t="shared" si="234"/>
        <v>0</v>
      </c>
      <c r="G156" s="24"/>
      <c r="H156" s="24"/>
      <c r="I156" s="24"/>
      <c r="J156" s="24"/>
      <c r="K156" s="24"/>
      <c r="L156" s="24"/>
      <c r="M156" s="25"/>
      <c r="N156" s="26" t="str">
        <f t="shared" si="192"/>
        <v/>
      </c>
      <c r="O156" s="26" t="str">
        <f t="shared" si="193"/>
        <v/>
      </c>
      <c r="P156" s="26" t="str">
        <f t="shared" si="194"/>
        <v/>
      </c>
      <c r="Q156" s="26">
        <f t="shared" si="195"/>
        <v>0</v>
      </c>
      <c r="R156" s="26">
        <f t="shared" si="196"/>
        <v>0</v>
      </c>
      <c r="S156" s="26">
        <f t="shared" si="197"/>
        <v>0</v>
      </c>
      <c r="T156" s="26" t="str">
        <f t="shared" si="198"/>
        <v/>
      </c>
      <c r="U156" s="26" t="str">
        <f t="shared" si="199"/>
        <v/>
      </c>
      <c r="V156" s="26" t="str">
        <f t="shared" si="200"/>
        <v/>
      </c>
      <c r="W156" s="27" t="str">
        <f t="shared" si="201"/>
        <v/>
      </c>
      <c r="X156" s="27" t="str">
        <f t="shared" si="202"/>
        <v/>
      </c>
      <c r="Y156" s="28" t="str">
        <f t="shared" si="203"/>
        <v/>
      </c>
      <c r="Z156" s="27" t="str">
        <f t="shared" si="204"/>
        <v/>
      </c>
      <c r="AA156" s="27" t="str">
        <f t="shared" si="205"/>
        <v/>
      </c>
      <c r="AB156" s="27" t="str">
        <f t="shared" si="206"/>
        <v/>
      </c>
      <c r="AC156" s="27" t="str">
        <f t="shared" si="207"/>
        <v/>
      </c>
      <c r="AD156" s="29" t="str">
        <f t="shared" si="208"/>
        <v/>
      </c>
      <c r="AE156" s="30" t="str">
        <f t="shared" si="209"/>
        <v/>
      </c>
      <c r="AG156" s="31"/>
      <c r="AH156" s="31" t="e">
        <f t="shared" si="210"/>
        <v>#VALUE!</v>
      </c>
      <c r="AI156" s="31" t="e">
        <f t="shared" si="211"/>
        <v>#VALUE!</v>
      </c>
      <c r="AJ156" s="31" t="e">
        <f t="shared" si="212"/>
        <v>#VALUE!</v>
      </c>
      <c r="AK156" s="31" t="e">
        <f t="shared" si="213"/>
        <v>#VALUE!</v>
      </c>
      <c r="AL156" s="31" t="e">
        <f t="shared" si="214"/>
        <v>#VALUE!</v>
      </c>
      <c r="AM156" s="31" t="e">
        <f t="shared" si="215"/>
        <v>#VALUE!</v>
      </c>
      <c r="AN156" s="32" t="str">
        <f t="shared" si="216"/>
        <v/>
      </c>
      <c r="AO156" s="27" t="str">
        <f t="shared" si="217"/>
        <v/>
      </c>
      <c r="AP156" s="27" t="str">
        <f t="shared" si="218"/>
        <v/>
      </c>
      <c r="AQ156" s="27">
        <f t="shared" si="219"/>
        <v>0</v>
      </c>
      <c r="AR156" s="27">
        <f t="shared" si="220"/>
        <v>0</v>
      </c>
      <c r="AS156" s="33">
        <f t="shared" si="221"/>
        <v>0</v>
      </c>
    </row>
    <row r="157" spans="2:45" ht="15.75" hidden="1" customHeight="1" x14ac:dyDescent="0.25">
      <c r="B157" s="34">
        <f t="shared" ref="B157:F157" si="235">IF(B156="","",B156)</f>
        <v>10210</v>
      </c>
      <c r="C157" s="26">
        <f t="shared" si="235"/>
        <v>24</v>
      </c>
      <c r="D157" s="26">
        <f t="shared" si="235"/>
        <v>0</v>
      </c>
      <c r="E157" s="26">
        <f t="shared" si="235"/>
        <v>0</v>
      </c>
      <c r="F157" s="26">
        <f t="shared" si="235"/>
        <v>0</v>
      </c>
      <c r="G157" s="24"/>
      <c r="H157" s="24"/>
      <c r="I157" s="24"/>
      <c r="J157" s="24"/>
      <c r="K157" s="24"/>
      <c r="L157" s="24"/>
      <c r="M157" s="25"/>
      <c r="N157" s="26" t="str">
        <f t="shared" si="192"/>
        <v/>
      </c>
      <c r="O157" s="26" t="str">
        <f t="shared" si="193"/>
        <v/>
      </c>
      <c r="P157" s="26" t="str">
        <f t="shared" si="194"/>
        <v/>
      </c>
      <c r="Q157" s="26">
        <f t="shared" si="195"/>
        <v>0</v>
      </c>
      <c r="R157" s="26">
        <f t="shared" si="196"/>
        <v>0</v>
      </c>
      <c r="S157" s="26">
        <f t="shared" si="197"/>
        <v>0</v>
      </c>
      <c r="T157" s="26" t="str">
        <f t="shared" si="198"/>
        <v/>
      </c>
      <c r="U157" s="26" t="str">
        <f t="shared" si="199"/>
        <v/>
      </c>
      <c r="V157" s="26" t="str">
        <f t="shared" si="200"/>
        <v/>
      </c>
      <c r="W157" s="27" t="str">
        <f t="shared" si="201"/>
        <v/>
      </c>
      <c r="X157" s="27" t="str">
        <f t="shared" si="202"/>
        <v/>
      </c>
      <c r="Y157" s="28" t="str">
        <f t="shared" si="203"/>
        <v/>
      </c>
      <c r="Z157" s="27" t="str">
        <f t="shared" si="204"/>
        <v/>
      </c>
      <c r="AA157" s="27" t="str">
        <f t="shared" si="205"/>
        <v/>
      </c>
      <c r="AB157" s="27" t="str">
        <f t="shared" si="206"/>
        <v/>
      </c>
      <c r="AC157" s="27" t="str">
        <f t="shared" si="207"/>
        <v/>
      </c>
      <c r="AD157" s="29" t="str">
        <f t="shared" si="208"/>
        <v/>
      </c>
      <c r="AE157" s="30" t="str">
        <f t="shared" si="209"/>
        <v/>
      </c>
      <c r="AG157" s="31"/>
      <c r="AH157" s="31" t="e">
        <f t="shared" si="210"/>
        <v>#VALUE!</v>
      </c>
      <c r="AI157" s="31" t="e">
        <f t="shared" si="211"/>
        <v>#VALUE!</v>
      </c>
      <c r="AJ157" s="31" t="e">
        <f t="shared" si="212"/>
        <v>#VALUE!</v>
      </c>
      <c r="AK157" s="31" t="e">
        <f t="shared" si="213"/>
        <v>#VALUE!</v>
      </c>
      <c r="AL157" s="31" t="e">
        <f t="shared" si="214"/>
        <v>#VALUE!</v>
      </c>
      <c r="AM157" s="31" t="e">
        <f t="shared" si="215"/>
        <v>#VALUE!</v>
      </c>
      <c r="AN157" s="32" t="str">
        <f t="shared" si="216"/>
        <v/>
      </c>
      <c r="AO157" s="27" t="str">
        <f t="shared" si="217"/>
        <v/>
      </c>
      <c r="AP157" s="27" t="str">
        <f t="shared" si="218"/>
        <v/>
      </c>
      <c r="AQ157" s="27">
        <f t="shared" si="219"/>
        <v>0</v>
      </c>
      <c r="AR157" s="27">
        <f t="shared" si="220"/>
        <v>0</v>
      </c>
      <c r="AS157" s="33">
        <f t="shared" si="221"/>
        <v>0</v>
      </c>
    </row>
    <row r="158" spans="2:45" ht="15.75" hidden="1" customHeight="1" x14ac:dyDescent="0.25">
      <c r="B158" s="34">
        <f t="shared" ref="B158:F158" si="236">IF(B157="","",B157)</f>
        <v>10210</v>
      </c>
      <c r="C158" s="26">
        <f t="shared" si="236"/>
        <v>24</v>
      </c>
      <c r="D158" s="26">
        <f t="shared" si="236"/>
        <v>0</v>
      </c>
      <c r="E158" s="26">
        <f t="shared" si="236"/>
        <v>0</v>
      </c>
      <c r="F158" s="26">
        <f t="shared" si="236"/>
        <v>0</v>
      </c>
      <c r="G158" s="24"/>
      <c r="H158" s="24"/>
      <c r="I158" s="24"/>
      <c r="J158" s="24"/>
      <c r="K158" s="24"/>
      <c r="L158" s="24"/>
      <c r="M158" s="25"/>
      <c r="N158" s="26" t="str">
        <f t="shared" si="192"/>
        <v/>
      </c>
      <c r="O158" s="26" t="str">
        <f t="shared" si="193"/>
        <v/>
      </c>
      <c r="P158" s="26" t="str">
        <f t="shared" si="194"/>
        <v/>
      </c>
      <c r="Q158" s="26">
        <f t="shared" si="195"/>
        <v>0</v>
      </c>
      <c r="R158" s="26">
        <f t="shared" si="196"/>
        <v>0</v>
      </c>
      <c r="S158" s="26">
        <f t="shared" si="197"/>
        <v>0</v>
      </c>
      <c r="T158" s="26" t="str">
        <f t="shared" si="198"/>
        <v/>
      </c>
      <c r="U158" s="26" t="str">
        <f t="shared" si="199"/>
        <v/>
      </c>
      <c r="V158" s="26" t="str">
        <f t="shared" si="200"/>
        <v/>
      </c>
      <c r="W158" s="27" t="str">
        <f t="shared" si="201"/>
        <v/>
      </c>
      <c r="X158" s="27" t="str">
        <f t="shared" si="202"/>
        <v/>
      </c>
      <c r="Y158" s="28" t="str">
        <f t="shared" si="203"/>
        <v/>
      </c>
      <c r="Z158" s="27" t="str">
        <f t="shared" si="204"/>
        <v/>
      </c>
      <c r="AA158" s="27" t="str">
        <f t="shared" si="205"/>
        <v/>
      </c>
      <c r="AB158" s="27" t="str">
        <f t="shared" si="206"/>
        <v/>
      </c>
      <c r="AC158" s="27" t="str">
        <f t="shared" si="207"/>
        <v/>
      </c>
      <c r="AD158" s="29" t="str">
        <f t="shared" si="208"/>
        <v/>
      </c>
      <c r="AE158" s="30" t="str">
        <f t="shared" si="209"/>
        <v/>
      </c>
      <c r="AG158" s="31"/>
      <c r="AH158" s="31" t="e">
        <f t="shared" si="210"/>
        <v>#VALUE!</v>
      </c>
      <c r="AI158" s="31" t="e">
        <f t="shared" si="211"/>
        <v>#VALUE!</v>
      </c>
      <c r="AJ158" s="31" t="e">
        <f t="shared" si="212"/>
        <v>#VALUE!</v>
      </c>
      <c r="AK158" s="31" t="e">
        <f t="shared" si="213"/>
        <v>#VALUE!</v>
      </c>
      <c r="AL158" s="31" t="e">
        <f t="shared" si="214"/>
        <v>#VALUE!</v>
      </c>
      <c r="AM158" s="31" t="e">
        <f t="shared" si="215"/>
        <v>#VALUE!</v>
      </c>
      <c r="AN158" s="32" t="str">
        <f t="shared" si="216"/>
        <v/>
      </c>
      <c r="AO158" s="27" t="str">
        <f t="shared" si="217"/>
        <v/>
      </c>
      <c r="AP158" s="27" t="str">
        <f t="shared" si="218"/>
        <v/>
      </c>
      <c r="AQ158" s="27">
        <f t="shared" si="219"/>
        <v>0</v>
      </c>
      <c r="AR158" s="27">
        <f t="shared" si="220"/>
        <v>0</v>
      </c>
      <c r="AS158" s="33">
        <f t="shared" si="221"/>
        <v>0</v>
      </c>
    </row>
    <row r="159" spans="2:45" ht="15.75" hidden="1" customHeight="1" x14ac:dyDescent="0.25">
      <c r="B159" s="34">
        <f t="shared" ref="B159:F159" si="237">IF(B158="","",B158)</f>
        <v>10210</v>
      </c>
      <c r="C159" s="26">
        <f t="shared" si="237"/>
        <v>24</v>
      </c>
      <c r="D159" s="26">
        <f t="shared" si="237"/>
        <v>0</v>
      </c>
      <c r="E159" s="26">
        <f t="shared" si="237"/>
        <v>0</v>
      </c>
      <c r="F159" s="26">
        <f t="shared" si="237"/>
        <v>0</v>
      </c>
      <c r="G159" s="24"/>
      <c r="H159" s="24"/>
      <c r="I159" s="24"/>
      <c r="J159" s="24"/>
      <c r="K159" s="24"/>
      <c r="L159" s="24"/>
      <c r="M159" s="25"/>
      <c r="N159" s="26" t="str">
        <f t="shared" si="192"/>
        <v/>
      </c>
      <c r="O159" s="26" t="str">
        <f t="shared" si="193"/>
        <v/>
      </c>
      <c r="P159" s="26" t="str">
        <f t="shared" si="194"/>
        <v/>
      </c>
      <c r="Q159" s="26">
        <f t="shared" si="195"/>
        <v>0</v>
      </c>
      <c r="R159" s="26">
        <f t="shared" si="196"/>
        <v>0</v>
      </c>
      <c r="S159" s="26">
        <f t="shared" si="197"/>
        <v>0</v>
      </c>
      <c r="T159" s="26" t="str">
        <f t="shared" si="198"/>
        <v/>
      </c>
      <c r="U159" s="26" t="str">
        <f t="shared" si="199"/>
        <v/>
      </c>
      <c r="V159" s="26" t="str">
        <f t="shared" si="200"/>
        <v/>
      </c>
      <c r="W159" s="27" t="str">
        <f t="shared" si="201"/>
        <v/>
      </c>
      <c r="X159" s="27" t="str">
        <f t="shared" si="202"/>
        <v/>
      </c>
      <c r="Y159" s="28" t="str">
        <f t="shared" si="203"/>
        <v/>
      </c>
      <c r="Z159" s="27" t="str">
        <f t="shared" si="204"/>
        <v/>
      </c>
      <c r="AA159" s="27" t="str">
        <f t="shared" si="205"/>
        <v/>
      </c>
      <c r="AB159" s="27" t="str">
        <f t="shared" si="206"/>
        <v/>
      </c>
      <c r="AC159" s="27" t="str">
        <f t="shared" si="207"/>
        <v/>
      </c>
      <c r="AD159" s="29" t="str">
        <f t="shared" si="208"/>
        <v/>
      </c>
      <c r="AE159" s="30" t="str">
        <f t="shared" si="209"/>
        <v/>
      </c>
      <c r="AG159" s="31"/>
      <c r="AH159" s="31" t="e">
        <f t="shared" si="210"/>
        <v>#VALUE!</v>
      </c>
      <c r="AI159" s="31" t="e">
        <f t="shared" si="211"/>
        <v>#VALUE!</v>
      </c>
      <c r="AJ159" s="31" t="e">
        <f t="shared" si="212"/>
        <v>#VALUE!</v>
      </c>
      <c r="AK159" s="31" t="e">
        <f t="shared" si="213"/>
        <v>#VALUE!</v>
      </c>
      <c r="AL159" s="31" t="e">
        <f t="shared" si="214"/>
        <v>#VALUE!</v>
      </c>
      <c r="AM159" s="31" t="e">
        <f t="shared" si="215"/>
        <v>#VALUE!</v>
      </c>
      <c r="AN159" s="32" t="str">
        <f t="shared" si="216"/>
        <v/>
      </c>
      <c r="AO159" s="27" t="str">
        <f t="shared" si="217"/>
        <v/>
      </c>
      <c r="AP159" s="27" t="str">
        <f t="shared" si="218"/>
        <v/>
      </c>
      <c r="AQ159" s="27">
        <f t="shared" si="219"/>
        <v>0</v>
      </c>
      <c r="AR159" s="27">
        <f t="shared" si="220"/>
        <v>0</v>
      </c>
      <c r="AS159" s="33">
        <f t="shared" si="221"/>
        <v>0</v>
      </c>
    </row>
    <row r="160" spans="2:45" ht="15.75" hidden="1" customHeight="1" x14ac:dyDescent="0.25">
      <c r="B160" s="34">
        <f t="shared" ref="B160:F160" si="238">IF(B159="","",B159)</f>
        <v>10210</v>
      </c>
      <c r="C160" s="26">
        <f t="shared" si="238"/>
        <v>24</v>
      </c>
      <c r="D160" s="26">
        <f t="shared" si="238"/>
        <v>0</v>
      </c>
      <c r="E160" s="26">
        <f t="shared" si="238"/>
        <v>0</v>
      </c>
      <c r="F160" s="26">
        <f t="shared" si="238"/>
        <v>0</v>
      </c>
      <c r="G160" s="24"/>
      <c r="H160" s="24"/>
      <c r="I160" s="24"/>
      <c r="J160" s="24"/>
      <c r="K160" s="24"/>
      <c r="L160" s="24"/>
      <c r="M160" s="25"/>
      <c r="N160" s="26" t="str">
        <f t="shared" si="192"/>
        <v/>
      </c>
      <c r="O160" s="26" t="str">
        <f t="shared" si="193"/>
        <v/>
      </c>
      <c r="P160" s="26" t="str">
        <f t="shared" si="194"/>
        <v/>
      </c>
      <c r="Q160" s="26">
        <f t="shared" si="195"/>
        <v>0</v>
      </c>
      <c r="R160" s="26">
        <f t="shared" si="196"/>
        <v>0</v>
      </c>
      <c r="S160" s="26">
        <f t="shared" si="197"/>
        <v>0</v>
      </c>
      <c r="T160" s="26" t="str">
        <f t="shared" si="198"/>
        <v/>
      </c>
      <c r="U160" s="26" t="str">
        <f t="shared" si="199"/>
        <v/>
      </c>
      <c r="V160" s="26" t="str">
        <f t="shared" si="200"/>
        <v/>
      </c>
      <c r="W160" s="27" t="str">
        <f t="shared" si="201"/>
        <v/>
      </c>
      <c r="X160" s="27" t="str">
        <f t="shared" si="202"/>
        <v/>
      </c>
      <c r="Y160" s="28" t="str">
        <f t="shared" si="203"/>
        <v/>
      </c>
      <c r="Z160" s="27" t="str">
        <f t="shared" si="204"/>
        <v/>
      </c>
      <c r="AA160" s="27" t="str">
        <f t="shared" si="205"/>
        <v/>
      </c>
      <c r="AB160" s="27" t="str">
        <f t="shared" si="206"/>
        <v/>
      </c>
      <c r="AC160" s="27" t="str">
        <f t="shared" si="207"/>
        <v/>
      </c>
      <c r="AD160" s="29" t="str">
        <f t="shared" si="208"/>
        <v/>
      </c>
      <c r="AE160" s="30" t="str">
        <f t="shared" si="209"/>
        <v/>
      </c>
      <c r="AG160" s="31"/>
      <c r="AH160" s="31" t="e">
        <f t="shared" si="210"/>
        <v>#VALUE!</v>
      </c>
      <c r="AI160" s="31" t="e">
        <f t="shared" si="211"/>
        <v>#VALUE!</v>
      </c>
      <c r="AJ160" s="31" t="e">
        <f t="shared" si="212"/>
        <v>#VALUE!</v>
      </c>
      <c r="AK160" s="31" t="e">
        <f t="shared" si="213"/>
        <v>#VALUE!</v>
      </c>
      <c r="AL160" s="31" t="e">
        <f t="shared" si="214"/>
        <v>#VALUE!</v>
      </c>
      <c r="AM160" s="31" t="e">
        <f t="shared" si="215"/>
        <v>#VALUE!</v>
      </c>
      <c r="AN160" s="32" t="str">
        <f t="shared" si="216"/>
        <v/>
      </c>
      <c r="AO160" s="27" t="str">
        <f t="shared" si="217"/>
        <v/>
      </c>
      <c r="AP160" s="27" t="str">
        <f t="shared" si="218"/>
        <v/>
      </c>
      <c r="AQ160" s="27">
        <f t="shared" si="219"/>
        <v>0</v>
      </c>
      <c r="AR160" s="27">
        <f t="shared" si="220"/>
        <v>0</v>
      </c>
      <c r="AS160" s="33">
        <f t="shared" si="221"/>
        <v>0</v>
      </c>
    </row>
    <row r="161" spans="2:45" ht="15.75" hidden="1" customHeight="1" x14ac:dyDescent="0.25">
      <c r="B161" s="34">
        <f t="shared" ref="B161:F161" si="239">IF(B160="","",B160)</f>
        <v>10210</v>
      </c>
      <c r="C161" s="26">
        <f t="shared" si="239"/>
        <v>24</v>
      </c>
      <c r="D161" s="26">
        <f t="shared" si="239"/>
        <v>0</v>
      </c>
      <c r="E161" s="26">
        <f t="shared" si="239"/>
        <v>0</v>
      </c>
      <c r="F161" s="26">
        <f t="shared" si="239"/>
        <v>0</v>
      </c>
      <c r="G161" s="24"/>
      <c r="H161" s="24"/>
      <c r="I161" s="24"/>
      <c r="J161" s="24"/>
      <c r="K161" s="24"/>
      <c r="L161" s="24"/>
      <c r="M161" s="25"/>
      <c r="N161" s="26" t="str">
        <f t="shared" si="192"/>
        <v/>
      </c>
      <c r="O161" s="26" t="str">
        <f t="shared" si="193"/>
        <v/>
      </c>
      <c r="P161" s="26" t="str">
        <f t="shared" si="194"/>
        <v/>
      </c>
      <c r="Q161" s="26">
        <f t="shared" si="195"/>
        <v>0</v>
      </c>
      <c r="R161" s="26">
        <f t="shared" si="196"/>
        <v>0</v>
      </c>
      <c r="S161" s="26">
        <f t="shared" si="197"/>
        <v>0</v>
      </c>
      <c r="T161" s="26" t="str">
        <f t="shared" si="198"/>
        <v/>
      </c>
      <c r="U161" s="26" t="str">
        <f t="shared" si="199"/>
        <v/>
      </c>
      <c r="V161" s="26" t="str">
        <f t="shared" si="200"/>
        <v/>
      </c>
      <c r="W161" s="27" t="str">
        <f t="shared" si="201"/>
        <v/>
      </c>
      <c r="X161" s="27" t="str">
        <f t="shared" si="202"/>
        <v/>
      </c>
      <c r="Y161" s="28" t="str">
        <f t="shared" si="203"/>
        <v/>
      </c>
      <c r="Z161" s="27" t="str">
        <f t="shared" si="204"/>
        <v/>
      </c>
      <c r="AA161" s="27" t="str">
        <f t="shared" si="205"/>
        <v/>
      </c>
      <c r="AB161" s="27" t="str">
        <f t="shared" si="206"/>
        <v/>
      </c>
      <c r="AC161" s="27" t="str">
        <f t="shared" si="207"/>
        <v/>
      </c>
      <c r="AD161" s="29" t="str">
        <f t="shared" si="208"/>
        <v/>
      </c>
      <c r="AE161" s="30" t="str">
        <f t="shared" si="209"/>
        <v/>
      </c>
      <c r="AG161" s="31"/>
      <c r="AH161" s="31" t="e">
        <f t="shared" si="210"/>
        <v>#VALUE!</v>
      </c>
      <c r="AI161" s="31" t="e">
        <f t="shared" si="211"/>
        <v>#VALUE!</v>
      </c>
      <c r="AJ161" s="31" t="e">
        <f t="shared" si="212"/>
        <v>#VALUE!</v>
      </c>
      <c r="AK161" s="31" t="e">
        <f t="shared" si="213"/>
        <v>#VALUE!</v>
      </c>
      <c r="AL161" s="31" t="e">
        <f t="shared" si="214"/>
        <v>#VALUE!</v>
      </c>
      <c r="AM161" s="31" t="e">
        <f t="shared" si="215"/>
        <v>#VALUE!</v>
      </c>
      <c r="AN161" s="32" t="str">
        <f t="shared" si="216"/>
        <v/>
      </c>
      <c r="AO161" s="27" t="str">
        <f t="shared" si="217"/>
        <v/>
      </c>
      <c r="AP161" s="27" t="str">
        <f t="shared" si="218"/>
        <v/>
      </c>
      <c r="AQ161" s="27">
        <f t="shared" si="219"/>
        <v>0</v>
      </c>
      <c r="AR161" s="27">
        <f t="shared" si="220"/>
        <v>0</v>
      </c>
      <c r="AS161" s="33">
        <f t="shared" si="221"/>
        <v>0</v>
      </c>
    </row>
    <row r="162" spans="2:45" ht="15.75" hidden="1" customHeight="1" x14ac:dyDescent="0.25">
      <c r="B162" s="34">
        <f t="shared" ref="B162:F162" si="240">IF(B161="","",B161)</f>
        <v>10210</v>
      </c>
      <c r="C162" s="26">
        <f t="shared" si="240"/>
        <v>24</v>
      </c>
      <c r="D162" s="26">
        <f t="shared" si="240"/>
        <v>0</v>
      </c>
      <c r="E162" s="26">
        <f t="shared" si="240"/>
        <v>0</v>
      </c>
      <c r="F162" s="26">
        <f t="shared" si="240"/>
        <v>0</v>
      </c>
      <c r="G162" s="24"/>
      <c r="H162" s="24"/>
      <c r="I162" s="24"/>
      <c r="J162" s="24"/>
      <c r="K162" s="24"/>
      <c r="L162" s="24"/>
      <c r="M162" s="25"/>
      <c r="N162" s="26" t="str">
        <f t="shared" si="192"/>
        <v/>
      </c>
      <c r="O162" s="26" t="str">
        <f t="shared" si="193"/>
        <v/>
      </c>
      <c r="P162" s="26" t="str">
        <f t="shared" si="194"/>
        <v/>
      </c>
      <c r="Q162" s="26">
        <f t="shared" si="195"/>
        <v>0</v>
      </c>
      <c r="R162" s="26">
        <f t="shared" si="196"/>
        <v>0</v>
      </c>
      <c r="S162" s="26">
        <f t="shared" si="197"/>
        <v>0</v>
      </c>
      <c r="T162" s="26" t="str">
        <f t="shared" si="198"/>
        <v/>
      </c>
      <c r="U162" s="26" t="str">
        <f t="shared" si="199"/>
        <v/>
      </c>
      <c r="V162" s="26" t="str">
        <f t="shared" si="200"/>
        <v/>
      </c>
      <c r="W162" s="27" t="str">
        <f t="shared" si="201"/>
        <v/>
      </c>
      <c r="X162" s="27" t="str">
        <f t="shared" si="202"/>
        <v/>
      </c>
      <c r="Y162" s="28" t="str">
        <f t="shared" si="203"/>
        <v/>
      </c>
      <c r="Z162" s="27" t="str">
        <f t="shared" si="204"/>
        <v/>
      </c>
      <c r="AA162" s="27" t="str">
        <f t="shared" si="205"/>
        <v/>
      </c>
      <c r="AB162" s="27" t="str">
        <f t="shared" si="206"/>
        <v/>
      </c>
      <c r="AC162" s="27" t="str">
        <f t="shared" si="207"/>
        <v/>
      </c>
      <c r="AD162" s="29" t="str">
        <f t="shared" si="208"/>
        <v/>
      </c>
      <c r="AE162" s="30" t="str">
        <f t="shared" si="209"/>
        <v/>
      </c>
      <c r="AG162" s="31"/>
      <c r="AH162" s="31" t="e">
        <f t="shared" si="210"/>
        <v>#VALUE!</v>
      </c>
      <c r="AI162" s="31" t="e">
        <f t="shared" si="211"/>
        <v>#VALUE!</v>
      </c>
      <c r="AJ162" s="31" t="e">
        <f t="shared" si="212"/>
        <v>#VALUE!</v>
      </c>
      <c r="AK162" s="31" t="e">
        <f t="shared" si="213"/>
        <v>#VALUE!</v>
      </c>
      <c r="AL162" s="31" t="e">
        <f t="shared" si="214"/>
        <v>#VALUE!</v>
      </c>
      <c r="AM162" s="31" t="e">
        <f t="shared" si="215"/>
        <v>#VALUE!</v>
      </c>
      <c r="AN162" s="32" t="str">
        <f t="shared" si="216"/>
        <v/>
      </c>
      <c r="AO162" s="27" t="str">
        <f t="shared" si="217"/>
        <v/>
      </c>
      <c r="AP162" s="27" t="str">
        <f t="shared" si="218"/>
        <v/>
      </c>
      <c r="AQ162" s="27">
        <f t="shared" si="219"/>
        <v>0</v>
      </c>
      <c r="AR162" s="27">
        <f t="shared" si="220"/>
        <v>0</v>
      </c>
      <c r="AS162" s="33">
        <f t="shared" si="221"/>
        <v>0</v>
      </c>
    </row>
    <row r="163" spans="2:45" ht="16.5" hidden="1" thickBot="1" x14ac:dyDescent="0.3">
      <c r="B163" s="35">
        <f>IF(B44="","",B44)</f>
        <v>10210</v>
      </c>
      <c r="C163" s="36">
        <f>IF(C44="","",C44)</f>
        <v>24</v>
      </c>
      <c r="D163" s="36">
        <f>IF(D44="","",D44)</f>
        <v>0</v>
      </c>
      <c r="E163" s="36">
        <f>IF(E44="","",E44)</f>
        <v>0</v>
      </c>
      <c r="F163" s="36">
        <f>IF(F44="","",F44)</f>
        <v>0</v>
      </c>
      <c r="G163" s="37"/>
      <c r="H163" s="37"/>
      <c r="I163" s="37"/>
      <c r="J163" s="37"/>
      <c r="K163" s="37"/>
      <c r="L163" s="37"/>
      <c r="M163" s="38"/>
      <c r="N163" s="36" t="str">
        <f t="shared" si="192"/>
        <v/>
      </c>
      <c r="O163" s="36" t="str">
        <f t="shared" si="193"/>
        <v/>
      </c>
      <c r="P163" s="36" t="str">
        <f t="shared" si="194"/>
        <v/>
      </c>
      <c r="Q163" s="36">
        <f t="shared" si="195"/>
        <v>0</v>
      </c>
      <c r="R163" s="36">
        <f t="shared" si="196"/>
        <v>0</v>
      </c>
      <c r="S163" s="36">
        <f t="shared" si="197"/>
        <v>0</v>
      </c>
      <c r="T163" s="36" t="str">
        <f t="shared" si="198"/>
        <v/>
      </c>
      <c r="U163" s="36" t="str">
        <f t="shared" si="199"/>
        <v/>
      </c>
      <c r="V163" s="36" t="str">
        <f t="shared" si="200"/>
        <v/>
      </c>
      <c r="W163" s="39" t="str">
        <f t="shared" si="201"/>
        <v/>
      </c>
      <c r="X163" s="39" t="str">
        <f t="shared" si="202"/>
        <v/>
      </c>
      <c r="Y163" s="40" t="str">
        <f t="shared" si="203"/>
        <v/>
      </c>
      <c r="Z163" s="39" t="str">
        <f t="shared" si="204"/>
        <v/>
      </c>
      <c r="AA163" s="39" t="str">
        <f t="shared" si="205"/>
        <v/>
      </c>
      <c r="AB163" s="39" t="str">
        <f t="shared" si="206"/>
        <v/>
      </c>
      <c r="AC163" s="39" t="str">
        <f t="shared" si="207"/>
        <v/>
      </c>
      <c r="AD163" s="65" t="str">
        <f t="shared" si="208"/>
        <v/>
      </c>
      <c r="AE163" s="41" t="str">
        <f t="shared" si="209"/>
        <v/>
      </c>
      <c r="AG163" s="31"/>
      <c r="AH163" s="31" t="e">
        <f t="shared" si="210"/>
        <v>#VALUE!</v>
      </c>
      <c r="AI163" s="31" t="e">
        <f t="shared" si="211"/>
        <v>#VALUE!</v>
      </c>
      <c r="AJ163" s="31" t="e">
        <f t="shared" si="212"/>
        <v>#VALUE!</v>
      </c>
      <c r="AK163" s="31" t="e">
        <f t="shared" si="213"/>
        <v>#VALUE!</v>
      </c>
      <c r="AL163" s="31" t="e">
        <f t="shared" si="214"/>
        <v>#VALUE!</v>
      </c>
      <c r="AM163" s="31" t="e">
        <f t="shared" si="215"/>
        <v>#VALUE!</v>
      </c>
      <c r="AN163" s="42" t="str">
        <f t="shared" si="216"/>
        <v/>
      </c>
      <c r="AO163" s="39" t="str">
        <f t="shared" si="217"/>
        <v/>
      </c>
      <c r="AP163" s="39" t="str">
        <f t="shared" si="218"/>
        <v/>
      </c>
      <c r="AQ163" s="39">
        <f t="shared" si="219"/>
        <v>0</v>
      </c>
      <c r="AR163" s="39">
        <f t="shared" si="220"/>
        <v>0</v>
      </c>
      <c r="AS163" s="43">
        <f t="shared" si="221"/>
        <v>0</v>
      </c>
    </row>
    <row r="164" spans="2:45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N164" s="3"/>
      <c r="AO164" s="3"/>
      <c r="AP164" s="3"/>
      <c r="AQ164" s="3"/>
      <c r="AR164" s="3"/>
      <c r="AS164" s="3"/>
    </row>
    <row r="165" spans="2:45" ht="16.5" thickBot="1" x14ac:dyDescent="0.3">
      <c r="B165" s="83"/>
      <c r="C165" s="84"/>
      <c r="D165" s="85"/>
      <c r="E165" s="83"/>
      <c r="F165" s="84"/>
      <c r="G165" s="85"/>
      <c r="H165" s="84"/>
      <c r="I165" s="85"/>
      <c r="J165" s="83"/>
      <c r="K165" s="83"/>
      <c r="L165" s="83"/>
      <c r="M165" s="84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N165" s="3"/>
      <c r="AO165" s="3"/>
      <c r="AP165" s="3"/>
      <c r="AQ165" s="3"/>
      <c r="AR165" s="3"/>
      <c r="AS165" s="3"/>
    </row>
    <row r="166" spans="2:45" ht="16.5" thickBot="1" x14ac:dyDescent="0.3">
      <c r="B166" s="107" t="s">
        <v>61</v>
      </c>
      <c r="C166" s="108"/>
      <c r="D166" s="109"/>
      <c r="E166" s="110"/>
      <c r="F166" s="111"/>
      <c r="G166" s="112" t="s">
        <v>62</v>
      </c>
      <c r="H166" s="108"/>
      <c r="I166" s="113"/>
      <c r="J166" s="114"/>
      <c r="K166" s="114"/>
      <c r="L166" s="115"/>
      <c r="M166" s="66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2:45" x14ac:dyDescent="0.25">
      <c r="B167" s="116" t="s">
        <v>14</v>
      </c>
      <c r="C167" s="119" t="s">
        <v>48</v>
      </c>
      <c r="D167" s="122" t="s">
        <v>16</v>
      </c>
      <c r="E167" s="122"/>
      <c r="F167" s="122"/>
      <c r="G167" s="122"/>
      <c r="H167" s="122"/>
      <c r="I167" s="122"/>
      <c r="J167" s="122"/>
      <c r="K167" s="122"/>
      <c r="L167" s="122"/>
      <c r="M167" s="119" t="s">
        <v>47</v>
      </c>
      <c r="N167" s="122" t="s">
        <v>17</v>
      </c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3" t="s">
        <v>63</v>
      </c>
      <c r="Z167" s="124"/>
      <c r="AA167" s="124"/>
      <c r="AB167" s="124"/>
      <c r="AC167" s="124"/>
      <c r="AD167" s="124"/>
      <c r="AE167" s="125"/>
      <c r="AF167" s="18"/>
      <c r="AG167" s="16"/>
      <c r="AH167" s="16"/>
      <c r="AI167" s="16"/>
      <c r="AJ167" s="16"/>
      <c r="AK167" s="16"/>
      <c r="AL167" s="16"/>
      <c r="AM167" s="16"/>
      <c r="AN167" s="130" t="s">
        <v>20</v>
      </c>
      <c r="AO167" s="131"/>
      <c r="AP167" s="132"/>
      <c r="AQ167" s="136" t="s">
        <v>31</v>
      </c>
      <c r="AR167" s="131"/>
      <c r="AS167" s="137"/>
    </row>
    <row r="168" spans="2:45" x14ac:dyDescent="0.25">
      <c r="B168" s="117"/>
      <c r="C168" s="120"/>
      <c r="D168" s="140" t="s">
        <v>18</v>
      </c>
      <c r="E168" s="140"/>
      <c r="F168" s="140"/>
      <c r="G168" s="141" t="s">
        <v>19</v>
      </c>
      <c r="H168" s="141"/>
      <c r="I168" s="141"/>
      <c r="J168" s="141"/>
      <c r="K168" s="141"/>
      <c r="L168" s="141"/>
      <c r="M168" s="120"/>
      <c r="N168" s="140" t="s">
        <v>18</v>
      </c>
      <c r="O168" s="140"/>
      <c r="P168" s="140"/>
      <c r="Q168" s="141" t="s">
        <v>19</v>
      </c>
      <c r="R168" s="141"/>
      <c r="S168" s="141"/>
      <c r="T168" s="141"/>
      <c r="U168" s="141"/>
      <c r="V168" s="141"/>
      <c r="W168" s="141"/>
      <c r="X168" s="141"/>
      <c r="Y168" s="126" t="s">
        <v>32</v>
      </c>
      <c r="Z168" s="126" t="s">
        <v>45</v>
      </c>
      <c r="AA168" s="126" t="s">
        <v>46</v>
      </c>
      <c r="AB168" s="142" t="s">
        <v>15</v>
      </c>
      <c r="AC168" s="126" t="s">
        <v>54</v>
      </c>
      <c r="AD168" s="126" t="s">
        <v>39</v>
      </c>
      <c r="AE168" s="128" t="s">
        <v>40</v>
      </c>
      <c r="AF168" s="18"/>
      <c r="AG168" s="16"/>
      <c r="AH168" s="16"/>
      <c r="AI168" s="16"/>
      <c r="AJ168" s="16"/>
      <c r="AK168" s="16"/>
      <c r="AL168" s="16"/>
      <c r="AM168" s="16"/>
      <c r="AN168" s="133"/>
      <c r="AO168" s="134"/>
      <c r="AP168" s="135"/>
      <c r="AQ168" s="138"/>
      <c r="AR168" s="134"/>
      <c r="AS168" s="139"/>
    </row>
    <row r="169" spans="2:45" x14ac:dyDescent="0.25">
      <c r="B169" s="118"/>
      <c r="C169" s="121"/>
      <c r="D169" s="19" t="s">
        <v>0</v>
      </c>
      <c r="E169" s="19" t="s">
        <v>1</v>
      </c>
      <c r="F169" s="19" t="s">
        <v>2</v>
      </c>
      <c r="G169" s="20" t="s">
        <v>4</v>
      </c>
      <c r="H169" s="20" t="s">
        <v>5</v>
      </c>
      <c r="I169" s="20" t="s">
        <v>6</v>
      </c>
      <c r="J169" s="20" t="s">
        <v>7</v>
      </c>
      <c r="K169" s="20" t="s">
        <v>8</v>
      </c>
      <c r="L169" s="20" t="s">
        <v>9</v>
      </c>
      <c r="M169" s="121"/>
      <c r="N169" s="19" t="s">
        <v>0</v>
      </c>
      <c r="O169" s="19" t="s">
        <v>1</v>
      </c>
      <c r="P169" s="19" t="s">
        <v>2</v>
      </c>
      <c r="Q169" s="20" t="s">
        <v>4</v>
      </c>
      <c r="R169" s="20" t="s">
        <v>5</v>
      </c>
      <c r="S169" s="20" t="s">
        <v>6</v>
      </c>
      <c r="T169" s="20" t="s">
        <v>7</v>
      </c>
      <c r="U169" s="20" t="s">
        <v>8</v>
      </c>
      <c r="V169" s="20" t="s">
        <v>9</v>
      </c>
      <c r="W169" s="20" t="s">
        <v>10</v>
      </c>
      <c r="X169" s="20" t="s">
        <v>11</v>
      </c>
      <c r="Y169" s="121"/>
      <c r="Z169" s="121"/>
      <c r="AA169" s="121"/>
      <c r="AB169" s="127"/>
      <c r="AC169" s="127"/>
      <c r="AD169" s="121"/>
      <c r="AE169" s="129"/>
      <c r="AF169" s="15"/>
      <c r="AG169" s="13"/>
      <c r="AH169" s="14" t="s">
        <v>55</v>
      </c>
      <c r="AI169" s="14" t="s">
        <v>56</v>
      </c>
      <c r="AJ169" s="14" t="s">
        <v>57</v>
      </c>
      <c r="AK169" s="14" t="s">
        <v>58</v>
      </c>
      <c r="AL169" s="14" t="s">
        <v>59</v>
      </c>
      <c r="AM169" s="14" t="s">
        <v>60</v>
      </c>
      <c r="AN169" s="21" t="s">
        <v>7</v>
      </c>
      <c r="AO169" s="20" t="s">
        <v>8</v>
      </c>
      <c r="AP169" s="20" t="s">
        <v>9</v>
      </c>
      <c r="AQ169" s="20" t="s">
        <v>7</v>
      </c>
      <c r="AR169" s="20" t="s">
        <v>8</v>
      </c>
      <c r="AS169" s="22" t="s">
        <v>9</v>
      </c>
    </row>
    <row r="170" spans="2:45" x14ac:dyDescent="0.25">
      <c r="B170" s="23">
        <v>11740</v>
      </c>
      <c r="C170" s="24">
        <v>20</v>
      </c>
      <c r="D170" s="24">
        <v>-500</v>
      </c>
      <c r="E170" s="24">
        <v>0</v>
      </c>
      <c r="F170" s="24">
        <v>-650</v>
      </c>
      <c r="G170" s="24">
        <v>14480</v>
      </c>
      <c r="H170" s="24">
        <v>-12169</v>
      </c>
      <c r="I170" s="24">
        <v>-6954</v>
      </c>
      <c r="J170" s="24">
        <v>-8256</v>
      </c>
      <c r="K170" s="24">
        <v>6271</v>
      </c>
      <c r="L170" s="24">
        <v>-8114</v>
      </c>
      <c r="M170" s="44" t="str">
        <f>IF(B170="","",IF(M14="","",M14))</f>
        <v>6(OPE)</v>
      </c>
      <c r="N170" s="26">
        <f>IF($J$7="NO",IF(M170="","",IF($E$7="+X",D170,IF($E$7="-X",-D170,IF($E$7="+Z",F170,IF($E$7="-Z",-F170))))),IF(M170="","",IF($E$7="+X",D170,IF($E$7="-X",-D170,IF($E$7="+Y",E170,IF($E$7="-Y",-E170))))))</f>
        <v>-650</v>
      </c>
      <c r="O170" s="26">
        <f>IF($J$7="NO",IF(M170="","",E170),IF(M170="","",F170))</f>
        <v>0</v>
      </c>
      <c r="P170" s="26">
        <f>IF($J$7="NO",IF(M170="","",IF($E$7="+X",F170,IF($E$7="-X",-F170,IF($E$7="+Z",-D170,IF($E$7="-Z",D170))))),IF(M170="","",IF($E$7="+X",-E170,IF($E$7="-X",E170,IF($E$7="+Y",D170,IF($E$7="-Y",-D170))))))</f>
        <v>500</v>
      </c>
      <c r="Q170" s="26">
        <f>IF($J$7="NO",IF(M170="",0,IF($E$7="+X",G170,IF($E$7="-X",-G170,IF($E$7="+Z",I170,IF($E$7="-Z",-I170))))),IF(M170="",0,IF($E$7="+X",G170,IF($E$7="-X",-G170,IF($E$7="+Y",H170,IF($E$7="-Y",-H170))))))</f>
        <v>-6954</v>
      </c>
      <c r="R170" s="26">
        <f>IF($J$7="NO",IF(M170="",0,H170),IF(M170="",0,I170))</f>
        <v>-12169</v>
      </c>
      <c r="S170" s="26">
        <f>IF($J$7="NO",IF(M170="",0,IF($E$7="+X",I170,IF($E$7="-X",-I170,IF($E$7="+Z",-G170,IF($E$7="-Z",G170))))),IF(M170="",0,IF($E$7="+X",-H170,IF($E$7="-X",H170,IF($E$7="+Y",G170,IF($E$7="-Y",-G170))))))</f>
        <v>-14480</v>
      </c>
      <c r="T170" s="26">
        <f>IF($J$7="NO",IF(M170="","",IF($E$7="+X",J170,IF($E$7="-X",-J170,IF($E$7="+Z",L170,IF($E$7="-Z",-L170))))),IF(M170="","",IF($E$7="+X",J170,IF($E$7="-X",-J170,IF($E$7="+Y",K170,IF($E$7="-Y",-K170))))))</f>
        <v>-8114</v>
      </c>
      <c r="U170" s="26">
        <f>IF($J$7="NO",IF(M170="","",K170),IF(M170="","",L170))</f>
        <v>6271</v>
      </c>
      <c r="V170" s="26">
        <f>IF($J$7="NO",IF(M170="","",IF($E$7="+X",L170,IF($E$7="-X",-L170,IF($E$7="+Z",-J170,IF($E$7="-Z",J170))))),IF(M170="","",IF($E$7="+X",-K170,IF($E$7="-X",K170,IF($E$7="+Y",J170,IF($E$7="-Y",-J170))))))</f>
        <v>8256</v>
      </c>
      <c r="W170" s="27">
        <f>IF(M170="","",SQRT(Q170^2+R170^2+S170^2))</f>
        <v>20152.247442903237</v>
      </c>
      <c r="X170" s="27">
        <f>IF(M170="","",SQRT(T170^2+U170^2+V170^2))</f>
        <v>13165.256283111241</v>
      </c>
      <c r="Y170" s="28">
        <f t="shared" ref="Y170" si="241">IF(M170="","",IF($C170&lt;=8,$C170,(16+$C170)/3))</f>
        <v>12</v>
      </c>
      <c r="Z170" s="27">
        <f>IF(M170="","",W170*0.224808)</f>
        <v>4530.3864431441907</v>
      </c>
      <c r="AA170" s="27">
        <f>IF(M170="","",X170*0.737562)</f>
        <v>9710.1927546840943</v>
      </c>
      <c r="AB170" s="27">
        <f t="shared" ref="AB170" si="242">IF(M170="","",3*Z170+AA170)</f>
        <v>23301.352084116668</v>
      </c>
      <c r="AC170" s="27">
        <f t="shared" ref="AC170" si="243">IF(M170="","",IF(M170="","",500*Y170*$O$7))</f>
        <v>129000</v>
      </c>
      <c r="AD170" s="29">
        <f t="shared" ref="AD170" si="244">IF(M170="","",IF(M170="","",AB170/AC170)*100)</f>
        <v>18.063063631098192</v>
      </c>
      <c r="AE170" s="30" t="str">
        <f t="shared" ref="AE170" si="245">IF(M170="","",IF(AD170&lt;=100, "PASS","FAIL"))</f>
        <v>PASS</v>
      </c>
      <c r="AG170" s="4"/>
      <c r="AH170" s="31">
        <f>Q170*O170/1000*VLOOKUP(_xlfn.CONCAT($AH$13,IF(Q170&gt;0,"+","-"),IF(O170&gt;0,"+","-")),$AV:$BA,6,0)</f>
        <v>0</v>
      </c>
      <c r="AI170" s="31">
        <f>Q170*P170/1000*VLOOKUP(_xlfn.CONCAT($AI$13,IF(Q170&gt;0,"+","-"),IF(P170&gt;0,"+","-")),$AV:$BA,6,0)</f>
        <v>-3477</v>
      </c>
      <c r="AJ170" s="31">
        <f>R170*N170/1000*VLOOKUP(_xlfn.CONCAT($AJ$13,IF(R170&gt;0,"+","-"),IF(N170&gt;0,"+","-")),$AV:$BA,6,0)</f>
        <v>7909.85</v>
      </c>
      <c r="AK170" s="31">
        <f>R170*P170/1000*VLOOKUP(_xlfn.CONCAT($AK$13,IF(R170&gt;0,"+","-"),IF(P170&gt;0,"+","-")),$AV:$BA,6,0)</f>
        <v>6084.5</v>
      </c>
      <c r="AL170" s="31">
        <f>S170*N170/1000*VLOOKUP(_xlfn.CONCAT($AL$13,IF(S170&gt;0,"+","-"),IF(N170&gt;0,"+","-")),$AV:$BA,6,0)</f>
        <v>-9412</v>
      </c>
      <c r="AM170" s="31">
        <f>S170*O170/1000*VLOOKUP(_xlfn.CONCAT($AM$13,IF(S170&gt;0,"+","-"),IF(O170&gt;0,"+","-")),$AV:$BA,6,0)</f>
        <v>0</v>
      </c>
      <c r="AN170" s="32">
        <f>IF($M170="","",AK170+AM170)</f>
        <v>6084.5</v>
      </c>
      <c r="AO170" s="27">
        <f>IF($M170="","",AI170+AL170)</f>
        <v>-12889</v>
      </c>
      <c r="AP170" s="27">
        <f>IF($M170="","",AH170+AJ170)</f>
        <v>7909.85</v>
      </c>
      <c r="AQ170" s="27">
        <f t="shared" ref="AQ170" si="246">IF(M170="",0,AN170+T170)</f>
        <v>-2029.5</v>
      </c>
      <c r="AR170" s="27">
        <f t="shared" ref="AR170" si="247">IF(M170="",0,AO170+U170)</f>
        <v>-6618</v>
      </c>
      <c r="AS170" s="33">
        <f t="shared" ref="AS170" si="248">IF(M170="",0,AP170+V170)</f>
        <v>16165.85</v>
      </c>
    </row>
    <row r="171" spans="2:45" x14ac:dyDescent="0.25">
      <c r="B171" s="34">
        <f>IF(B170="","",B170)</f>
        <v>11740</v>
      </c>
      <c r="C171" s="26">
        <f t="shared" ref="C171:F183" si="249">IF(C170="","",C170)</f>
        <v>20</v>
      </c>
      <c r="D171" s="26">
        <f t="shared" si="249"/>
        <v>-500</v>
      </c>
      <c r="E171" s="26">
        <f t="shared" si="249"/>
        <v>0</v>
      </c>
      <c r="F171" s="26">
        <f t="shared" si="249"/>
        <v>-650</v>
      </c>
      <c r="G171" s="24">
        <v>15056</v>
      </c>
      <c r="H171" s="24">
        <v>-12640</v>
      </c>
      <c r="I171" s="24">
        <v>-7126</v>
      </c>
      <c r="J171" s="24">
        <v>-8459</v>
      </c>
      <c r="K171" s="24">
        <v>6792</v>
      </c>
      <c r="L171" s="24">
        <v>-8483</v>
      </c>
      <c r="M171" s="44" t="str">
        <f t="shared" ref="M171:M234" si="250">IF(B171="","",IF(M15="","",M15))</f>
        <v>10(OPE)</v>
      </c>
      <c r="N171" s="26">
        <f t="shared" ref="N171:N234" si="251">IF($J$7="NO",IF(M171="","",IF($E$7="+X",D171,IF($E$7="-X",-D171,IF($E$7="+Z",F171,IF($E$7="-Z",-F171))))),IF(M171="","",IF($E$7="+X",D171,IF($E$7="-X",-D171,IF($E$7="+Y",E171,IF($E$7="-Y",-E171))))))</f>
        <v>-650</v>
      </c>
      <c r="O171" s="26">
        <f t="shared" ref="O171:O234" si="252">IF($J$7="NO",IF(M171="","",E171),IF(M171="","",F171))</f>
        <v>0</v>
      </c>
      <c r="P171" s="26">
        <f t="shared" ref="P171:P234" si="253">IF($J$7="NO",IF(M171="","",IF($E$7="+X",F171,IF($E$7="-X",-F171,IF($E$7="+Z",-D171,IF($E$7="-Z",D171))))),IF(M171="","",IF($E$7="+X",-E171,IF($E$7="-X",E171,IF($E$7="+Y",D171,IF($E$7="-Y",-D171))))))</f>
        <v>500</v>
      </c>
      <c r="Q171" s="26">
        <f t="shared" ref="Q171:Q234" si="254">IF($J$7="NO",IF(M171="",0,IF($E$7="+X",G171,IF($E$7="-X",-G171,IF($E$7="+Z",I171,IF($E$7="-Z",-I171))))),IF(M171="",0,IF($E$7="+X",G171,IF($E$7="-X",-G171,IF($E$7="+Y",H171,IF($E$7="-Y",-H171))))))</f>
        <v>-7126</v>
      </c>
      <c r="R171" s="26">
        <f t="shared" ref="R171:R234" si="255">IF($J$7="NO",IF(M171="",0,H171),IF(M171="",0,I171))</f>
        <v>-12640</v>
      </c>
      <c r="S171" s="26">
        <f t="shared" ref="S171:S234" si="256">IF($J$7="NO",IF(M171="",0,IF($E$7="+X",I171,IF($E$7="-X",-I171,IF($E$7="+Z",-G171,IF($E$7="-Z",G171))))),IF(M171="",0,IF($E$7="+X",-H171,IF($E$7="-X",H171,IF($E$7="+Y",G171,IF($E$7="-Y",-G171))))))</f>
        <v>-15056</v>
      </c>
      <c r="T171" s="26">
        <f t="shared" ref="T171:T234" si="257">IF($J$7="NO",IF(M171="","",IF($E$7="+X",J171,IF($E$7="-X",-J171,IF($E$7="+Z",L171,IF($E$7="-Z",-L171))))),IF(M171="","",IF($E$7="+X",J171,IF($E$7="-X",-J171,IF($E$7="+Y",K171,IF($E$7="-Y",-K171))))))</f>
        <v>-8483</v>
      </c>
      <c r="U171" s="26">
        <f t="shared" ref="U171:U234" si="258">IF($J$7="NO",IF(M171="","",K171),IF(M171="","",L171))</f>
        <v>6792</v>
      </c>
      <c r="V171" s="26">
        <f t="shared" ref="V171:V234" si="259">IF($J$7="NO",IF(M171="","",IF($E$7="+X",L171,IF($E$7="-X",-L171,IF($E$7="+Z",-J171,IF($E$7="-Z",J171))))),IF(M171="","",IF($E$7="+X",-K171,IF($E$7="-X",K171,IF($E$7="+Y",J171,IF($E$7="-Y",-J171))))))</f>
        <v>8459</v>
      </c>
      <c r="W171" s="27">
        <f t="shared" ref="W171:W234" si="260">IF(M171="","",SQRT(Q171^2+R171^2+S171^2))</f>
        <v>20910.107890682917</v>
      </c>
      <c r="X171" s="27">
        <f t="shared" ref="X171:X234" si="261">IF(M171="","",SQRT(T171^2+U171^2+V171^2))</f>
        <v>13771.246639284333</v>
      </c>
      <c r="Y171" s="28">
        <f t="shared" ref="Y171:Y234" si="262">IF(M171="","",IF($C171&lt;=8,$C171,(16+$C171)/3))</f>
        <v>12</v>
      </c>
      <c r="Z171" s="27">
        <f t="shared" ref="Z171:Z234" si="263">IF(M171="","",W171*0.224808)</f>
        <v>4700.7595346886455</v>
      </c>
      <c r="AA171" s="27">
        <f t="shared" ref="AA171:AA234" si="264">IF(M171="","",X171*0.737562)</f>
        <v>10157.148213763832</v>
      </c>
      <c r="AB171" s="27">
        <f t="shared" ref="AB171:AB234" si="265">IF(M171="","",3*Z171+AA171)</f>
        <v>24259.426817829772</v>
      </c>
      <c r="AC171" s="27">
        <f t="shared" ref="AC171:AC234" si="266">IF(M171="","",IF(M171="","",500*Y171*$O$7))</f>
        <v>129000</v>
      </c>
      <c r="AD171" s="29">
        <f t="shared" ref="AD171:AD234" si="267">IF(M171="","",IF(M171="","",AB171/AC171)*100)</f>
        <v>18.805757223123855</v>
      </c>
      <c r="AE171" s="30" t="str">
        <f t="shared" ref="AE171:AE234" si="268">IF(M171="","",IF(AD171&lt;=100, "PASS","FAIL"))</f>
        <v>PASS</v>
      </c>
      <c r="AG171" s="4"/>
      <c r="AH171" s="31">
        <f t="shared" ref="AH171:AH234" si="269">Q171*O171/1000*VLOOKUP(_xlfn.CONCAT($AH$13,IF(Q171&gt;0,"+","-"),IF(O171&gt;0,"+","-")),$AV:$BA,6,0)</f>
        <v>0</v>
      </c>
      <c r="AI171" s="31">
        <f t="shared" ref="AI171:AI234" si="270">Q171*P171/1000*VLOOKUP(_xlfn.CONCAT($AI$13,IF(Q171&gt;0,"+","-"),IF(P171&gt;0,"+","-")),$AV:$BA,6,0)</f>
        <v>-3563</v>
      </c>
      <c r="AJ171" s="31">
        <f t="shared" ref="AJ171:AJ234" si="271">R171*N171/1000*VLOOKUP(_xlfn.CONCAT($AJ$13,IF(R171&gt;0,"+","-"),IF(N171&gt;0,"+","-")),$AV:$BA,6,0)</f>
        <v>8216</v>
      </c>
      <c r="AK171" s="31">
        <f t="shared" ref="AK171:AK234" si="272">R171*P171/1000*VLOOKUP(_xlfn.CONCAT($AK$13,IF(R171&gt;0,"+","-"),IF(P171&gt;0,"+","-")),$AV:$BA,6,0)</f>
        <v>6320</v>
      </c>
      <c r="AL171" s="31">
        <f t="shared" ref="AL171:AL234" si="273">S171*N171/1000*VLOOKUP(_xlfn.CONCAT($AL$13,IF(S171&gt;0,"+","-"),IF(N171&gt;0,"+","-")),$AV:$BA,6,0)</f>
        <v>-9786.4</v>
      </c>
      <c r="AM171" s="31">
        <f t="shared" ref="AM171:AM234" si="274">S171*O171/1000*VLOOKUP(_xlfn.CONCAT($AM$13,IF(S171&gt;0,"+","-"),IF(O171&gt;0,"+","-")),$AV:$BA,6,0)</f>
        <v>0</v>
      </c>
      <c r="AN171" s="32">
        <f t="shared" ref="AN171:AN234" si="275">IF($M171="","",AK171+AM171)</f>
        <v>6320</v>
      </c>
      <c r="AO171" s="27">
        <f t="shared" ref="AO171:AO234" si="276">IF($M171="","",AI171+AL171)</f>
        <v>-13349.4</v>
      </c>
      <c r="AP171" s="27">
        <f t="shared" ref="AP171:AP234" si="277">IF($M171="","",AH171+AJ171)</f>
        <v>8216</v>
      </c>
      <c r="AQ171" s="27">
        <f t="shared" ref="AQ171:AQ234" si="278">IF(M171="",0,AN171+T171)</f>
        <v>-2163</v>
      </c>
      <c r="AR171" s="27">
        <f t="shared" ref="AR171:AR234" si="279">IF(M171="",0,AO171+U171)</f>
        <v>-6557.4</v>
      </c>
      <c r="AS171" s="33">
        <f t="shared" ref="AS171:AS234" si="280">IF(M171="",0,AP171+V171)</f>
        <v>16675</v>
      </c>
    </row>
    <row r="172" spans="2:45" x14ac:dyDescent="0.25">
      <c r="B172" s="34">
        <f t="shared" ref="B172:F183" si="281">IF(B171="","",B171)</f>
        <v>11740</v>
      </c>
      <c r="C172" s="26">
        <f t="shared" si="249"/>
        <v>20</v>
      </c>
      <c r="D172" s="26">
        <f t="shared" si="249"/>
        <v>-500</v>
      </c>
      <c r="E172" s="26">
        <f t="shared" si="249"/>
        <v>0</v>
      </c>
      <c r="F172" s="26">
        <f t="shared" si="249"/>
        <v>-650</v>
      </c>
      <c r="G172" s="24">
        <v>14454</v>
      </c>
      <c r="H172" s="24">
        <v>-12260</v>
      </c>
      <c r="I172" s="24">
        <v>-7152</v>
      </c>
      <c r="J172" s="24">
        <v>-8707</v>
      </c>
      <c r="K172" s="24">
        <v>6083</v>
      </c>
      <c r="L172" s="24">
        <v>-7742</v>
      </c>
      <c r="M172" s="44" t="str">
        <f t="shared" si="250"/>
        <v>12(OPE)</v>
      </c>
      <c r="N172" s="26">
        <f t="shared" si="251"/>
        <v>-650</v>
      </c>
      <c r="O172" s="26">
        <f t="shared" si="252"/>
        <v>0</v>
      </c>
      <c r="P172" s="26">
        <f t="shared" si="253"/>
        <v>500</v>
      </c>
      <c r="Q172" s="26">
        <f t="shared" si="254"/>
        <v>-7152</v>
      </c>
      <c r="R172" s="26">
        <f t="shared" si="255"/>
        <v>-12260</v>
      </c>
      <c r="S172" s="26">
        <f t="shared" si="256"/>
        <v>-14454</v>
      </c>
      <c r="T172" s="26">
        <f t="shared" si="257"/>
        <v>-7742</v>
      </c>
      <c r="U172" s="26">
        <f t="shared" si="258"/>
        <v>6083</v>
      </c>
      <c r="V172" s="26">
        <f t="shared" si="259"/>
        <v>8707</v>
      </c>
      <c r="W172" s="27">
        <f t="shared" si="260"/>
        <v>20257.759500991218</v>
      </c>
      <c r="X172" s="27">
        <f t="shared" si="261"/>
        <v>13143.565041494639</v>
      </c>
      <c r="Y172" s="28">
        <f t="shared" si="262"/>
        <v>12</v>
      </c>
      <c r="Z172" s="27">
        <f t="shared" si="263"/>
        <v>4554.1063978988341</v>
      </c>
      <c r="AA172" s="27">
        <f t="shared" si="264"/>
        <v>9694.1941191348706</v>
      </c>
      <c r="AB172" s="27">
        <f t="shared" si="265"/>
        <v>23356.513312831372</v>
      </c>
      <c r="AC172" s="27">
        <f t="shared" si="266"/>
        <v>129000</v>
      </c>
      <c r="AD172" s="29">
        <f t="shared" si="267"/>
        <v>18.105824273512692</v>
      </c>
      <c r="AE172" s="30" t="str">
        <f t="shared" si="268"/>
        <v>PASS</v>
      </c>
      <c r="AG172" s="4"/>
      <c r="AH172" s="31">
        <f t="shared" si="269"/>
        <v>0</v>
      </c>
      <c r="AI172" s="31">
        <f t="shared" si="270"/>
        <v>-3576</v>
      </c>
      <c r="AJ172" s="31">
        <f t="shared" si="271"/>
        <v>7969</v>
      </c>
      <c r="AK172" s="31">
        <f t="shared" si="272"/>
        <v>6130</v>
      </c>
      <c r="AL172" s="31">
        <f t="shared" si="273"/>
        <v>-9395.1</v>
      </c>
      <c r="AM172" s="31">
        <f t="shared" si="274"/>
        <v>0</v>
      </c>
      <c r="AN172" s="32">
        <f t="shared" si="275"/>
        <v>6130</v>
      </c>
      <c r="AO172" s="27">
        <f t="shared" si="276"/>
        <v>-12971.1</v>
      </c>
      <c r="AP172" s="27">
        <f t="shared" si="277"/>
        <v>7969</v>
      </c>
      <c r="AQ172" s="27">
        <f t="shared" si="278"/>
        <v>-1612</v>
      </c>
      <c r="AR172" s="27">
        <f t="shared" si="279"/>
        <v>-6888.1</v>
      </c>
      <c r="AS172" s="33">
        <f t="shared" si="280"/>
        <v>16676</v>
      </c>
    </row>
    <row r="173" spans="2:45" x14ac:dyDescent="0.25">
      <c r="B173" s="34">
        <f t="shared" si="281"/>
        <v>11740</v>
      </c>
      <c r="C173" s="26">
        <f t="shared" si="249"/>
        <v>20</v>
      </c>
      <c r="D173" s="26">
        <f t="shared" si="249"/>
        <v>-500</v>
      </c>
      <c r="E173" s="26">
        <f t="shared" si="249"/>
        <v>0</v>
      </c>
      <c r="F173" s="26">
        <f t="shared" si="249"/>
        <v>-650</v>
      </c>
      <c r="G173" s="24">
        <v>13926</v>
      </c>
      <c r="H173" s="24">
        <v>-12114</v>
      </c>
      <c r="I173" s="24">
        <v>-6563</v>
      </c>
      <c r="J173" s="24">
        <v>-7916</v>
      </c>
      <c r="K173" s="24">
        <v>5942</v>
      </c>
      <c r="L173" s="24">
        <v>-6851</v>
      </c>
      <c r="M173" s="44" t="str">
        <f t="shared" si="250"/>
        <v>16(OPE)</v>
      </c>
      <c r="N173" s="26">
        <f t="shared" si="251"/>
        <v>-650</v>
      </c>
      <c r="O173" s="26">
        <f t="shared" si="252"/>
        <v>0</v>
      </c>
      <c r="P173" s="26">
        <f t="shared" si="253"/>
        <v>500</v>
      </c>
      <c r="Q173" s="26">
        <f t="shared" si="254"/>
        <v>-6563</v>
      </c>
      <c r="R173" s="26">
        <f t="shared" si="255"/>
        <v>-12114</v>
      </c>
      <c r="S173" s="26">
        <f t="shared" si="256"/>
        <v>-13926</v>
      </c>
      <c r="T173" s="26">
        <f t="shared" si="257"/>
        <v>-6851</v>
      </c>
      <c r="U173" s="26">
        <f t="shared" si="258"/>
        <v>5942</v>
      </c>
      <c r="V173" s="26">
        <f t="shared" si="259"/>
        <v>7916</v>
      </c>
      <c r="W173" s="27">
        <f t="shared" si="260"/>
        <v>19589.676898815866</v>
      </c>
      <c r="X173" s="27">
        <f t="shared" si="261"/>
        <v>12037.716602412602</v>
      </c>
      <c r="Y173" s="28">
        <f t="shared" si="262"/>
        <v>12</v>
      </c>
      <c r="Z173" s="27">
        <f t="shared" si="263"/>
        <v>4403.9160842689971</v>
      </c>
      <c r="AA173" s="27">
        <f t="shared" si="264"/>
        <v>8878.5623327086432</v>
      </c>
      <c r="AB173" s="27">
        <f t="shared" si="265"/>
        <v>22090.310585515635</v>
      </c>
      <c r="AC173" s="27">
        <f t="shared" si="266"/>
        <v>129000</v>
      </c>
      <c r="AD173" s="29">
        <f t="shared" si="267"/>
        <v>17.124271771717549</v>
      </c>
      <c r="AE173" s="30" t="str">
        <f t="shared" si="268"/>
        <v>PASS</v>
      </c>
      <c r="AG173" s="4"/>
      <c r="AH173" s="31">
        <f t="shared" si="269"/>
        <v>0</v>
      </c>
      <c r="AI173" s="31">
        <f t="shared" si="270"/>
        <v>-3281.5</v>
      </c>
      <c r="AJ173" s="31">
        <f t="shared" si="271"/>
        <v>7874.1</v>
      </c>
      <c r="AK173" s="31">
        <f t="shared" si="272"/>
        <v>6057</v>
      </c>
      <c r="AL173" s="31">
        <f t="shared" si="273"/>
        <v>-9051.9</v>
      </c>
      <c r="AM173" s="31">
        <f t="shared" si="274"/>
        <v>0</v>
      </c>
      <c r="AN173" s="32">
        <f t="shared" si="275"/>
        <v>6057</v>
      </c>
      <c r="AO173" s="27">
        <f t="shared" si="276"/>
        <v>-12333.4</v>
      </c>
      <c r="AP173" s="27">
        <f t="shared" si="277"/>
        <v>7874.1</v>
      </c>
      <c r="AQ173" s="27">
        <f t="shared" si="278"/>
        <v>-794</v>
      </c>
      <c r="AR173" s="27">
        <f t="shared" si="279"/>
        <v>-6391.4</v>
      </c>
      <c r="AS173" s="33">
        <f t="shared" si="280"/>
        <v>15790.1</v>
      </c>
    </row>
    <row r="174" spans="2:45" x14ac:dyDescent="0.25">
      <c r="B174" s="34">
        <f t="shared" si="281"/>
        <v>11740</v>
      </c>
      <c r="C174" s="26">
        <f t="shared" si="249"/>
        <v>20</v>
      </c>
      <c r="D174" s="26">
        <f t="shared" si="249"/>
        <v>-500</v>
      </c>
      <c r="E174" s="26">
        <f t="shared" si="249"/>
        <v>0</v>
      </c>
      <c r="F174" s="26">
        <f t="shared" si="249"/>
        <v>-650</v>
      </c>
      <c r="G174" s="24">
        <v>14408</v>
      </c>
      <c r="H174" s="24">
        <v>-12501</v>
      </c>
      <c r="I174" s="24">
        <v>-6713</v>
      </c>
      <c r="J174" s="24">
        <v>-8007</v>
      </c>
      <c r="K174" s="24">
        <v>6331</v>
      </c>
      <c r="L174" s="24">
        <v>-7173</v>
      </c>
      <c r="M174" s="44" t="str">
        <f t="shared" si="250"/>
        <v>20(OPE)</v>
      </c>
      <c r="N174" s="26">
        <f t="shared" si="251"/>
        <v>-650</v>
      </c>
      <c r="O174" s="26">
        <f t="shared" si="252"/>
        <v>0</v>
      </c>
      <c r="P174" s="26">
        <f t="shared" si="253"/>
        <v>500</v>
      </c>
      <c r="Q174" s="26">
        <f t="shared" si="254"/>
        <v>-6713</v>
      </c>
      <c r="R174" s="26">
        <f t="shared" si="255"/>
        <v>-12501</v>
      </c>
      <c r="S174" s="26">
        <f t="shared" si="256"/>
        <v>-14408</v>
      </c>
      <c r="T174" s="26">
        <f t="shared" si="257"/>
        <v>-7173</v>
      </c>
      <c r="U174" s="26">
        <f t="shared" si="258"/>
        <v>6331</v>
      </c>
      <c r="V174" s="26">
        <f t="shared" si="259"/>
        <v>8007</v>
      </c>
      <c r="W174" s="27">
        <f t="shared" si="260"/>
        <v>20222.013599045968</v>
      </c>
      <c r="X174" s="27">
        <f t="shared" si="261"/>
        <v>12475.798130781053</v>
      </c>
      <c r="Y174" s="28">
        <f t="shared" si="262"/>
        <v>12</v>
      </c>
      <c r="Z174" s="27">
        <f t="shared" si="263"/>
        <v>4546.0704331743264</v>
      </c>
      <c r="AA174" s="27">
        <f t="shared" si="264"/>
        <v>9201.674620935135</v>
      </c>
      <c r="AB174" s="27">
        <f t="shared" si="265"/>
        <v>22839.885920458117</v>
      </c>
      <c r="AC174" s="27">
        <f t="shared" si="266"/>
        <v>129000</v>
      </c>
      <c r="AD174" s="29">
        <f t="shared" si="267"/>
        <v>17.705337922835749</v>
      </c>
      <c r="AE174" s="30" t="str">
        <f t="shared" si="268"/>
        <v>PASS</v>
      </c>
      <c r="AG174" s="4"/>
      <c r="AH174" s="31">
        <f t="shared" si="269"/>
        <v>0</v>
      </c>
      <c r="AI174" s="31">
        <f t="shared" si="270"/>
        <v>-3356.5</v>
      </c>
      <c r="AJ174" s="31">
        <f t="shared" si="271"/>
        <v>8125.65</v>
      </c>
      <c r="AK174" s="31">
        <f t="shared" si="272"/>
        <v>6250.5</v>
      </c>
      <c r="AL174" s="31">
        <f t="shared" si="273"/>
        <v>-9365.2000000000007</v>
      </c>
      <c r="AM174" s="31">
        <f t="shared" si="274"/>
        <v>0</v>
      </c>
      <c r="AN174" s="32">
        <f t="shared" si="275"/>
        <v>6250.5</v>
      </c>
      <c r="AO174" s="27">
        <f t="shared" si="276"/>
        <v>-12721.7</v>
      </c>
      <c r="AP174" s="27">
        <f t="shared" si="277"/>
        <v>8125.65</v>
      </c>
      <c r="AQ174" s="27">
        <f t="shared" si="278"/>
        <v>-922.5</v>
      </c>
      <c r="AR174" s="27">
        <f t="shared" si="279"/>
        <v>-6390.7000000000007</v>
      </c>
      <c r="AS174" s="33">
        <f t="shared" si="280"/>
        <v>16132.65</v>
      </c>
    </row>
    <row r="175" spans="2:45" x14ac:dyDescent="0.25">
      <c r="B175" s="34">
        <f t="shared" si="281"/>
        <v>11740</v>
      </c>
      <c r="C175" s="26">
        <f t="shared" si="249"/>
        <v>20</v>
      </c>
      <c r="D175" s="26">
        <f t="shared" si="249"/>
        <v>-500</v>
      </c>
      <c r="E175" s="26">
        <f t="shared" si="249"/>
        <v>0</v>
      </c>
      <c r="F175" s="26">
        <f t="shared" si="249"/>
        <v>-650</v>
      </c>
      <c r="G175" s="24">
        <v>13916</v>
      </c>
      <c r="H175" s="24">
        <v>-12217</v>
      </c>
      <c r="I175" s="24">
        <v>-6682</v>
      </c>
      <c r="J175" s="24">
        <v>-8095</v>
      </c>
      <c r="K175" s="24">
        <v>5831</v>
      </c>
      <c r="L175" s="24">
        <v>-6495</v>
      </c>
      <c r="M175" s="44" t="str">
        <f t="shared" si="250"/>
        <v>22(OPE)</v>
      </c>
      <c r="N175" s="26">
        <f t="shared" si="251"/>
        <v>-650</v>
      </c>
      <c r="O175" s="26">
        <f t="shared" si="252"/>
        <v>0</v>
      </c>
      <c r="P175" s="26">
        <f t="shared" si="253"/>
        <v>500</v>
      </c>
      <c r="Q175" s="26">
        <f t="shared" si="254"/>
        <v>-6682</v>
      </c>
      <c r="R175" s="26">
        <f t="shared" si="255"/>
        <v>-12217</v>
      </c>
      <c r="S175" s="26">
        <f t="shared" si="256"/>
        <v>-13916</v>
      </c>
      <c r="T175" s="26">
        <f t="shared" si="257"/>
        <v>-6495</v>
      </c>
      <c r="U175" s="26">
        <f t="shared" si="258"/>
        <v>5831</v>
      </c>
      <c r="V175" s="26">
        <f t="shared" si="259"/>
        <v>8095</v>
      </c>
      <c r="W175" s="27">
        <f t="shared" si="260"/>
        <v>19686.525061574477</v>
      </c>
      <c r="X175" s="27">
        <f t="shared" si="261"/>
        <v>11904.394608714883</v>
      </c>
      <c r="Y175" s="28">
        <f t="shared" si="262"/>
        <v>12</v>
      </c>
      <c r="Z175" s="27">
        <f t="shared" si="263"/>
        <v>4425.6883260424356</v>
      </c>
      <c r="AA175" s="27">
        <f t="shared" si="264"/>
        <v>8780.2290963929681</v>
      </c>
      <c r="AB175" s="27">
        <f t="shared" si="265"/>
        <v>22057.294074520272</v>
      </c>
      <c r="AC175" s="27">
        <f t="shared" si="266"/>
        <v>129000</v>
      </c>
      <c r="AD175" s="29">
        <f t="shared" si="267"/>
        <v>17.098677577147498</v>
      </c>
      <c r="AE175" s="30" t="str">
        <f t="shared" si="268"/>
        <v>PASS</v>
      </c>
      <c r="AG175" s="4"/>
      <c r="AH175" s="31">
        <f t="shared" si="269"/>
        <v>0</v>
      </c>
      <c r="AI175" s="31">
        <f t="shared" si="270"/>
        <v>-3341</v>
      </c>
      <c r="AJ175" s="31">
        <f t="shared" si="271"/>
        <v>7941.05</v>
      </c>
      <c r="AK175" s="31">
        <f t="shared" si="272"/>
        <v>6108.5</v>
      </c>
      <c r="AL175" s="31">
        <f t="shared" si="273"/>
        <v>-9045.4</v>
      </c>
      <c r="AM175" s="31">
        <f t="shared" si="274"/>
        <v>0</v>
      </c>
      <c r="AN175" s="32">
        <f t="shared" si="275"/>
        <v>6108.5</v>
      </c>
      <c r="AO175" s="27">
        <f t="shared" si="276"/>
        <v>-12386.4</v>
      </c>
      <c r="AP175" s="27">
        <f t="shared" si="277"/>
        <v>7941.05</v>
      </c>
      <c r="AQ175" s="27">
        <f t="shared" si="278"/>
        <v>-386.5</v>
      </c>
      <c r="AR175" s="27">
        <f t="shared" si="279"/>
        <v>-6555.4</v>
      </c>
      <c r="AS175" s="33">
        <f t="shared" si="280"/>
        <v>16036.05</v>
      </c>
    </row>
    <row r="176" spans="2:45" x14ac:dyDescent="0.25">
      <c r="B176" s="34">
        <f t="shared" si="281"/>
        <v>11740</v>
      </c>
      <c r="C176" s="26">
        <f t="shared" si="249"/>
        <v>20</v>
      </c>
      <c r="D176" s="26">
        <f t="shared" si="249"/>
        <v>-500</v>
      </c>
      <c r="E176" s="26">
        <f t="shared" si="249"/>
        <v>0</v>
      </c>
      <c r="F176" s="26">
        <f t="shared" si="249"/>
        <v>-650</v>
      </c>
      <c r="G176" s="24">
        <v>590</v>
      </c>
      <c r="H176" s="24">
        <v>-858</v>
      </c>
      <c r="I176" s="24">
        <v>-1771</v>
      </c>
      <c r="J176" s="24">
        <v>-11704</v>
      </c>
      <c r="K176" s="24">
        <v>-765</v>
      </c>
      <c r="L176" s="24">
        <v>-1016</v>
      </c>
      <c r="M176" s="44" t="str">
        <f t="shared" si="250"/>
        <v>34(SUS)</v>
      </c>
      <c r="N176" s="26">
        <f t="shared" si="251"/>
        <v>-650</v>
      </c>
      <c r="O176" s="26">
        <f t="shared" si="252"/>
        <v>0</v>
      </c>
      <c r="P176" s="26">
        <f t="shared" si="253"/>
        <v>500</v>
      </c>
      <c r="Q176" s="26">
        <f t="shared" si="254"/>
        <v>-1771</v>
      </c>
      <c r="R176" s="26">
        <f t="shared" si="255"/>
        <v>-858</v>
      </c>
      <c r="S176" s="26">
        <f t="shared" si="256"/>
        <v>-590</v>
      </c>
      <c r="T176" s="26">
        <f t="shared" si="257"/>
        <v>-1016</v>
      </c>
      <c r="U176" s="26">
        <f t="shared" si="258"/>
        <v>-765</v>
      </c>
      <c r="V176" s="26">
        <f t="shared" si="259"/>
        <v>11704</v>
      </c>
      <c r="W176" s="27">
        <f t="shared" si="260"/>
        <v>2054.4354455664943</v>
      </c>
      <c r="X176" s="27">
        <f t="shared" si="261"/>
        <v>11772.89671236438</v>
      </c>
      <c r="Y176" s="28">
        <f t="shared" si="262"/>
        <v>12</v>
      </c>
      <c r="Z176" s="27">
        <f t="shared" si="263"/>
        <v>461.85352364691249</v>
      </c>
      <c r="AA176" s="27">
        <f t="shared" si="264"/>
        <v>8683.2412449648964</v>
      </c>
      <c r="AB176" s="27">
        <f t="shared" si="265"/>
        <v>10068.801815905634</v>
      </c>
      <c r="AC176" s="27">
        <f t="shared" si="266"/>
        <v>129000</v>
      </c>
      <c r="AD176" s="29">
        <f t="shared" si="267"/>
        <v>7.8052727255082432</v>
      </c>
      <c r="AE176" s="30" t="str">
        <f t="shared" si="268"/>
        <v>PASS</v>
      </c>
      <c r="AG176" s="4"/>
      <c r="AH176" s="31">
        <f t="shared" si="269"/>
        <v>0</v>
      </c>
      <c r="AI176" s="31">
        <f t="shared" si="270"/>
        <v>-885.5</v>
      </c>
      <c r="AJ176" s="31">
        <f t="shared" si="271"/>
        <v>557.70000000000005</v>
      </c>
      <c r="AK176" s="31">
        <f t="shared" si="272"/>
        <v>429</v>
      </c>
      <c r="AL176" s="31">
        <f t="shared" si="273"/>
        <v>-383.5</v>
      </c>
      <c r="AM176" s="31">
        <f t="shared" si="274"/>
        <v>0</v>
      </c>
      <c r="AN176" s="32">
        <f t="shared" si="275"/>
        <v>429</v>
      </c>
      <c r="AO176" s="27">
        <f t="shared" si="276"/>
        <v>-1269</v>
      </c>
      <c r="AP176" s="27">
        <f t="shared" si="277"/>
        <v>557.70000000000005</v>
      </c>
      <c r="AQ176" s="27">
        <f t="shared" si="278"/>
        <v>-587</v>
      </c>
      <c r="AR176" s="27">
        <f t="shared" si="279"/>
        <v>-2034</v>
      </c>
      <c r="AS176" s="33">
        <f t="shared" si="280"/>
        <v>12261.7</v>
      </c>
    </row>
    <row r="177" spans="2:45" x14ac:dyDescent="0.25">
      <c r="B177" s="34">
        <f t="shared" si="281"/>
        <v>11740</v>
      </c>
      <c r="C177" s="26">
        <f t="shared" si="249"/>
        <v>20</v>
      </c>
      <c r="D177" s="26">
        <f t="shared" si="249"/>
        <v>-500</v>
      </c>
      <c r="E177" s="26">
        <f t="shared" si="249"/>
        <v>0</v>
      </c>
      <c r="F177" s="26">
        <f t="shared" si="249"/>
        <v>-650</v>
      </c>
      <c r="G177" s="24">
        <v>576</v>
      </c>
      <c r="H177" s="24">
        <v>-677</v>
      </c>
      <c r="I177" s="24">
        <v>-1795</v>
      </c>
      <c r="J177" s="24">
        <v>-11919</v>
      </c>
      <c r="K177" s="24">
        <v>-794</v>
      </c>
      <c r="L177" s="24">
        <v>-1118</v>
      </c>
      <c r="M177" s="44" t="str">
        <f t="shared" si="250"/>
        <v>35(SUS)</v>
      </c>
      <c r="N177" s="26">
        <f t="shared" si="251"/>
        <v>-650</v>
      </c>
      <c r="O177" s="26">
        <f t="shared" si="252"/>
        <v>0</v>
      </c>
      <c r="P177" s="26">
        <f t="shared" si="253"/>
        <v>500</v>
      </c>
      <c r="Q177" s="26">
        <f t="shared" si="254"/>
        <v>-1795</v>
      </c>
      <c r="R177" s="26">
        <f t="shared" si="255"/>
        <v>-677</v>
      </c>
      <c r="S177" s="26">
        <f t="shared" si="256"/>
        <v>-576</v>
      </c>
      <c r="T177" s="26">
        <f t="shared" si="257"/>
        <v>-1118</v>
      </c>
      <c r="U177" s="26">
        <f t="shared" si="258"/>
        <v>-794</v>
      </c>
      <c r="V177" s="26">
        <f t="shared" si="259"/>
        <v>11919</v>
      </c>
      <c r="W177" s="27">
        <f t="shared" si="260"/>
        <v>2003.0302044652246</v>
      </c>
      <c r="X177" s="27">
        <f t="shared" si="261"/>
        <v>11997.621472608644</v>
      </c>
      <c r="Y177" s="28">
        <f t="shared" si="262"/>
        <v>12</v>
      </c>
      <c r="Z177" s="27">
        <f t="shared" si="263"/>
        <v>450.29721420541824</v>
      </c>
      <c r="AA177" s="27">
        <f t="shared" si="264"/>
        <v>8848.9896885801772</v>
      </c>
      <c r="AB177" s="27">
        <f t="shared" si="265"/>
        <v>10199.881331196431</v>
      </c>
      <c r="AC177" s="27">
        <f t="shared" si="266"/>
        <v>129000</v>
      </c>
      <c r="AD177" s="29">
        <f t="shared" si="267"/>
        <v>7.9068847528654507</v>
      </c>
      <c r="AE177" s="30" t="str">
        <f t="shared" si="268"/>
        <v>PASS</v>
      </c>
      <c r="AG177" s="4"/>
      <c r="AH177" s="31">
        <f t="shared" si="269"/>
        <v>0</v>
      </c>
      <c r="AI177" s="31">
        <f t="shared" si="270"/>
        <v>-897.5</v>
      </c>
      <c r="AJ177" s="31">
        <f t="shared" si="271"/>
        <v>440.05</v>
      </c>
      <c r="AK177" s="31">
        <f t="shared" si="272"/>
        <v>338.5</v>
      </c>
      <c r="AL177" s="31">
        <f t="shared" si="273"/>
        <v>-374.4</v>
      </c>
      <c r="AM177" s="31">
        <f t="shared" si="274"/>
        <v>0</v>
      </c>
      <c r="AN177" s="32">
        <f t="shared" si="275"/>
        <v>338.5</v>
      </c>
      <c r="AO177" s="27">
        <f t="shared" si="276"/>
        <v>-1271.9000000000001</v>
      </c>
      <c r="AP177" s="27">
        <f t="shared" si="277"/>
        <v>440.05</v>
      </c>
      <c r="AQ177" s="27">
        <f t="shared" si="278"/>
        <v>-779.5</v>
      </c>
      <c r="AR177" s="27">
        <f t="shared" si="279"/>
        <v>-2065.9</v>
      </c>
      <c r="AS177" s="33">
        <f t="shared" si="280"/>
        <v>12359.05</v>
      </c>
    </row>
    <row r="178" spans="2:45" x14ac:dyDescent="0.25">
      <c r="B178" s="34">
        <f t="shared" si="281"/>
        <v>11740</v>
      </c>
      <c r="C178" s="26">
        <f t="shared" si="281"/>
        <v>20</v>
      </c>
      <c r="D178" s="26">
        <f t="shared" si="281"/>
        <v>-500</v>
      </c>
      <c r="E178" s="26">
        <f t="shared" si="281"/>
        <v>0</v>
      </c>
      <c r="F178" s="26">
        <f t="shared" si="281"/>
        <v>-650</v>
      </c>
      <c r="G178" s="24">
        <v>547</v>
      </c>
      <c r="H178" s="24">
        <v>-802</v>
      </c>
      <c r="I178" s="24">
        <v>-1785</v>
      </c>
      <c r="J178" s="24">
        <v>-11694</v>
      </c>
      <c r="K178" s="24">
        <v>-843</v>
      </c>
      <c r="L178" s="24">
        <v>-1029</v>
      </c>
      <c r="M178" s="44" t="str">
        <f t="shared" si="250"/>
        <v>36(SUS)</v>
      </c>
      <c r="N178" s="26">
        <f t="shared" si="251"/>
        <v>-650</v>
      </c>
      <c r="O178" s="26">
        <f t="shared" si="252"/>
        <v>0</v>
      </c>
      <c r="P178" s="26">
        <f t="shared" si="253"/>
        <v>500</v>
      </c>
      <c r="Q178" s="26">
        <f t="shared" si="254"/>
        <v>-1785</v>
      </c>
      <c r="R178" s="26">
        <f t="shared" si="255"/>
        <v>-802</v>
      </c>
      <c r="S178" s="26">
        <f t="shared" si="256"/>
        <v>-547</v>
      </c>
      <c r="T178" s="26">
        <f t="shared" si="257"/>
        <v>-1029</v>
      </c>
      <c r="U178" s="26">
        <f t="shared" si="258"/>
        <v>-843</v>
      </c>
      <c r="V178" s="26">
        <f t="shared" si="259"/>
        <v>11694</v>
      </c>
      <c r="W178" s="27">
        <f t="shared" si="260"/>
        <v>2031.9050174651372</v>
      </c>
      <c r="X178" s="27">
        <f t="shared" si="261"/>
        <v>11769.41485376397</v>
      </c>
      <c r="Y178" s="28">
        <f t="shared" si="262"/>
        <v>12</v>
      </c>
      <c r="Z178" s="27">
        <f t="shared" si="263"/>
        <v>456.78850316630258</v>
      </c>
      <c r="AA178" s="27">
        <f t="shared" si="264"/>
        <v>8680.6731583718629</v>
      </c>
      <c r="AB178" s="27">
        <f t="shared" si="265"/>
        <v>10051.038667870771</v>
      </c>
      <c r="AC178" s="27">
        <f t="shared" si="266"/>
        <v>129000</v>
      </c>
      <c r="AD178" s="29">
        <f t="shared" si="267"/>
        <v>7.7915028433106759</v>
      </c>
      <c r="AE178" s="30" t="str">
        <f t="shared" si="268"/>
        <v>PASS</v>
      </c>
      <c r="AG178" s="4"/>
      <c r="AH178" s="31">
        <f t="shared" si="269"/>
        <v>0</v>
      </c>
      <c r="AI178" s="31">
        <f t="shared" si="270"/>
        <v>-892.5</v>
      </c>
      <c r="AJ178" s="31">
        <f t="shared" si="271"/>
        <v>521.29999999999995</v>
      </c>
      <c r="AK178" s="31">
        <f t="shared" si="272"/>
        <v>401</v>
      </c>
      <c r="AL178" s="31">
        <f t="shared" si="273"/>
        <v>-355.55</v>
      </c>
      <c r="AM178" s="31">
        <f t="shared" si="274"/>
        <v>0</v>
      </c>
      <c r="AN178" s="32">
        <f t="shared" si="275"/>
        <v>401</v>
      </c>
      <c r="AO178" s="27">
        <f t="shared" si="276"/>
        <v>-1248.05</v>
      </c>
      <c r="AP178" s="27">
        <f t="shared" si="277"/>
        <v>521.29999999999995</v>
      </c>
      <c r="AQ178" s="27">
        <f t="shared" si="278"/>
        <v>-628</v>
      </c>
      <c r="AR178" s="27">
        <f t="shared" si="279"/>
        <v>-2091.0500000000002</v>
      </c>
      <c r="AS178" s="33">
        <f t="shared" si="280"/>
        <v>12215.3</v>
      </c>
    </row>
    <row r="179" spans="2:45" x14ac:dyDescent="0.25">
      <c r="B179" s="34">
        <f t="shared" si="281"/>
        <v>11740</v>
      </c>
      <c r="C179" s="26">
        <f t="shared" si="281"/>
        <v>20</v>
      </c>
      <c r="D179" s="26">
        <f t="shared" si="281"/>
        <v>-500</v>
      </c>
      <c r="E179" s="26">
        <f t="shared" si="281"/>
        <v>0</v>
      </c>
      <c r="F179" s="26">
        <f t="shared" si="281"/>
        <v>-650</v>
      </c>
      <c r="G179" s="24">
        <v>533</v>
      </c>
      <c r="H179" s="24">
        <v>-620</v>
      </c>
      <c r="I179" s="24">
        <v>-1809</v>
      </c>
      <c r="J179" s="24">
        <v>-11910</v>
      </c>
      <c r="K179" s="24">
        <v>-873</v>
      </c>
      <c r="L179" s="24">
        <v>-1130</v>
      </c>
      <c r="M179" s="44" t="str">
        <f t="shared" si="250"/>
        <v>37(SUS)</v>
      </c>
      <c r="N179" s="26">
        <f t="shared" si="251"/>
        <v>-650</v>
      </c>
      <c r="O179" s="26">
        <f t="shared" si="252"/>
        <v>0</v>
      </c>
      <c r="P179" s="26">
        <f t="shared" si="253"/>
        <v>500</v>
      </c>
      <c r="Q179" s="26">
        <f t="shared" si="254"/>
        <v>-1809</v>
      </c>
      <c r="R179" s="26">
        <f t="shared" si="255"/>
        <v>-620</v>
      </c>
      <c r="S179" s="26">
        <f t="shared" si="256"/>
        <v>-533</v>
      </c>
      <c r="T179" s="26">
        <f t="shared" si="257"/>
        <v>-1130</v>
      </c>
      <c r="U179" s="26">
        <f t="shared" si="258"/>
        <v>-873</v>
      </c>
      <c r="V179" s="26">
        <f t="shared" si="259"/>
        <v>11910</v>
      </c>
      <c r="W179" s="27">
        <f t="shared" si="260"/>
        <v>1985.1876485612136</v>
      </c>
      <c r="X179" s="27">
        <f t="shared" si="261"/>
        <v>11995.296119729601</v>
      </c>
      <c r="Y179" s="28">
        <f t="shared" si="262"/>
        <v>12</v>
      </c>
      <c r="Z179" s="27">
        <f t="shared" si="263"/>
        <v>446.28606489774933</v>
      </c>
      <c r="AA179" s="27">
        <f t="shared" si="264"/>
        <v>8847.274596660005</v>
      </c>
      <c r="AB179" s="27">
        <f t="shared" si="265"/>
        <v>10186.132791353253</v>
      </c>
      <c r="AC179" s="27">
        <f t="shared" si="266"/>
        <v>129000</v>
      </c>
      <c r="AD179" s="29">
        <f t="shared" si="267"/>
        <v>7.8962269700412815</v>
      </c>
      <c r="AE179" s="30" t="str">
        <f t="shared" si="268"/>
        <v>PASS</v>
      </c>
      <c r="AG179" s="4"/>
      <c r="AH179" s="31">
        <f t="shared" si="269"/>
        <v>0</v>
      </c>
      <c r="AI179" s="31">
        <f t="shared" si="270"/>
        <v>-904.5</v>
      </c>
      <c r="AJ179" s="31">
        <f t="shared" si="271"/>
        <v>403</v>
      </c>
      <c r="AK179" s="31">
        <f t="shared" si="272"/>
        <v>310</v>
      </c>
      <c r="AL179" s="31">
        <f t="shared" si="273"/>
        <v>-346.45</v>
      </c>
      <c r="AM179" s="31">
        <f t="shared" si="274"/>
        <v>0</v>
      </c>
      <c r="AN179" s="32">
        <f t="shared" si="275"/>
        <v>310</v>
      </c>
      <c r="AO179" s="27">
        <f t="shared" si="276"/>
        <v>-1250.95</v>
      </c>
      <c r="AP179" s="27">
        <f t="shared" si="277"/>
        <v>403</v>
      </c>
      <c r="AQ179" s="27">
        <f t="shared" si="278"/>
        <v>-820</v>
      </c>
      <c r="AR179" s="27">
        <f t="shared" si="279"/>
        <v>-2123.9499999999998</v>
      </c>
      <c r="AS179" s="33">
        <f t="shared" si="280"/>
        <v>12313</v>
      </c>
    </row>
    <row r="180" spans="2:45" x14ac:dyDescent="0.25">
      <c r="B180" s="34">
        <f t="shared" si="281"/>
        <v>11740</v>
      </c>
      <c r="C180" s="26">
        <f t="shared" si="281"/>
        <v>20</v>
      </c>
      <c r="D180" s="26">
        <f t="shared" si="281"/>
        <v>-500</v>
      </c>
      <c r="E180" s="26">
        <f t="shared" si="281"/>
        <v>0</v>
      </c>
      <c r="F180" s="26">
        <f t="shared" si="281"/>
        <v>-650</v>
      </c>
      <c r="G180" s="24">
        <v>15823</v>
      </c>
      <c r="H180" s="24">
        <v>-12131</v>
      </c>
      <c r="I180" s="24">
        <v>-6594</v>
      </c>
      <c r="J180" s="24">
        <v>-8695</v>
      </c>
      <c r="K180" s="24">
        <v>8599</v>
      </c>
      <c r="L180" s="24">
        <v>-9418</v>
      </c>
      <c r="M180" s="44" t="str">
        <f t="shared" si="250"/>
        <v>24(OPE)</v>
      </c>
      <c r="N180" s="26">
        <f t="shared" si="251"/>
        <v>-650</v>
      </c>
      <c r="O180" s="26">
        <f t="shared" si="252"/>
        <v>0</v>
      </c>
      <c r="P180" s="26">
        <f t="shared" si="253"/>
        <v>500</v>
      </c>
      <c r="Q180" s="26">
        <f t="shared" si="254"/>
        <v>-6594</v>
      </c>
      <c r="R180" s="26">
        <f t="shared" si="255"/>
        <v>-12131</v>
      </c>
      <c r="S180" s="26">
        <f t="shared" si="256"/>
        <v>-15823</v>
      </c>
      <c r="T180" s="26">
        <f t="shared" si="257"/>
        <v>-9418</v>
      </c>
      <c r="U180" s="26">
        <f t="shared" si="258"/>
        <v>8599</v>
      </c>
      <c r="V180" s="26">
        <f t="shared" si="259"/>
        <v>8695</v>
      </c>
      <c r="W180" s="27">
        <f t="shared" si="260"/>
        <v>21000.222046445127</v>
      </c>
      <c r="X180" s="27">
        <f t="shared" si="261"/>
        <v>15435.172496606574</v>
      </c>
      <c r="Y180" s="28">
        <f t="shared" si="262"/>
        <v>12</v>
      </c>
      <c r="Z180" s="27">
        <f t="shared" si="263"/>
        <v>4721.0179178172366</v>
      </c>
      <c r="AA180" s="27">
        <f t="shared" si="264"/>
        <v>11384.396696942138</v>
      </c>
      <c r="AB180" s="27">
        <f t="shared" si="265"/>
        <v>25547.450450393848</v>
      </c>
      <c r="AC180" s="27">
        <f t="shared" si="266"/>
        <v>129000</v>
      </c>
      <c r="AD180" s="29">
        <f t="shared" si="267"/>
        <v>19.804225155344067</v>
      </c>
      <c r="AE180" s="30" t="str">
        <f t="shared" si="268"/>
        <v>PASS</v>
      </c>
      <c r="AG180" s="4"/>
      <c r="AH180" s="31">
        <f t="shared" si="269"/>
        <v>0</v>
      </c>
      <c r="AI180" s="31">
        <f t="shared" si="270"/>
        <v>-3297</v>
      </c>
      <c r="AJ180" s="31">
        <f t="shared" si="271"/>
        <v>7885.15</v>
      </c>
      <c r="AK180" s="31">
        <f t="shared" si="272"/>
        <v>6065.5</v>
      </c>
      <c r="AL180" s="31">
        <f t="shared" si="273"/>
        <v>-10284.950000000001</v>
      </c>
      <c r="AM180" s="31">
        <f t="shared" si="274"/>
        <v>0</v>
      </c>
      <c r="AN180" s="32">
        <f t="shared" si="275"/>
        <v>6065.5</v>
      </c>
      <c r="AO180" s="27">
        <f t="shared" si="276"/>
        <v>-13581.95</v>
      </c>
      <c r="AP180" s="27">
        <f t="shared" si="277"/>
        <v>7885.15</v>
      </c>
      <c r="AQ180" s="27">
        <f t="shared" si="278"/>
        <v>-3352.5</v>
      </c>
      <c r="AR180" s="27">
        <f t="shared" si="279"/>
        <v>-4982.9500000000007</v>
      </c>
      <c r="AS180" s="33">
        <f t="shared" si="280"/>
        <v>16580.150000000001</v>
      </c>
    </row>
    <row r="181" spans="2:45" x14ac:dyDescent="0.25">
      <c r="B181" s="34">
        <f t="shared" si="281"/>
        <v>11740</v>
      </c>
      <c r="C181" s="26">
        <f t="shared" si="281"/>
        <v>20</v>
      </c>
      <c r="D181" s="26">
        <f t="shared" si="281"/>
        <v>-500</v>
      </c>
      <c r="E181" s="26">
        <f t="shared" si="281"/>
        <v>0</v>
      </c>
      <c r="F181" s="26">
        <f t="shared" si="281"/>
        <v>-650</v>
      </c>
      <c r="G181" s="24">
        <v>13133</v>
      </c>
      <c r="H181" s="24">
        <v>-12208</v>
      </c>
      <c r="I181" s="24">
        <v>-7314</v>
      </c>
      <c r="J181" s="24">
        <v>-7815</v>
      </c>
      <c r="K181" s="24">
        <v>3935</v>
      </c>
      <c r="L181" s="24">
        <v>-6799</v>
      </c>
      <c r="M181" s="44" t="str">
        <f t="shared" si="250"/>
        <v>25(OPE)</v>
      </c>
      <c r="N181" s="26">
        <f t="shared" si="251"/>
        <v>-650</v>
      </c>
      <c r="O181" s="26">
        <f t="shared" si="252"/>
        <v>0</v>
      </c>
      <c r="P181" s="26">
        <f t="shared" si="253"/>
        <v>500</v>
      </c>
      <c r="Q181" s="26">
        <f t="shared" si="254"/>
        <v>-7314</v>
      </c>
      <c r="R181" s="26">
        <f t="shared" si="255"/>
        <v>-12208</v>
      </c>
      <c r="S181" s="26">
        <f t="shared" si="256"/>
        <v>-13133</v>
      </c>
      <c r="T181" s="26">
        <f t="shared" si="257"/>
        <v>-6799</v>
      </c>
      <c r="U181" s="26">
        <f t="shared" si="258"/>
        <v>3935</v>
      </c>
      <c r="V181" s="26">
        <f t="shared" si="259"/>
        <v>7815</v>
      </c>
      <c r="W181" s="27">
        <f t="shared" si="260"/>
        <v>19365.060005070987</v>
      </c>
      <c r="X181" s="27">
        <f t="shared" si="261"/>
        <v>11080.832595071546</v>
      </c>
      <c r="Y181" s="28">
        <f t="shared" si="262"/>
        <v>12</v>
      </c>
      <c r="Z181" s="27">
        <f t="shared" si="263"/>
        <v>4353.4204096199983</v>
      </c>
      <c r="AA181" s="27">
        <f t="shared" si="264"/>
        <v>8172.8010504861604</v>
      </c>
      <c r="AB181" s="27">
        <f t="shared" si="265"/>
        <v>21233.062279346155</v>
      </c>
      <c r="AC181" s="27">
        <f t="shared" si="266"/>
        <v>129000</v>
      </c>
      <c r="AD181" s="29">
        <f t="shared" si="267"/>
        <v>16.459738201043532</v>
      </c>
      <c r="AE181" s="30" t="str">
        <f t="shared" si="268"/>
        <v>PASS</v>
      </c>
      <c r="AG181" s="4"/>
      <c r="AH181" s="31">
        <f t="shared" si="269"/>
        <v>0</v>
      </c>
      <c r="AI181" s="31">
        <f t="shared" si="270"/>
        <v>-3657</v>
      </c>
      <c r="AJ181" s="31">
        <f t="shared" si="271"/>
        <v>7935.2</v>
      </c>
      <c r="AK181" s="31">
        <f t="shared" si="272"/>
        <v>6104</v>
      </c>
      <c r="AL181" s="31">
        <f t="shared" si="273"/>
        <v>-8536.4500000000007</v>
      </c>
      <c r="AM181" s="31">
        <f t="shared" si="274"/>
        <v>0</v>
      </c>
      <c r="AN181" s="32">
        <f t="shared" si="275"/>
        <v>6104</v>
      </c>
      <c r="AO181" s="27">
        <f t="shared" si="276"/>
        <v>-12193.45</v>
      </c>
      <c r="AP181" s="27">
        <f t="shared" si="277"/>
        <v>7935.2</v>
      </c>
      <c r="AQ181" s="27">
        <f t="shared" si="278"/>
        <v>-695</v>
      </c>
      <c r="AR181" s="27">
        <f t="shared" si="279"/>
        <v>-8258.4500000000007</v>
      </c>
      <c r="AS181" s="33">
        <f t="shared" si="280"/>
        <v>15750.2</v>
      </c>
    </row>
    <row r="182" spans="2:45" x14ac:dyDescent="0.25">
      <c r="B182" s="34">
        <f t="shared" si="281"/>
        <v>11740</v>
      </c>
      <c r="C182" s="26">
        <f t="shared" si="249"/>
        <v>20</v>
      </c>
      <c r="D182" s="26">
        <f t="shared" si="249"/>
        <v>-500</v>
      </c>
      <c r="E182" s="26">
        <f t="shared" si="249"/>
        <v>0</v>
      </c>
      <c r="F182" s="26">
        <f t="shared" si="249"/>
        <v>-650</v>
      </c>
      <c r="G182" s="24">
        <v>15823</v>
      </c>
      <c r="H182" s="24">
        <v>-12131</v>
      </c>
      <c r="I182" s="24">
        <v>-6594</v>
      </c>
      <c r="J182" s="24">
        <v>-8695</v>
      </c>
      <c r="K182" s="24">
        <v>8599</v>
      </c>
      <c r="L182" s="24">
        <v>-9418</v>
      </c>
      <c r="M182" s="44" t="str">
        <f t="shared" si="250"/>
        <v>26(OPE)</v>
      </c>
      <c r="N182" s="26">
        <f t="shared" si="251"/>
        <v>-650</v>
      </c>
      <c r="O182" s="26">
        <f t="shared" si="252"/>
        <v>0</v>
      </c>
      <c r="P182" s="26">
        <f t="shared" si="253"/>
        <v>500</v>
      </c>
      <c r="Q182" s="26">
        <f t="shared" si="254"/>
        <v>-6594</v>
      </c>
      <c r="R182" s="26">
        <f t="shared" si="255"/>
        <v>-12131</v>
      </c>
      <c r="S182" s="26">
        <f t="shared" si="256"/>
        <v>-15823</v>
      </c>
      <c r="T182" s="26">
        <f t="shared" si="257"/>
        <v>-9418</v>
      </c>
      <c r="U182" s="26">
        <f t="shared" si="258"/>
        <v>8599</v>
      </c>
      <c r="V182" s="26">
        <f t="shared" si="259"/>
        <v>8695</v>
      </c>
      <c r="W182" s="27">
        <f t="shared" si="260"/>
        <v>21000.222046445127</v>
      </c>
      <c r="X182" s="27">
        <f t="shared" si="261"/>
        <v>15435.172496606574</v>
      </c>
      <c r="Y182" s="28">
        <f t="shared" si="262"/>
        <v>12</v>
      </c>
      <c r="Z182" s="27">
        <f t="shared" si="263"/>
        <v>4721.0179178172366</v>
      </c>
      <c r="AA182" s="27">
        <f t="shared" si="264"/>
        <v>11384.396696942138</v>
      </c>
      <c r="AB182" s="27">
        <f t="shared" si="265"/>
        <v>25547.450450393848</v>
      </c>
      <c r="AC182" s="27">
        <f t="shared" si="266"/>
        <v>129000</v>
      </c>
      <c r="AD182" s="29">
        <f t="shared" si="267"/>
        <v>19.804225155344067</v>
      </c>
      <c r="AE182" s="30" t="str">
        <f t="shared" si="268"/>
        <v>PASS</v>
      </c>
      <c r="AG182" s="4"/>
      <c r="AH182" s="31">
        <f t="shared" si="269"/>
        <v>0</v>
      </c>
      <c r="AI182" s="31">
        <f t="shared" si="270"/>
        <v>-3297</v>
      </c>
      <c r="AJ182" s="31">
        <f t="shared" si="271"/>
        <v>7885.15</v>
      </c>
      <c r="AK182" s="31">
        <f t="shared" si="272"/>
        <v>6065.5</v>
      </c>
      <c r="AL182" s="31">
        <f t="shared" si="273"/>
        <v>-10284.950000000001</v>
      </c>
      <c r="AM182" s="31">
        <f t="shared" si="274"/>
        <v>0</v>
      </c>
      <c r="AN182" s="32">
        <f t="shared" si="275"/>
        <v>6065.5</v>
      </c>
      <c r="AO182" s="27">
        <f t="shared" si="276"/>
        <v>-13581.95</v>
      </c>
      <c r="AP182" s="27">
        <f t="shared" si="277"/>
        <v>7885.15</v>
      </c>
      <c r="AQ182" s="27">
        <f t="shared" si="278"/>
        <v>-3352.5</v>
      </c>
      <c r="AR182" s="27">
        <f t="shared" si="279"/>
        <v>-4982.9500000000007</v>
      </c>
      <c r="AS182" s="33">
        <f t="shared" si="280"/>
        <v>16580.150000000001</v>
      </c>
    </row>
    <row r="183" spans="2:45" x14ac:dyDescent="0.25">
      <c r="B183" s="34">
        <f t="shared" si="281"/>
        <v>11740</v>
      </c>
      <c r="C183" s="26">
        <f t="shared" si="249"/>
        <v>20</v>
      </c>
      <c r="D183" s="26">
        <f t="shared" si="249"/>
        <v>-500</v>
      </c>
      <c r="E183" s="26">
        <f t="shared" si="249"/>
        <v>0</v>
      </c>
      <c r="F183" s="26">
        <f t="shared" si="249"/>
        <v>-650</v>
      </c>
      <c r="G183" s="24">
        <v>13133</v>
      </c>
      <c r="H183" s="24">
        <v>-12208</v>
      </c>
      <c r="I183" s="24">
        <v>-7314</v>
      </c>
      <c r="J183" s="24">
        <v>-7815</v>
      </c>
      <c r="K183" s="24">
        <v>3935</v>
      </c>
      <c r="L183" s="24">
        <v>-6799</v>
      </c>
      <c r="M183" s="44" t="str">
        <f t="shared" si="250"/>
        <v>27(OPE)</v>
      </c>
      <c r="N183" s="26">
        <f t="shared" si="251"/>
        <v>-650</v>
      </c>
      <c r="O183" s="26">
        <f t="shared" si="252"/>
        <v>0</v>
      </c>
      <c r="P183" s="26">
        <f t="shared" si="253"/>
        <v>500</v>
      </c>
      <c r="Q183" s="26">
        <f t="shared" si="254"/>
        <v>-7314</v>
      </c>
      <c r="R183" s="26">
        <f t="shared" si="255"/>
        <v>-12208</v>
      </c>
      <c r="S183" s="26">
        <f t="shared" si="256"/>
        <v>-13133</v>
      </c>
      <c r="T183" s="26">
        <f t="shared" si="257"/>
        <v>-6799</v>
      </c>
      <c r="U183" s="26">
        <f t="shared" si="258"/>
        <v>3935</v>
      </c>
      <c r="V183" s="26">
        <f t="shared" si="259"/>
        <v>7815</v>
      </c>
      <c r="W183" s="27">
        <f t="shared" si="260"/>
        <v>19365.060005070987</v>
      </c>
      <c r="X183" s="27">
        <f t="shared" si="261"/>
        <v>11080.832595071546</v>
      </c>
      <c r="Y183" s="28">
        <f t="shared" si="262"/>
        <v>12</v>
      </c>
      <c r="Z183" s="27">
        <f t="shared" si="263"/>
        <v>4353.4204096199983</v>
      </c>
      <c r="AA183" s="27">
        <f t="shared" si="264"/>
        <v>8172.8010504861604</v>
      </c>
      <c r="AB183" s="27">
        <f t="shared" si="265"/>
        <v>21233.062279346155</v>
      </c>
      <c r="AC183" s="27">
        <f t="shared" si="266"/>
        <v>129000</v>
      </c>
      <c r="AD183" s="29">
        <f t="shared" si="267"/>
        <v>16.459738201043532</v>
      </c>
      <c r="AE183" s="30" t="str">
        <f t="shared" si="268"/>
        <v>PASS</v>
      </c>
      <c r="AG183" s="4"/>
      <c r="AH183" s="31">
        <f t="shared" si="269"/>
        <v>0</v>
      </c>
      <c r="AI183" s="31">
        <f t="shared" si="270"/>
        <v>-3657</v>
      </c>
      <c r="AJ183" s="31">
        <f t="shared" si="271"/>
        <v>7935.2</v>
      </c>
      <c r="AK183" s="31">
        <f t="shared" si="272"/>
        <v>6104</v>
      </c>
      <c r="AL183" s="31">
        <f t="shared" si="273"/>
        <v>-8536.4500000000007</v>
      </c>
      <c r="AM183" s="31">
        <f t="shared" si="274"/>
        <v>0</v>
      </c>
      <c r="AN183" s="32">
        <f t="shared" si="275"/>
        <v>6104</v>
      </c>
      <c r="AO183" s="27">
        <f t="shared" si="276"/>
        <v>-12193.45</v>
      </c>
      <c r="AP183" s="27">
        <f t="shared" si="277"/>
        <v>7935.2</v>
      </c>
      <c r="AQ183" s="27">
        <f t="shared" si="278"/>
        <v>-695</v>
      </c>
      <c r="AR183" s="27">
        <f t="shared" si="279"/>
        <v>-8258.4500000000007</v>
      </c>
      <c r="AS183" s="33">
        <f t="shared" si="280"/>
        <v>15750.2</v>
      </c>
    </row>
    <row r="184" spans="2:45" x14ac:dyDescent="0.25">
      <c r="B184" s="34">
        <f>IF(B183="","",B183)</f>
        <v>11740</v>
      </c>
      <c r="C184" s="26">
        <f t="shared" ref="C184:F184" si="282">IF(C183="","",C183)</f>
        <v>20</v>
      </c>
      <c r="D184" s="26">
        <f t="shared" si="282"/>
        <v>-500</v>
      </c>
      <c r="E184" s="26">
        <f t="shared" si="282"/>
        <v>0</v>
      </c>
      <c r="F184" s="26">
        <f t="shared" si="282"/>
        <v>-650</v>
      </c>
      <c r="G184" s="24">
        <v>16844</v>
      </c>
      <c r="H184" s="24">
        <v>-12269</v>
      </c>
      <c r="I184" s="24">
        <v>-7399</v>
      </c>
      <c r="J184" s="24">
        <v>-9238</v>
      </c>
      <c r="K184" s="24">
        <v>9183</v>
      </c>
      <c r="L184" s="24">
        <v>-9554</v>
      </c>
      <c r="M184" s="44" t="str">
        <f t="shared" si="250"/>
        <v>28(OPE)</v>
      </c>
      <c r="N184" s="26">
        <f t="shared" si="251"/>
        <v>-650</v>
      </c>
      <c r="O184" s="26">
        <f t="shared" si="252"/>
        <v>0</v>
      </c>
      <c r="P184" s="26">
        <f t="shared" si="253"/>
        <v>500</v>
      </c>
      <c r="Q184" s="26">
        <f t="shared" si="254"/>
        <v>-7399</v>
      </c>
      <c r="R184" s="26">
        <f t="shared" si="255"/>
        <v>-12269</v>
      </c>
      <c r="S184" s="26">
        <f t="shared" si="256"/>
        <v>-16844</v>
      </c>
      <c r="T184" s="26">
        <f t="shared" si="257"/>
        <v>-9554</v>
      </c>
      <c r="U184" s="26">
        <f t="shared" si="258"/>
        <v>9183</v>
      </c>
      <c r="V184" s="26">
        <f t="shared" si="259"/>
        <v>9238</v>
      </c>
      <c r="W184" s="27">
        <f t="shared" si="260"/>
        <v>22113.206416076344</v>
      </c>
      <c r="X184" s="27">
        <f t="shared" si="261"/>
        <v>16153.855545967966</v>
      </c>
      <c r="Y184" s="28">
        <f t="shared" si="262"/>
        <v>12</v>
      </c>
      <c r="Z184" s="27">
        <f t="shared" si="263"/>
        <v>4971.2257079852907</v>
      </c>
      <c r="AA184" s="27">
        <f t="shared" si="264"/>
        <v>11914.470004195226</v>
      </c>
      <c r="AB184" s="27">
        <f t="shared" si="265"/>
        <v>26828.147128151097</v>
      </c>
      <c r="AC184" s="27">
        <f t="shared" si="266"/>
        <v>129000</v>
      </c>
      <c r="AD184" s="29">
        <f t="shared" si="267"/>
        <v>20.797013277636509</v>
      </c>
      <c r="AE184" s="30" t="str">
        <f t="shared" si="268"/>
        <v>PASS</v>
      </c>
      <c r="AG184" s="4"/>
      <c r="AH184" s="31">
        <f t="shared" si="269"/>
        <v>0</v>
      </c>
      <c r="AI184" s="31">
        <f t="shared" si="270"/>
        <v>-3699.5</v>
      </c>
      <c r="AJ184" s="31">
        <f t="shared" si="271"/>
        <v>7974.85</v>
      </c>
      <c r="AK184" s="31">
        <f t="shared" si="272"/>
        <v>6134.5</v>
      </c>
      <c r="AL184" s="31">
        <f t="shared" si="273"/>
        <v>-10948.6</v>
      </c>
      <c r="AM184" s="31">
        <f t="shared" si="274"/>
        <v>0</v>
      </c>
      <c r="AN184" s="32">
        <f t="shared" si="275"/>
        <v>6134.5</v>
      </c>
      <c r="AO184" s="27">
        <f t="shared" si="276"/>
        <v>-14648.1</v>
      </c>
      <c r="AP184" s="27">
        <f t="shared" si="277"/>
        <v>7974.85</v>
      </c>
      <c r="AQ184" s="27">
        <f t="shared" si="278"/>
        <v>-3419.5</v>
      </c>
      <c r="AR184" s="27">
        <f t="shared" si="279"/>
        <v>-5465.1</v>
      </c>
      <c r="AS184" s="33">
        <f t="shared" si="280"/>
        <v>17212.849999999999</v>
      </c>
    </row>
    <row r="185" spans="2:45" x14ac:dyDescent="0.25">
      <c r="B185" s="34">
        <f t="shared" ref="B185:F185" si="283">IF(B184="","",B184)</f>
        <v>11740</v>
      </c>
      <c r="C185" s="26">
        <f t="shared" si="283"/>
        <v>20</v>
      </c>
      <c r="D185" s="26">
        <f t="shared" si="283"/>
        <v>-500</v>
      </c>
      <c r="E185" s="26">
        <f t="shared" si="283"/>
        <v>0</v>
      </c>
      <c r="F185" s="26">
        <f t="shared" si="283"/>
        <v>-650</v>
      </c>
      <c r="G185" s="24">
        <v>11003</v>
      </c>
      <c r="H185" s="24">
        <v>-11954</v>
      </c>
      <c r="I185" s="24">
        <v>-5729</v>
      </c>
      <c r="J185" s="24">
        <v>-6579</v>
      </c>
      <c r="K185" s="24">
        <v>2716</v>
      </c>
      <c r="L185" s="24">
        <v>-4147</v>
      </c>
      <c r="M185" s="44" t="str">
        <f t="shared" si="250"/>
        <v>29(OPE)</v>
      </c>
      <c r="N185" s="26">
        <f t="shared" si="251"/>
        <v>-650</v>
      </c>
      <c r="O185" s="26">
        <f t="shared" si="252"/>
        <v>0</v>
      </c>
      <c r="P185" s="26">
        <f t="shared" si="253"/>
        <v>500</v>
      </c>
      <c r="Q185" s="26">
        <f t="shared" si="254"/>
        <v>-5729</v>
      </c>
      <c r="R185" s="26">
        <f t="shared" si="255"/>
        <v>-11954</v>
      </c>
      <c r="S185" s="26">
        <f t="shared" si="256"/>
        <v>-11003</v>
      </c>
      <c r="T185" s="26">
        <f t="shared" si="257"/>
        <v>-4147</v>
      </c>
      <c r="U185" s="26">
        <f t="shared" si="258"/>
        <v>2716</v>
      </c>
      <c r="V185" s="26">
        <f t="shared" si="259"/>
        <v>6579</v>
      </c>
      <c r="W185" s="27">
        <f t="shared" si="260"/>
        <v>17227.465454906593</v>
      </c>
      <c r="X185" s="27">
        <f t="shared" si="261"/>
        <v>8237.5667523850752</v>
      </c>
      <c r="Y185" s="28">
        <f t="shared" si="262"/>
        <v>12</v>
      </c>
      <c r="Z185" s="27">
        <f t="shared" si="263"/>
        <v>3872.8720539866413</v>
      </c>
      <c r="AA185" s="27">
        <f t="shared" si="264"/>
        <v>6075.7162090226411</v>
      </c>
      <c r="AB185" s="27">
        <f t="shared" si="265"/>
        <v>17694.332370982564</v>
      </c>
      <c r="AC185" s="27">
        <f t="shared" si="266"/>
        <v>129000</v>
      </c>
      <c r="AD185" s="29">
        <f t="shared" si="267"/>
        <v>13.716536721691911</v>
      </c>
      <c r="AE185" s="30" t="str">
        <f t="shared" si="268"/>
        <v>PASS</v>
      </c>
      <c r="AG185" s="4"/>
      <c r="AH185" s="31">
        <f t="shared" si="269"/>
        <v>0</v>
      </c>
      <c r="AI185" s="31">
        <f t="shared" si="270"/>
        <v>-2864.5</v>
      </c>
      <c r="AJ185" s="31">
        <f t="shared" si="271"/>
        <v>7770.1</v>
      </c>
      <c r="AK185" s="31">
        <f t="shared" si="272"/>
        <v>5977</v>
      </c>
      <c r="AL185" s="31">
        <f t="shared" si="273"/>
        <v>-7151.95</v>
      </c>
      <c r="AM185" s="31">
        <f t="shared" si="274"/>
        <v>0</v>
      </c>
      <c r="AN185" s="32">
        <f t="shared" si="275"/>
        <v>5977</v>
      </c>
      <c r="AO185" s="27">
        <f t="shared" si="276"/>
        <v>-10016.450000000001</v>
      </c>
      <c r="AP185" s="27">
        <f t="shared" si="277"/>
        <v>7770.1</v>
      </c>
      <c r="AQ185" s="27">
        <f t="shared" si="278"/>
        <v>1830</v>
      </c>
      <c r="AR185" s="27">
        <f t="shared" si="279"/>
        <v>-7300.4500000000007</v>
      </c>
      <c r="AS185" s="33">
        <f t="shared" si="280"/>
        <v>14349.1</v>
      </c>
    </row>
    <row r="186" spans="2:45" x14ac:dyDescent="0.25">
      <c r="B186" s="34">
        <f t="shared" ref="B186:F186" si="284">IF(B185="","",B185)</f>
        <v>11740</v>
      </c>
      <c r="C186" s="26">
        <f t="shared" si="284"/>
        <v>20</v>
      </c>
      <c r="D186" s="26">
        <f t="shared" si="284"/>
        <v>-500</v>
      </c>
      <c r="E186" s="26">
        <f t="shared" si="284"/>
        <v>0</v>
      </c>
      <c r="F186" s="26">
        <f t="shared" si="284"/>
        <v>-650</v>
      </c>
      <c r="G186" s="24">
        <v>13716</v>
      </c>
      <c r="H186" s="24">
        <v>-9426</v>
      </c>
      <c r="I186" s="24">
        <v>-7010</v>
      </c>
      <c r="J186" s="24">
        <v>-11061</v>
      </c>
      <c r="K186" s="24">
        <v>5411</v>
      </c>
      <c r="L186" s="24">
        <v>-8260</v>
      </c>
      <c r="M186" s="44" t="str">
        <f t="shared" si="250"/>
        <v>30(OPE)</v>
      </c>
      <c r="N186" s="26">
        <f t="shared" si="251"/>
        <v>-650</v>
      </c>
      <c r="O186" s="26">
        <f t="shared" si="252"/>
        <v>0</v>
      </c>
      <c r="P186" s="26">
        <f t="shared" si="253"/>
        <v>500</v>
      </c>
      <c r="Q186" s="26">
        <f t="shared" si="254"/>
        <v>-7010</v>
      </c>
      <c r="R186" s="26">
        <f t="shared" si="255"/>
        <v>-9426</v>
      </c>
      <c r="S186" s="26">
        <f t="shared" si="256"/>
        <v>-13716</v>
      </c>
      <c r="T186" s="26">
        <f t="shared" si="257"/>
        <v>-8260</v>
      </c>
      <c r="U186" s="26">
        <f t="shared" si="258"/>
        <v>5411</v>
      </c>
      <c r="V186" s="26">
        <f t="shared" si="259"/>
        <v>11061</v>
      </c>
      <c r="W186" s="27">
        <f t="shared" si="260"/>
        <v>18058.743920882203</v>
      </c>
      <c r="X186" s="27">
        <f t="shared" si="261"/>
        <v>14827.41521641584</v>
      </c>
      <c r="Y186" s="28">
        <f t="shared" si="262"/>
        <v>12</v>
      </c>
      <c r="Z186" s="27">
        <f t="shared" si="263"/>
        <v>4059.7501033656863</v>
      </c>
      <c r="AA186" s="27">
        <f t="shared" si="264"/>
        <v>10936.138021850102</v>
      </c>
      <c r="AB186" s="27">
        <f t="shared" si="265"/>
        <v>23115.388331947161</v>
      </c>
      <c r="AC186" s="27">
        <f t="shared" si="266"/>
        <v>129000</v>
      </c>
      <c r="AD186" s="29">
        <f t="shared" si="267"/>
        <v>17.91890568367997</v>
      </c>
      <c r="AE186" s="30" t="str">
        <f t="shared" si="268"/>
        <v>PASS</v>
      </c>
      <c r="AG186" s="4"/>
      <c r="AH186" s="31">
        <f t="shared" si="269"/>
        <v>0</v>
      </c>
      <c r="AI186" s="31">
        <f t="shared" si="270"/>
        <v>-3505</v>
      </c>
      <c r="AJ186" s="31">
        <f t="shared" si="271"/>
        <v>6126.9</v>
      </c>
      <c r="AK186" s="31">
        <f t="shared" si="272"/>
        <v>4713</v>
      </c>
      <c r="AL186" s="31">
        <f t="shared" si="273"/>
        <v>-8915.4</v>
      </c>
      <c r="AM186" s="31">
        <f t="shared" si="274"/>
        <v>0</v>
      </c>
      <c r="AN186" s="32">
        <f t="shared" si="275"/>
        <v>4713</v>
      </c>
      <c r="AO186" s="27">
        <f t="shared" si="276"/>
        <v>-12420.4</v>
      </c>
      <c r="AP186" s="27">
        <f t="shared" si="277"/>
        <v>6126.9</v>
      </c>
      <c r="AQ186" s="27">
        <f t="shared" si="278"/>
        <v>-3547</v>
      </c>
      <c r="AR186" s="27">
        <f t="shared" si="279"/>
        <v>-7009.4</v>
      </c>
      <c r="AS186" s="33">
        <f t="shared" si="280"/>
        <v>17187.900000000001</v>
      </c>
    </row>
    <row r="187" spans="2:45" x14ac:dyDescent="0.25">
      <c r="B187" s="34">
        <f t="shared" ref="B187:F187" si="285">IF(B186="","",B186)</f>
        <v>11740</v>
      </c>
      <c r="C187" s="26">
        <f t="shared" si="285"/>
        <v>20</v>
      </c>
      <c r="D187" s="26">
        <f t="shared" si="285"/>
        <v>-500</v>
      </c>
      <c r="E187" s="26">
        <f t="shared" si="285"/>
        <v>0</v>
      </c>
      <c r="F187" s="26">
        <f t="shared" si="285"/>
        <v>-650</v>
      </c>
      <c r="G187" s="24">
        <v>14136</v>
      </c>
      <c r="H187" s="24">
        <v>-14802</v>
      </c>
      <c r="I187" s="24">
        <v>-6116</v>
      </c>
      <c r="J187" s="24">
        <v>-4771</v>
      </c>
      <c r="K187" s="24">
        <v>6473</v>
      </c>
      <c r="L187" s="24">
        <v>-5443</v>
      </c>
      <c r="M187" s="44" t="str">
        <f t="shared" si="250"/>
        <v>31(OPE)</v>
      </c>
      <c r="N187" s="26">
        <f t="shared" si="251"/>
        <v>-650</v>
      </c>
      <c r="O187" s="26">
        <f t="shared" si="252"/>
        <v>0</v>
      </c>
      <c r="P187" s="26">
        <f t="shared" si="253"/>
        <v>500</v>
      </c>
      <c r="Q187" s="26">
        <f t="shared" si="254"/>
        <v>-6116</v>
      </c>
      <c r="R187" s="26">
        <f t="shared" si="255"/>
        <v>-14802</v>
      </c>
      <c r="S187" s="26">
        <f t="shared" si="256"/>
        <v>-14136</v>
      </c>
      <c r="T187" s="26">
        <f t="shared" si="257"/>
        <v>-5443</v>
      </c>
      <c r="U187" s="26">
        <f t="shared" si="258"/>
        <v>6473</v>
      </c>
      <c r="V187" s="26">
        <f t="shared" si="259"/>
        <v>4771</v>
      </c>
      <c r="W187" s="27">
        <f t="shared" si="260"/>
        <v>21361.908997091061</v>
      </c>
      <c r="X187" s="27">
        <f t="shared" si="261"/>
        <v>9710.2223970411724</v>
      </c>
      <c r="Y187" s="28">
        <f t="shared" si="262"/>
        <v>12</v>
      </c>
      <c r="Z187" s="27">
        <f t="shared" si="263"/>
        <v>4802.3280378180471</v>
      </c>
      <c r="AA187" s="27">
        <f t="shared" si="264"/>
        <v>7161.8910516064816</v>
      </c>
      <c r="AB187" s="27">
        <f t="shared" si="265"/>
        <v>21568.875165060625</v>
      </c>
      <c r="AC187" s="27">
        <f t="shared" si="266"/>
        <v>129000</v>
      </c>
      <c r="AD187" s="29">
        <f t="shared" si="267"/>
        <v>16.720058267488859</v>
      </c>
      <c r="AE187" s="30" t="str">
        <f t="shared" si="268"/>
        <v>PASS</v>
      </c>
      <c r="AG187" s="4"/>
      <c r="AH187" s="31">
        <f t="shared" si="269"/>
        <v>0</v>
      </c>
      <c r="AI187" s="31">
        <f t="shared" si="270"/>
        <v>-3058</v>
      </c>
      <c r="AJ187" s="31">
        <f t="shared" si="271"/>
        <v>9621.2999999999993</v>
      </c>
      <c r="AK187" s="31">
        <f t="shared" si="272"/>
        <v>7401</v>
      </c>
      <c r="AL187" s="31">
        <f t="shared" si="273"/>
        <v>-9188.4</v>
      </c>
      <c r="AM187" s="31">
        <f t="shared" si="274"/>
        <v>0</v>
      </c>
      <c r="AN187" s="32">
        <f t="shared" si="275"/>
        <v>7401</v>
      </c>
      <c r="AO187" s="27">
        <f t="shared" si="276"/>
        <v>-12246.4</v>
      </c>
      <c r="AP187" s="27">
        <f t="shared" si="277"/>
        <v>9621.2999999999993</v>
      </c>
      <c r="AQ187" s="27">
        <f t="shared" si="278"/>
        <v>1958</v>
      </c>
      <c r="AR187" s="27">
        <f t="shared" si="279"/>
        <v>-5773.4</v>
      </c>
      <c r="AS187" s="33">
        <f t="shared" si="280"/>
        <v>14392.3</v>
      </c>
    </row>
    <row r="188" spans="2:45" x14ac:dyDescent="0.25">
      <c r="B188" s="34">
        <f t="shared" ref="B188:F188" si="286">IF(B187="","",B187)</f>
        <v>11740</v>
      </c>
      <c r="C188" s="26">
        <f t="shared" si="286"/>
        <v>20</v>
      </c>
      <c r="D188" s="26">
        <f t="shared" si="286"/>
        <v>-500</v>
      </c>
      <c r="E188" s="26">
        <f t="shared" si="286"/>
        <v>0</v>
      </c>
      <c r="F188" s="26">
        <f t="shared" si="286"/>
        <v>-650</v>
      </c>
      <c r="G188" s="24">
        <v>13694</v>
      </c>
      <c r="H188" s="24">
        <v>-11964</v>
      </c>
      <c r="I188" s="24">
        <v>-4496</v>
      </c>
      <c r="J188" s="24">
        <v>-6960</v>
      </c>
      <c r="K188" s="24">
        <v>6646</v>
      </c>
      <c r="L188" s="24">
        <v>-6615</v>
      </c>
      <c r="M188" s="44" t="str">
        <f t="shared" si="250"/>
        <v>32(OPE)</v>
      </c>
      <c r="N188" s="26">
        <f t="shared" si="251"/>
        <v>-650</v>
      </c>
      <c r="O188" s="26">
        <f t="shared" si="252"/>
        <v>0</v>
      </c>
      <c r="P188" s="26">
        <f t="shared" si="253"/>
        <v>500</v>
      </c>
      <c r="Q188" s="26">
        <f t="shared" si="254"/>
        <v>-4496</v>
      </c>
      <c r="R188" s="26">
        <f t="shared" si="255"/>
        <v>-11964</v>
      </c>
      <c r="S188" s="26">
        <f t="shared" si="256"/>
        <v>-13694</v>
      </c>
      <c r="T188" s="26">
        <f t="shared" si="257"/>
        <v>-6615</v>
      </c>
      <c r="U188" s="26">
        <f t="shared" si="258"/>
        <v>6646</v>
      </c>
      <c r="V188" s="26">
        <f t="shared" si="259"/>
        <v>6960</v>
      </c>
      <c r="W188" s="27">
        <f t="shared" si="260"/>
        <v>18731.709692390603</v>
      </c>
      <c r="X188" s="27">
        <f t="shared" si="261"/>
        <v>11677.719854492143</v>
      </c>
      <c r="Y188" s="28">
        <f t="shared" si="262"/>
        <v>12</v>
      </c>
      <c r="Z188" s="27">
        <f t="shared" si="263"/>
        <v>4211.0381925269467</v>
      </c>
      <c r="AA188" s="27">
        <f t="shared" si="264"/>
        <v>8613.0424113189347</v>
      </c>
      <c r="AB188" s="27">
        <f t="shared" si="265"/>
        <v>21246.156988899776</v>
      </c>
      <c r="AC188" s="27">
        <f t="shared" si="266"/>
        <v>129000</v>
      </c>
      <c r="AD188" s="29">
        <f t="shared" si="267"/>
        <v>16.469889138681999</v>
      </c>
      <c r="AE188" s="30" t="str">
        <f t="shared" si="268"/>
        <v>PASS</v>
      </c>
      <c r="AG188" s="4"/>
      <c r="AH188" s="31">
        <f t="shared" si="269"/>
        <v>0</v>
      </c>
      <c r="AI188" s="31">
        <f t="shared" si="270"/>
        <v>-2248</v>
      </c>
      <c r="AJ188" s="31">
        <f t="shared" si="271"/>
        <v>7776.6</v>
      </c>
      <c r="AK188" s="31">
        <f t="shared" si="272"/>
        <v>5982</v>
      </c>
      <c r="AL188" s="31">
        <f t="shared" si="273"/>
        <v>-8901.1</v>
      </c>
      <c r="AM188" s="31">
        <f t="shared" si="274"/>
        <v>0</v>
      </c>
      <c r="AN188" s="32">
        <f t="shared" si="275"/>
        <v>5982</v>
      </c>
      <c r="AO188" s="27">
        <f t="shared" si="276"/>
        <v>-11149.1</v>
      </c>
      <c r="AP188" s="27">
        <f t="shared" si="277"/>
        <v>7776.6</v>
      </c>
      <c r="AQ188" s="27">
        <f t="shared" si="278"/>
        <v>-633</v>
      </c>
      <c r="AR188" s="27">
        <f t="shared" si="279"/>
        <v>-4503.1000000000004</v>
      </c>
      <c r="AS188" s="33">
        <f t="shared" si="280"/>
        <v>14736.6</v>
      </c>
    </row>
    <row r="189" spans="2:45" x14ac:dyDescent="0.25">
      <c r="B189" s="34">
        <f t="shared" ref="B189:F189" si="287">IF(B188="","",B188)</f>
        <v>11740</v>
      </c>
      <c r="C189" s="26">
        <f t="shared" si="287"/>
        <v>20</v>
      </c>
      <c r="D189" s="26">
        <f t="shared" si="287"/>
        <v>-500</v>
      </c>
      <c r="E189" s="26">
        <f t="shared" si="287"/>
        <v>0</v>
      </c>
      <c r="F189" s="26">
        <f t="shared" si="287"/>
        <v>-650</v>
      </c>
      <c r="G189" s="24">
        <v>13907</v>
      </c>
      <c r="H189" s="24">
        <v>-12093</v>
      </c>
      <c r="I189" s="24">
        <v>-8328</v>
      </c>
      <c r="J189" s="24">
        <v>-7681</v>
      </c>
      <c r="K189" s="24">
        <v>4999</v>
      </c>
      <c r="L189" s="24">
        <v>-6890</v>
      </c>
      <c r="M189" s="44" t="str">
        <f t="shared" si="250"/>
        <v>33(OPE)</v>
      </c>
      <c r="N189" s="26">
        <f t="shared" si="251"/>
        <v>-650</v>
      </c>
      <c r="O189" s="26">
        <f t="shared" si="252"/>
        <v>0</v>
      </c>
      <c r="P189" s="26">
        <f t="shared" si="253"/>
        <v>500</v>
      </c>
      <c r="Q189" s="26">
        <f t="shared" si="254"/>
        <v>-8328</v>
      </c>
      <c r="R189" s="26">
        <f t="shared" si="255"/>
        <v>-12093</v>
      </c>
      <c r="S189" s="26">
        <f t="shared" si="256"/>
        <v>-13907</v>
      </c>
      <c r="T189" s="26">
        <f t="shared" si="257"/>
        <v>-6890</v>
      </c>
      <c r="U189" s="26">
        <f t="shared" si="258"/>
        <v>4999</v>
      </c>
      <c r="V189" s="26">
        <f t="shared" si="259"/>
        <v>7681</v>
      </c>
      <c r="W189" s="27">
        <f t="shared" si="260"/>
        <v>20223.77022219151</v>
      </c>
      <c r="X189" s="27">
        <f t="shared" si="261"/>
        <v>11465.594707646002</v>
      </c>
      <c r="Y189" s="28">
        <f t="shared" si="262"/>
        <v>12</v>
      </c>
      <c r="Z189" s="27">
        <f t="shared" si="263"/>
        <v>4546.4653361104292</v>
      </c>
      <c r="AA189" s="27">
        <f t="shared" si="264"/>
        <v>8456.5869637608012</v>
      </c>
      <c r="AB189" s="27">
        <f t="shared" si="265"/>
        <v>22095.98297209209</v>
      </c>
      <c r="AC189" s="27">
        <f t="shared" si="266"/>
        <v>129000</v>
      </c>
      <c r="AD189" s="29">
        <f t="shared" si="267"/>
        <v>17.128668970614022</v>
      </c>
      <c r="AE189" s="30" t="str">
        <f t="shared" si="268"/>
        <v>PASS</v>
      </c>
      <c r="AG189" s="4"/>
      <c r="AH189" s="31">
        <f t="shared" si="269"/>
        <v>0</v>
      </c>
      <c r="AI189" s="31">
        <f t="shared" si="270"/>
        <v>-4164</v>
      </c>
      <c r="AJ189" s="31">
        <f t="shared" si="271"/>
        <v>7860.45</v>
      </c>
      <c r="AK189" s="31">
        <f t="shared" si="272"/>
        <v>6046.5</v>
      </c>
      <c r="AL189" s="31">
        <f t="shared" si="273"/>
        <v>-9039.5499999999993</v>
      </c>
      <c r="AM189" s="31">
        <f t="shared" si="274"/>
        <v>0</v>
      </c>
      <c r="AN189" s="32">
        <f t="shared" si="275"/>
        <v>6046.5</v>
      </c>
      <c r="AO189" s="27">
        <f t="shared" si="276"/>
        <v>-13203.55</v>
      </c>
      <c r="AP189" s="27">
        <f t="shared" si="277"/>
        <v>7860.45</v>
      </c>
      <c r="AQ189" s="27">
        <f t="shared" si="278"/>
        <v>-843.5</v>
      </c>
      <c r="AR189" s="27">
        <f t="shared" si="279"/>
        <v>-8204.5499999999993</v>
      </c>
      <c r="AS189" s="33">
        <f t="shared" si="280"/>
        <v>15541.45</v>
      </c>
    </row>
    <row r="190" spans="2:45" hidden="1" x14ac:dyDescent="0.25">
      <c r="B190" s="34">
        <f t="shared" ref="B190:F190" si="288">IF(B189="","",B189)</f>
        <v>11740</v>
      </c>
      <c r="C190" s="26">
        <f t="shared" si="288"/>
        <v>20</v>
      </c>
      <c r="D190" s="26">
        <f t="shared" si="288"/>
        <v>-500</v>
      </c>
      <c r="E190" s="26">
        <f t="shared" si="288"/>
        <v>0</v>
      </c>
      <c r="F190" s="26">
        <f t="shared" si="288"/>
        <v>-650</v>
      </c>
      <c r="G190" s="24"/>
      <c r="H190" s="24"/>
      <c r="I190" s="24"/>
      <c r="J190" s="24"/>
      <c r="K190" s="24"/>
      <c r="L190" s="24"/>
      <c r="M190" s="44" t="str">
        <f t="shared" si="250"/>
        <v/>
      </c>
      <c r="N190" s="26" t="str">
        <f t="shared" si="251"/>
        <v/>
      </c>
      <c r="O190" s="26" t="str">
        <f t="shared" si="252"/>
        <v/>
      </c>
      <c r="P190" s="26" t="str">
        <f t="shared" si="253"/>
        <v/>
      </c>
      <c r="Q190" s="26">
        <f t="shared" si="254"/>
        <v>0</v>
      </c>
      <c r="R190" s="26">
        <f t="shared" si="255"/>
        <v>0</v>
      </c>
      <c r="S190" s="26">
        <f t="shared" si="256"/>
        <v>0</v>
      </c>
      <c r="T190" s="26" t="str">
        <f t="shared" si="257"/>
        <v/>
      </c>
      <c r="U190" s="26" t="str">
        <f t="shared" si="258"/>
        <v/>
      </c>
      <c r="V190" s="26" t="str">
        <f t="shared" si="259"/>
        <v/>
      </c>
      <c r="W190" s="27" t="str">
        <f t="shared" si="260"/>
        <v/>
      </c>
      <c r="X190" s="27" t="str">
        <f t="shared" si="261"/>
        <v/>
      </c>
      <c r="Y190" s="28" t="str">
        <f t="shared" si="262"/>
        <v/>
      </c>
      <c r="Z190" s="27" t="str">
        <f t="shared" si="263"/>
        <v/>
      </c>
      <c r="AA190" s="27" t="str">
        <f t="shared" si="264"/>
        <v/>
      </c>
      <c r="AB190" s="27" t="str">
        <f t="shared" si="265"/>
        <v/>
      </c>
      <c r="AC190" s="27" t="str">
        <f t="shared" si="266"/>
        <v/>
      </c>
      <c r="AD190" s="29" t="str">
        <f t="shared" si="267"/>
        <v/>
      </c>
      <c r="AE190" s="30" t="str">
        <f t="shared" si="268"/>
        <v/>
      </c>
      <c r="AG190" s="4"/>
      <c r="AH190" s="31" t="e">
        <f t="shared" si="269"/>
        <v>#VALUE!</v>
      </c>
      <c r="AI190" s="31" t="e">
        <f t="shared" si="270"/>
        <v>#VALUE!</v>
      </c>
      <c r="AJ190" s="31" t="e">
        <f t="shared" si="271"/>
        <v>#VALUE!</v>
      </c>
      <c r="AK190" s="31" t="e">
        <f t="shared" si="272"/>
        <v>#VALUE!</v>
      </c>
      <c r="AL190" s="31" t="e">
        <f t="shared" si="273"/>
        <v>#VALUE!</v>
      </c>
      <c r="AM190" s="31" t="e">
        <f t="shared" si="274"/>
        <v>#VALUE!</v>
      </c>
      <c r="AN190" s="32" t="str">
        <f t="shared" si="275"/>
        <v/>
      </c>
      <c r="AO190" s="27" t="str">
        <f t="shared" si="276"/>
        <v/>
      </c>
      <c r="AP190" s="27" t="str">
        <f t="shared" si="277"/>
        <v/>
      </c>
      <c r="AQ190" s="27">
        <f t="shared" si="278"/>
        <v>0</v>
      </c>
      <c r="AR190" s="27">
        <f t="shared" si="279"/>
        <v>0</v>
      </c>
      <c r="AS190" s="33">
        <f t="shared" si="280"/>
        <v>0</v>
      </c>
    </row>
    <row r="191" spans="2:45" hidden="1" x14ac:dyDescent="0.25">
      <c r="B191" s="34">
        <f t="shared" ref="B191:F191" si="289">IF(B190="","",B190)</f>
        <v>11740</v>
      </c>
      <c r="C191" s="26">
        <f t="shared" si="289"/>
        <v>20</v>
      </c>
      <c r="D191" s="26">
        <f t="shared" si="289"/>
        <v>-500</v>
      </c>
      <c r="E191" s="26">
        <f t="shared" si="289"/>
        <v>0</v>
      </c>
      <c r="F191" s="26">
        <f t="shared" si="289"/>
        <v>-650</v>
      </c>
      <c r="G191" s="24"/>
      <c r="H191" s="24"/>
      <c r="I191" s="24"/>
      <c r="J191" s="24"/>
      <c r="K191" s="24"/>
      <c r="L191" s="24"/>
      <c r="M191" s="44" t="str">
        <f t="shared" si="250"/>
        <v/>
      </c>
      <c r="N191" s="26" t="str">
        <f t="shared" si="251"/>
        <v/>
      </c>
      <c r="O191" s="26" t="str">
        <f t="shared" si="252"/>
        <v/>
      </c>
      <c r="P191" s="26" t="str">
        <f t="shared" si="253"/>
        <v/>
      </c>
      <c r="Q191" s="26">
        <f t="shared" si="254"/>
        <v>0</v>
      </c>
      <c r="R191" s="26">
        <f t="shared" si="255"/>
        <v>0</v>
      </c>
      <c r="S191" s="26">
        <f t="shared" si="256"/>
        <v>0</v>
      </c>
      <c r="T191" s="26" t="str">
        <f t="shared" si="257"/>
        <v/>
      </c>
      <c r="U191" s="26" t="str">
        <f t="shared" si="258"/>
        <v/>
      </c>
      <c r="V191" s="26" t="str">
        <f t="shared" si="259"/>
        <v/>
      </c>
      <c r="W191" s="27" t="str">
        <f t="shared" si="260"/>
        <v/>
      </c>
      <c r="X191" s="27" t="str">
        <f t="shared" si="261"/>
        <v/>
      </c>
      <c r="Y191" s="28" t="str">
        <f t="shared" si="262"/>
        <v/>
      </c>
      <c r="Z191" s="27" t="str">
        <f t="shared" si="263"/>
        <v/>
      </c>
      <c r="AA191" s="27" t="str">
        <f t="shared" si="264"/>
        <v/>
      </c>
      <c r="AB191" s="27" t="str">
        <f t="shared" si="265"/>
        <v/>
      </c>
      <c r="AC191" s="27" t="str">
        <f t="shared" si="266"/>
        <v/>
      </c>
      <c r="AD191" s="29" t="str">
        <f t="shared" si="267"/>
        <v/>
      </c>
      <c r="AE191" s="30" t="str">
        <f t="shared" si="268"/>
        <v/>
      </c>
      <c r="AG191" s="4"/>
      <c r="AH191" s="31" t="e">
        <f t="shared" si="269"/>
        <v>#VALUE!</v>
      </c>
      <c r="AI191" s="31" t="e">
        <f t="shared" si="270"/>
        <v>#VALUE!</v>
      </c>
      <c r="AJ191" s="31" t="e">
        <f t="shared" si="271"/>
        <v>#VALUE!</v>
      </c>
      <c r="AK191" s="31" t="e">
        <f t="shared" si="272"/>
        <v>#VALUE!</v>
      </c>
      <c r="AL191" s="31" t="e">
        <f t="shared" si="273"/>
        <v>#VALUE!</v>
      </c>
      <c r="AM191" s="31" t="e">
        <f t="shared" si="274"/>
        <v>#VALUE!</v>
      </c>
      <c r="AN191" s="32" t="str">
        <f t="shared" si="275"/>
        <v/>
      </c>
      <c r="AO191" s="27" t="str">
        <f t="shared" si="276"/>
        <v/>
      </c>
      <c r="AP191" s="27" t="str">
        <f t="shared" si="277"/>
        <v/>
      </c>
      <c r="AQ191" s="27">
        <f t="shared" si="278"/>
        <v>0</v>
      </c>
      <c r="AR191" s="27">
        <f t="shared" si="279"/>
        <v>0</v>
      </c>
      <c r="AS191" s="33">
        <f t="shared" si="280"/>
        <v>0</v>
      </c>
    </row>
    <row r="192" spans="2:45" hidden="1" x14ac:dyDescent="0.25">
      <c r="B192" s="34">
        <f t="shared" ref="B192:F192" si="290">IF(B191="","",B191)</f>
        <v>11740</v>
      </c>
      <c r="C192" s="26">
        <f t="shared" si="290"/>
        <v>20</v>
      </c>
      <c r="D192" s="26">
        <f t="shared" si="290"/>
        <v>-500</v>
      </c>
      <c r="E192" s="26">
        <f t="shared" si="290"/>
        <v>0</v>
      </c>
      <c r="F192" s="26">
        <f t="shared" si="290"/>
        <v>-650</v>
      </c>
      <c r="G192" s="24"/>
      <c r="H192" s="24"/>
      <c r="I192" s="24"/>
      <c r="J192" s="24"/>
      <c r="K192" s="24"/>
      <c r="L192" s="24"/>
      <c r="M192" s="44" t="str">
        <f t="shared" si="250"/>
        <v/>
      </c>
      <c r="N192" s="26" t="str">
        <f t="shared" si="251"/>
        <v/>
      </c>
      <c r="O192" s="26" t="str">
        <f t="shared" si="252"/>
        <v/>
      </c>
      <c r="P192" s="26" t="str">
        <f t="shared" si="253"/>
        <v/>
      </c>
      <c r="Q192" s="26">
        <f t="shared" si="254"/>
        <v>0</v>
      </c>
      <c r="R192" s="26">
        <f t="shared" si="255"/>
        <v>0</v>
      </c>
      <c r="S192" s="26">
        <f t="shared" si="256"/>
        <v>0</v>
      </c>
      <c r="T192" s="26" t="str">
        <f t="shared" si="257"/>
        <v/>
      </c>
      <c r="U192" s="26" t="str">
        <f t="shared" si="258"/>
        <v/>
      </c>
      <c r="V192" s="26" t="str">
        <f t="shared" si="259"/>
        <v/>
      </c>
      <c r="W192" s="27" t="str">
        <f t="shared" si="260"/>
        <v/>
      </c>
      <c r="X192" s="27" t="str">
        <f t="shared" si="261"/>
        <v/>
      </c>
      <c r="Y192" s="28" t="str">
        <f t="shared" si="262"/>
        <v/>
      </c>
      <c r="Z192" s="27" t="str">
        <f t="shared" si="263"/>
        <v/>
      </c>
      <c r="AA192" s="27" t="str">
        <f t="shared" si="264"/>
        <v/>
      </c>
      <c r="AB192" s="27" t="str">
        <f t="shared" si="265"/>
        <v/>
      </c>
      <c r="AC192" s="27" t="str">
        <f t="shared" si="266"/>
        <v/>
      </c>
      <c r="AD192" s="29" t="str">
        <f t="shared" si="267"/>
        <v/>
      </c>
      <c r="AE192" s="30" t="str">
        <f t="shared" si="268"/>
        <v/>
      </c>
      <c r="AG192" s="4"/>
      <c r="AH192" s="31" t="e">
        <f t="shared" si="269"/>
        <v>#VALUE!</v>
      </c>
      <c r="AI192" s="31" t="e">
        <f t="shared" si="270"/>
        <v>#VALUE!</v>
      </c>
      <c r="AJ192" s="31" t="e">
        <f t="shared" si="271"/>
        <v>#VALUE!</v>
      </c>
      <c r="AK192" s="31" t="e">
        <f t="shared" si="272"/>
        <v>#VALUE!</v>
      </c>
      <c r="AL192" s="31" t="e">
        <f t="shared" si="273"/>
        <v>#VALUE!</v>
      </c>
      <c r="AM192" s="31" t="e">
        <f t="shared" si="274"/>
        <v>#VALUE!</v>
      </c>
      <c r="AN192" s="32" t="str">
        <f t="shared" si="275"/>
        <v/>
      </c>
      <c r="AO192" s="27" t="str">
        <f t="shared" si="276"/>
        <v/>
      </c>
      <c r="AP192" s="27" t="str">
        <f t="shared" si="277"/>
        <v/>
      </c>
      <c r="AQ192" s="27">
        <f t="shared" si="278"/>
        <v>0</v>
      </c>
      <c r="AR192" s="27">
        <f t="shared" si="279"/>
        <v>0</v>
      </c>
      <c r="AS192" s="33">
        <f t="shared" si="280"/>
        <v>0</v>
      </c>
    </row>
    <row r="193" spans="2:45" hidden="1" x14ac:dyDescent="0.25">
      <c r="B193" s="34">
        <f t="shared" ref="B193:F193" si="291">IF(B192="","",B192)</f>
        <v>11740</v>
      </c>
      <c r="C193" s="26">
        <f t="shared" si="291"/>
        <v>20</v>
      </c>
      <c r="D193" s="26">
        <f t="shared" si="291"/>
        <v>-500</v>
      </c>
      <c r="E193" s="26">
        <f t="shared" si="291"/>
        <v>0</v>
      </c>
      <c r="F193" s="26">
        <f t="shared" si="291"/>
        <v>-650</v>
      </c>
      <c r="G193" s="24"/>
      <c r="H193" s="24"/>
      <c r="I193" s="24"/>
      <c r="J193" s="24"/>
      <c r="K193" s="24"/>
      <c r="L193" s="24"/>
      <c r="M193" s="44" t="str">
        <f t="shared" si="250"/>
        <v/>
      </c>
      <c r="N193" s="26" t="str">
        <f t="shared" si="251"/>
        <v/>
      </c>
      <c r="O193" s="26" t="str">
        <f t="shared" si="252"/>
        <v/>
      </c>
      <c r="P193" s="26" t="str">
        <f t="shared" si="253"/>
        <v/>
      </c>
      <c r="Q193" s="26">
        <f t="shared" si="254"/>
        <v>0</v>
      </c>
      <c r="R193" s="26">
        <f t="shared" si="255"/>
        <v>0</v>
      </c>
      <c r="S193" s="26">
        <f t="shared" si="256"/>
        <v>0</v>
      </c>
      <c r="T193" s="26" t="str">
        <f t="shared" si="257"/>
        <v/>
      </c>
      <c r="U193" s="26" t="str">
        <f t="shared" si="258"/>
        <v/>
      </c>
      <c r="V193" s="26" t="str">
        <f t="shared" si="259"/>
        <v/>
      </c>
      <c r="W193" s="27" t="str">
        <f t="shared" si="260"/>
        <v/>
      </c>
      <c r="X193" s="27" t="str">
        <f t="shared" si="261"/>
        <v/>
      </c>
      <c r="Y193" s="28" t="str">
        <f t="shared" si="262"/>
        <v/>
      </c>
      <c r="Z193" s="27" t="str">
        <f t="shared" si="263"/>
        <v/>
      </c>
      <c r="AA193" s="27" t="str">
        <f t="shared" si="264"/>
        <v/>
      </c>
      <c r="AB193" s="27" t="str">
        <f t="shared" si="265"/>
        <v/>
      </c>
      <c r="AC193" s="27" t="str">
        <f t="shared" si="266"/>
        <v/>
      </c>
      <c r="AD193" s="29" t="str">
        <f t="shared" si="267"/>
        <v/>
      </c>
      <c r="AE193" s="30" t="str">
        <f t="shared" si="268"/>
        <v/>
      </c>
      <c r="AG193" s="4"/>
      <c r="AH193" s="31" t="e">
        <f t="shared" si="269"/>
        <v>#VALUE!</v>
      </c>
      <c r="AI193" s="31" t="e">
        <f t="shared" si="270"/>
        <v>#VALUE!</v>
      </c>
      <c r="AJ193" s="31" t="e">
        <f t="shared" si="271"/>
        <v>#VALUE!</v>
      </c>
      <c r="AK193" s="31" t="e">
        <f t="shared" si="272"/>
        <v>#VALUE!</v>
      </c>
      <c r="AL193" s="31" t="e">
        <f t="shared" si="273"/>
        <v>#VALUE!</v>
      </c>
      <c r="AM193" s="31" t="e">
        <f t="shared" si="274"/>
        <v>#VALUE!</v>
      </c>
      <c r="AN193" s="32" t="str">
        <f t="shared" si="275"/>
        <v/>
      </c>
      <c r="AO193" s="27" t="str">
        <f t="shared" si="276"/>
        <v/>
      </c>
      <c r="AP193" s="27" t="str">
        <f t="shared" si="277"/>
        <v/>
      </c>
      <c r="AQ193" s="27">
        <f t="shared" si="278"/>
        <v>0</v>
      </c>
      <c r="AR193" s="27">
        <f t="shared" si="279"/>
        <v>0</v>
      </c>
      <c r="AS193" s="33">
        <f t="shared" si="280"/>
        <v>0</v>
      </c>
    </row>
    <row r="194" spans="2:45" hidden="1" x14ac:dyDescent="0.25">
      <c r="B194" s="34">
        <f t="shared" ref="B194:F194" si="292">IF(B193="","",B193)</f>
        <v>11740</v>
      </c>
      <c r="C194" s="26">
        <f t="shared" si="292"/>
        <v>20</v>
      </c>
      <c r="D194" s="26">
        <f t="shared" si="292"/>
        <v>-500</v>
      </c>
      <c r="E194" s="26">
        <f t="shared" si="292"/>
        <v>0</v>
      </c>
      <c r="F194" s="26">
        <f t="shared" si="292"/>
        <v>-650</v>
      </c>
      <c r="G194" s="24"/>
      <c r="H194" s="24"/>
      <c r="I194" s="24"/>
      <c r="J194" s="24"/>
      <c r="K194" s="24"/>
      <c r="L194" s="24"/>
      <c r="M194" s="44" t="str">
        <f t="shared" si="250"/>
        <v/>
      </c>
      <c r="N194" s="26" t="str">
        <f t="shared" si="251"/>
        <v/>
      </c>
      <c r="O194" s="26" t="str">
        <f t="shared" si="252"/>
        <v/>
      </c>
      <c r="P194" s="26" t="str">
        <f t="shared" si="253"/>
        <v/>
      </c>
      <c r="Q194" s="26">
        <f t="shared" si="254"/>
        <v>0</v>
      </c>
      <c r="R194" s="26">
        <f t="shared" si="255"/>
        <v>0</v>
      </c>
      <c r="S194" s="26">
        <f t="shared" si="256"/>
        <v>0</v>
      </c>
      <c r="T194" s="26" t="str">
        <f t="shared" si="257"/>
        <v/>
      </c>
      <c r="U194" s="26" t="str">
        <f t="shared" si="258"/>
        <v/>
      </c>
      <c r="V194" s="26" t="str">
        <f t="shared" si="259"/>
        <v/>
      </c>
      <c r="W194" s="27" t="str">
        <f t="shared" si="260"/>
        <v/>
      </c>
      <c r="X194" s="27" t="str">
        <f t="shared" si="261"/>
        <v/>
      </c>
      <c r="Y194" s="28" t="str">
        <f t="shared" si="262"/>
        <v/>
      </c>
      <c r="Z194" s="27" t="str">
        <f t="shared" si="263"/>
        <v/>
      </c>
      <c r="AA194" s="27" t="str">
        <f t="shared" si="264"/>
        <v/>
      </c>
      <c r="AB194" s="27" t="str">
        <f t="shared" si="265"/>
        <v/>
      </c>
      <c r="AC194" s="27" t="str">
        <f t="shared" si="266"/>
        <v/>
      </c>
      <c r="AD194" s="29" t="str">
        <f t="shared" si="267"/>
        <v/>
      </c>
      <c r="AE194" s="30" t="str">
        <f t="shared" si="268"/>
        <v/>
      </c>
      <c r="AG194" s="4"/>
      <c r="AH194" s="31" t="e">
        <f t="shared" si="269"/>
        <v>#VALUE!</v>
      </c>
      <c r="AI194" s="31" t="e">
        <f t="shared" si="270"/>
        <v>#VALUE!</v>
      </c>
      <c r="AJ194" s="31" t="e">
        <f t="shared" si="271"/>
        <v>#VALUE!</v>
      </c>
      <c r="AK194" s="31" t="e">
        <f t="shared" si="272"/>
        <v>#VALUE!</v>
      </c>
      <c r="AL194" s="31" t="e">
        <f t="shared" si="273"/>
        <v>#VALUE!</v>
      </c>
      <c r="AM194" s="31" t="e">
        <f t="shared" si="274"/>
        <v>#VALUE!</v>
      </c>
      <c r="AN194" s="32" t="str">
        <f t="shared" si="275"/>
        <v/>
      </c>
      <c r="AO194" s="27" t="str">
        <f t="shared" si="276"/>
        <v/>
      </c>
      <c r="AP194" s="27" t="str">
        <f t="shared" si="277"/>
        <v/>
      </c>
      <c r="AQ194" s="27">
        <f t="shared" si="278"/>
        <v>0</v>
      </c>
      <c r="AR194" s="27">
        <f t="shared" si="279"/>
        <v>0</v>
      </c>
      <c r="AS194" s="33">
        <f t="shared" si="280"/>
        <v>0</v>
      </c>
    </row>
    <row r="195" spans="2:45" hidden="1" x14ac:dyDescent="0.25">
      <c r="B195" s="34">
        <f t="shared" ref="B195:F195" si="293">IF(B194="","",B194)</f>
        <v>11740</v>
      </c>
      <c r="C195" s="26">
        <f t="shared" si="293"/>
        <v>20</v>
      </c>
      <c r="D195" s="26">
        <f t="shared" si="293"/>
        <v>-500</v>
      </c>
      <c r="E195" s="26">
        <f t="shared" si="293"/>
        <v>0</v>
      </c>
      <c r="F195" s="26">
        <f t="shared" si="293"/>
        <v>-650</v>
      </c>
      <c r="G195" s="24"/>
      <c r="H195" s="24"/>
      <c r="I195" s="24"/>
      <c r="J195" s="24"/>
      <c r="K195" s="24"/>
      <c r="L195" s="24"/>
      <c r="M195" s="44" t="str">
        <f t="shared" si="250"/>
        <v/>
      </c>
      <c r="N195" s="26" t="str">
        <f t="shared" si="251"/>
        <v/>
      </c>
      <c r="O195" s="26" t="str">
        <f t="shared" si="252"/>
        <v/>
      </c>
      <c r="P195" s="26" t="str">
        <f t="shared" si="253"/>
        <v/>
      </c>
      <c r="Q195" s="26">
        <f t="shared" si="254"/>
        <v>0</v>
      </c>
      <c r="R195" s="26">
        <f t="shared" si="255"/>
        <v>0</v>
      </c>
      <c r="S195" s="26">
        <f t="shared" si="256"/>
        <v>0</v>
      </c>
      <c r="T195" s="26" t="str">
        <f t="shared" si="257"/>
        <v/>
      </c>
      <c r="U195" s="26" t="str">
        <f t="shared" si="258"/>
        <v/>
      </c>
      <c r="V195" s="26" t="str">
        <f t="shared" si="259"/>
        <v/>
      </c>
      <c r="W195" s="27" t="str">
        <f t="shared" si="260"/>
        <v/>
      </c>
      <c r="X195" s="27" t="str">
        <f t="shared" si="261"/>
        <v/>
      </c>
      <c r="Y195" s="28" t="str">
        <f t="shared" si="262"/>
        <v/>
      </c>
      <c r="Z195" s="27" t="str">
        <f t="shared" si="263"/>
        <v/>
      </c>
      <c r="AA195" s="27" t="str">
        <f t="shared" si="264"/>
        <v/>
      </c>
      <c r="AB195" s="27" t="str">
        <f t="shared" si="265"/>
        <v/>
      </c>
      <c r="AC195" s="27" t="str">
        <f t="shared" si="266"/>
        <v/>
      </c>
      <c r="AD195" s="29" t="str">
        <f t="shared" si="267"/>
        <v/>
      </c>
      <c r="AE195" s="30" t="str">
        <f t="shared" si="268"/>
        <v/>
      </c>
      <c r="AG195" s="4"/>
      <c r="AH195" s="31" t="e">
        <f t="shared" si="269"/>
        <v>#VALUE!</v>
      </c>
      <c r="AI195" s="31" t="e">
        <f t="shared" si="270"/>
        <v>#VALUE!</v>
      </c>
      <c r="AJ195" s="31" t="e">
        <f t="shared" si="271"/>
        <v>#VALUE!</v>
      </c>
      <c r="AK195" s="31" t="e">
        <f t="shared" si="272"/>
        <v>#VALUE!</v>
      </c>
      <c r="AL195" s="31" t="e">
        <f t="shared" si="273"/>
        <v>#VALUE!</v>
      </c>
      <c r="AM195" s="31" t="e">
        <f t="shared" si="274"/>
        <v>#VALUE!</v>
      </c>
      <c r="AN195" s="32" t="str">
        <f t="shared" si="275"/>
        <v/>
      </c>
      <c r="AO195" s="27" t="str">
        <f t="shared" si="276"/>
        <v/>
      </c>
      <c r="AP195" s="27" t="str">
        <f t="shared" si="277"/>
        <v/>
      </c>
      <c r="AQ195" s="27">
        <f t="shared" si="278"/>
        <v>0</v>
      </c>
      <c r="AR195" s="27">
        <f t="shared" si="279"/>
        <v>0</v>
      </c>
      <c r="AS195" s="33">
        <f t="shared" si="280"/>
        <v>0</v>
      </c>
    </row>
    <row r="196" spans="2:45" hidden="1" x14ac:dyDescent="0.25">
      <c r="B196" s="34">
        <f t="shared" ref="B196:F196" si="294">IF(B195="","",B195)</f>
        <v>11740</v>
      </c>
      <c r="C196" s="26">
        <f t="shared" si="294"/>
        <v>20</v>
      </c>
      <c r="D196" s="26">
        <f t="shared" si="294"/>
        <v>-500</v>
      </c>
      <c r="E196" s="26">
        <f t="shared" si="294"/>
        <v>0</v>
      </c>
      <c r="F196" s="26">
        <f t="shared" si="294"/>
        <v>-650</v>
      </c>
      <c r="G196" s="24"/>
      <c r="H196" s="24"/>
      <c r="I196" s="24"/>
      <c r="J196" s="24"/>
      <c r="K196" s="24"/>
      <c r="L196" s="24"/>
      <c r="M196" s="44" t="str">
        <f t="shared" si="250"/>
        <v/>
      </c>
      <c r="N196" s="26" t="str">
        <f t="shared" si="251"/>
        <v/>
      </c>
      <c r="O196" s="26" t="str">
        <f t="shared" si="252"/>
        <v/>
      </c>
      <c r="P196" s="26" t="str">
        <f t="shared" si="253"/>
        <v/>
      </c>
      <c r="Q196" s="26">
        <f t="shared" si="254"/>
        <v>0</v>
      </c>
      <c r="R196" s="26">
        <f t="shared" si="255"/>
        <v>0</v>
      </c>
      <c r="S196" s="26">
        <f t="shared" si="256"/>
        <v>0</v>
      </c>
      <c r="T196" s="26" t="str">
        <f t="shared" si="257"/>
        <v/>
      </c>
      <c r="U196" s="26" t="str">
        <f t="shared" si="258"/>
        <v/>
      </c>
      <c r="V196" s="26" t="str">
        <f t="shared" si="259"/>
        <v/>
      </c>
      <c r="W196" s="27" t="str">
        <f t="shared" si="260"/>
        <v/>
      </c>
      <c r="X196" s="27" t="str">
        <f t="shared" si="261"/>
        <v/>
      </c>
      <c r="Y196" s="28" t="str">
        <f t="shared" si="262"/>
        <v/>
      </c>
      <c r="Z196" s="27" t="str">
        <f t="shared" si="263"/>
        <v/>
      </c>
      <c r="AA196" s="27" t="str">
        <f t="shared" si="264"/>
        <v/>
      </c>
      <c r="AB196" s="27" t="str">
        <f t="shared" si="265"/>
        <v/>
      </c>
      <c r="AC196" s="27" t="str">
        <f t="shared" si="266"/>
        <v/>
      </c>
      <c r="AD196" s="29" t="str">
        <f t="shared" si="267"/>
        <v/>
      </c>
      <c r="AE196" s="30" t="str">
        <f t="shared" si="268"/>
        <v/>
      </c>
      <c r="AG196" s="4"/>
      <c r="AH196" s="31" t="e">
        <f t="shared" si="269"/>
        <v>#VALUE!</v>
      </c>
      <c r="AI196" s="31" t="e">
        <f t="shared" si="270"/>
        <v>#VALUE!</v>
      </c>
      <c r="AJ196" s="31" t="e">
        <f t="shared" si="271"/>
        <v>#VALUE!</v>
      </c>
      <c r="AK196" s="31" t="e">
        <f t="shared" si="272"/>
        <v>#VALUE!</v>
      </c>
      <c r="AL196" s="31" t="e">
        <f t="shared" si="273"/>
        <v>#VALUE!</v>
      </c>
      <c r="AM196" s="31" t="e">
        <f t="shared" si="274"/>
        <v>#VALUE!</v>
      </c>
      <c r="AN196" s="32" t="str">
        <f t="shared" si="275"/>
        <v/>
      </c>
      <c r="AO196" s="27" t="str">
        <f t="shared" si="276"/>
        <v/>
      </c>
      <c r="AP196" s="27" t="str">
        <f t="shared" si="277"/>
        <v/>
      </c>
      <c r="AQ196" s="27">
        <f t="shared" si="278"/>
        <v>0</v>
      </c>
      <c r="AR196" s="27">
        <f t="shared" si="279"/>
        <v>0</v>
      </c>
      <c r="AS196" s="33">
        <f t="shared" si="280"/>
        <v>0</v>
      </c>
    </row>
    <row r="197" spans="2:45" hidden="1" x14ac:dyDescent="0.25">
      <c r="B197" s="34">
        <f>IF(B196="","",B196)</f>
        <v>11740</v>
      </c>
      <c r="C197" s="26">
        <f t="shared" ref="C197:F197" si="295">IF(C196="","",C196)</f>
        <v>20</v>
      </c>
      <c r="D197" s="26">
        <f t="shared" si="295"/>
        <v>-500</v>
      </c>
      <c r="E197" s="26">
        <f t="shared" si="295"/>
        <v>0</v>
      </c>
      <c r="F197" s="26">
        <f t="shared" si="295"/>
        <v>-650</v>
      </c>
      <c r="G197" s="24"/>
      <c r="H197" s="24"/>
      <c r="I197" s="24"/>
      <c r="J197" s="24"/>
      <c r="K197" s="24"/>
      <c r="L197" s="24"/>
      <c r="M197" s="44" t="str">
        <f t="shared" si="250"/>
        <v/>
      </c>
      <c r="N197" s="26" t="str">
        <f t="shared" si="251"/>
        <v/>
      </c>
      <c r="O197" s="26" t="str">
        <f t="shared" si="252"/>
        <v/>
      </c>
      <c r="P197" s="26" t="str">
        <f t="shared" si="253"/>
        <v/>
      </c>
      <c r="Q197" s="26">
        <f t="shared" si="254"/>
        <v>0</v>
      </c>
      <c r="R197" s="26">
        <f t="shared" si="255"/>
        <v>0</v>
      </c>
      <c r="S197" s="26">
        <f t="shared" si="256"/>
        <v>0</v>
      </c>
      <c r="T197" s="26" t="str">
        <f t="shared" si="257"/>
        <v/>
      </c>
      <c r="U197" s="26" t="str">
        <f t="shared" si="258"/>
        <v/>
      </c>
      <c r="V197" s="26" t="str">
        <f t="shared" si="259"/>
        <v/>
      </c>
      <c r="W197" s="27" t="str">
        <f t="shared" si="260"/>
        <v/>
      </c>
      <c r="X197" s="27" t="str">
        <f t="shared" si="261"/>
        <v/>
      </c>
      <c r="Y197" s="28" t="str">
        <f t="shared" si="262"/>
        <v/>
      </c>
      <c r="Z197" s="27" t="str">
        <f t="shared" si="263"/>
        <v/>
      </c>
      <c r="AA197" s="27" t="str">
        <f t="shared" si="264"/>
        <v/>
      </c>
      <c r="AB197" s="27" t="str">
        <f t="shared" si="265"/>
        <v/>
      </c>
      <c r="AC197" s="27" t="str">
        <f t="shared" si="266"/>
        <v/>
      </c>
      <c r="AD197" s="29" t="str">
        <f t="shared" si="267"/>
        <v/>
      </c>
      <c r="AE197" s="30" t="str">
        <f t="shared" si="268"/>
        <v/>
      </c>
      <c r="AG197" s="4"/>
      <c r="AH197" s="31" t="e">
        <f t="shared" si="269"/>
        <v>#VALUE!</v>
      </c>
      <c r="AI197" s="31" t="e">
        <f t="shared" si="270"/>
        <v>#VALUE!</v>
      </c>
      <c r="AJ197" s="31" t="e">
        <f t="shared" si="271"/>
        <v>#VALUE!</v>
      </c>
      <c r="AK197" s="31" t="e">
        <f t="shared" si="272"/>
        <v>#VALUE!</v>
      </c>
      <c r="AL197" s="31" t="e">
        <f t="shared" si="273"/>
        <v>#VALUE!</v>
      </c>
      <c r="AM197" s="31" t="e">
        <f t="shared" si="274"/>
        <v>#VALUE!</v>
      </c>
      <c r="AN197" s="32" t="str">
        <f t="shared" si="275"/>
        <v/>
      </c>
      <c r="AO197" s="27" t="str">
        <f t="shared" si="276"/>
        <v/>
      </c>
      <c r="AP197" s="27" t="str">
        <f t="shared" si="277"/>
        <v/>
      </c>
      <c r="AQ197" s="27">
        <f t="shared" si="278"/>
        <v>0</v>
      </c>
      <c r="AR197" s="27">
        <f t="shared" si="279"/>
        <v>0</v>
      </c>
      <c r="AS197" s="33">
        <f t="shared" si="280"/>
        <v>0</v>
      </c>
    </row>
    <row r="198" spans="2:45" hidden="1" x14ac:dyDescent="0.25">
      <c r="B198" s="34">
        <f t="shared" ref="B198:F198" si="296">IF(B197="","",B197)</f>
        <v>11740</v>
      </c>
      <c r="C198" s="26">
        <f t="shared" si="296"/>
        <v>20</v>
      </c>
      <c r="D198" s="26">
        <f t="shared" si="296"/>
        <v>-500</v>
      </c>
      <c r="E198" s="26">
        <f t="shared" si="296"/>
        <v>0</v>
      </c>
      <c r="F198" s="26">
        <f t="shared" si="296"/>
        <v>-650</v>
      </c>
      <c r="G198" s="24"/>
      <c r="H198" s="24"/>
      <c r="I198" s="24"/>
      <c r="J198" s="24"/>
      <c r="K198" s="24"/>
      <c r="L198" s="24"/>
      <c r="M198" s="44" t="str">
        <f t="shared" si="250"/>
        <v/>
      </c>
      <c r="N198" s="26" t="str">
        <f t="shared" si="251"/>
        <v/>
      </c>
      <c r="O198" s="26" t="str">
        <f t="shared" si="252"/>
        <v/>
      </c>
      <c r="P198" s="26" t="str">
        <f t="shared" si="253"/>
        <v/>
      </c>
      <c r="Q198" s="26">
        <f t="shared" si="254"/>
        <v>0</v>
      </c>
      <c r="R198" s="26">
        <f t="shared" si="255"/>
        <v>0</v>
      </c>
      <c r="S198" s="26">
        <f t="shared" si="256"/>
        <v>0</v>
      </c>
      <c r="T198" s="26" t="str">
        <f t="shared" si="257"/>
        <v/>
      </c>
      <c r="U198" s="26" t="str">
        <f t="shared" si="258"/>
        <v/>
      </c>
      <c r="V198" s="26" t="str">
        <f t="shared" si="259"/>
        <v/>
      </c>
      <c r="W198" s="27" t="str">
        <f t="shared" si="260"/>
        <v/>
      </c>
      <c r="X198" s="27" t="str">
        <f t="shared" si="261"/>
        <v/>
      </c>
      <c r="Y198" s="28" t="str">
        <f t="shared" si="262"/>
        <v/>
      </c>
      <c r="Z198" s="27" t="str">
        <f t="shared" si="263"/>
        <v/>
      </c>
      <c r="AA198" s="27" t="str">
        <f t="shared" si="264"/>
        <v/>
      </c>
      <c r="AB198" s="27" t="str">
        <f t="shared" si="265"/>
        <v/>
      </c>
      <c r="AC198" s="27" t="str">
        <f t="shared" si="266"/>
        <v/>
      </c>
      <c r="AD198" s="29" t="str">
        <f t="shared" si="267"/>
        <v/>
      </c>
      <c r="AE198" s="30" t="str">
        <f t="shared" si="268"/>
        <v/>
      </c>
      <c r="AG198" s="4"/>
      <c r="AH198" s="31" t="e">
        <f t="shared" si="269"/>
        <v>#VALUE!</v>
      </c>
      <c r="AI198" s="31" t="e">
        <f t="shared" si="270"/>
        <v>#VALUE!</v>
      </c>
      <c r="AJ198" s="31" t="e">
        <f t="shared" si="271"/>
        <v>#VALUE!</v>
      </c>
      <c r="AK198" s="31" t="e">
        <f t="shared" si="272"/>
        <v>#VALUE!</v>
      </c>
      <c r="AL198" s="31" t="e">
        <f t="shared" si="273"/>
        <v>#VALUE!</v>
      </c>
      <c r="AM198" s="31" t="e">
        <f t="shared" si="274"/>
        <v>#VALUE!</v>
      </c>
      <c r="AN198" s="32" t="str">
        <f t="shared" si="275"/>
        <v/>
      </c>
      <c r="AO198" s="27" t="str">
        <f t="shared" si="276"/>
        <v/>
      </c>
      <c r="AP198" s="27" t="str">
        <f t="shared" si="277"/>
        <v/>
      </c>
      <c r="AQ198" s="27">
        <f t="shared" si="278"/>
        <v>0</v>
      </c>
      <c r="AR198" s="27">
        <f t="shared" si="279"/>
        <v>0</v>
      </c>
      <c r="AS198" s="33">
        <f t="shared" si="280"/>
        <v>0</v>
      </c>
    </row>
    <row r="199" spans="2:45" hidden="1" x14ac:dyDescent="0.25">
      <c r="B199" s="34">
        <f t="shared" ref="B199:F199" si="297">IF(B198="","",B198)</f>
        <v>11740</v>
      </c>
      <c r="C199" s="26">
        <f t="shared" si="297"/>
        <v>20</v>
      </c>
      <c r="D199" s="26">
        <f t="shared" si="297"/>
        <v>-500</v>
      </c>
      <c r="E199" s="26">
        <f t="shared" si="297"/>
        <v>0</v>
      </c>
      <c r="F199" s="26">
        <f t="shared" si="297"/>
        <v>-650</v>
      </c>
      <c r="G199" s="24"/>
      <c r="H199" s="24"/>
      <c r="I199" s="24"/>
      <c r="J199" s="24"/>
      <c r="K199" s="24"/>
      <c r="L199" s="24"/>
      <c r="M199" s="44" t="str">
        <f t="shared" si="250"/>
        <v/>
      </c>
      <c r="N199" s="26" t="str">
        <f t="shared" si="251"/>
        <v/>
      </c>
      <c r="O199" s="26" t="str">
        <f t="shared" si="252"/>
        <v/>
      </c>
      <c r="P199" s="26" t="str">
        <f t="shared" si="253"/>
        <v/>
      </c>
      <c r="Q199" s="26">
        <f t="shared" si="254"/>
        <v>0</v>
      </c>
      <c r="R199" s="26">
        <f t="shared" si="255"/>
        <v>0</v>
      </c>
      <c r="S199" s="26">
        <f t="shared" si="256"/>
        <v>0</v>
      </c>
      <c r="T199" s="26" t="str">
        <f t="shared" si="257"/>
        <v/>
      </c>
      <c r="U199" s="26" t="str">
        <f t="shared" si="258"/>
        <v/>
      </c>
      <c r="V199" s="26" t="str">
        <f t="shared" si="259"/>
        <v/>
      </c>
      <c r="W199" s="27" t="str">
        <f t="shared" si="260"/>
        <v/>
      </c>
      <c r="X199" s="27" t="str">
        <f t="shared" si="261"/>
        <v/>
      </c>
      <c r="Y199" s="28" t="str">
        <f t="shared" si="262"/>
        <v/>
      </c>
      <c r="Z199" s="27" t="str">
        <f t="shared" si="263"/>
        <v/>
      </c>
      <c r="AA199" s="27" t="str">
        <f t="shared" si="264"/>
        <v/>
      </c>
      <c r="AB199" s="27" t="str">
        <f t="shared" si="265"/>
        <v/>
      </c>
      <c r="AC199" s="27" t="str">
        <f t="shared" si="266"/>
        <v/>
      </c>
      <c r="AD199" s="29" t="str">
        <f t="shared" si="267"/>
        <v/>
      </c>
      <c r="AE199" s="30" t="str">
        <f t="shared" si="268"/>
        <v/>
      </c>
      <c r="AG199" s="4"/>
      <c r="AH199" s="31" t="e">
        <f t="shared" si="269"/>
        <v>#VALUE!</v>
      </c>
      <c r="AI199" s="31" t="e">
        <f t="shared" si="270"/>
        <v>#VALUE!</v>
      </c>
      <c r="AJ199" s="31" t="e">
        <f t="shared" si="271"/>
        <v>#VALUE!</v>
      </c>
      <c r="AK199" s="31" t="e">
        <f t="shared" si="272"/>
        <v>#VALUE!</v>
      </c>
      <c r="AL199" s="31" t="e">
        <f t="shared" si="273"/>
        <v>#VALUE!</v>
      </c>
      <c r="AM199" s="31" t="e">
        <f t="shared" si="274"/>
        <v>#VALUE!</v>
      </c>
      <c r="AN199" s="32" t="str">
        <f t="shared" si="275"/>
        <v/>
      </c>
      <c r="AO199" s="27" t="str">
        <f t="shared" si="276"/>
        <v/>
      </c>
      <c r="AP199" s="27" t="str">
        <f t="shared" si="277"/>
        <v/>
      </c>
      <c r="AQ199" s="27">
        <f t="shared" si="278"/>
        <v>0</v>
      </c>
      <c r="AR199" s="27">
        <f t="shared" si="279"/>
        <v>0</v>
      </c>
      <c r="AS199" s="33">
        <f t="shared" si="280"/>
        <v>0</v>
      </c>
    </row>
    <row r="200" spans="2:45" hidden="1" x14ac:dyDescent="0.25">
      <c r="B200" s="34">
        <f t="shared" ref="B200:F200" si="298">IF(B199="","",B199)</f>
        <v>11740</v>
      </c>
      <c r="C200" s="26">
        <f t="shared" si="298"/>
        <v>20</v>
      </c>
      <c r="D200" s="26">
        <f t="shared" si="298"/>
        <v>-500</v>
      </c>
      <c r="E200" s="26">
        <f t="shared" si="298"/>
        <v>0</v>
      </c>
      <c r="F200" s="26">
        <f t="shared" si="298"/>
        <v>-650</v>
      </c>
      <c r="G200" s="24"/>
      <c r="H200" s="24"/>
      <c r="I200" s="24"/>
      <c r="J200" s="24"/>
      <c r="K200" s="24"/>
      <c r="L200" s="24"/>
      <c r="M200" s="44" t="str">
        <f t="shared" si="250"/>
        <v/>
      </c>
      <c r="N200" s="26" t="str">
        <f t="shared" si="251"/>
        <v/>
      </c>
      <c r="O200" s="26" t="str">
        <f t="shared" si="252"/>
        <v/>
      </c>
      <c r="P200" s="26" t="str">
        <f t="shared" si="253"/>
        <v/>
      </c>
      <c r="Q200" s="26">
        <f t="shared" si="254"/>
        <v>0</v>
      </c>
      <c r="R200" s="26">
        <f t="shared" si="255"/>
        <v>0</v>
      </c>
      <c r="S200" s="26">
        <f t="shared" si="256"/>
        <v>0</v>
      </c>
      <c r="T200" s="26" t="str">
        <f t="shared" si="257"/>
        <v/>
      </c>
      <c r="U200" s="26" t="str">
        <f t="shared" si="258"/>
        <v/>
      </c>
      <c r="V200" s="26" t="str">
        <f t="shared" si="259"/>
        <v/>
      </c>
      <c r="W200" s="27" t="str">
        <f t="shared" si="260"/>
        <v/>
      </c>
      <c r="X200" s="27" t="str">
        <f t="shared" si="261"/>
        <v/>
      </c>
      <c r="Y200" s="28" t="str">
        <f t="shared" si="262"/>
        <v/>
      </c>
      <c r="Z200" s="27" t="str">
        <f t="shared" si="263"/>
        <v/>
      </c>
      <c r="AA200" s="27" t="str">
        <f t="shared" si="264"/>
        <v/>
      </c>
      <c r="AB200" s="27" t="str">
        <f t="shared" si="265"/>
        <v/>
      </c>
      <c r="AC200" s="27" t="str">
        <f t="shared" si="266"/>
        <v/>
      </c>
      <c r="AD200" s="29" t="str">
        <f t="shared" si="267"/>
        <v/>
      </c>
      <c r="AE200" s="30" t="str">
        <f t="shared" si="268"/>
        <v/>
      </c>
      <c r="AG200" s="4"/>
      <c r="AH200" s="31" t="e">
        <f t="shared" si="269"/>
        <v>#VALUE!</v>
      </c>
      <c r="AI200" s="31" t="e">
        <f t="shared" si="270"/>
        <v>#VALUE!</v>
      </c>
      <c r="AJ200" s="31" t="e">
        <f t="shared" si="271"/>
        <v>#VALUE!</v>
      </c>
      <c r="AK200" s="31" t="e">
        <f t="shared" si="272"/>
        <v>#VALUE!</v>
      </c>
      <c r="AL200" s="31" t="e">
        <f t="shared" si="273"/>
        <v>#VALUE!</v>
      </c>
      <c r="AM200" s="31" t="e">
        <f t="shared" si="274"/>
        <v>#VALUE!</v>
      </c>
      <c r="AN200" s="32" t="str">
        <f t="shared" si="275"/>
        <v/>
      </c>
      <c r="AO200" s="27" t="str">
        <f t="shared" si="276"/>
        <v/>
      </c>
      <c r="AP200" s="27" t="str">
        <f t="shared" si="277"/>
        <v/>
      </c>
      <c r="AQ200" s="27">
        <f t="shared" si="278"/>
        <v>0</v>
      </c>
      <c r="AR200" s="27">
        <f t="shared" si="279"/>
        <v>0</v>
      </c>
      <c r="AS200" s="33">
        <f t="shared" si="280"/>
        <v>0</v>
      </c>
    </row>
    <row r="201" spans="2:45" hidden="1" x14ac:dyDescent="0.25">
      <c r="B201" s="34">
        <f t="shared" ref="B201:F201" si="299">IF(B200="","",B200)</f>
        <v>11740</v>
      </c>
      <c r="C201" s="26">
        <f t="shared" si="299"/>
        <v>20</v>
      </c>
      <c r="D201" s="26">
        <f t="shared" si="299"/>
        <v>-500</v>
      </c>
      <c r="E201" s="26">
        <f t="shared" si="299"/>
        <v>0</v>
      </c>
      <c r="F201" s="26">
        <f t="shared" si="299"/>
        <v>-650</v>
      </c>
      <c r="G201" s="24"/>
      <c r="H201" s="24"/>
      <c r="I201" s="24"/>
      <c r="J201" s="24"/>
      <c r="K201" s="24"/>
      <c r="L201" s="24"/>
      <c r="M201" s="44" t="str">
        <f t="shared" si="250"/>
        <v/>
      </c>
      <c r="N201" s="26" t="str">
        <f t="shared" si="251"/>
        <v/>
      </c>
      <c r="O201" s="26" t="str">
        <f t="shared" si="252"/>
        <v/>
      </c>
      <c r="P201" s="26" t="str">
        <f t="shared" si="253"/>
        <v/>
      </c>
      <c r="Q201" s="26">
        <f t="shared" si="254"/>
        <v>0</v>
      </c>
      <c r="R201" s="26">
        <f t="shared" si="255"/>
        <v>0</v>
      </c>
      <c r="S201" s="26">
        <f t="shared" si="256"/>
        <v>0</v>
      </c>
      <c r="T201" s="26" t="str">
        <f t="shared" si="257"/>
        <v/>
      </c>
      <c r="U201" s="26" t="str">
        <f t="shared" si="258"/>
        <v/>
      </c>
      <c r="V201" s="26" t="str">
        <f t="shared" si="259"/>
        <v/>
      </c>
      <c r="W201" s="27" t="str">
        <f t="shared" si="260"/>
        <v/>
      </c>
      <c r="X201" s="27" t="str">
        <f t="shared" si="261"/>
        <v/>
      </c>
      <c r="Y201" s="28" t="str">
        <f t="shared" si="262"/>
        <v/>
      </c>
      <c r="Z201" s="27" t="str">
        <f t="shared" si="263"/>
        <v/>
      </c>
      <c r="AA201" s="27" t="str">
        <f t="shared" si="264"/>
        <v/>
      </c>
      <c r="AB201" s="27" t="str">
        <f t="shared" si="265"/>
        <v/>
      </c>
      <c r="AC201" s="27" t="str">
        <f t="shared" si="266"/>
        <v/>
      </c>
      <c r="AD201" s="29" t="str">
        <f t="shared" si="267"/>
        <v/>
      </c>
      <c r="AE201" s="30" t="str">
        <f t="shared" si="268"/>
        <v/>
      </c>
      <c r="AG201" s="4"/>
      <c r="AH201" s="31" t="e">
        <f t="shared" si="269"/>
        <v>#VALUE!</v>
      </c>
      <c r="AI201" s="31" t="e">
        <f t="shared" si="270"/>
        <v>#VALUE!</v>
      </c>
      <c r="AJ201" s="31" t="e">
        <f t="shared" si="271"/>
        <v>#VALUE!</v>
      </c>
      <c r="AK201" s="31" t="e">
        <f t="shared" si="272"/>
        <v>#VALUE!</v>
      </c>
      <c r="AL201" s="31" t="e">
        <f t="shared" si="273"/>
        <v>#VALUE!</v>
      </c>
      <c r="AM201" s="31" t="e">
        <f t="shared" si="274"/>
        <v>#VALUE!</v>
      </c>
      <c r="AN201" s="32" t="str">
        <f t="shared" si="275"/>
        <v/>
      </c>
      <c r="AO201" s="27" t="str">
        <f t="shared" si="276"/>
        <v/>
      </c>
      <c r="AP201" s="27" t="str">
        <f t="shared" si="277"/>
        <v/>
      </c>
      <c r="AQ201" s="27">
        <f t="shared" si="278"/>
        <v>0</v>
      </c>
      <c r="AR201" s="27">
        <f t="shared" si="279"/>
        <v>0</v>
      </c>
      <c r="AS201" s="33">
        <f t="shared" si="280"/>
        <v>0</v>
      </c>
    </row>
    <row r="202" spans="2:45" hidden="1" x14ac:dyDescent="0.25">
      <c r="B202" s="34">
        <f t="shared" ref="B202:F202" si="300">IF(B201="","",B201)</f>
        <v>11740</v>
      </c>
      <c r="C202" s="26">
        <f t="shared" si="300"/>
        <v>20</v>
      </c>
      <c r="D202" s="26">
        <f t="shared" si="300"/>
        <v>-500</v>
      </c>
      <c r="E202" s="26">
        <f t="shared" si="300"/>
        <v>0</v>
      </c>
      <c r="F202" s="26">
        <f t="shared" si="300"/>
        <v>-650</v>
      </c>
      <c r="G202" s="24"/>
      <c r="H202" s="24"/>
      <c r="I202" s="24"/>
      <c r="J202" s="24"/>
      <c r="K202" s="24"/>
      <c r="L202" s="24"/>
      <c r="M202" s="44" t="str">
        <f t="shared" si="250"/>
        <v/>
      </c>
      <c r="N202" s="26" t="str">
        <f t="shared" si="251"/>
        <v/>
      </c>
      <c r="O202" s="26" t="str">
        <f t="shared" si="252"/>
        <v/>
      </c>
      <c r="P202" s="26" t="str">
        <f t="shared" si="253"/>
        <v/>
      </c>
      <c r="Q202" s="26">
        <f t="shared" si="254"/>
        <v>0</v>
      </c>
      <c r="R202" s="26">
        <f t="shared" si="255"/>
        <v>0</v>
      </c>
      <c r="S202" s="26">
        <f t="shared" si="256"/>
        <v>0</v>
      </c>
      <c r="T202" s="26" t="str">
        <f t="shared" si="257"/>
        <v/>
      </c>
      <c r="U202" s="26" t="str">
        <f t="shared" si="258"/>
        <v/>
      </c>
      <c r="V202" s="26" t="str">
        <f t="shared" si="259"/>
        <v/>
      </c>
      <c r="W202" s="27" t="str">
        <f t="shared" si="260"/>
        <v/>
      </c>
      <c r="X202" s="27" t="str">
        <f t="shared" si="261"/>
        <v/>
      </c>
      <c r="Y202" s="28" t="str">
        <f t="shared" si="262"/>
        <v/>
      </c>
      <c r="Z202" s="27" t="str">
        <f t="shared" si="263"/>
        <v/>
      </c>
      <c r="AA202" s="27" t="str">
        <f t="shared" si="264"/>
        <v/>
      </c>
      <c r="AB202" s="27" t="str">
        <f t="shared" si="265"/>
        <v/>
      </c>
      <c r="AC202" s="27" t="str">
        <f t="shared" si="266"/>
        <v/>
      </c>
      <c r="AD202" s="29" t="str">
        <f t="shared" si="267"/>
        <v/>
      </c>
      <c r="AE202" s="30" t="str">
        <f t="shared" si="268"/>
        <v/>
      </c>
      <c r="AG202" s="4"/>
      <c r="AH202" s="31" t="e">
        <f t="shared" si="269"/>
        <v>#VALUE!</v>
      </c>
      <c r="AI202" s="31" t="e">
        <f t="shared" si="270"/>
        <v>#VALUE!</v>
      </c>
      <c r="AJ202" s="31" t="e">
        <f t="shared" si="271"/>
        <v>#VALUE!</v>
      </c>
      <c r="AK202" s="31" t="e">
        <f t="shared" si="272"/>
        <v>#VALUE!</v>
      </c>
      <c r="AL202" s="31" t="e">
        <f t="shared" si="273"/>
        <v>#VALUE!</v>
      </c>
      <c r="AM202" s="31" t="e">
        <f t="shared" si="274"/>
        <v>#VALUE!</v>
      </c>
      <c r="AN202" s="32" t="str">
        <f t="shared" si="275"/>
        <v/>
      </c>
      <c r="AO202" s="27" t="str">
        <f t="shared" si="276"/>
        <v/>
      </c>
      <c r="AP202" s="27" t="str">
        <f t="shared" si="277"/>
        <v/>
      </c>
      <c r="AQ202" s="27">
        <f t="shared" si="278"/>
        <v>0</v>
      </c>
      <c r="AR202" s="27">
        <f t="shared" si="279"/>
        <v>0</v>
      </c>
      <c r="AS202" s="33">
        <f t="shared" si="280"/>
        <v>0</v>
      </c>
    </row>
    <row r="203" spans="2:45" hidden="1" x14ac:dyDescent="0.25">
      <c r="B203" s="34">
        <f t="shared" ref="B203:F203" si="301">IF(B202="","",B202)</f>
        <v>11740</v>
      </c>
      <c r="C203" s="26">
        <f t="shared" si="301"/>
        <v>20</v>
      </c>
      <c r="D203" s="26">
        <f t="shared" si="301"/>
        <v>-500</v>
      </c>
      <c r="E203" s="26">
        <f t="shared" si="301"/>
        <v>0</v>
      </c>
      <c r="F203" s="26">
        <f t="shared" si="301"/>
        <v>-650</v>
      </c>
      <c r="G203" s="24"/>
      <c r="H203" s="24"/>
      <c r="I203" s="24"/>
      <c r="J203" s="24"/>
      <c r="K203" s="24"/>
      <c r="L203" s="24"/>
      <c r="M203" s="44" t="str">
        <f t="shared" si="250"/>
        <v/>
      </c>
      <c r="N203" s="26" t="str">
        <f t="shared" si="251"/>
        <v/>
      </c>
      <c r="O203" s="26" t="str">
        <f t="shared" si="252"/>
        <v/>
      </c>
      <c r="P203" s="26" t="str">
        <f t="shared" si="253"/>
        <v/>
      </c>
      <c r="Q203" s="26">
        <f t="shared" si="254"/>
        <v>0</v>
      </c>
      <c r="R203" s="26">
        <f t="shared" si="255"/>
        <v>0</v>
      </c>
      <c r="S203" s="26">
        <f t="shared" si="256"/>
        <v>0</v>
      </c>
      <c r="T203" s="26" t="str">
        <f t="shared" si="257"/>
        <v/>
      </c>
      <c r="U203" s="26" t="str">
        <f t="shared" si="258"/>
        <v/>
      </c>
      <c r="V203" s="26" t="str">
        <f t="shared" si="259"/>
        <v/>
      </c>
      <c r="W203" s="27" t="str">
        <f t="shared" si="260"/>
        <v/>
      </c>
      <c r="X203" s="27" t="str">
        <f t="shared" si="261"/>
        <v/>
      </c>
      <c r="Y203" s="28" t="str">
        <f t="shared" si="262"/>
        <v/>
      </c>
      <c r="Z203" s="27" t="str">
        <f t="shared" si="263"/>
        <v/>
      </c>
      <c r="AA203" s="27" t="str">
        <f t="shared" si="264"/>
        <v/>
      </c>
      <c r="AB203" s="27" t="str">
        <f t="shared" si="265"/>
        <v/>
      </c>
      <c r="AC203" s="27" t="str">
        <f t="shared" si="266"/>
        <v/>
      </c>
      <c r="AD203" s="29" t="str">
        <f t="shared" si="267"/>
        <v/>
      </c>
      <c r="AE203" s="30" t="str">
        <f t="shared" si="268"/>
        <v/>
      </c>
      <c r="AG203" s="4"/>
      <c r="AH203" s="31" t="e">
        <f t="shared" si="269"/>
        <v>#VALUE!</v>
      </c>
      <c r="AI203" s="31" t="e">
        <f t="shared" si="270"/>
        <v>#VALUE!</v>
      </c>
      <c r="AJ203" s="31" t="e">
        <f t="shared" si="271"/>
        <v>#VALUE!</v>
      </c>
      <c r="AK203" s="31" t="e">
        <f t="shared" si="272"/>
        <v>#VALUE!</v>
      </c>
      <c r="AL203" s="31" t="e">
        <f t="shared" si="273"/>
        <v>#VALUE!</v>
      </c>
      <c r="AM203" s="31" t="e">
        <f t="shared" si="274"/>
        <v>#VALUE!</v>
      </c>
      <c r="AN203" s="32" t="str">
        <f t="shared" si="275"/>
        <v/>
      </c>
      <c r="AO203" s="27" t="str">
        <f t="shared" si="276"/>
        <v/>
      </c>
      <c r="AP203" s="27" t="str">
        <f t="shared" si="277"/>
        <v/>
      </c>
      <c r="AQ203" s="27">
        <f t="shared" si="278"/>
        <v>0</v>
      </c>
      <c r="AR203" s="27">
        <f t="shared" si="279"/>
        <v>0</v>
      </c>
      <c r="AS203" s="33">
        <f t="shared" si="280"/>
        <v>0</v>
      </c>
    </row>
    <row r="204" spans="2:45" hidden="1" x14ac:dyDescent="0.25">
      <c r="B204" s="34">
        <f t="shared" ref="B204:F204" si="302">IF(B203="","",B203)</f>
        <v>11740</v>
      </c>
      <c r="C204" s="26">
        <f t="shared" si="302"/>
        <v>20</v>
      </c>
      <c r="D204" s="26">
        <f t="shared" si="302"/>
        <v>-500</v>
      </c>
      <c r="E204" s="26">
        <f t="shared" si="302"/>
        <v>0</v>
      </c>
      <c r="F204" s="26">
        <f t="shared" si="302"/>
        <v>-650</v>
      </c>
      <c r="G204" s="24"/>
      <c r="H204" s="24"/>
      <c r="I204" s="24"/>
      <c r="J204" s="24"/>
      <c r="K204" s="24"/>
      <c r="L204" s="24"/>
      <c r="M204" s="44" t="str">
        <f t="shared" si="250"/>
        <v/>
      </c>
      <c r="N204" s="26" t="str">
        <f t="shared" si="251"/>
        <v/>
      </c>
      <c r="O204" s="26" t="str">
        <f t="shared" si="252"/>
        <v/>
      </c>
      <c r="P204" s="26" t="str">
        <f t="shared" si="253"/>
        <v/>
      </c>
      <c r="Q204" s="26">
        <f t="shared" si="254"/>
        <v>0</v>
      </c>
      <c r="R204" s="26">
        <f t="shared" si="255"/>
        <v>0</v>
      </c>
      <c r="S204" s="26">
        <f t="shared" si="256"/>
        <v>0</v>
      </c>
      <c r="T204" s="26" t="str">
        <f t="shared" si="257"/>
        <v/>
      </c>
      <c r="U204" s="26" t="str">
        <f t="shared" si="258"/>
        <v/>
      </c>
      <c r="V204" s="26" t="str">
        <f t="shared" si="259"/>
        <v/>
      </c>
      <c r="W204" s="27" t="str">
        <f t="shared" si="260"/>
        <v/>
      </c>
      <c r="X204" s="27" t="str">
        <f t="shared" si="261"/>
        <v/>
      </c>
      <c r="Y204" s="28" t="str">
        <f t="shared" si="262"/>
        <v/>
      </c>
      <c r="Z204" s="27" t="str">
        <f t="shared" si="263"/>
        <v/>
      </c>
      <c r="AA204" s="27" t="str">
        <f t="shared" si="264"/>
        <v/>
      </c>
      <c r="AB204" s="27" t="str">
        <f t="shared" si="265"/>
        <v/>
      </c>
      <c r="AC204" s="27" t="str">
        <f t="shared" si="266"/>
        <v/>
      </c>
      <c r="AD204" s="29" t="str">
        <f t="shared" si="267"/>
        <v/>
      </c>
      <c r="AE204" s="30" t="str">
        <f t="shared" si="268"/>
        <v/>
      </c>
      <c r="AG204" s="4"/>
      <c r="AH204" s="31" t="e">
        <f t="shared" si="269"/>
        <v>#VALUE!</v>
      </c>
      <c r="AI204" s="31" t="e">
        <f t="shared" si="270"/>
        <v>#VALUE!</v>
      </c>
      <c r="AJ204" s="31" t="e">
        <f t="shared" si="271"/>
        <v>#VALUE!</v>
      </c>
      <c r="AK204" s="31" t="e">
        <f t="shared" si="272"/>
        <v>#VALUE!</v>
      </c>
      <c r="AL204" s="31" t="e">
        <f t="shared" si="273"/>
        <v>#VALUE!</v>
      </c>
      <c r="AM204" s="31" t="e">
        <f t="shared" si="274"/>
        <v>#VALUE!</v>
      </c>
      <c r="AN204" s="32" t="str">
        <f t="shared" si="275"/>
        <v/>
      </c>
      <c r="AO204" s="27" t="str">
        <f t="shared" si="276"/>
        <v/>
      </c>
      <c r="AP204" s="27" t="str">
        <f t="shared" si="277"/>
        <v/>
      </c>
      <c r="AQ204" s="27">
        <f t="shared" si="278"/>
        <v>0</v>
      </c>
      <c r="AR204" s="27">
        <f t="shared" si="279"/>
        <v>0</v>
      </c>
      <c r="AS204" s="33">
        <f t="shared" si="280"/>
        <v>0</v>
      </c>
    </row>
    <row r="205" spans="2:45" hidden="1" x14ac:dyDescent="0.25">
      <c r="B205" s="34">
        <f t="shared" ref="B205:F205" si="303">IF(B204="","",B204)</f>
        <v>11740</v>
      </c>
      <c r="C205" s="26">
        <f t="shared" si="303"/>
        <v>20</v>
      </c>
      <c r="D205" s="26">
        <f t="shared" si="303"/>
        <v>-500</v>
      </c>
      <c r="E205" s="26">
        <f t="shared" si="303"/>
        <v>0</v>
      </c>
      <c r="F205" s="26">
        <f t="shared" si="303"/>
        <v>-650</v>
      </c>
      <c r="G205" s="24"/>
      <c r="H205" s="24"/>
      <c r="I205" s="24"/>
      <c r="J205" s="24"/>
      <c r="K205" s="24"/>
      <c r="L205" s="24"/>
      <c r="M205" s="44" t="str">
        <f t="shared" si="250"/>
        <v/>
      </c>
      <c r="N205" s="26" t="str">
        <f t="shared" si="251"/>
        <v/>
      </c>
      <c r="O205" s="26" t="str">
        <f t="shared" si="252"/>
        <v/>
      </c>
      <c r="P205" s="26" t="str">
        <f t="shared" si="253"/>
        <v/>
      </c>
      <c r="Q205" s="26">
        <f t="shared" si="254"/>
        <v>0</v>
      </c>
      <c r="R205" s="26">
        <f t="shared" si="255"/>
        <v>0</v>
      </c>
      <c r="S205" s="26">
        <f t="shared" si="256"/>
        <v>0</v>
      </c>
      <c r="T205" s="26" t="str">
        <f t="shared" si="257"/>
        <v/>
      </c>
      <c r="U205" s="26" t="str">
        <f t="shared" si="258"/>
        <v/>
      </c>
      <c r="V205" s="26" t="str">
        <f t="shared" si="259"/>
        <v/>
      </c>
      <c r="W205" s="27" t="str">
        <f t="shared" si="260"/>
        <v/>
      </c>
      <c r="X205" s="27" t="str">
        <f t="shared" si="261"/>
        <v/>
      </c>
      <c r="Y205" s="28" t="str">
        <f t="shared" si="262"/>
        <v/>
      </c>
      <c r="Z205" s="27" t="str">
        <f t="shared" si="263"/>
        <v/>
      </c>
      <c r="AA205" s="27" t="str">
        <f t="shared" si="264"/>
        <v/>
      </c>
      <c r="AB205" s="27" t="str">
        <f t="shared" si="265"/>
        <v/>
      </c>
      <c r="AC205" s="27" t="str">
        <f t="shared" si="266"/>
        <v/>
      </c>
      <c r="AD205" s="29" t="str">
        <f t="shared" si="267"/>
        <v/>
      </c>
      <c r="AE205" s="30" t="str">
        <f t="shared" si="268"/>
        <v/>
      </c>
      <c r="AG205" s="4"/>
      <c r="AH205" s="31" t="e">
        <f t="shared" si="269"/>
        <v>#VALUE!</v>
      </c>
      <c r="AI205" s="31" t="e">
        <f t="shared" si="270"/>
        <v>#VALUE!</v>
      </c>
      <c r="AJ205" s="31" t="e">
        <f t="shared" si="271"/>
        <v>#VALUE!</v>
      </c>
      <c r="AK205" s="31" t="e">
        <f t="shared" si="272"/>
        <v>#VALUE!</v>
      </c>
      <c r="AL205" s="31" t="e">
        <f t="shared" si="273"/>
        <v>#VALUE!</v>
      </c>
      <c r="AM205" s="31" t="e">
        <f t="shared" si="274"/>
        <v>#VALUE!</v>
      </c>
      <c r="AN205" s="32" t="str">
        <f t="shared" si="275"/>
        <v/>
      </c>
      <c r="AO205" s="27" t="str">
        <f t="shared" si="276"/>
        <v/>
      </c>
      <c r="AP205" s="27" t="str">
        <f t="shared" si="277"/>
        <v/>
      </c>
      <c r="AQ205" s="27">
        <f t="shared" si="278"/>
        <v>0</v>
      </c>
      <c r="AR205" s="27">
        <f t="shared" si="279"/>
        <v>0</v>
      </c>
      <c r="AS205" s="33">
        <f t="shared" si="280"/>
        <v>0</v>
      </c>
    </row>
    <row r="206" spans="2:45" hidden="1" x14ac:dyDescent="0.25">
      <c r="B206" s="34">
        <f t="shared" ref="B206:F206" si="304">IF(B205="","",B205)</f>
        <v>11740</v>
      </c>
      <c r="C206" s="26">
        <f t="shared" si="304"/>
        <v>20</v>
      </c>
      <c r="D206" s="26">
        <f t="shared" si="304"/>
        <v>-500</v>
      </c>
      <c r="E206" s="26">
        <f t="shared" si="304"/>
        <v>0</v>
      </c>
      <c r="F206" s="26">
        <f t="shared" si="304"/>
        <v>-650</v>
      </c>
      <c r="G206" s="24"/>
      <c r="H206" s="24"/>
      <c r="I206" s="24"/>
      <c r="J206" s="24"/>
      <c r="K206" s="24"/>
      <c r="L206" s="24"/>
      <c r="M206" s="44" t="str">
        <f t="shared" si="250"/>
        <v/>
      </c>
      <c r="N206" s="26" t="str">
        <f t="shared" si="251"/>
        <v/>
      </c>
      <c r="O206" s="26" t="str">
        <f t="shared" si="252"/>
        <v/>
      </c>
      <c r="P206" s="26" t="str">
        <f t="shared" si="253"/>
        <v/>
      </c>
      <c r="Q206" s="26">
        <f t="shared" si="254"/>
        <v>0</v>
      </c>
      <c r="R206" s="26">
        <f t="shared" si="255"/>
        <v>0</v>
      </c>
      <c r="S206" s="26">
        <f t="shared" si="256"/>
        <v>0</v>
      </c>
      <c r="T206" s="26" t="str">
        <f t="shared" si="257"/>
        <v/>
      </c>
      <c r="U206" s="26" t="str">
        <f t="shared" si="258"/>
        <v/>
      </c>
      <c r="V206" s="26" t="str">
        <f t="shared" si="259"/>
        <v/>
      </c>
      <c r="W206" s="27" t="str">
        <f t="shared" si="260"/>
        <v/>
      </c>
      <c r="X206" s="27" t="str">
        <f t="shared" si="261"/>
        <v/>
      </c>
      <c r="Y206" s="28" t="str">
        <f t="shared" si="262"/>
        <v/>
      </c>
      <c r="Z206" s="27" t="str">
        <f t="shared" si="263"/>
        <v/>
      </c>
      <c r="AA206" s="27" t="str">
        <f t="shared" si="264"/>
        <v/>
      </c>
      <c r="AB206" s="27" t="str">
        <f t="shared" si="265"/>
        <v/>
      </c>
      <c r="AC206" s="27" t="str">
        <f t="shared" si="266"/>
        <v/>
      </c>
      <c r="AD206" s="29" t="str">
        <f t="shared" si="267"/>
        <v/>
      </c>
      <c r="AE206" s="30" t="str">
        <f t="shared" si="268"/>
        <v/>
      </c>
      <c r="AG206" s="4"/>
      <c r="AH206" s="31" t="e">
        <f t="shared" si="269"/>
        <v>#VALUE!</v>
      </c>
      <c r="AI206" s="31" t="e">
        <f t="shared" si="270"/>
        <v>#VALUE!</v>
      </c>
      <c r="AJ206" s="31" t="e">
        <f t="shared" si="271"/>
        <v>#VALUE!</v>
      </c>
      <c r="AK206" s="31" t="e">
        <f t="shared" si="272"/>
        <v>#VALUE!</v>
      </c>
      <c r="AL206" s="31" t="e">
        <f t="shared" si="273"/>
        <v>#VALUE!</v>
      </c>
      <c r="AM206" s="31" t="e">
        <f t="shared" si="274"/>
        <v>#VALUE!</v>
      </c>
      <c r="AN206" s="32" t="str">
        <f t="shared" si="275"/>
        <v/>
      </c>
      <c r="AO206" s="27" t="str">
        <f t="shared" si="276"/>
        <v/>
      </c>
      <c r="AP206" s="27" t="str">
        <f t="shared" si="277"/>
        <v/>
      </c>
      <c r="AQ206" s="27">
        <f t="shared" si="278"/>
        <v>0</v>
      </c>
      <c r="AR206" s="27">
        <f t="shared" si="279"/>
        <v>0</v>
      </c>
      <c r="AS206" s="33">
        <f t="shared" si="280"/>
        <v>0</v>
      </c>
    </row>
    <row r="207" spans="2:45" hidden="1" x14ac:dyDescent="0.25">
      <c r="B207" s="34">
        <f t="shared" ref="B207:F207" si="305">IF(B206="","",B206)</f>
        <v>11740</v>
      </c>
      <c r="C207" s="26">
        <f t="shared" si="305"/>
        <v>20</v>
      </c>
      <c r="D207" s="26">
        <f t="shared" si="305"/>
        <v>-500</v>
      </c>
      <c r="E207" s="26">
        <f t="shared" si="305"/>
        <v>0</v>
      </c>
      <c r="F207" s="26">
        <f t="shared" si="305"/>
        <v>-650</v>
      </c>
      <c r="G207" s="24"/>
      <c r="H207" s="24"/>
      <c r="I207" s="24"/>
      <c r="J207" s="24"/>
      <c r="K207" s="24"/>
      <c r="L207" s="24"/>
      <c r="M207" s="44" t="str">
        <f t="shared" si="250"/>
        <v/>
      </c>
      <c r="N207" s="26" t="str">
        <f t="shared" si="251"/>
        <v/>
      </c>
      <c r="O207" s="26" t="str">
        <f t="shared" si="252"/>
        <v/>
      </c>
      <c r="P207" s="26" t="str">
        <f t="shared" si="253"/>
        <v/>
      </c>
      <c r="Q207" s="26">
        <f t="shared" si="254"/>
        <v>0</v>
      </c>
      <c r="R207" s="26">
        <f t="shared" si="255"/>
        <v>0</v>
      </c>
      <c r="S207" s="26">
        <f t="shared" si="256"/>
        <v>0</v>
      </c>
      <c r="T207" s="26" t="str">
        <f t="shared" si="257"/>
        <v/>
      </c>
      <c r="U207" s="26" t="str">
        <f t="shared" si="258"/>
        <v/>
      </c>
      <c r="V207" s="26" t="str">
        <f t="shared" si="259"/>
        <v/>
      </c>
      <c r="W207" s="27" t="str">
        <f t="shared" si="260"/>
        <v/>
      </c>
      <c r="X207" s="27" t="str">
        <f t="shared" si="261"/>
        <v/>
      </c>
      <c r="Y207" s="28" t="str">
        <f t="shared" si="262"/>
        <v/>
      </c>
      <c r="Z207" s="27" t="str">
        <f t="shared" si="263"/>
        <v/>
      </c>
      <c r="AA207" s="27" t="str">
        <f t="shared" si="264"/>
        <v/>
      </c>
      <c r="AB207" s="27" t="str">
        <f t="shared" si="265"/>
        <v/>
      </c>
      <c r="AC207" s="27" t="str">
        <f t="shared" si="266"/>
        <v/>
      </c>
      <c r="AD207" s="29" t="str">
        <f t="shared" si="267"/>
        <v/>
      </c>
      <c r="AE207" s="30" t="str">
        <f t="shared" si="268"/>
        <v/>
      </c>
      <c r="AG207" s="4"/>
      <c r="AH207" s="31" t="e">
        <f t="shared" si="269"/>
        <v>#VALUE!</v>
      </c>
      <c r="AI207" s="31" t="e">
        <f t="shared" si="270"/>
        <v>#VALUE!</v>
      </c>
      <c r="AJ207" s="31" t="e">
        <f t="shared" si="271"/>
        <v>#VALUE!</v>
      </c>
      <c r="AK207" s="31" t="e">
        <f t="shared" si="272"/>
        <v>#VALUE!</v>
      </c>
      <c r="AL207" s="31" t="e">
        <f t="shared" si="273"/>
        <v>#VALUE!</v>
      </c>
      <c r="AM207" s="31" t="e">
        <f t="shared" si="274"/>
        <v>#VALUE!</v>
      </c>
      <c r="AN207" s="32" t="str">
        <f t="shared" si="275"/>
        <v/>
      </c>
      <c r="AO207" s="27" t="str">
        <f t="shared" si="276"/>
        <v/>
      </c>
      <c r="AP207" s="27" t="str">
        <f t="shared" si="277"/>
        <v/>
      </c>
      <c r="AQ207" s="27">
        <f t="shared" si="278"/>
        <v>0</v>
      </c>
      <c r="AR207" s="27">
        <f t="shared" si="279"/>
        <v>0</v>
      </c>
      <c r="AS207" s="33">
        <f t="shared" si="280"/>
        <v>0</v>
      </c>
    </row>
    <row r="208" spans="2:45" hidden="1" x14ac:dyDescent="0.25">
      <c r="B208" s="34">
        <f t="shared" ref="B208:F208" si="306">IF(B207="","",B207)</f>
        <v>11740</v>
      </c>
      <c r="C208" s="26">
        <f t="shared" si="306"/>
        <v>20</v>
      </c>
      <c r="D208" s="26">
        <f t="shared" si="306"/>
        <v>-500</v>
      </c>
      <c r="E208" s="26">
        <f t="shared" si="306"/>
        <v>0</v>
      </c>
      <c r="F208" s="26">
        <f t="shared" si="306"/>
        <v>-650</v>
      </c>
      <c r="G208" s="24"/>
      <c r="H208" s="24"/>
      <c r="I208" s="24"/>
      <c r="J208" s="24"/>
      <c r="K208" s="24"/>
      <c r="L208" s="24"/>
      <c r="M208" s="44" t="str">
        <f t="shared" si="250"/>
        <v/>
      </c>
      <c r="N208" s="26" t="str">
        <f t="shared" si="251"/>
        <v/>
      </c>
      <c r="O208" s="26" t="str">
        <f t="shared" si="252"/>
        <v/>
      </c>
      <c r="P208" s="26" t="str">
        <f t="shared" si="253"/>
        <v/>
      </c>
      <c r="Q208" s="26">
        <f t="shared" si="254"/>
        <v>0</v>
      </c>
      <c r="R208" s="26">
        <f t="shared" si="255"/>
        <v>0</v>
      </c>
      <c r="S208" s="26">
        <f t="shared" si="256"/>
        <v>0</v>
      </c>
      <c r="T208" s="26" t="str">
        <f t="shared" si="257"/>
        <v/>
      </c>
      <c r="U208" s="26" t="str">
        <f t="shared" si="258"/>
        <v/>
      </c>
      <c r="V208" s="26" t="str">
        <f t="shared" si="259"/>
        <v/>
      </c>
      <c r="W208" s="27" t="str">
        <f t="shared" si="260"/>
        <v/>
      </c>
      <c r="X208" s="27" t="str">
        <f t="shared" si="261"/>
        <v/>
      </c>
      <c r="Y208" s="28" t="str">
        <f t="shared" si="262"/>
        <v/>
      </c>
      <c r="Z208" s="27" t="str">
        <f t="shared" si="263"/>
        <v/>
      </c>
      <c r="AA208" s="27" t="str">
        <f t="shared" si="264"/>
        <v/>
      </c>
      <c r="AB208" s="27" t="str">
        <f t="shared" si="265"/>
        <v/>
      </c>
      <c r="AC208" s="27" t="str">
        <f t="shared" si="266"/>
        <v/>
      </c>
      <c r="AD208" s="29" t="str">
        <f t="shared" si="267"/>
        <v/>
      </c>
      <c r="AE208" s="30" t="str">
        <f t="shared" si="268"/>
        <v/>
      </c>
      <c r="AG208" s="4"/>
      <c r="AH208" s="31" t="e">
        <f t="shared" si="269"/>
        <v>#VALUE!</v>
      </c>
      <c r="AI208" s="31" t="e">
        <f t="shared" si="270"/>
        <v>#VALUE!</v>
      </c>
      <c r="AJ208" s="31" t="e">
        <f t="shared" si="271"/>
        <v>#VALUE!</v>
      </c>
      <c r="AK208" s="31" t="e">
        <f t="shared" si="272"/>
        <v>#VALUE!</v>
      </c>
      <c r="AL208" s="31" t="e">
        <f t="shared" si="273"/>
        <v>#VALUE!</v>
      </c>
      <c r="AM208" s="31" t="e">
        <f t="shared" si="274"/>
        <v>#VALUE!</v>
      </c>
      <c r="AN208" s="32" t="str">
        <f t="shared" si="275"/>
        <v/>
      </c>
      <c r="AO208" s="27" t="str">
        <f t="shared" si="276"/>
        <v/>
      </c>
      <c r="AP208" s="27" t="str">
        <f t="shared" si="277"/>
        <v/>
      </c>
      <c r="AQ208" s="27">
        <f t="shared" si="278"/>
        <v>0</v>
      </c>
      <c r="AR208" s="27">
        <f t="shared" si="279"/>
        <v>0</v>
      </c>
      <c r="AS208" s="33">
        <f t="shared" si="280"/>
        <v>0</v>
      </c>
    </row>
    <row r="209" spans="2:45" hidden="1" x14ac:dyDescent="0.25">
      <c r="B209" s="34">
        <f t="shared" ref="B209:F209" si="307">IF(B208="","",B208)</f>
        <v>11740</v>
      </c>
      <c r="C209" s="26">
        <f t="shared" si="307"/>
        <v>20</v>
      </c>
      <c r="D209" s="26">
        <f t="shared" si="307"/>
        <v>-500</v>
      </c>
      <c r="E209" s="26">
        <f t="shared" si="307"/>
        <v>0</v>
      </c>
      <c r="F209" s="26">
        <f t="shared" si="307"/>
        <v>-650</v>
      </c>
      <c r="G209" s="24"/>
      <c r="H209" s="24"/>
      <c r="I209" s="24"/>
      <c r="J209" s="24"/>
      <c r="K209" s="24"/>
      <c r="L209" s="24"/>
      <c r="M209" s="44" t="str">
        <f t="shared" si="250"/>
        <v/>
      </c>
      <c r="N209" s="26" t="str">
        <f t="shared" si="251"/>
        <v/>
      </c>
      <c r="O209" s="26" t="str">
        <f t="shared" si="252"/>
        <v/>
      </c>
      <c r="P209" s="26" t="str">
        <f t="shared" si="253"/>
        <v/>
      </c>
      <c r="Q209" s="26">
        <f t="shared" si="254"/>
        <v>0</v>
      </c>
      <c r="R209" s="26">
        <f t="shared" si="255"/>
        <v>0</v>
      </c>
      <c r="S209" s="26">
        <f t="shared" si="256"/>
        <v>0</v>
      </c>
      <c r="T209" s="26" t="str">
        <f t="shared" si="257"/>
        <v/>
      </c>
      <c r="U209" s="26" t="str">
        <f t="shared" si="258"/>
        <v/>
      </c>
      <c r="V209" s="26" t="str">
        <f t="shared" si="259"/>
        <v/>
      </c>
      <c r="W209" s="27" t="str">
        <f t="shared" si="260"/>
        <v/>
      </c>
      <c r="X209" s="27" t="str">
        <f t="shared" si="261"/>
        <v/>
      </c>
      <c r="Y209" s="28" t="str">
        <f t="shared" si="262"/>
        <v/>
      </c>
      <c r="Z209" s="27" t="str">
        <f t="shared" si="263"/>
        <v/>
      </c>
      <c r="AA209" s="27" t="str">
        <f t="shared" si="264"/>
        <v/>
      </c>
      <c r="AB209" s="27" t="str">
        <f t="shared" si="265"/>
        <v/>
      </c>
      <c r="AC209" s="27" t="str">
        <f t="shared" si="266"/>
        <v/>
      </c>
      <c r="AD209" s="29" t="str">
        <f t="shared" si="267"/>
        <v/>
      </c>
      <c r="AE209" s="30" t="str">
        <f t="shared" si="268"/>
        <v/>
      </c>
      <c r="AG209" s="4"/>
      <c r="AH209" s="31" t="e">
        <f t="shared" si="269"/>
        <v>#VALUE!</v>
      </c>
      <c r="AI209" s="31" t="e">
        <f t="shared" si="270"/>
        <v>#VALUE!</v>
      </c>
      <c r="AJ209" s="31" t="e">
        <f t="shared" si="271"/>
        <v>#VALUE!</v>
      </c>
      <c r="AK209" s="31" t="e">
        <f t="shared" si="272"/>
        <v>#VALUE!</v>
      </c>
      <c r="AL209" s="31" t="e">
        <f t="shared" si="273"/>
        <v>#VALUE!</v>
      </c>
      <c r="AM209" s="31" t="e">
        <f t="shared" si="274"/>
        <v>#VALUE!</v>
      </c>
      <c r="AN209" s="32" t="str">
        <f t="shared" si="275"/>
        <v/>
      </c>
      <c r="AO209" s="27" t="str">
        <f t="shared" si="276"/>
        <v/>
      </c>
      <c r="AP209" s="27" t="str">
        <f t="shared" si="277"/>
        <v/>
      </c>
      <c r="AQ209" s="27">
        <f t="shared" si="278"/>
        <v>0</v>
      </c>
      <c r="AR209" s="27">
        <f t="shared" si="279"/>
        <v>0</v>
      </c>
      <c r="AS209" s="33">
        <f t="shared" si="280"/>
        <v>0</v>
      </c>
    </row>
    <row r="210" spans="2:45" hidden="1" x14ac:dyDescent="0.25">
      <c r="B210" s="34">
        <f>IF(B209="","",B209)</f>
        <v>11740</v>
      </c>
      <c r="C210" s="26">
        <f t="shared" ref="C210:F210" si="308">IF(C209="","",C209)</f>
        <v>20</v>
      </c>
      <c r="D210" s="26">
        <f t="shared" si="308"/>
        <v>-500</v>
      </c>
      <c r="E210" s="26">
        <f t="shared" si="308"/>
        <v>0</v>
      </c>
      <c r="F210" s="26">
        <f t="shared" si="308"/>
        <v>-650</v>
      </c>
      <c r="G210" s="24"/>
      <c r="H210" s="24"/>
      <c r="I210" s="24"/>
      <c r="J210" s="24"/>
      <c r="K210" s="24"/>
      <c r="L210" s="24"/>
      <c r="M210" s="44" t="str">
        <f t="shared" si="250"/>
        <v/>
      </c>
      <c r="N210" s="26" t="str">
        <f t="shared" si="251"/>
        <v/>
      </c>
      <c r="O210" s="26" t="str">
        <f t="shared" si="252"/>
        <v/>
      </c>
      <c r="P210" s="26" t="str">
        <f t="shared" si="253"/>
        <v/>
      </c>
      <c r="Q210" s="26">
        <f t="shared" si="254"/>
        <v>0</v>
      </c>
      <c r="R210" s="26">
        <f t="shared" si="255"/>
        <v>0</v>
      </c>
      <c r="S210" s="26">
        <f t="shared" si="256"/>
        <v>0</v>
      </c>
      <c r="T210" s="26" t="str">
        <f t="shared" si="257"/>
        <v/>
      </c>
      <c r="U210" s="26" t="str">
        <f t="shared" si="258"/>
        <v/>
      </c>
      <c r="V210" s="26" t="str">
        <f t="shared" si="259"/>
        <v/>
      </c>
      <c r="W210" s="27" t="str">
        <f t="shared" si="260"/>
        <v/>
      </c>
      <c r="X210" s="27" t="str">
        <f t="shared" si="261"/>
        <v/>
      </c>
      <c r="Y210" s="28" t="str">
        <f t="shared" si="262"/>
        <v/>
      </c>
      <c r="Z210" s="27" t="str">
        <f t="shared" si="263"/>
        <v/>
      </c>
      <c r="AA210" s="27" t="str">
        <f t="shared" si="264"/>
        <v/>
      </c>
      <c r="AB210" s="27" t="str">
        <f t="shared" si="265"/>
        <v/>
      </c>
      <c r="AC210" s="27" t="str">
        <f t="shared" si="266"/>
        <v/>
      </c>
      <c r="AD210" s="29" t="str">
        <f t="shared" si="267"/>
        <v/>
      </c>
      <c r="AE210" s="30" t="str">
        <f t="shared" si="268"/>
        <v/>
      </c>
      <c r="AG210" s="4"/>
      <c r="AH210" s="31" t="e">
        <f t="shared" si="269"/>
        <v>#VALUE!</v>
      </c>
      <c r="AI210" s="31" t="e">
        <f t="shared" si="270"/>
        <v>#VALUE!</v>
      </c>
      <c r="AJ210" s="31" t="e">
        <f t="shared" si="271"/>
        <v>#VALUE!</v>
      </c>
      <c r="AK210" s="31" t="e">
        <f t="shared" si="272"/>
        <v>#VALUE!</v>
      </c>
      <c r="AL210" s="31" t="e">
        <f t="shared" si="273"/>
        <v>#VALUE!</v>
      </c>
      <c r="AM210" s="31" t="e">
        <f t="shared" si="274"/>
        <v>#VALUE!</v>
      </c>
      <c r="AN210" s="32" t="str">
        <f t="shared" si="275"/>
        <v/>
      </c>
      <c r="AO210" s="27" t="str">
        <f t="shared" si="276"/>
        <v/>
      </c>
      <c r="AP210" s="27" t="str">
        <f t="shared" si="277"/>
        <v/>
      </c>
      <c r="AQ210" s="27">
        <f t="shared" si="278"/>
        <v>0</v>
      </c>
      <c r="AR210" s="27">
        <f t="shared" si="279"/>
        <v>0</v>
      </c>
      <c r="AS210" s="33">
        <f t="shared" si="280"/>
        <v>0</v>
      </c>
    </row>
    <row r="211" spans="2:45" hidden="1" x14ac:dyDescent="0.25">
      <c r="B211" s="34">
        <f t="shared" ref="B211:F211" si="309">IF(B210="","",B210)</f>
        <v>11740</v>
      </c>
      <c r="C211" s="26">
        <f t="shared" si="309"/>
        <v>20</v>
      </c>
      <c r="D211" s="26">
        <f t="shared" si="309"/>
        <v>-500</v>
      </c>
      <c r="E211" s="26">
        <f t="shared" si="309"/>
        <v>0</v>
      </c>
      <c r="F211" s="26">
        <f t="shared" si="309"/>
        <v>-650</v>
      </c>
      <c r="G211" s="24"/>
      <c r="H211" s="24"/>
      <c r="I211" s="24"/>
      <c r="J211" s="24"/>
      <c r="K211" s="24"/>
      <c r="L211" s="24"/>
      <c r="M211" s="44" t="str">
        <f t="shared" si="250"/>
        <v/>
      </c>
      <c r="N211" s="26" t="str">
        <f t="shared" si="251"/>
        <v/>
      </c>
      <c r="O211" s="26" t="str">
        <f t="shared" si="252"/>
        <v/>
      </c>
      <c r="P211" s="26" t="str">
        <f t="shared" si="253"/>
        <v/>
      </c>
      <c r="Q211" s="26">
        <f t="shared" si="254"/>
        <v>0</v>
      </c>
      <c r="R211" s="26">
        <f t="shared" si="255"/>
        <v>0</v>
      </c>
      <c r="S211" s="26">
        <f t="shared" si="256"/>
        <v>0</v>
      </c>
      <c r="T211" s="26" t="str">
        <f t="shared" si="257"/>
        <v/>
      </c>
      <c r="U211" s="26" t="str">
        <f t="shared" si="258"/>
        <v/>
      </c>
      <c r="V211" s="26" t="str">
        <f t="shared" si="259"/>
        <v/>
      </c>
      <c r="W211" s="27" t="str">
        <f t="shared" si="260"/>
        <v/>
      </c>
      <c r="X211" s="27" t="str">
        <f t="shared" si="261"/>
        <v/>
      </c>
      <c r="Y211" s="28" t="str">
        <f t="shared" si="262"/>
        <v/>
      </c>
      <c r="Z211" s="27" t="str">
        <f t="shared" si="263"/>
        <v/>
      </c>
      <c r="AA211" s="27" t="str">
        <f t="shared" si="264"/>
        <v/>
      </c>
      <c r="AB211" s="27" t="str">
        <f t="shared" si="265"/>
        <v/>
      </c>
      <c r="AC211" s="27" t="str">
        <f t="shared" si="266"/>
        <v/>
      </c>
      <c r="AD211" s="29" t="str">
        <f t="shared" si="267"/>
        <v/>
      </c>
      <c r="AE211" s="30" t="str">
        <f t="shared" si="268"/>
        <v/>
      </c>
      <c r="AG211" s="4"/>
      <c r="AH211" s="31" t="e">
        <f t="shared" si="269"/>
        <v>#VALUE!</v>
      </c>
      <c r="AI211" s="31" t="e">
        <f t="shared" si="270"/>
        <v>#VALUE!</v>
      </c>
      <c r="AJ211" s="31" t="e">
        <f t="shared" si="271"/>
        <v>#VALUE!</v>
      </c>
      <c r="AK211" s="31" t="e">
        <f t="shared" si="272"/>
        <v>#VALUE!</v>
      </c>
      <c r="AL211" s="31" t="e">
        <f t="shared" si="273"/>
        <v>#VALUE!</v>
      </c>
      <c r="AM211" s="31" t="e">
        <f t="shared" si="274"/>
        <v>#VALUE!</v>
      </c>
      <c r="AN211" s="32" t="str">
        <f t="shared" si="275"/>
        <v/>
      </c>
      <c r="AO211" s="27" t="str">
        <f t="shared" si="276"/>
        <v/>
      </c>
      <c r="AP211" s="27" t="str">
        <f t="shared" si="277"/>
        <v/>
      </c>
      <c r="AQ211" s="27">
        <f t="shared" si="278"/>
        <v>0</v>
      </c>
      <c r="AR211" s="27">
        <f t="shared" si="279"/>
        <v>0</v>
      </c>
      <c r="AS211" s="33">
        <f t="shared" si="280"/>
        <v>0</v>
      </c>
    </row>
    <row r="212" spans="2:45" hidden="1" x14ac:dyDescent="0.25">
      <c r="B212" s="34">
        <f t="shared" ref="B212:F212" si="310">IF(B211="","",B211)</f>
        <v>11740</v>
      </c>
      <c r="C212" s="26">
        <f t="shared" si="310"/>
        <v>20</v>
      </c>
      <c r="D212" s="26">
        <f t="shared" si="310"/>
        <v>-500</v>
      </c>
      <c r="E212" s="26">
        <f t="shared" si="310"/>
        <v>0</v>
      </c>
      <c r="F212" s="26">
        <f t="shared" si="310"/>
        <v>-650</v>
      </c>
      <c r="G212" s="24"/>
      <c r="H212" s="24"/>
      <c r="I212" s="24"/>
      <c r="J212" s="24"/>
      <c r="K212" s="24"/>
      <c r="L212" s="24"/>
      <c r="M212" s="44" t="str">
        <f t="shared" si="250"/>
        <v/>
      </c>
      <c r="N212" s="26" t="str">
        <f t="shared" si="251"/>
        <v/>
      </c>
      <c r="O212" s="26" t="str">
        <f t="shared" si="252"/>
        <v/>
      </c>
      <c r="P212" s="26" t="str">
        <f t="shared" si="253"/>
        <v/>
      </c>
      <c r="Q212" s="26">
        <f t="shared" si="254"/>
        <v>0</v>
      </c>
      <c r="R212" s="26">
        <f t="shared" si="255"/>
        <v>0</v>
      </c>
      <c r="S212" s="26">
        <f t="shared" si="256"/>
        <v>0</v>
      </c>
      <c r="T212" s="26" t="str">
        <f t="shared" si="257"/>
        <v/>
      </c>
      <c r="U212" s="26" t="str">
        <f t="shared" si="258"/>
        <v/>
      </c>
      <c r="V212" s="26" t="str">
        <f t="shared" si="259"/>
        <v/>
      </c>
      <c r="W212" s="27" t="str">
        <f t="shared" si="260"/>
        <v/>
      </c>
      <c r="X212" s="27" t="str">
        <f t="shared" si="261"/>
        <v/>
      </c>
      <c r="Y212" s="28" t="str">
        <f t="shared" si="262"/>
        <v/>
      </c>
      <c r="Z212" s="27" t="str">
        <f t="shared" si="263"/>
        <v/>
      </c>
      <c r="AA212" s="27" t="str">
        <f t="shared" si="264"/>
        <v/>
      </c>
      <c r="AB212" s="27" t="str">
        <f t="shared" si="265"/>
        <v/>
      </c>
      <c r="AC212" s="27" t="str">
        <f t="shared" si="266"/>
        <v/>
      </c>
      <c r="AD212" s="29" t="str">
        <f t="shared" si="267"/>
        <v/>
      </c>
      <c r="AE212" s="30" t="str">
        <f t="shared" si="268"/>
        <v/>
      </c>
      <c r="AG212" s="4"/>
      <c r="AH212" s="31" t="e">
        <f t="shared" si="269"/>
        <v>#VALUE!</v>
      </c>
      <c r="AI212" s="31" t="e">
        <f t="shared" si="270"/>
        <v>#VALUE!</v>
      </c>
      <c r="AJ212" s="31" t="e">
        <f t="shared" si="271"/>
        <v>#VALUE!</v>
      </c>
      <c r="AK212" s="31" t="e">
        <f t="shared" si="272"/>
        <v>#VALUE!</v>
      </c>
      <c r="AL212" s="31" t="e">
        <f t="shared" si="273"/>
        <v>#VALUE!</v>
      </c>
      <c r="AM212" s="31" t="e">
        <f t="shared" si="274"/>
        <v>#VALUE!</v>
      </c>
      <c r="AN212" s="32" t="str">
        <f t="shared" si="275"/>
        <v/>
      </c>
      <c r="AO212" s="27" t="str">
        <f t="shared" si="276"/>
        <v/>
      </c>
      <c r="AP212" s="27" t="str">
        <f t="shared" si="277"/>
        <v/>
      </c>
      <c r="AQ212" s="27">
        <f t="shared" si="278"/>
        <v>0</v>
      </c>
      <c r="AR212" s="27">
        <f t="shared" si="279"/>
        <v>0</v>
      </c>
      <c r="AS212" s="33">
        <f t="shared" si="280"/>
        <v>0</v>
      </c>
    </row>
    <row r="213" spans="2:45" hidden="1" x14ac:dyDescent="0.25">
      <c r="B213" s="34">
        <f t="shared" ref="B213:F213" si="311">IF(B212="","",B212)</f>
        <v>11740</v>
      </c>
      <c r="C213" s="26">
        <f t="shared" si="311"/>
        <v>20</v>
      </c>
      <c r="D213" s="26">
        <f t="shared" si="311"/>
        <v>-500</v>
      </c>
      <c r="E213" s="26">
        <f t="shared" si="311"/>
        <v>0</v>
      </c>
      <c r="F213" s="26">
        <f t="shared" si="311"/>
        <v>-650</v>
      </c>
      <c r="G213" s="24"/>
      <c r="H213" s="24"/>
      <c r="I213" s="24"/>
      <c r="J213" s="24"/>
      <c r="K213" s="24"/>
      <c r="L213" s="24"/>
      <c r="M213" s="44" t="str">
        <f t="shared" si="250"/>
        <v/>
      </c>
      <c r="N213" s="26" t="str">
        <f t="shared" si="251"/>
        <v/>
      </c>
      <c r="O213" s="26" t="str">
        <f t="shared" si="252"/>
        <v/>
      </c>
      <c r="P213" s="26" t="str">
        <f t="shared" si="253"/>
        <v/>
      </c>
      <c r="Q213" s="26">
        <f t="shared" si="254"/>
        <v>0</v>
      </c>
      <c r="R213" s="26">
        <f t="shared" si="255"/>
        <v>0</v>
      </c>
      <c r="S213" s="26">
        <f t="shared" si="256"/>
        <v>0</v>
      </c>
      <c r="T213" s="26" t="str">
        <f t="shared" si="257"/>
        <v/>
      </c>
      <c r="U213" s="26" t="str">
        <f t="shared" si="258"/>
        <v/>
      </c>
      <c r="V213" s="26" t="str">
        <f t="shared" si="259"/>
        <v/>
      </c>
      <c r="W213" s="27" t="str">
        <f t="shared" si="260"/>
        <v/>
      </c>
      <c r="X213" s="27" t="str">
        <f t="shared" si="261"/>
        <v/>
      </c>
      <c r="Y213" s="28" t="str">
        <f t="shared" si="262"/>
        <v/>
      </c>
      <c r="Z213" s="27" t="str">
        <f t="shared" si="263"/>
        <v/>
      </c>
      <c r="AA213" s="27" t="str">
        <f t="shared" si="264"/>
        <v/>
      </c>
      <c r="AB213" s="27" t="str">
        <f t="shared" si="265"/>
        <v/>
      </c>
      <c r="AC213" s="27" t="str">
        <f t="shared" si="266"/>
        <v/>
      </c>
      <c r="AD213" s="29" t="str">
        <f t="shared" si="267"/>
        <v/>
      </c>
      <c r="AE213" s="30" t="str">
        <f t="shared" si="268"/>
        <v/>
      </c>
      <c r="AG213" s="4"/>
      <c r="AH213" s="31" t="e">
        <f t="shared" si="269"/>
        <v>#VALUE!</v>
      </c>
      <c r="AI213" s="31" t="e">
        <f t="shared" si="270"/>
        <v>#VALUE!</v>
      </c>
      <c r="AJ213" s="31" t="e">
        <f t="shared" si="271"/>
        <v>#VALUE!</v>
      </c>
      <c r="AK213" s="31" t="e">
        <f t="shared" si="272"/>
        <v>#VALUE!</v>
      </c>
      <c r="AL213" s="31" t="e">
        <f t="shared" si="273"/>
        <v>#VALUE!</v>
      </c>
      <c r="AM213" s="31" t="e">
        <f t="shared" si="274"/>
        <v>#VALUE!</v>
      </c>
      <c r="AN213" s="32" t="str">
        <f t="shared" si="275"/>
        <v/>
      </c>
      <c r="AO213" s="27" t="str">
        <f t="shared" si="276"/>
        <v/>
      </c>
      <c r="AP213" s="27" t="str">
        <f t="shared" si="277"/>
        <v/>
      </c>
      <c r="AQ213" s="27">
        <f t="shared" si="278"/>
        <v>0</v>
      </c>
      <c r="AR213" s="27">
        <f t="shared" si="279"/>
        <v>0</v>
      </c>
      <c r="AS213" s="33">
        <f t="shared" si="280"/>
        <v>0</v>
      </c>
    </row>
    <row r="214" spans="2:45" hidden="1" x14ac:dyDescent="0.25">
      <c r="B214" s="34">
        <f t="shared" ref="B214:F214" si="312">IF(B213="","",B213)</f>
        <v>11740</v>
      </c>
      <c r="C214" s="26">
        <f t="shared" si="312"/>
        <v>20</v>
      </c>
      <c r="D214" s="26">
        <f t="shared" si="312"/>
        <v>-500</v>
      </c>
      <c r="E214" s="26">
        <f t="shared" si="312"/>
        <v>0</v>
      </c>
      <c r="F214" s="26">
        <f t="shared" si="312"/>
        <v>-650</v>
      </c>
      <c r="G214" s="24"/>
      <c r="H214" s="24"/>
      <c r="I214" s="24"/>
      <c r="J214" s="24"/>
      <c r="K214" s="24"/>
      <c r="L214" s="24"/>
      <c r="M214" s="44" t="str">
        <f t="shared" si="250"/>
        <v/>
      </c>
      <c r="N214" s="26" t="str">
        <f t="shared" si="251"/>
        <v/>
      </c>
      <c r="O214" s="26" t="str">
        <f t="shared" si="252"/>
        <v/>
      </c>
      <c r="P214" s="26" t="str">
        <f t="shared" si="253"/>
        <v/>
      </c>
      <c r="Q214" s="26">
        <f t="shared" si="254"/>
        <v>0</v>
      </c>
      <c r="R214" s="26">
        <f t="shared" si="255"/>
        <v>0</v>
      </c>
      <c r="S214" s="26">
        <f t="shared" si="256"/>
        <v>0</v>
      </c>
      <c r="T214" s="26" t="str">
        <f t="shared" si="257"/>
        <v/>
      </c>
      <c r="U214" s="26" t="str">
        <f t="shared" si="258"/>
        <v/>
      </c>
      <c r="V214" s="26" t="str">
        <f t="shared" si="259"/>
        <v/>
      </c>
      <c r="W214" s="27" t="str">
        <f t="shared" si="260"/>
        <v/>
      </c>
      <c r="X214" s="27" t="str">
        <f t="shared" si="261"/>
        <v/>
      </c>
      <c r="Y214" s="28" t="str">
        <f t="shared" si="262"/>
        <v/>
      </c>
      <c r="Z214" s="27" t="str">
        <f t="shared" si="263"/>
        <v/>
      </c>
      <c r="AA214" s="27" t="str">
        <f t="shared" si="264"/>
        <v/>
      </c>
      <c r="AB214" s="27" t="str">
        <f t="shared" si="265"/>
        <v/>
      </c>
      <c r="AC214" s="27" t="str">
        <f t="shared" si="266"/>
        <v/>
      </c>
      <c r="AD214" s="29" t="str">
        <f t="shared" si="267"/>
        <v/>
      </c>
      <c r="AE214" s="30" t="str">
        <f t="shared" si="268"/>
        <v/>
      </c>
      <c r="AG214" s="4"/>
      <c r="AH214" s="31" t="e">
        <f t="shared" si="269"/>
        <v>#VALUE!</v>
      </c>
      <c r="AI214" s="31" t="e">
        <f t="shared" si="270"/>
        <v>#VALUE!</v>
      </c>
      <c r="AJ214" s="31" t="e">
        <f t="shared" si="271"/>
        <v>#VALUE!</v>
      </c>
      <c r="AK214" s="31" t="e">
        <f t="shared" si="272"/>
        <v>#VALUE!</v>
      </c>
      <c r="AL214" s="31" t="e">
        <f t="shared" si="273"/>
        <v>#VALUE!</v>
      </c>
      <c r="AM214" s="31" t="e">
        <f t="shared" si="274"/>
        <v>#VALUE!</v>
      </c>
      <c r="AN214" s="32" t="str">
        <f t="shared" si="275"/>
        <v/>
      </c>
      <c r="AO214" s="27" t="str">
        <f t="shared" si="276"/>
        <v/>
      </c>
      <c r="AP214" s="27" t="str">
        <f t="shared" si="277"/>
        <v/>
      </c>
      <c r="AQ214" s="27">
        <f t="shared" si="278"/>
        <v>0</v>
      </c>
      <c r="AR214" s="27">
        <f t="shared" si="279"/>
        <v>0</v>
      </c>
      <c r="AS214" s="33">
        <f t="shared" si="280"/>
        <v>0</v>
      </c>
    </row>
    <row r="215" spans="2:45" hidden="1" x14ac:dyDescent="0.25">
      <c r="B215" s="34">
        <f t="shared" ref="B215:F215" si="313">IF(B214="","",B214)</f>
        <v>11740</v>
      </c>
      <c r="C215" s="26">
        <f t="shared" si="313"/>
        <v>20</v>
      </c>
      <c r="D215" s="26">
        <f t="shared" si="313"/>
        <v>-500</v>
      </c>
      <c r="E215" s="26">
        <f t="shared" si="313"/>
        <v>0</v>
      </c>
      <c r="F215" s="26">
        <f t="shared" si="313"/>
        <v>-650</v>
      </c>
      <c r="G215" s="24"/>
      <c r="H215" s="24"/>
      <c r="I215" s="24"/>
      <c r="J215" s="24"/>
      <c r="K215" s="24"/>
      <c r="L215" s="24"/>
      <c r="M215" s="44" t="str">
        <f t="shared" si="250"/>
        <v/>
      </c>
      <c r="N215" s="26" t="str">
        <f t="shared" si="251"/>
        <v/>
      </c>
      <c r="O215" s="26" t="str">
        <f t="shared" si="252"/>
        <v/>
      </c>
      <c r="P215" s="26" t="str">
        <f t="shared" si="253"/>
        <v/>
      </c>
      <c r="Q215" s="26">
        <f t="shared" si="254"/>
        <v>0</v>
      </c>
      <c r="R215" s="26">
        <f t="shared" si="255"/>
        <v>0</v>
      </c>
      <c r="S215" s="26">
        <f t="shared" si="256"/>
        <v>0</v>
      </c>
      <c r="T215" s="26" t="str">
        <f t="shared" si="257"/>
        <v/>
      </c>
      <c r="U215" s="26" t="str">
        <f t="shared" si="258"/>
        <v/>
      </c>
      <c r="V215" s="26" t="str">
        <f t="shared" si="259"/>
        <v/>
      </c>
      <c r="W215" s="27" t="str">
        <f t="shared" si="260"/>
        <v/>
      </c>
      <c r="X215" s="27" t="str">
        <f t="shared" si="261"/>
        <v/>
      </c>
      <c r="Y215" s="28" t="str">
        <f t="shared" si="262"/>
        <v/>
      </c>
      <c r="Z215" s="27" t="str">
        <f t="shared" si="263"/>
        <v/>
      </c>
      <c r="AA215" s="27" t="str">
        <f t="shared" si="264"/>
        <v/>
      </c>
      <c r="AB215" s="27" t="str">
        <f t="shared" si="265"/>
        <v/>
      </c>
      <c r="AC215" s="27" t="str">
        <f t="shared" si="266"/>
        <v/>
      </c>
      <c r="AD215" s="29" t="str">
        <f t="shared" si="267"/>
        <v/>
      </c>
      <c r="AE215" s="30" t="str">
        <f t="shared" si="268"/>
        <v/>
      </c>
      <c r="AG215" s="4"/>
      <c r="AH215" s="31" t="e">
        <f t="shared" si="269"/>
        <v>#VALUE!</v>
      </c>
      <c r="AI215" s="31" t="e">
        <f t="shared" si="270"/>
        <v>#VALUE!</v>
      </c>
      <c r="AJ215" s="31" t="e">
        <f t="shared" si="271"/>
        <v>#VALUE!</v>
      </c>
      <c r="AK215" s="31" t="e">
        <f t="shared" si="272"/>
        <v>#VALUE!</v>
      </c>
      <c r="AL215" s="31" t="e">
        <f t="shared" si="273"/>
        <v>#VALUE!</v>
      </c>
      <c r="AM215" s="31" t="e">
        <f t="shared" si="274"/>
        <v>#VALUE!</v>
      </c>
      <c r="AN215" s="32" t="str">
        <f t="shared" si="275"/>
        <v/>
      </c>
      <c r="AO215" s="27" t="str">
        <f t="shared" si="276"/>
        <v/>
      </c>
      <c r="AP215" s="27" t="str">
        <f t="shared" si="277"/>
        <v/>
      </c>
      <c r="AQ215" s="27">
        <f t="shared" si="278"/>
        <v>0</v>
      </c>
      <c r="AR215" s="27">
        <f t="shared" si="279"/>
        <v>0</v>
      </c>
      <c r="AS215" s="33">
        <f t="shared" si="280"/>
        <v>0</v>
      </c>
    </row>
    <row r="216" spans="2:45" hidden="1" x14ac:dyDescent="0.25">
      <c r="B216" s="34">
        <f t="shared" ref="B216:F216" si="314">IF(B215="","",B215)</f>
        <v>11740</v>
      </c>
      <c r="C216" s="26">
        <f t="shared" si="314"/>
        <v>20</v>
      </c>
      <c r="D216" s="26">
        <f t="shared" si="314"/>
        <v>-500</v>
      </c>
      <c r="E216" s="26">
        <f t="shared" si="314"/>
        <v>0</v>
      </c>
      <c r="F216" s="26">
        <f t="shared" si="314"/>
        <v>-650</v>
      </c>
      <c r="G216" s="24"/>
      <c r="H216" s="24"/>
      <c r="I216" s="24"/>
      <c r="J216" s="24"/>
      <c r="K216" s="24"/>
      <c r="L216" s="24"/>
      <c r="M216" s="44" t="str">
        <f t="shared" si="250"/>
        <v/>
      </c>
      <c r="N216" s="26" t="str">
        <f t="shared" si="251"/>
        <v/>
      </c>
      <c r="O216" s="26" t="str">
        <f t="shared" si="252"/>
        <v/>
      </c>
      <c r="P216" s="26" t="str">
        <f t="shared" si="253"/>
        <v/>
      </c>
      <c r="Q216" s="26">
        <f t="shared" si="254"/>
        <v>0</v>
      </c>
      <c r="R216" s="26">
        <f t="shared" si="255"/>
        <v>0</v>
      </c>
      <c r="S216" s="26">
        <f t="shared" si="256"/>
        <v>0</v>
      </c>
      <c r="T216" s="26" t="str">
        <f t="shared" si="257"/>
        <v/>
      </c>
      <c r="U216" s="26" t="str">
        <f t="shared" si="258"/>
        <v/>
      </c>
      <c r="V216" s="26" t="str">
        <f t="shared" si="259"/>
        <v/>
      </c>
      <c r="W216" s="27" t="str">
        <f t="shared" si="260"/>
        <v/>
      </c>
      <c r="X216" s="27" t="str">
        <f t="shared" si="261"/>
        <v/>
      </c>
      <c r="Y216" s="28" t="str">
        <f t="shared" si="262"/>
        <v/>
      </c>
      <c r="Z216" s="27" t="str">
        <f t="shared" si="263"/>
        <v/>
      </c>
      <c r="AA216" s="27" t="str">
        <f t="shared" si="264"/>
        <v/>
      </c>
      <c r="AB216" s="27" t="str">
        <f t="shared" si="265"/>
        <v/>
      </c>
      <c r="AC216" s="27" t="str">
        <f t="shared" si="266"/>
        <v/>
      </c>
      <c r="AD216" s="29" t="str">
        <f t="shared" si="267"/>
        <v/>
      </c>
      <c r="AE216" s="30" t="str">
        <f t="shared" si="268"/>
        <v/>
      </c>
      <c r="AG216" s="4"/>
      <c r="AH216" s="31" t="e">
        <f t="shared" si="269"/>
        <v>#VALUE!</v>
      </c>
      <c r="AI216" s="31" t="e">
        <f t="shared" si="270"/>
        <v>#VALUE!</v>
      </c>
      <c r="AJ216" s="31" t="e">
        <f t="shared" si="271"/>
        <v>#VALUE!</v>
      </c>
      <c r="AK216" s="31" t="e">
        <f t="shared" si="272"/>
        <v>#VALUE!</v>
      </c>
      <c r="AL216" s="31" t="e">
        <f t="shared" si="273"/>
        <v>#VALUE!</v>
      </c>
      <c r="AM216" s="31" t="e">
        <f t="shared" si="274"/>
        <v>#VALUE!</v>
      </c>
      <c r="AN216" s="32" t="str">
        <f t="shared" si="275"/>
        <v/>
      </c>
      <c r="AO216" s="27" t="str">
        <f t="shared" si="276"/>
        <v/>
      </c>
      <c r="AP216" s="27" t="str">
        <f t="shared" si="277"/>
        <v/>
      </c>
      <c r="AQ216" s="27">
        <f t="shared" si="278"/>
        <v>0</v>
      </c>
      <c r="AR216" s="27">
        <f t="shared" si="279"/>
        <v>0</v>
      </c>
      <c r="AS216" s="33">
        <f t="shared" si="280"/>
        <v>0</v>
      </c>
    </row>
    <row r="217" spans="2:45" hidden="1" x14ac:dyDescent="0.25">
      <c r="B217" s="34">
        <f t="shared" ref="B217:F217" si="315">IF(B216="","",B216)</f>
        <v>11740</v>
      </c>
      <c r="C217" s="26">
        <f t="shared" si="315"/>
        <v>20</v>
      </c>
      <c r="D217" s="26">
        <f t="shared" si="315"/>
        <v>-500</v>
      </c>
      <c r="E217" s="26">
        <f t="shared" si="315"/>
        <v>0</v>
      </c>
      <c r="F217" s="26">
        <f t="shared" si="315"/>
        <v>-650</v>
      </c>
      <c r="G217" s="24"/>
      <c r="H217" s="24"/>
      <c r="I217" s="24"/>
      <c r="J217" s="24"/>
      <c r="K217" s="24"/>
      <c r="L217" s="24"/>
      <c r="M217" s="44" t="str">
        <f t="shared" si="250"/>
        <v/>
      </c>
      <c r="N217" s="26" t="str">
        <f t="shared" si="251"/>
        <v/>
      </c>
      <c r="O217" s="26" t="str">
        <f t="shared" si="252"/>
        <v/>
      </c>
      <c r="P217" s="26" t="str">
        <f t="shared" si="253"/>
        <v/>
      </c>
      <c r="Q217" s="26">
        <f t="shared" si="254"/>
        <v>0</v>
      </c>
      <c r="R217" s="26">
        <f t="shared" si="255"/>
        <v>0</v>
      </c>
      <c r="S217" s="26">
        <f t="shared" si="256"/>
        <v>0</v>
      </c>
      <c r="T217" s="26" t="str">
        <f t="shared" si="257"/>
        <v/>
      </c>
      <c r="U217" s="26" t="str">
        <f t="shared" si="258"/>
        <v/>
      </c>
      <c r="V217" s="26" t="str">
        <f t="shared" si="259"/>
        <v/>
      </c>
      <c r="W217" s="27" t="str">
        <f t="shared" si="260"/>
        <v/>
      </c>
      <c r="X217" s="27" t="str">
        <f t="shared" si="261"/>
        <v/>
      </c>
      <c r="Y217" s="28" t="str">
        <f t="shared" si="262"/>
        <v/>
      </c>
      <c r="Z217" s="27" t="str">
        <f t="shared" si="263"/>
        <v/>
      </c>
      <c r="AA217" s="27" t="str">
        <f t="shared" si="264"/>
        <v/>
      </c>
      <c r="AB217" s="27" t="str">
        <f t="shared" si="265"/>
        <v/>
      </c>
      <c r="AC217" s="27" t="str">
        <f t="shared" si="266"/>
        <v/>
      </c>
      <c r="AD217" s="29" t="str">
        <f t="shared" si="267"/>
        <v/>
      </c>
      <c r="AE217" s="30" t="str">
        <f t="shared" si="268"/>
        <v/>
      </c>
      <c r="AG217" s="4"/>
      <c r="AH217" s="31" t="e">
        <f t="shared" si="269"/>
        <v>#VALUE!</v>
      </c>
      <c r="AI217" s="31" t="e">
        <f t="shared" si="270"/>
        <v>#VALUE!</v>
      </c>
      <c r="AJ217" s="31" t="e">
        <f t="shared" si="271"/>
        <v>#VALUE!</v>
      </c>
      <c r="AK217" s="31" t="e">
        <f t="shared" si="272"/>
        <v>#VALUE!</v>
      </c>
      <c r="AL217" s="31" t="e">
        <f t="shared" si="273"/>
        <v>#VALUE!</v>
      </c>
      <c r="AM217" s="31" t="e">
        <f t="shared" si="274"/>
        <v>#VALUE!</v>
      </c>
      <c r="AN217" s="32" t="str">
        <f t="shared" si="275"/>
        <v/>
      </c>
      <c r="AO217" s="27" t="str">
        <f t="shared" si="276"/>
        <v/>
      </c>
      <c r="AP217" s="27" t="str">
        <f t="shared" si="277"/>
        <v/>
      </c>
      <c r="AQ217" s="27">
        <f t="shared" si="278"/>
        <v>0</v>
      </c>
      <c r="AR217" s="27">
        <f t="shared" si="279"/>
        <v>0</v>
      </c>
      <c r="AS217" s="33">
        <f t="shared" si="280"/>
        <v>0</v>
      </c>
    </row>
    <row r="218" spans="2:45" hidden="1" x14ac:dyDescent="0.25">
      <c r="B218" s="34">
        <f t="shared" ref="B218:F218" si="316">IF(B217="","",B217)</f>
        <v>11740</v>
      </c>
      <c r="C218" s="26">
        <f t="shared" si="316"/>
        <v>20</v>
      </c>
      <c r="D218" s="26">
        <f t="shared" si="316"/>
        <v>-500</v>
      </c>
      <c r="E218" s="26">
        <f t="shared" si="316"/>
        <v>0</v>
      </c>
      <c r="F218" s="26">
        <f t="shared" si="316"/>
        <v>-650</v>
      </c>
      <c r="G218" s="24"/>
      <c r="H218" s="24"/>
      <c r="I218" s="24"/>
      <c r="J218" s="24"/>
      <c r="K218" s="24"/>
      <c r="L218" s="24"/>
      <c r="M218" s="44" t="str">
        <f t="shared" si="250"/>
        <v/>
      </c>
      <c r="N218" s="26" t="str">
        <f t="shared" si="251"/>
        <v/>
      </c>
      <c r="O218" s="26" t="str">
        <f t="shared" si="252"/>
        <v/>
      </c>
      <c r="P218" s="26" t="str">
        <f t="shared" si="253"/>
        <v/>
      </c>
      <c r="Q218" s="26">
        <f t="shared" si="254"/>
        <v>0</v>
      </c>
      <c r="R218" s="26">
        <f t="shared" si="255"/>
        <v>0</v>
      </c>
      <c r="S218" s="26">
        <f t="shared" si="256"/>
        <v>0</v>
      </c>
      <c r="T218" s="26" t="str">
        <f t="shared" si="257"/>
        <v/>
      </c>
      <c r="U218" s="26" t="str">
        <f t="shared" si="258"/>
        <v/>
      </c>
      <c r="V218" s="26" t="str">
        <f t="shared" si="259"/>
        <v/>
      </c>
      <c r="W218" s="27" t="str">
        <f t="shared" si="260"/>
        <v/>
      </c>
      <c r="X218" s="27" t="str">
        <f t="shared" si="261"/>
        <v/>
      </c>
      <c r="Y218" s="28" t="str">
        <f t="shared" si="262"/>
        <v/>
      </c>
      <c r="Z218" s="27" t="str">
        <f t="shared" si="263"/>
        <v/>
      </c>
      <c r="AA218" s="27" t="str">
        <f t="shared" si="264"/>
        <v/>
      </c>
      <c r="AB218" s="27" t="str">
        <f t="shared" si="265"/>
        <v/>
      </c>
      <c r="AC218" s="27" t="str">
        <f t="shared" si="266"/>
        <v/>
      </c>
      <c r="AD218" s="29" t="str">
        <f t="shared" si="267"/>
        <v/>
      </c>
      <c r="AE218" s="30" t="str">
        <f t="shared" si="268"/>
        <v/>
      </c>
      <c r="AG218" s="4"/>
      <c r="AH218" s="31" t="e">
        <f t="shared" si="269"/>
        <v>#VALUE!</v>
      </c>
      <c r="AI218" s="31" t="e">
        <f t="shared" si="270"/>
        <v>#VALUE!</v>
      </c>
      <c r="AJ218" s="31" t="e">
        <f t="shared" si="271"/>
        <v>#VALUE!</v>
      </c>
      <c r="AK218" s="31" t="e">
        <f t="shared" si="272"/>
        <v>#VALUE!</v>
      </c>
      <c r="AL218" s="31" t="e">
        <f t="shared" si="273"/>
        <v>#VALUE!</v>
      </c>
      <c r="AM218" s="31" t="e">
        <f t="shared" si="274"/>
        <v>#VALUE!</v>
      </c>
      <c r="AN218" s="32" t="str">
        <f t="shared" si="275"/>
        <v/>
      </c>
      <c r="AO218" s="27" t="str">
        <f t="shared" si="276"/>
        <v/>
      </c>
      <c r="AP218" s="27" t="str">
        <f t="shared" si="277"/>
        <v/>
      </c>
      <c r="AQ218" s="27">
        <f t="shared" si="278"/>
        <v>0</v>
      </c>
      <c r="AR218" s="27">
        <f t="shared" si="279"/>
        <v>0</v>
      </c>
      <c r="AS218" s="33">
        <f t="shared" si="280"/>
        <v>0</v>
      </c>
    </row>
    <row r="219" spans="2:45" hidden="1" x14ac:dyDescent="0.25">
      <c r="B219" s="34">
        <f t="shared" ref="B219:F219" si="317">IF(B218="","",B218)</f>
        <v>11740</v>
      </c>
      <c r="C219" s="26">
        <f t="shared" si="317"/>
        <v>20</v>
      </c>
      <c r="D219" s="26">
        <f t="shared" si="317"/>
        <v>-500</v>
      </c>
      <c r="E219" s="26">
        <f t="shared" si="317"/>
        <v>0</v>
      </c>
      <c r="F219" s="26">
        <f t="shared" si="317"/>
        <v>-650</v>
      </c>
      <c r="G219" s="24"/>
      <c r="H219" s="24"/>
      <c r="I219" s="24"/>
      <c r="J219" s="24"/>
      <c r="K219" s="24"/>
      <c r="L219" s="24"/>
      <c r="M219" s="44" t="str">
        <f t="shared" si="250"/>
        <v/>
      </c>
      <c r="N219" s="26" t="str">
        <f t="shared" si="251"/>
        <v/>
      </c>
      <c r="O219" s="26" t="str">
        <f t="shared" si="252"/>
        <v/>
      </c>
      <c r="P219" s="26" t="str">
        <f t="shared" si="253"/>
        <v/>
      </c>
      <c r="Q219" s="26">
        <f t="shared" si="254"/>
        <v>0</v>
      </c>
      <c r="R219" s="26">
        <f t="shared" si="255"/>
        <v>0</v>
      </c>
      <c r="S219" s="26">
        <f t="shared" si="256"/>
        <v>0</v>
      </c>
      <c r="T219" s="26" t="str">
        <f t="shared" si="257"/>
        <v/>
      </c>
      <c r="U219" s="26" t="str">
        <f t="shared" si="258"/>
        <v/>
      </c>
      <c r="V219" s="26" t="str">
        <f t="shared" si="259"/>
        <v/>
      </c>
      <c r="W219" s="27" t="str">
        <f t="shared" si="260"/>
        <v/>
      </c>
      <c r="X219" s="27" t="str">
        <f t="shared" si="261"/>
        <v/>
      </c>
      <c r="Y219" s="28" t="str">
        <f t="shared" si="262"/>
        <v/>
      </c>
      <c r="Z219" s="27" t="str">
        <f t="shared" si="263"/>
        <v/>
      </c>
      <c r="AA219" s="27" t="str">
        <f t="shared" si="264"/>
        <v/>
      </c>
      <c r="AB219" s="27" t="str">
        <f t="shared" si="265"/>
        <v/>
      </c>
      <c r="AC219" s="27" t="str">
        <f t="shared" si="266"/>
        <v/>
      </c>
      <c r="AD219" s="29" t="str">
        <f t="shared" si="267"/>
        <v/>
      </c>
      <c r="AE219" s="30" t="str">
        <f t="shared" si="268"/>
        <v/>
      </c>
      <c r="AG219" s="4"/>
      <c r="AH219" s="31" t="e">
        <f t="shared" si="269"/>
        <v>#VALUE!</v>
      </c>
      <c r="AI219" s="31" t="e">
        <f t="shared" si="270"/>
        <v>#VALUE!</v>
      </c>
      <c r="AJ219" s="31" t="e">
        <f t="shared" si="271"/>
        <v>#VALUE!</v>
      </c>
      <c r="AK219" s="31" t="e">
        <f t="shared" si="272"/>
        <v>#VALUE!</v>
      </c>
      <c r="AL219" s="31" t="e">
        <f t="shared" si="273"/>
        <v>#VALUE!</v>
      </c>
      <c r="AM219" s="31" t="e">
        <f t="shared" si="274"/>
        <v>#VALUE!</v>
      </c>
      <c r="AN219" s="32" t="str">
        <f t="shared" si="275"/>
        <v/>
      </c>
      <c r="AO219" s="27" t="str">
        <f t="shared" si="276"/>
        <v/>
      </c>
      <c r="AP219" s="27" t="str">
        <f t="shared" si="277"/>
        <v/>
      </c>
      <c r="AQ219" s="27">
        <f t="shared" si="278"/>
        <v>0</v>
      </c>
      <c r="AR219" s="27">
        <f t="shared" si="279"/>
        <v>0</v>
      </c>
      <c r="AS219" s="33">
        <f t="shared" si="280"/>
        <v>0</v>
      </c>
    </row>
    <row r="220" spans="2:45" hidden="1" x14ac:dyDescent="0.25">
      <c r="B220" s="34">
        <f t="shared" ref="B220:F220" si="318">IF(B219="","",B219)</f>
        <v>11740</v>
      </c>
      <c r="C220" s="26">
        <f t="shared" si="318"/>
        <v>20</v>
      </c>
      <c r="D220" s="26">
        <f t="shared" si="318"/>
        <v>-500</v>
      </c>
      <c r="E220" s="26">
        <f t="shared" si="318"/>
        <v>0</v>
      </c>
      <c r="F220" s="26">
        <f t="shared" si="318"/>
        <v>-650</v>
      </c>
      <c r="G220" s="24"/>
      <c r="H220" s="24"/>
      <c r="I220" s="24"/>
      <c r="J220" s="24"/>
      <c r="K220" s="24"/>
      <c r="L220" s="24"/>
      <c r="M220" s="44" t="str">
        <f t="shared" si="250"/>
        <v/>
      </c>
      <c r="N220" s="26" t="str">
        <f t="shared" si="251"/>
        <v/>
      </c>
      <c r="O220" s="26" t="str">
        <f t="shared" si="252"/>
        <v/>
      </c>
      <c r="P220" s="26" t="str">
        <f t="shared" si="253"/>
        <v/>
      </c>
      <c r="Q220" s="26">
        <f t="shared" si="254"/>
        <v>0</v>
      </c>
      <c r="R220" s="26">
        <f t="shared" si="255"/>
        <v>0</v>
      </c>
      <c r="S220" s="26">
        <f t="shared" si="256"/>
        <v>0</v>
      </c>
      <c r="T220" s="26" t="str">
        <f t="shared" si="257"/>
        <v/>
      </c>
      <c r="U220" s="26" t="str">
        <f t="shared" si="258"/>
        <v/>
      </c>
      <c r="V220" s="26" t="str">
        <f t="shared" si="259"/>
        <v/>
      </c>
      <c r="W220" s="27" t="str">
        <f t="shared" si="260"/>
        <v/>
      </c>
      <c r="X220" s="27" t="str">
        <f t="shared" si="261"/>
        <v/>
      </c>
      <c r="Y220" s="28" t="str">
        <f t="shared" si="262"/>
        <v/>
      </c>
      <c r="Z220" s="27" t="str">
        <f t="shared" si="263"/>
        <v/>
      </c>
      <c r="AA220" s="27" t="str">
        <f t="shared" si="264"/>
        <v/>
      </c>
      <c r="AB220" s="27" t="str">
        <f t="shared" si="265"/>
        <v/>
      </c>
      <c r="AC220" s="27" t="str">
        <f t="shared" si="266"/>
        <v/>
      </c>
      <c r="AD220" s="29" t="str">
        <f t="shared" si="267"/>
        <v/>
      </c>
      <c r="AE220" s="30" t="str">
        <f t="shared" si="268"/>
        <v/>
      </c>
      <c r="AG220" s="4"/>
      <c r="AH220" s="31" t="e">
        <f t="shared" si="269"/>
        <v>#VALUE!</v>
      </c>
      <c r="AI220" s="31" t="e">
        <f t="shared" si="270"/>
        <v>#VALUE!</v>
      </c>
      <c r="AJ220" s="31" t="e">
        <f t="shared" si="271"/>
        <v>#VALUE!</v>
      </c>
      <c r="AK220" s="31" t="e">
        <f t="shared" si="272"/>
        <v>#VALUE!</v>
      </c>
      <c r="AL220" s="31" t="e">
        <f t="shared" si="273"/>
        <v>#VALUE!</v>
      </c>
      <c r="AM220" s="31" t="e">
        <f t="shared" si="274"/>
        <v>#VALUE!</v>
      </c>
      <c r="AN220" s="32" t="str">
        <f t="shared" si="275"/>
        <v/>
      </c>
      <c r="AO220" s="27" t="str">
        <f t="shared" si="276"/>
        <v/>
      </c>
      <c r="AP220" s="27" t="str">
        <f t="shared" si="277"/>
        <v/>
      </c>
      <c r="AQ220" s="27">
        <f t="shared" si="278"/>
        <v>0</v>
      </c>
      <c r="AR220" s="27">
        <f t="shared" si="279"/>
        <v>0</v>
      </c>
      <c r="AS220" s="33">
        <f t="shared" si="280"/>
        <v>0</v>
      </c>
    </row>
    <row r="221" spans="2:45" hidden="1" x14ac:dyDescent="0.25">
      <c r="B221" s="34">
        <f t="shared" ref="B221:F221" si="319">IF(B220="","",B220)</f>
        <v>11740</v>
      </c>
      <c r="C221" s="26">
        <f t="shared" si="319"/>
        <v>20</v>
      </c>
      <c r="D221" s="26">
        <f t="shared" si="319"/>
        <v>-500</v>
      </c>
      <c r="E221" s="26">
        <f t="shared" si="319"/>
        <v>0</v>
      </c>
      <c r="F221" s="26">
        <f t="shared" si="319"/>
        <v>-650</v>
      </c>
      <c r="G221" s="24"/>
      <c r="H221" s="24"/>
      <c r="I221" s="24"/>
      <c r="J221" s="24"/>
      <c r="K221" s="24"/>
      <c r="L221" s="24"/>
      <c r="M221" s="44" t="str">
        <f t="shared" si="250"/>
        <v/>
      </c>
      <c r="N221" s="26" t="str">
        <f t="shared" si="251"/>
        <v/>
      </c>
      <c r="O221" s="26" t="str">
        <f t="shared" si="252"/>
        <v/>
      </c>
      <c r="P221" s="26" t="str">
        <f t="shared" si="253"/>
        <v/>
      </c>
      <c r="Q221" s="26">
        <f t="shared" si="254"/>
        <v>0</v>
      </c>
      <c r="R221" s="26">
        <f t="shared" si="255"/>
        <v>0</v>
      </c>
      <c r="S221" s="26">
        <f t="shared" si="256"/>
        <v>0</v>
      </c>
      <c r="T221" s="26" t="str">
        <f t="shared" si="257"/>
        <v/>
      </c>
      <c r="U221" s="26" t="str">
        <f t="shared" si="258"/>
        <v/>
      </c>
      <c r="V221" s="26" t="str">
        <f t="shared" si="259"/>
        <v/>
      </c>
      <c r="W221" s="27" t="str">
        <f t="shared" si="260"/>
        <v/>
      </c>
      <c r="X221" s="27" t="str">
        <f t="shared" si="261"/>
        <v/>
      </c>
      <c r="Y221" s="28" t="str">
        <f t="shared" si="262"/>
        <v/>
      </c>
      <c r="Z221" s="27" t="str">
        <f t="shared" si="263"/>
        <v/>
      </c>
      <c r="AA221" s="27" t="str">
        <f t="shared" si="264"/>
        <v/>
      </c>
      <c r="AB221" s="27" t="str">
        <f t="shared" si="265"/>
        <v/>
      </c>
      <c r="AC221" s="27" t="str">
        <f t="shared" si="266"/>
        <v/>
      </c>
      <c r="AD221" s="29" t="str">
        <f t="shared" si="267"/>
        <v/>
      </c>
      <c r="AE221" s="30" t="str">
        <f t="shared" si="268"/>
        <v/>
      </c>
      <c r="AG221" s="4"/>
      <c r="AH221" s="31" t="e">
        <f t="shared" si="269"/>
        <v>#VALUE!</v>
      </c>
      <c r="AI221" s="31" t="e">
        <f t="shared" si="270"/>
        <v>#VALUE!</v>
      </c>
      <c r="AJ221" s="31" t="e">
        <f t="shared" si="271"/>
        <v>#VALUE!</v>
      </c>
      <c r="AK221" s="31" t="e">
        <f t="shared" si="272"/>
        <v>#VALUE!</v>
      </c>
      <c r="AL221" s="31" t="e">
        <f t="shared" si="273"/>
        <v>#VALUE!</v>
      </c>
      <c r="AM221" s="31" t="e">
        <f t="shared" si="274"/>
        <v>#VALUE!</v>
      </c>
      <c r="AN221" s="32" t="str">
        <f t="shared" si="275"/>
        <v/>
      </c>
      <c r="AO221" s="27" t="str">
        <f t="shared" si="276"/>
        <v/>
      </c>
      <c r="AP221" s="27" t="str">
        <f t="shared" si="277"/>
        <v/>
      </c>
      <c r="AQ221" s="27">
        <f t="shared" si="278"/>
        <v>0</v>
      </c>
      <c r="AR221" s="27">
        <f t="shared" si="279"/>
        <v>0</v>
      </c>
      <c r="AS221" s="33">
        <f t="shared" si="280"/>
        <v>0</v>
      </c>
    </row>
    <row r="222" spans="2:45" hidden="1" x14ac:dyDescent="0.25">
      <c r="B222" s="34">
        <f t="shared" ref="B222:F222" si="320">IF(B221="","",B221)</f>
        <v>11740</v>
      </c>
      <c r="C222" s="26">
        <f t="shared" si="320"/>
        <v>20</v>
      </c>
      <c r="D222" s="26">
        <f t="shared" si="320"/>
        <v>-500</v>
      </c>
      <c r="E222" s="26">
        <f t="shared" si="320"/>
        <v>0</v>
      </c>
      <c r="F222" s="26">
        <f t="shared" si="320"/>
        <v>-650</v>
      </c>
      <c r="G222" s="24"/>
      <c r="H222" s="24"/>
      <c r="I222" s="24"/>
      <c r="J222" s="24"/>
      <c r="K222" s="24"/>
      <c r="L222" s="24"/>
      <c r="M222" s="44" t="str">
        <f t="shared" si="250"/>
        <v/>
      </c>
      <c r="N222" s="26" t="str">
        <f t="shared" si="251"/>
        <v/>
      </c>
      <c r="O222" s="26" t="str">
        <f t="shared" si="252"/>
        <v/>
      </c>
      <c r="P222" s="26" t="str">
        <f t="shared" si="253"/>
        <v/>
      </c>
      <c r="Q222" s="26">
        <f t="shared" si="254"/>
        <v>0</v>
      </c>
      <c r="R222" s="26">
        <f t="shared" si="255"/>
        <v>0</v>
      </c>
      <c r="S222" s="26">
        <f t="shared" si="256"/>
        <v>0</v>
      </c>
      <c r="T222" s="26" t="str">
        <f t="shared" si="257"/>
        <v/>
      </c>
      <c r="U222" s="26" t="str">
        <f t="shared" si="258"/>
        <v/>
      </c>
      <c r="V222" s="26" t="str">
        <f t="shared" si="259"/>
        <v/>
      </c>
      <c r="W222" s="27" t="str">
        <f t="shared" si="260"/>
        <v/>
      </c>
      <c r="X222" s="27" t="str">
        <f t="shared" si="261"/>
        <v/>
      </c>
      <c r="Y222" s="28" t="str">
        <f t="shared" si="262"/>
        <v/>
      </c>
      <c r="Z222" s="27" t="str">
        <f t="shared" si="263"/>
        <v/>
      </c>
      <c r="AA222" s="27" t="str">
        <f t="shared" si="264"/>
        <v/>
      </c>
      <c r="AB222" s="27" t="str">
        <f t="shared" si="265"/>
        <v/>
      </c>
      <c r="AC222" s="27" t="str">
        <f t="shared" si="266"/>
        <v/>
      </c>
      <c r="AD222" s="29" t="str">
        <f t="shared" si="267"/>
        <v/>
      </c>
      <c r="AE222" s="30" t="str">
        <f t="shared" si="268"/>
        <v/>
      </c>
      <c r="AG222" s="4"/>
      <c r="AH222" s="31" t="e">
        <f t="shared" si="269"/>
        <v>#VALUE!</v>
      </c>
      <c r="AI222" s="31" t="e">
        <f t="shared" si="270"/>
        <v>#VALUE!</v>
      </c>
      <c r="AJ222" s="31" t="e">
        <f t="shared" si="271"/>
        <v>#VALUE!</v>
      </c>
      <c r="AK222" s="31" t="e">
        <f t="shared" si="272"/>
        <v>#VALUE!</v>
      </c>
      <c r="AL222" s="31" t="e">
        <f t="shared" si="273"/>
        <v>#VALUE!</v>
      </c>
      <c r="AM222" s="31" t="e">
        <f t="shared" si="274"/>
        <v>#VALUE!</v>
      </c>
      <c r="AN222" s="32" t="str">
        <f t="shared" si="275"/>
        <v/>
      </c>
      <c r="AO222" s="27" t="str">
        <f t="shared" si="276"/>
        <v/>
      </c>
      <c r="AP222" s="27" t="str">
        <f t="shared" si="277"/>
        <v/>
      </c>
      <c r="AQ222" s="27">
        <f t="shared" si="278"/>
        <v>0</v>
      </c>
      <c r="AR222" s="27">
        <f t="shared" si="279"/>
        <v>0</v>
      </c>
      <c r="AS222" s="33">
        <f t="shared" si="280"/>
        <v>0</v>
      </c>
    </row>
    <row r="223" spans="2:45" hidden="1" x14ac:dyDescent="0.25">
      <c r="B223" s="34">
        <f>IF(B222="","",B222)</f>
        <v>11740</v>
      </c>
      <c r="C223" s="26">
        <f t="shared" ref="C223:F223" si="321">IF(C222="","",C222)</f>
        <v>20</v>
      </c>
      <c r="D223" s="26">
        <f t="shared" si="321"/>
        <v>-500</v>
      </c>
      <c r="E223" s="26">
        <f t="shared" si="321"/>
        <v>0</v>
      </c>
      <c r="F223" s="26">
        <f t="shared" si="321"/>
        <v>-650</v>
      </c>
      <c r="G223" s="24"/>
      <c r="H223" s="24"/>
      <c r="I223" s="24"/>
      <c r="J223" s="24"/>
      <c r="K223" s="24"/>
      <c r="L223" s="24"/>
      <c r="M223" s="44" t="str">
        <f t="shared" si="250"/>
        <v/>
      </c>
      <c r="N223" s="26" t="str">
        <f t="shared" si="251"/>
        <v/>
      </c>
      <c r="O223" s="26" t="str">
        <f t="shared" si="252"/>
        <v/>
      </c>
      <c r="P223" s="26" t="str">
        <f t="shared" si="253"/>
        <v/>
      </c>
      <c r="Q223" s="26">
        <f t="shared" si="254"/>
        <v>0</v>
      </c>
      <c r="R223" s="26">
        <f t="shared" si="255"/>
        <v>0</v>
      </c>
      <c r="S223" s="26">
        <f t="shared" si="256"/>
        <v>0</v>
      </c>
      <c r="T223" s="26" t="str">
        <f t="shared" si="257"/>
        <v/>
      </c>
      <c r="U223" s="26" t="str">
        <f t="shared" si="258"/>
        <v/>
      </c>
      <c r="V223" s="26" t="str">
        <f t="shared" si="259"/>
        <v/>
      </c>
      <c r="W223" s="27" t="str">
        <f t="shared" si="260"/>
        <v/>
      </c>
      <c r="X223" s="27" t="str">
        <f t="shared" si="261"/>
        <v/>
      </c>
      <c r="Y223" s="28" t="str">
        <f t="shared" si="262"/>
        <v/>
      </c>
      <c r="Z223" s="27" t="str">
        <f t="shared" si="263"/>
        <v/>
      </c>
      <c r="AA223" s="27" t="str">
        <f t="shared" si="264"/>
        <v/>
      </c>
      <c r="AB223" s="27" t="str">
        <f t="shared" si="265"/>
        <v/>
      </c>
      <c r="AC223" s="27" t="str">
        <f t="shared" si="266"/>
        <v/>
      </c>
      <c r="AD223" s="29" t="str">
        <f t="shared" si="267"/>
        <v/>
      </c>
      <c r="AE223" s="30" t="str">
        <f t="shared" si="268"/>
        <v/>
      </c>
      <c r="AG223" s="4"/>
      <c r="AH223" s="31" t="e">
        <f t="shared" si="269"/>
        <v>#VALUE!</v>
      </c>
      <c r="AI223" s="31" t="e">
        <f t="shared" si="270"/>
        <v>#VALUE!</v>
      </c>
      <c r="AJ223" s="31" t="e">
        <f t="shared" si="271"/>
        <v>#VALUE!</v>
      </c>
      <c r="AK223" s="31" t="e">
        <f t="shared" si="272"/>
        <v>#VALUE!</v>
      </c>
      <c r="AL223" s="31" t="e">
        <f t="shared" si="273"/>
        <v>#VALUE!</v>
      </c>
      <c r="AM223" s="31" t="e">
        <f t="shared" si="274"/>
        <v>#VALUE!</v>
      </c>
      <c r="AN223" s="32" t="str">
        <f t="shared" si="275"/>
        <v/>
      </c>
      <c r="AO223" s="27" t="str">
        <f t="shared" si="276"/>
        <v/>
      </c>
      <c r="AP223" s="27" t="str">
        <f t="shared" si="277"/>
        <v/>
      </c>
      <c r="AQ223" s="27">
        <f t="shared" si="278"/>
        <v>0</v>
      </c>
      <c r="AR223" s="27">
        <f t="shared" si="279"/>
        <v>0</v>
      </c>
      <c r="AS223" s="33">
        <f t="shared" si="280"/>
        <v>0</v>
      </c>
    </row>
    <row r="224" spans="2:45" hidden="1" x14ac:dyDescent="0.25">
      <c r="B224" s="34">
        <f t="shared" ref="B224:F224" si="322">IF(B223="","",B223)</f>
        <v>11740</v>
      </c>
      <c r="C224" s="26">
        <f t="shared" si="322"/>
        <v>20</v>
      </c>
      <c r="D224" s="26">
        <f t="shared" si="322"/>
        <v>-500</v>
      </c>
      <c r="E224" s="26">
        <f t="shared" si="322"/>
        <v>0</v>
      </c>
      <c r="F224" s="26">
        <f t="shared" si="322"/>
        <v>-650</v>
      </c>
      <c r="G224" s="24"/>
      <c r="H224" s="24"/>
      <c r="I224" s="24"/>
      <c r="J224" s="24"/>
      <c r="K224" s="24"/>
      <c r="L224" s="24"/>
      <c r="M224" s="44" t="str">
        <f t="shared" si="250"/>
        <v/>
      </c>
      <c r="N224" s="26" t="str">
        <f t="shared" si="251"/>
        <v/>
      </c>
      <c r="O224" s="26" t="str">
        <f t="shared" si="252"/>
        <v/>
      </c>
      <c r="P224" s="26" t="str">
        <f t="shared" si="253"/>
        <v/>
      </c>
      <c r="Q224" s="26">
        <f t="shared" si="254"/>
        <v>0</v>
      </c>
      <c r="R224" s="26">
        <f t="shared" si="255"/>
        <v>0</v>
      </c>
      <c r="S224" s="26">
        <f t="shared" si="256"/>
        <v>0</v>
      </c>
      <c r="T224" s="26" t="str">
        <f t="shared" si="257"/>
        <v/>
      </c>
      <c r="U224" s="26" t="str">
        <f t="shared" si="258"/>
        <v/>
      </c>
      <c r="V224" s="26" t="str">
        <f t="shared" si="259"/>
        <v/>
      </c>
      <c r="W224" s="27" t="str">
        <f t="shared" si="260"/>
        <v/>
      </c>
      <c r="X224" s="27" t="str">
        <f t="shared" si="261"/>
        <v/>
      </c>
      <c r="Y224" s="28" t="str">
        <f t="shared" si="262"/>
        <v/>
      </c>
      <c r="Z224" s="27" t="str">
        <f t="shared" si="263"/>
        <v/>
      </c>
      <c r="AA224" s="27" t="str">
        <f t="shared" si="264"/>
        <v/>
      </c>
      <c r="AB224" s="27" t="str">
        <f t="shared" si="265"/>
        <v/>
      </c>
      <c r="AC224" s="27" t="str">
        <f t="shared" si="266"/>
        <v/>
      </c>
      <c r="AD224" s="29" t="str">
        <f t="shared" si="267"/>
        <v/>
      </c>
      <c r="AE224" s="30" t="str">
        <f t="shared" si="268"/>
        <v/>
      </c>
      <c r="AG224" s="4"/>
      <c r="AH224" s="31" t="e">
        <f t="shared" si="269"/>
        <v>#VALUE!</v>
      </c>
      <c r="AI224" s="31" t="e">
        <f t="shared" si="270"/>
        <v>#VALUE!</v>
      </c>
      <c r="AJ224" s="31" t="e">
        <f t="shared" si="271"/>
        <v>#VALUE!</v>
      </c>
      <c r="AK224" s="31" t="e">
        <f t="shared" si="272"/>
        <v>#VALUE!</v>
      </c>
      <c r="AL224" s="31" t="e">
        <f t="shared" si="273"/>
        <v>#VALUE!</v>
      </c>
      <c r="AM224" s="31" t="e">
        <f t="shared" si="274"/>
        <v>#VALUE!</v>
      </c>
      <c r="AN224" s="32" t="str">
        <f t="shared" si="275"/>
        <v/>
      </c>
      <c r="AO224" s="27" t="str">
        <f t="shared" si="276"/>
        <v/>
      </c>
      <c r="AP224" s="27" t="str">
        <f t="shared" si="277"/>
        <v/>
      </c>
      <c r="AQ224" s="27">
        <f t="shared" si="278"/>
        <v>0</v>
      </c>
      <c r="AR224" s="27">
        <f t="shared" si="279"/>
        <v>0</v>
      </c>
      <c r="AS224" s="33">
        <f t="shared" si="280"/>
        <v>0</v>
      </c>
    </row>
    <row r="225" spans="2:45" hidden="1" x14ac:dyDescent="0.25">
      <c r="B225" s="34">
        <f t="shared" ref="B225:F225" si="323">IF(B224="","",B224)</f>
        <v>11740</v>
      </c>
      <c r="C225" s="26">
        <f t="shared" si="323"/>
        <v>20</v>
      </c>
      <c r="D225" s="26">
        <f t="shared" si="323"/>
        <v>-500</v>
      </c>
      <c r="E225" s="26">
        <f t="shared" si="323"/>
        <v>0</v>
      </c>
      <c r="F225" s="26">
        <f t="shared" si="323"/>
        <v>-650</v>
      </c>
      <c r="G225" s="24"/>
      <c r="H225" s="24"/>
      <c r="I225" s="24"/>
      <c r="J225" s="24"/>
      <c r="K225" s="24"/>
      <c r="L225" s="24"/>
      <c r="M225" s="44" t="str">
        <f t="shared" si="250"/>
        <v/>
      </c>
      <c r="N225" s="26" t="str">
        <f t="shared" si="251"/>
        <v/>
      </c>
      <c r="O225" s="26" t="str">
        <f t="shared" si="252"/>
        <v/>
      </c>
      <c r="P225" s="26" t="str">
        <f t="shared" si="253"/>
        <v/>
      </c>
      <c r="Q225" s="26">
        <f t="shared" si="254"/>
        <v>0</v>
      </c>
      <c r="R225" s="26">
        <f t="shared" si="255"/>
        <v>0</v>
      </c>
      <c r="S225" s="26">
        <f t="shared" si="256"/>
        <v>0</v>
      </c>
      <c r="T225" s="26" t="str">
        <f t="shared" si="257"/>
        <v/>
      </c>
      <c r="U225" s="26" t="str">
        <f t="shared" si="258"/>
        <v/>
      </c>
      <c r="V225" s="26" t="str">
        <f t="shared" si="259"/>
        <v/>
      </c>
      <c r="W225" s="27" t="str">
        <f t="shared" si="260"/>
        <v/>
      </c>
      <c r="X225" s="27" t="str">
        <f t="shared" si="261"/>
        <v/>
      </c>
      <c r="Y225" s="28" t="str">
        <f t="shared" si="262"/>
        <v/>
      </c>
      <c r="Z225" s="27" t="str">
        <f t="shared" si="263"/>
        <v/>
      </c>
      <c r="AA225" s="27" t="str">
        <f t="shared" si="264"/>
        <v/>
      </c>
      <c r="AB225" s="27" t="str">
        <f t="shared" si="265"/>
        <v/>
      </c>
      <c r="AC225" s="27" t="str">
        <f t="shared" si="266"/>
        <v/>
      </c>
      <c r="AD225" s="29" t="str">
        <f t="shared" si="267"/>
        <v/>
      </c>
      <c r="AE225" s="30" t="str">
        <f t="shared" si="268"/>
        <v/>
      </c>
      <c r="AG225" s="4"/>
      <c r="AH225" s="31" t="e">
        <f t="shared" si="269"/>
        <v>#VALUE!</v>
      </c>
      <c r="AI225" s="31" t="e">
        <f t="shared" si="270"/>
        <v>#VALUE!</v>
      </c>
      <c r="AJ225" s="31" t="e">
        <f t="shared" si="271"/>
        <v>#VALUE!</v>
      </c>
      <c r="AK225" s="31" t="e">
        <f t="shared" si="272"/>
        <v>#VALUE!</v>
      </c>
      <c r="AL225" s="31" t="e">
        <f t="shared" si="273"/>
        <v>#VALUE!</v>
      </c>
      <c r="AM225" s="31" t="e">
        <f t="shared" si="274"/>
        <v>#VALUE!</v>
      </c>
      <c r="AN225" s="32" t="str">
        <f t="shared" si="275"/>
        <v/>
      </c>
      <c r="AO225" s="27" t="str">
        <f t="shared" si="276"/>
        <v/>
      </c>
      <c r="AP225" s="27" t="str">
        <f t="shared" si="277"/>
        <v/>
      </c>
      <c r="AQ225" s="27">
        <f t="shared" si="278"/>
        <v>0</v>
      </c>
      <c r="AR225" s="27">
        <f t="shared" si="279"/>
        <v>0</v>
      </c>
      <c r="AS225" s="33">
        <f t="shared" si="280"/>
        <v>0</v>
      </c>
    </row>
    <row r="226" spans="2:45" hidden="1" x14ac:dyDescent="0.25">
      <c r="B226" s="34">
        <f t="shared" ref="B226:F226" si="324">IF(B225="","",B225)</f>
        <v>11740</v>
      </c>
      <c r="C226" s="26">
        <f t="shared" si="324"/>
        <v>20</v>
      </c>
      <c r="D226" s="26">
        <f t="shared" si="324"/>
        <v>-500</v>
      </c>
      <c r="E226" s="26">
        <f t="shared" si="324"/>
        <v>0</v>
      </c>
      <c r="F226" s="26">
        <f t="shared" si="324"/>
        <v>-650</v>
      </c>
      <c r="G226" s="24"/>
      <c r="H226" s="24"/>
      <c r="I226" s="24"/>
      <c r="J226" s="24"/>
      <c r="K226" s="24"/>
      <c r="L226" s="24"/>
      <c r="M226" s="44" t="str">
        <f t="shared" si="250"/>
        <v/>
      </c>
      <c r="N226" s="26" t="str">
        <f t="shared" si="251"/>
        <v/>
      </c>
      <c r="O226" s="26" t="str">
        <f t="shared" si="252"/>
        <v/>
      </c>
      <c r="P226" s="26" t="str">
        <f t="shared" si="253"/>
        <v/>
      </c>
      <c r="Q226" s="26">
        <f t="shared" si="254"/>
        <v>0</v>
      </c>
      <c r="R226" s="26">
        <f t="shared" si="255"/>
        <v>0</v>
      </c>
      <c r="S226" s="26">
        <f t="shared" si="256"/>
        <v>0</v>
      </c>
      <c r="T226" s="26" t="str">
        <f t="shared" si="257"/>
        <v/>
      </c>
      <c r="U226" s="26" t="str">
        <f t="shared" si="258"/>
        <v/>
      </c>
      <c r="V226" s="26" t="str">
        <f t="shared" si="259"/>
        <v/>
      </c>
      <c r="W226" s="27" t="str">
        <f t="shared" si="260"/>
        <v/>
      </c>
      <c r="X226" s="27" t="str">
        <f t="shared" si="261"/>
        <v/>
      </c>
      <c r="Y226" s="28" t="str">
        <f t="shared" si="262"/>
        <v/>
      </c>
      <c r="Z226" s="27" t="str">
        <f t="shared" si="263"/>
        <v/>
      </c>
      <c r="AA226" s="27" t="str">
        <f t="shared" si="264"/>
        <v/>
      </c>
      <c r="AB226" s="27" t="str">
        <f t="shared" si="265"/>
        <v/>
      </c>
      <c r="AC226" s="27" t="str">
        <f t="shared" si="266"/>
        <v/>
      </c>
      <c r="AD226" s="29" t="str">
        <f t="shared" si="267"/>
        <v/>
      </c>
      <c r="AE226" s="30" t="str">
        <f t="shared" si="268"/>
        <v/>
      </c>
      <c r="AG226" s="4"/>
      <c r="AH226" s="31" t="e">
        <f t="shared" si="269"/>
        <v>#VALUE!</v>
      </c>
      <c r="AI226" s="31" t="e">
        <f t="shared" si="270"/>
        <v>#VALUE!</v>
      </c>
      <c r="AJ226" s="31" t="e">
        <f t="shared" si="271"/>
        <v>#VALUE!</v>
      </c>
      <c r="AK226" s="31" t="e">
        <f t="shared" si="272"/>
        <v>#VALUE!</v>
      </c>
      <c r="AL226" s="31" t="e">
        <f t="shared" si="273"/>
        <v>#VALUE!</v>
      </c>
      <c r="AM226" s="31" t="e">
        <f t="shared" si="274"/>
        <v>#VALUE!</v>
      </c>
      <c r="AN226" s="32" t="str">
        <f t="shared" si="275"/>
        <v/>
      </c>
      <c r="AO226" s="27" t="str">
        <f t="shared" si="276"/>
        <v/>
      </c>
      <c r="AP226" s="27" t="str">
        <f t="shared" si="277"/>
        <v/>
      </c>
      <c r="AQ226" s="27">
        <f t="shared" si="278"/>
        <v>0</v>
      </c>
      <c r="AR226" s="27">
        <f t="shared" si="279"/>
        <v>0</v>
      </c>
      <c r="AS226" s="33">
        <f t="shared" si="280"/>
        <v>0</v>
      </c>
    </row>
    <row r="227" spans="2:45" hidden="1" x14ac:dyDescent="0.25">
      <c r="B227" s="34">
        <f t="shared" ref="B227:F227" si="325">IF(B226="","",B226)</f>
        <v>11740</v>
      </c>
      <c r="C227" s="26">
        <f t="shared" si="325"/>
        <v>20</v>
      </c>
      <c r="D227" s="26">
        <f t="shared" si="325"/>
        <v>-500</v>
      </c>
      <c r="E227" s="26">
        <f t="shared" si="325"/>
        <v>0</v>
      </c>
      <c r="F227" s="26">
        <f t="shared" si="325"/>
        <v>-650</v>
      </c>
      <c r="G227" s="24"/>
      <c r="H227" s="24"/>
      <c r="I227" s="24"/>
      <c r="J227" s="24"/>
      <c r="K227" s="24"/>
      <c r="L227" s="24"/>
      <c r="M227" s="44" t="str">
        <f t="shared" si="250"/>
        <v/>
      </c>
      <c r="N227" s="26" t="str">
        <f t="shared" si="251"/>
        <v/>
      </c>
      <c r="O227" s="26" t="str">
        <f t="shared" si="252"/>
        <v/>
      </c>
      <c r="P227" s="26" t="str">
        <f t="shared" si="253"/>
        <v/>
      </c>
      <c r="Q227" s="26">
        <f t="shared" si="254"/>
        <v>0</v>
      </c>
      <c r="R227" s="26">
        <f t="shared" si="255"/>
        <v>0</v>
      </c>
      <c r="S227" s="26">
        <f t="shared" si="256"/>
        <v>0</v>
      </c>
      <c r="T227" s="26" t="str">
        <f t="shared" si="257"/>
        <v/>
      </c>
      <c r="U227" s="26" t="str">
        <f t="shared" si="258"/>
        <v/>
      </c>
      <c r="V227" s="26" t="str">
        <f t="shared" si="259"/>
        <v/>
      </c>
      <c r="W227" s="27" t="str">
        <f t="shared" si="260"/>
        <v/>
      </c>
      <c r="X227" s="27" t="str">
        <f t="shared" si="261"/>
        <v/>
      </c>
      <c r="Y227" s="28" t="str">
        <f t="shared" si="262"/>
        <v/>
      </c>
      <c r="Z227" s="27" t="str">
        <f t="shared" si="263"/>
        <v/>
      </c>
      <c r="AA227" s="27" t="str">
        <f t="shared" si="264"/>
        <v/>
      </c>
      <c r="AB227" s="27" t="str">
        <f t="shared" si="265"/>
        <v/>
      </c>
      <c r="AC227" s="27" t="str">
        <f t="shared" si="266"/>
        <v/>
      </c>
      <c r="AD227" s="29" t="str">
        <f t="shared" si="267"/>
        <v/>
      </c>
      <c r="AE227" s="30" t="str">
        <f t="shared" si="268"/>
        <v/>
      </c>
      <c r="AG227" s="4"/>
      <c r="AH227" s="31" t="e">
        <f t="shared" si="269"/>
        <v>#VALUE!</v>
      </c>
      <c r="AI227" s="31" t="e">
        <f t="shared" si="270"/>
        <v>#VALUE!</v>
      </c>
      <c r="AJ227" s="31" t="e">
        <f t="shared" si="271"/>
        <v>#VALUE!</v>
      </c>
      <c r="AK227" s="31" t="e">
        <f t="shared" si="272"/>
        <v>#VALUE!</v>
      </c>
      <c r="AL227" s="31" t="e">
        <f t="shared" si="273"/>
        <v>#VALUE!</v>
      </c>
      <c r="AM227" s="31" t="e">
        <f t="shared" si="274"/>
        <v>#VALUE!</v>
      </c>
      <c r="AN227" s="32" t="str">
        <f t="shared" si="275"/>
        <v/>
      </c>
      <c r="AO227" s="27" t="str">
        <f t="shared" si="276"/>
        <v/>
      </c>
      <c r="AP227" s="27" t="str">
        <f t="shared" si="277"/>
        <v/>
      </c>
      <c r="AQ227" s="27">
        <f t="shared" si="278"/>
        <v>0</v>
      </c>
      <c r="AR227" s="27">
        <f t="shared" si="279"/>
        <v>0</v>
      </c>
      <c r="AS227" s="33">
        <f t="shared" si="280"/>
        <v>0</v>
      </c>
    </row>
    <row r="228" spans="2:45" hidden="1" x14ac:dyDescent="0.25">
      <c r="B228" s="34">
        <f t="shared" ref="B228:F228" si="326">IF(B227="","",B227)</f>
        <v>11740</v>
      </c>
      <c r="C228" s="26">
        <f t="shared" si="326"/>
        <v>20</v>
      </c>
      <c r="D228" s="26">
        <f t="shared" si="326"/>
        <v>-500</v>
      </c>
      <c r="E228" s="26">
        <f t="shared" si="326"/>
        <v>0</v>
      </c>
      <c r="F228" s="26">
        <f t="shared" si="326"/>
        <v>-650</v>
      </c>
      <c r="G228" s="24"/>
      <c r="H228" s="24"/>
      <c r="I228" s="24"/>
      <c r="J228" s="24"/>
      <c r="K228" s="24"/>
      <c r="L228" s="24"/>
      <c r="M228" s="44" t="str">
        <f t="shared" si="250"/>
        <v/>
      </c>
      <c r="N228" s="26" t="str">
        <f t="shared" si="251"/>
        <v/>
      </c>
      <c r="O228" s="26" t="str">
        <f t="shared" si="252"/>
        <v/>
      </c>
      <c r="P228" s="26" t="str">
        <f t="shared" si="253"/>
        <v/>
      </c>
      <c r="Q228" s="26">
        <f t="shared" si="254"/>
        <v>0</v>
      </c>
      <c r="R228" s="26">
        <f t="shared" si="255"/>
        <v>0</v>
      </c>
      <c r="S228" s="26">
        <f t="shared" si="256"/>
        <v>0</v>
      </c>
      <c r="T228" s="26" t="str">
        <f t="shared" si="257"/>
        <v/>
      </c>
      <c r="U228" s="26" t="str">
        <f t="shared" si="258"/>
        <v/>
      </c>
      <c r="V228" s="26" t="str">
        <f t="shared" si="259"/>
        <v/>
      </c>
      <c r="W228" s="27" t="str">
        <f t="shared" si="260"/>
        <v/>
      </c>
      <c r="X228" s="27" t="str">
        <f t="shared" si="261"/>
        <v/>
      </c>
      <c r="Y228" s="28" t="str">
        <f t="shared" si="262"/>
        <v/>
      </c>
      <c r="Z228" s="27" t="str">
        <f t="shared" si="263"/>
        <v/>
      </c>
      <c r="AA228" s="27" t="str">
        <f t="shared" si="264"/>
        <v/>
      </c>
      <c r="AB228" s="27" t="str">
        <f t="shared" si="265"/>
        <v/>
      </c>
      <c r="AC228" s="27" t="str">
        <f t="shared" si="266"/>
        <v/>
      </c>
      <c r="AD228" s="29" t="str">
        <f t="shared" si="267"/>
        <v/>
      </c>
      <c r="AE228" s="30" t="str">
        <f t="shared" si="268"/>
        <v/>
      </c>
      <c r="AG228" s="4"/>
      <c r="AH228" s="31" t="e">
        <f t="shared" si="269"/>
        <v>#VALUE!</v>
      </c>
      <c r="AI228" s="31" t="e">
        <f t="shared" si="270"/>
        <v>#VALUE!</v>
      </c>
      <c r="AJ228" s="31" t="e">
        <f t="shared" si="271"/>
        <v>#VALUE!</v>
      </c>
      <c r="AK228" s="31" t="e">
        <f t="shared" si="272"/>
        <v>#VALUE!</v>
      </c>
      <c r="AL228" s="31" t="e">
        <f t="shared" si="273"/>
        <v>#VALUE!</v>
      </c>
      <c r="AM228" s="31" t="e">
        <f t="shared" si="274"/>
        <v>#VALUE!</v>
      </c>
      <c r="AN228" s="32" t="str">
        <f t="shared" si="275"/>
        <v/>
      </c>
      <c r="AO228" s="27" t="str">
        <f t="shared" si="276"/>
        <v/>
      </c>
      <c r="AP228" s="27" t="str">
        <f t="shared" si="277"/>
        <v/>
      </c>
      <c r="AQ228" s="27">
        <f t="shared" si="278"/>
        <v>0</v>
      </c>
      <c r="AR228" s="27">
        <f t="shared" si="279"/>
        <v>0</v>
      </c>
      <c r="AS228" s="33">
        <f t="shared" si="280"/>
        <v>0</v>
      </c>
    </row>
    <row r="229" spans="2:45" hidden="1" x14ac:dyDescent="0.25">
      <c r="B229" s="34">
        <f t="shared" ref="B229:F229" si="327">IF(B228="","",B228)</f>
        <v>11740</v>
      </c>
      <c r="C229" s="26">
        <f t="shared" si="327"/>
        <v>20</v>
      </c>
      <c r="D229" s="26">
        <f t="shared" si="327"/>
        <v>-500</v>
      </c>
      <c r="E229" s="26">
        <f t="shared" si="327"/>
        <v>0</v>
      </c>
      <c r="F229" s="26">
        <f t="shared" si="327"/>
        <v>-650</v>
      </c>
      <c r="G229" s="24"/>
      <c r="H229" s="24"/>
      <c r="I229" s="24"/>
      <c r="J229" s="24"/>
      <c r="K229" s="24"/>
      <c r="L229" s="24"/>
      <c r="M229" s="44" t="str">
        <f t="shared" si="250"/>
        <v/>
      </c>
      <c r="N229" s="26" t="str">
        <f t="shared" si="251"/>
        <v/>
      </c>
      <c r="O229" s="26" t="str">
        <f t="shared" si="252"/>
        <v/>
      </c>
      <c r="P229" s="26" t="str">
        <f t="shared" si="253"/>
        <v/>
      </c>
      <c r="Q229" s="26">
        <f t="shared" si="254"/>
        <v>0</v>
      </c>
      <c r="R229" s="26">
        <f t="shared" si="255"/>
        <v>0</v>
      </c>
      <c r="S229" s="26">
        <f t="shared" si="256"/>
        <v>0</v>
      </c>
      <c r="T229" s="26" t="str">
        <f t="shared" si="257"/>
        <v/>
      </c>
      <c r="U229" s="26" t="str">
        <f t="shared" si="258"/>
        <v/>
      </c>
      <c r="V229" s="26" t="str">
        <f t="shared" si="259"/>
        <v/>
      </c>
      <c r="W229" s="27" t="str">
        <f t="shared" si="260"/>
        <v/>
      </c>
      <c r="X229" s="27" t="str">
        <f t="shared" si="261"/>
        <v/>
      </c>
      <c r="Y229" s="28" t="str">
        <f t="shared" si="262"/>
        <v/>
      </c>
      <c r="Z229" s="27" t="str">
        <f t="shared" si="263"/>
        <v/>
      </c>
      <c r="AA229" s="27" t="str">
        <f t="shared" si="264"/>
        <v/>
      </c>
      <c r="AB229" s="27" t="str">
        <f t="shared" si="265"/>
        <v/>
      </c>
      <c r="AC229" s="27" t="str">
        <f t="shared" si="266"/>
        <v/>
      </c>
      <c r="AD229" s="29" t="str">
        <f t="shared" si="267"/>
        <v/>
      </c>
      <c r="AE229" s="30" t="str">
        <f t="shared" si="268"/>
        <v/>
      </c>
      <c r="AG229" s="4"/>
      <c r="AH229" s="31" t="e">
        <f t="shared" si="269"/>
        <v>#VALUE!</v>
      </c>
      <c r="AI229" s="31" t="e">
        <f t="shared" si="270"/>
        <v>#VALUE!</v>
      </c>
      <c r="AJ229" s="31" t="e">
        <f t="shared" si="271"/>
        <v>#VALUE!</v>
      </c>
      <c r="AK229" s="31" t="e">
        <f t="shared" si="272"/>
        <v>#VALUE!</v>
      </c>
      <c r="AL229" s="31" t="e">
        <f t="shared" si="273"/>
        <v>#VALUE!</v>
      </c>
      <c r="AM229" s="31" t="e">
        <f t="shared" si="274"/>
        <v>#VALUE!</v>
      </c>
      <c r="AN229" s="32" t="str">
        <f t="shared" si="275"/>
        <v/>
      </c>
      <c r="AO229" s="27" t="str">
        <f t="shared" si="276"/>
        <v/>
      </c>
      <c r="AP229" s="27" t="str">
        <f t="shared" si="277"/>
        <v/>
      </c>
      <c r="AQ229" s="27">
        <f t="shared" si="278"/>
        <v>0</v>
      </c>
      <c r="AR229" s="27">
        <f t="shared" si="279"/>
        <v>0</v>
      </c>
      <c r="AS229" s="33">
        <f t="shared" si="280"/>
        <v>0</v>
      </c>
    </row>
    <row r="230" spans="2:45" hidden="1" x14ac:dyDescent="0.25">
      <c r="B230" s="34">
        <f t="shared" ref="B230:F230" si="328">IF(B229="","",B229)</f>
        <v>11740</v>
      </c>
      <c r="C230" s="26">
        <f t="shared" si="328"/>
        <v>20</v>
      </c>
      <c r="D230" s="26">
        <f t="shared" si="328"/>
        <v>-500</v>
      </c>
      <c r="E230" s="26">
        <f t="shared" si="328"/>
        <v>0</v>
      </c>
      <c r="F230" s="26">
        <f t="shared" si="328"/>
        <v>-650</v>
      </c>
      <c r="G230" s="24"/>
      <c r="H230" s="24"/>
      <c r="I230" s="24"/>
      <c r="J230" s="24"/>
      <c r="K230" s="24"/>
      <c r="L230" s="24"/>
      <c r="M230" s="44" t="str">
        <f t="shared" si="250"/>
        <v/>
      </c>
      <c r="N230" s="26" t="str">
        <f t="shared" si="251"/>
        <v/>
      </c>
      <c r="O230" s="26" t="str">
        <f t="shared" si="252"/>
        <v/>
      </c>
      <c r="P230" s="26" t="str">
        <f t="shared" si="253"/>
        <v/>
      </c>
      <c r="Q230" s="26">
        <f t="shared" si="254"/>
        <v>0</v>
      </c>
      <c r="R230" s="26">
        <f t="shared" si="255"/>
        <v>0</v>
      </c>
      <c r="S230" s="26">
        <f t="shared" si="256"/>
        <v>0</v>
      </c>
      <c r="T230" s="26" t="str">
        <f t="shared" si="257"/>
        <v/>
      </c>
      <c r="U230" s="26" t="str">
        <f t="shared" si="258"/>
        <v/>
      </c>
      <c r="V230" s="26" t="str">
        <f t="shared" si="259"/>
        <v/>
      </c>
      <c r="W230" s="27" t="str">
        <f t="shared" si="260"/>
        <v/>
      </c>
      <c r="X230" s="27" t="str">
        <f t="shared" si="261"/>
        <v/>
      </c>
      <c r="Y230" s="28" t="str">
        <f t="shared" si="262"/>
        <v/>
      </c>
      <c r="Z230" s="27" t="str">
        <f t="shared" si="263"/>
        <v/>
      </c>
      <c r="AA230" s="27" t="str">
        <f t="shared" si="264"/>
        <v/>
      </c>
      <c r="AB230" s="27" t="str">
        <f t="shared" si="265"/>
        <v/>
      </c>
      <c r="AC230" s="27" t="str">
        <f t="shared" si="266"/>
        <v/>
      </c>
      <c r="AD230" s="29" t="str">
        <f t="shared" si="267"/>
        <v/>
      </c>
      <c r="AE230" s="30" t="str">
        <f t="shared" si="268"/>
        <v/>
      </c>
      <c r="AG230" s="4"/>
      <c r="AH230" s="31" t="e">
        <f t="shared" si="269"/>
        <v>#VALUE!</v>
      </c>
      <c r="AI230" s="31" t="e">
        <f t="shared" si="270"/>
        <v>#VALUE!</v>
      </c>
      <c r="AJ230" s="31" t="e">
        <f t="shared" si="271"/>
        <v>#VALUE!</v>
      </c>
      <c r="AK230" s="31" t="e">
        <f t="shared" si="272"/>
        <v>#VALUE!</v>
      </c>
      <c r="AL230" s="31" t="e">
        <f t="shared" si="273"/>
        <v>#VALUE!</v>
      </c>
      <c r="AM230" s="31" t="e">
        <f t="shared" si="274"/>
        <v>#VALUE!</v>
      </c>
      <c r="AN230" s="32" t="str">
        <f t="shared" si="275"/>
        <v/>
      </c>
      <c r="AO230" s="27" t="str">
        <f t="shared" si="276"/>
        <v/>
      </c>
      <c r="AP230" s="27" t="str">
        <f t="shared" si="277"/>
        <v/>
      </c>
      <c r="AQ230" s="27">
        <f t="shared" si="278"/>
        <v>0</v>
      </c>
      <c r="AR230" s="27">
        <f t="shared" si="279"/>
        <v>0</v>
      </c>
      <c r="AS230" s="33">
        <f t="shared" si="280"/>
        <v>0</v>
      </c>
    </row>
    <row r="231" spans="2:45" hidden="1" x14ac:dyDescent="0.25">
      <c r="B231" s="34">
        <f t="shared" ref="B231:F231" si="329">IF(B230="","",B230)</f>
        <v>11740</v>
      </c>
      <c r="C231" s="26">
        <f t="shared" si="329"/>
        <v>20</v>
      </c>
      <c r="D231" s="26">
        <f t="shared" si="329"/>
        <v>-500</v>
      </c>
      <c r="E231" s="26">
        <f t="shared" si="329"/>
        <v>0</v>
      </c>
      <c r="F231" s="26">
        <f t="shared" si="329"/>
        <v>-650</v>
      </c>
      <c r="G231" s="24"/>
      <c r="H231" s="24"/>
      <c r="I231" s="24"/>
      <c r="J231" s="24"/>
      <c r="K231" s="24"/>
      <c r="L231" s="24"/>
      <c r="M231" s="44" t="str">
        <f t="shared" si="250"/>
        <v/>
      </c>
      <c r="N231" s="26" t="str">
        <f t="shared" si="251"/>
        <v/>
      </c>
      <c r="O231" s="26" t="str">
        <f t="shared" si="252"/>
        <v/>
      </c>
      <c r="P231" s="26" t="str">
        <f t="shared" si="253"/>
        <v/>
      </c>
      <c r="Q231" s="26">
        <f t="shared" si="254"/>
        <v>0</v>
      </c>
      <c r="R231" s="26">
        <f t="shared" si="255"/>
        <v>0</v>
      </c>
      <c r="S231" s="26">
        <f t="shared" si="256"/>
        <v>0</v>
      </c>
      <c r="T231" s="26" t="str">
        <f t="shared" si="257"/>
        <v/>
      </c>
      <c r="U231" s="26" t="str">
        <f t="shared" si="258"/>
        <v/>
      </c>
      <c r="V231" s="26" t="str">
        <f t="shared" si="259"/>
        <v/>
      </c>
      <c r="W231" s="27" t="str">
        <f t="shared" si="260"/>
        <v/>
      </c>
      <c r="X231" s="27" t="str">
        <f t="shared" si="261"/>
        <v/>
      </c>
      <c r="Y231" s="28" t="str">
        <f t="shared" si="262"/>
        <v/>
      </c>
      <c r="Z231" s="27" t="str">
        <f t="shared" si="263"/>
        <v/>
      </c>
      <c r="AA231" s="27" t="str">
        <f t="shared" si="264"/>
        <v/>
      </c>
      <c r="AB231" s="27" t="str">
        <f t="shared" si="265"/>
        <v/>
      </c>
      <c r="AC231" s="27" t="str">
        <f t="shared" si="266"/>
        <v/>
      </c>
      <c r="AD231" s="29" t="str">
        <f t="shared" si="267"/>
        <v/>
      </c>
      <c r="AE231" s="30" t="str">
        <f t="shared" si="268"/>
        <v/>
      </c>
      <c r="AG231" s="4"/>
      <c r="AH231" s="31" t="e">
        <f t="shared" si="269"/>
        <v>#VALUE!</v>
      </c>
      <c r="AI231" s="31" t="e">
        <f t="shared" si="270"/>
        <v>#VALUE!</v>
      </c>
      <c r="AJ231" s="31" t="e">
        <f t="shared" si="271"/>
        <v>#VALUE!</v>
      </c>
      <c r="AK231" s="31" t="e">
        <f t="shared" si="272"/>
        <v>#VALUE!</v>
      </c>
      <c r="AL231" s="31" t="e">
        <f t="shared" si="273"/>
        <v>#VALUE!</v>
      </c>
      <c r="AM231" s="31" t="e">
        <f t="shared" si="274"/>
        <v>#VALUE!</v>
      </c>
      <c r="AN231" s="32" t="str">
        <f t="shared" si="275"/>
        <v/>
      </c>
      <c r="AO231" s="27" t="str">
        <f t="shared" si="276"/>
        <v/>
      </c>
      <c r="AP231" s="27" t="str">
        <f t="shared" si="277"/>
        <v/>
      </c>
      <c r="AQ231" s="27">
        <f t="shared" si="278"/>
        <v>0</v>
      </c>
      <c r="AR231" s="27">
        <f t="shared" si="279"/>
        <v>0</v>
      </c>
      <c r="AS231" s="33">
        <f t="shared" si="280"/>
        <v>0</v>
      </c>
    </row>
    <row r="232" spans="2:45" hidden="1" x14ac:dyDescent="0.25">
      <c r="B232" s="34">
        <f t="shared" ref="B232:F232" si="330">IF(B231="","",B231)</f>
        <v>11740</v>
      </c>
      <c r="C232" s="26">
        <f t="shared" si="330"/>
        <v>20</v>
      </c>
      <c r="D232" s="26">
        <f t="shared" si="330"/>
        <v>-500</v>
      </c>
      <c r="E232" s="26">
        <f t="shared" si="330"/>
        <v>0</v>
      </c>
      <c r="F232" s="26">
        <f t="shared" si="330"/>
        <v>-650</v>
      </c>
      <c r="G232" s="24"/>
      <c r="H232" s="24"/>
      <c r="I232" s="24"/>
      <c r="J232" s="24"/>
      <c r="K232" s="24"/>
      <c r="L232" s="24"/>
      <c r="M232" s="44" t="str">
        <f t="shared" si="250"/>
        <v/>
      </c>
      <c r="N232" s="26" t="str">
        <f t="shared" si="251"/>
        <v/>
      </c>
      <c r="O232" s="26" t="str">
        <f t="shared" si="252"/>
        <v/>
      </c>
      <c r="P232" s="26" t="str">
        <f t="shared" si="253"/>
        <v/>
      </c>
      <c r="Q232" s="26">
        <f t="shared" si="254"/>
        <v>0</v>
      </c>
      <c r="R232" s="26">
        <f t="shared" si="255"/>
        <v>0</v>
      </c>
      <c r="S232" s="26">
        <f t="shared" si="256"/>
        <v>0</v>
      </c>
      <c r="T232" s="26" t="str">
        <f t="shared" si="257"/>
        <v/>
      </c>
      <c r="U232" s="26" t="str">
        <f t="shared" si="258"/>
        <v/>
      </c>
      <c r="V232" s="26" t="str">
        <f t="shared" si="259"/>
        <v/>
      </c>
      <c r="W232" s="27" t="str">
        <f t="shared" si="260"/>
        <v/>
      </c>
      <c r="X232" s="27" t="str">
        <f t="shared" si="261"/>
        <v/>
      </c>
      <c r="Y232" s="28" t="str">
        <f t="shared" si="262"/>
        <v/>
      </c>
      <c r="Z232" s="27" t="str">
        <f t="shared" si="263"/>
        <v/>
      </c>
      <c r="AA232" s="27" t="str">
        <f t="shared" si="264"/>
        <v/>
      </c>
      <c r="AB232" s="27" t="str">
        <f t="shared" si="265"/>
        <v/>
      </c>
      <c r="AC232" s="27" t="str">
        <f t="shared" si="266"/>
        <v/>
      </c>
      <c r="AD232" s="29" t="str">
        <f t="shared" si="267"/>
        <v/>
      </c>
      <c r="AE232" s="30" t="str">
        <f t="shared" si="268"/>
        <v/>
      </c>
      <c r="AG232" s="4"/>
      <c r="AH232" s="31" t="e">
        <f t="shared" si="269"/>
        <v>#VALUE!</v>
      </c>
      <c r="AI232" s="31" t="e">
        <f t="shared" si="270"/>
        <v>#VALUE!</v>
      </c>
      <c r="AJ232" s="31" t="e">
        <f t="shared" si="271"/>
        <v>#VALUE!</v>
      </c>
      <c r="AK232" s="31" t="e">
        <f t="shared" si="272"/>
        <v>#VALUE!</v>
      </c>
      <c r="AL232" s="31" t="e">
        <f t="shared" si="273"/>
        <v>#VALUE!</v>
      </c>
      <c r="AM232" s="31" t="e">
        <f t="shared" si="274"/>
        <v>#VALUE!</v>
      </c>
      <c r="AN232" s="32" t="str">
        <f t="shared" si="275"/>
        <v/>
      </c>
      <c r="AO232" s="27" t="str">
        <f t="shared" si="276"/>
        <v/>
      </c>
      <c r="AP232" s="27" t="str">
        <f t="shared" si="277"/>
        <v/>
      </c>
      <c r="AQ232" s="27">
        <f t="shared" si="278"/>
        <v>0</v>
      </c>
      <c r="AR232" s="27">
        <f t="shared" si="279"/>
        <v>0</v>
      </c>
      <c r="AS232" s="33">
        <f t="shared" si="280"/>
        <v>0</v>
      </c>
    </row>
    <row r="233" spans="2:45" hidden="1" x14ac:dyDescent="0.25">
      <c r="B233" s="34">
        <f t="shared" ref="B233:F233" si="331">IF(B232="","",B232)</f>
        <v>11740</v>
      </c>
      <c r="C233" s="26">
        <f t="shared" si="331"/>
        <v>20</v>
      </c>
      <c r="D233" s="26">
        <f t="shared" si="331"/>
        <v>-500</v>
      </c>
      <c r="E233" s="26">
        <f t="shared" si="331"/>
        <v>0</v>
      </c>
      <c r="F233" s="26">
        <f t="shared" si="331"/>
        <v>-650</v>
      </c>
      <c r="G233" s="24"/>
      <c r="H233" s="24"/>
      <c r="I233" s="24"/>
      <c r="J233" s="24"/>
      <c r="K233" s="24"/>
      <c r="L233" s="24"/>
      <c r="M233" s="44" t="str">
        <f t="shared" si="250"/>
        <v/>
      </c>
      <c r="N233" s="26" t="str">
        <f t="shared" si="251"/>
        <v/>
      </c>
      <c r="O233" s="26" t="str">
        <f t="shared" si="252"/>
        <v/>
      </c>
      <c r="P233" s="26" t="str">
        <f t="shared" si="253"/>
        <v/>
      </c>
      <c r="Q233" s="26">
        <f t="shared" si="254"/>
        <v>0</v>
      </c>
      <c r="R233" s="26">
        <f t="shared" si="255"/>
        <v>0</v>
      </c>
      <c r="S233" s="26">
        <f t="shared" si="256"/>
        <v>0</v>
      </c>
      <c r="T233" s="26" t="str">
        <f t="shared" si="257"/>
        <v/>
      </c>
      <c r="U233" s="26" t="str">
        <f t="shared" si="258"/>
        <v/>
      </c>
      <c r="V233" s="26" t="str">
        <f t="shared" si="259"/>
        <v/>
      </c>
      <c r="W233" s="27" t="str">
        <f t="shared" si="260"/>
        <v/>
      </c>
      <c r="X233" s="27" t="str">
        <f t="shared" si="261"/>
        <v/>
      </c>
      <c r="Y233" s="28" t="str">
        <f t="shared" si="262"/>
        <v/>
      </c>
      <c r="Z233" s="27" t="str">
        <f t="shared" si="263"/>
        <v/>
      </c>
      <c r="AA233" s="27" t="str">
        <f t="shared" si="264"/>
        <v/>
      </c>
      <c r="AB233" s="27" t="str">
        <f t="shared" si="265"/>
        <v/>
      </c>
      <c r="AC233" s="27" t="str">
        <f t="shared" si="266"/>
        <v/>
      </c>
      <c r="AD233" s="29" t="str">
        <f t="shared" si="267"/>
        <v/>
      </c>
      <c r="AE233" s="30" t="str">
        <f t="shared" si="268"/>
        <v/>
      </c>
      <c r="AG233" s="4"/>
      <c r="AH233" s="31" t="e">
        <f t="shared" si="269"/>
        <v>#VALUE!</v>
      </c>
      <c r="AI233" s="31" t="e">
        <f t="shared" si="270"/>
        <v>#VALUE!</v>
      </c>
      <c r="AJ233" s="31" t="e">
        <f t="shared" si="271"/>
        <v>#VALUE!</v>
      </c>
      <c r="AK233" s="31" t="e">
        <f t="shared" si="272"/>
        <v>#VALUE!</v>
      </c>
      <c r="AL233" s="31" t="e">
        <f t="shared" si="273"/>
        <v>#VALUE!</v>
      </c>
      <c r="AM233" s="31" t="e">
        <f t="shared" si="274"/>
        <v>#VALUE!</v>
      </c>
      <c r="AN233" s="32" t="str">
        <f t="shared" si="275"/>
        <v/>
      </c>
      <c r="AO233" s="27" t="str">
        <f t="shared" si="276"/>
        <v/>
      </c>
      <c r="AP233" s="27" t="str">
        <f t="shared" si="277"/>
        <v/>
      </c>
      <c r="AQ233" s="27">
        <f t="shared" si="278"/>
        <v>0</v>
      </c>
      <c r="AR233" s="27">
        <f t="shared" si="279"/>
        <v>0</v>
      </c>
      <c r="AS233" s="33">
        <f t="shared" si="280"/>
        <v>0</v>
      </c>
    </row>
    <row r="234" spans="2:45" hidden="1" x14ac:dyDescent="0.25">
      <c r="B234" s="34">
        <f t="shared" ref="B234:F234" si="332">IF(B233="","",B233)</f>
        <v>11740</v>
      </c>
      <c r="C234" s="26">
        <f t="shared" si="332"/>
        <v>20</v>
      </c>
      <c r="D234" s="26">
        <f t="shared" si="332"/>
        <v>-500</v>
      </c>
      <c r="E234" s="26">
        <f t="shared" si="332"/>
        <v>0</v>
      </c>
      <c r="F234" s="26">
        <f t="shared" si="332"/>
        <v>-650</v>
      </c>
      <c r="G234" s="24"/>
      <c r="H234" s="24"/>
      <c r="I234" s="24"/>
      <c r="J234" s="24"/>
      <c r="K234" s="24"/>
      <c r="L234" s="24"/>
      <c r="M234" s="44" t="str">
        <f t="shared" si="250"/>
        <v/>
      </c>
      <c r="N234" s="26" t="str">
        <f t="shared" si="251"/>
        <v/>
      </c>
      <c r="O234" s="26" t="str">
        <f t="shared" si="252"/>
        <v/>
      </c>
      <c r="P234" s="26" t="str">
        <f t="shared" si="253"/>
        <v/>
      </c>
      <c r="Q234" s="26">
        <f t="shared" si="254"/>
        <v>0</v>
      </c>
      <c r="R234" s="26">
        <f t="shared" si="255"/>
        <v>0</v>
      </c>
      <c r="S234" s="26">
        <f t="shared" si="256"/>
        <v>0</v>
      </c>
      <c r="T234" s="26" t="str">
        <f t="shared" si="257"/>
        <v/>
      </c>
      <c r="U234" s="26" t="str">
        <f t="shared" si="258"/>
        <v/>
      </c>
      <c r="V234" s="26" t="str">
        <f t="shared" si="259"/>
        <v/>
      </c>
      <c r="W234" s="27" t="str">
        <f t="shared" si="260"/>
        <v/>
      </c>
      <c r="X234" s="27" t="str">
        <f t="shared" si="261"/>
        <v/>
      </c>
      <c r="Y234" s="28" t="str">
        <f t="shared" si="262"/>
        <v/>
      </c>
      <c r="Z234" s="27" t="str">
        <f t="shared" si="263"/>
        <v/>
      </c>
      <c r="AA234" s="27" t="str">
        <f t="shared" si="264"/>
        <v/>
      </c>
      <c r="AB234" s="27" t="str">
        <f t="shared" si="265"/>
        <v/>
      </c>
      <c r="AC234" s="27" t="str">
        <f t="shared" si="266"/>
        <v/>
      </c>
      <c r="AD234" s="29" t="str">
        <f t="shared" si="267"/>
        <v/>
      </c>
      <c r="AE234" s="30" t="str">
        <f t="shared" si="268"/>
        <v/>
      </c>
      <c r="AG234" s="4"/>
      <c r="AH234" s="31" t="e">
        <f t="shared" si="269"/>
        <v>#VALUE!</v>
      </c>
      <c r="AI234" s="31" t="e">
        <f t="shared" si="270"/>
        <v>#VALUE!</v>
      </c>
      <c r="AJ234" s="31" t="e">
        <f t="shared" si="271"/>
        <v>#VALUE!</v>
      </c>
      <c r="AK234" s="31" t="e">
        <f t="shared" si="272"/>
        <v>#VALUE!</v>
      </c>
      <c r="AL234" s="31" t="e">
        <f t="shared" si="273"/>
        <v>#VALUE!</v>
      </c>
      <c r="AM234" s="31" t="e">
        <f t="shared" si="274"/>
        <v>#VALUE!</v>
      </c>
      <c r="AN234" s="32" t="str">
        <f t="shared" si="275"/>
        <v/>
      </c>
      <c r="AO234" s="27" t="str">
        <f t="shared" si="276"/>
        <v/>
      </c>
      <c r="AP234" s="27" t="str">
        <f t="shared" si="277"/>
        <v/>
      </c>
      <c r="AQ234" s="27">
        <f t="shared" si="278"/>
        <v>0</v>
      </c>
      <c r="AR234" s="27">
        <f t="shared" si="279"/>
        <v>0</v>
      </c>
      <c r="AS234" s="33">
        <f t="shared" si="280"/>
        <v>0</v>
      </c>
    </row>
    <row r="235" spans="2:45" hidden="1" x14ac:dyDescent="0.25">
      <c r="B235" s="34">
        <f t="shared" ref="B235:F235" si="333">IF(B234="","",B234)</f>
        <v>11740</v>
      </c>
      <c r="C235" s="26">
        <f t="shared" si="333"/>
        <v>20</v>
      </c>
      <c r="D235" s="26">
        <f t="shared" si="333"/>
        <v>-500</v>
      </c>
      <c r="E235" s="26">
        <f t="shared" si="333"/>
        <v>0</v>
      </c>
      <c r="F235" s="26">
        <f t="shared" si="333"/>
        <v>-650</v>
      </c>
      <c r="G235" s="24"/>
      <c r="H235" s="24"/>
      <c r="I235" s="24"/>
      <c r="J235" s="24"/>
      <c r="K235" s="24"/>
      <c r="L235" s="24"/>
      <c r="M235" s="44" t="str">
        <f t="shared" ref="M235:M298" si="334">IF(B235="","",IF(M79="","",M79))</f>
        <v/>
      </c>
      <c r="N235" s="26" t="str">
        <f t="shared" ref="N235:N298" si="335">IF($J$7="NO",IF(M235="","",IF($E$7="+X",D235,IF($E$7="-X",-D235,IF($E$7="+Z",F235,IF($E$7="-Z",-F235))))),IF(M235="","",IF($E$7="+X",D235,IF($E$7="-X",-D235,IF($E$7="+Y",E235,IF($E$7="-Y",-E235))))))</f>
        <v/>
      </c>
      <c r="O235" s="26" t="str">
        <f t="shared" ref="O235:O298" si="336">IF($J$7="NO",IF(M235="","",E235),IF(M235="","",F235))</f>
        <v/>
      </c>
      <c r="P235" s="26" t="str">
        <f t="shared" ref="P235:P298" si="337">IF($J$7="NO",IF(M235="","",IF($E$7="+X",F235,IF($E$7="-X",-F235,IF($E$7="+Z",-D235,IF($E$7="-Z",D235))))),IF(M235="","",IF($E$7="+X",-E235,IF($E$7="-X",E235,IF($E$7="+Y",D235,IF($E$7="-Y",-D235))))))</f>
        <v/>
      </c>
      <c r="Q235" s="26">
        <f t="shared" ref="Q235:Q298" si="338">IF($J$7="NO",IF(M235="",0,IF($E$7="+X",G235,IF($E$7="-X",-G235,IF($E$7="+Z",I235,IF($E$7="-Z",-I235))))),IF(M235="",0,IF($E$7="+X",G235,IF($E$7="-X",-G235,IF($E$7="+Y",H235,IF($E$7="-Y",-H235))))))</f>
        <v>0</v>
      </c>
      <c r="R235" s="26">
        <f t="shared" ref="R235:R298" si="339">IF($J$7="NO",IF(M235="",0,H235),IF(M235="",0,I235))</f>
        <v>0</v>
      </c>
      <c r="S235" s="26">
        <f t="shared" ref="S235:S298" si="340">IF($J$7="NO",IF(M235="",0,IF($E$7="+X",I235,IF($E$7="-X",-I235,IF($E$7="+Z",-G235,IF($E$7="-Z",G235))))),IF(M235="",0,IF($E$7="+X",-H235,IF($E$7="-X",H235,IF($E$7="+Y",G235,IF($E$7="-Y",-G235))))))</f>
        <v>0</v>
      </c>
      <c r="T235" s="26" t="str">
        <f t="shared" ref="T235:T298" si="341">IF($J$7="NO",IF(M235="","",IF($E$7="+X",J235,IF($E$7="-X",-J235,IF($E$7="+Z",L235,IF($E$7="-Z",-L235))))),IF(M235="","",IF($E$7="+X",J235,IF($E$7="-X",-J235,IF($E$7="+Y",K235,IF($E$7="-Y",-K235))))))</f>
        <v/>
      </c>
      <c r="U235" s="26" t="str">
        <f t="shared" ref="U235:U298" si="342">IF($J$7="NO",IF(M235="","",K235),IF(M235="","",L235))</f>
        <v/>
      </c>
      <c r="V235" s="26" t="str">
        <f t="shared" ref="V235:V298" si="343">IF($J$7="NO",IF(M235="","",IF($E$7="+X",L235,IF($E$7="-X",-L235,IF($E$7="+Z",-J235,IF($E$7="-Z",J235))))),IF(M235="","",IF($E$7="+X",-K235,IF($E$7="-X",K235,IF($E$7="+Y",J235,IF($E$7="-Y",-J235))))))</f>
        <v/>
      </c>
      <c r="W235" s="27" t="str">
        <f t="shared" ref="W235:W298" si="344">IF(M235="","",SQRT(Q235^2+R235^2+S235^2))</f>
        <v/>
      </c>
      <c r="X235" s="27" t="str">
        <f t="shared" ref="X235:X298" si="345">IF(M235="","",SQRT(T235^2+U235^2+V235^2))</f>
        <v/>
      </c>
      <c r="Y235" s="28" t="str">
        <f t="shared" ref="Y235:Y298" si="346">IF(M235="","",IF($C235&lt;=8,$C235,(16+$C235)/3))</f>
        <v/>
      </c>
      <c r="Z235" s="27" t="str">
        <f t="shared" ref="Z235:Z298" si="347">IF(M235="","",W235*0.224808)</f>
        <v/>
      </c>
      <c r="AA235" s="27" t="str">
        <f t="shared" ref="AA235:AA298" si="348">IF(M235="","",X235*0.737562)</f>
        <v/>
      </c>
      <c r="AB235" s="27" t="str">
        <f t="shared" ref="AB235:AB298" si="349">IF(M235="","",3*Z235+AA235)</f>
        <v/>
      </c>
      <c r="AC235" s="27" t="str">
        <f t="shared" ref="AC235:AC298" si="350">IF(M235="","",IF(M235="","",500*Y235*$O$7))</f>
        <v/>
      </c>
      <c r="AD235" s="29" t="str">
        <f t="shared" ref="AD235:AD298" si="351">IF(M235="","",IF(M235="","",AB235/AC235)*100)</f>
        <v/>
      </c>
      <c r="AE235" s="30" t="str">
        <f t="shared" ref="AE235:AE298" si="352">IF(M235="","",IF(AD235&lt;=100, "PASS","FAIL"))</f>
        <v/>
      </c>
      <c r="AG235" s="4"/>
      <c r="AH235" s="31" t="e">
        <f t="shared" ref="AH235:AH298" si="353">Q235*O235/1000*VLOOKUP(_xlfn.CONCAT($AH$13,IF(Q235&gt;0,"+","-"),IF(O235&gt;0,"+","-")),$AV:$BA,6,0)</f>
        <v>#VALUE!</v>
      </c>
      <c r="AI235" s="31" t="e">
        <f t="shared" ref="AI235:AI298" si="354">Q235*P235/1000*VLOOKUP(_xlfn.CONCAT($AI$13,IF(Q235&gt;0,"+","-"),IF(P235&gt;0,"+","-")),$AV:$BA,6,0)</f>
        <v>#VALUE!</v>
      </c>
      <c r="AJ235" s="31" t="e">
        <f t="shared" ref="AJ235:AJ298" si="355">R235*N235/1000*VLOOKUP(_xlfn.CONCAT($AJ$13,IF(R235&gt;0,"+","-"),IF(N235&gt;0,"+","-")),$AV:$BA,6,0)</f>
        <v>#VALUE!</v>
      </c>
      <c r="AK235" s="31" t="e">
        <f t="shared" ref="AK235:AK298" si="356">R235*P235/1000*VLOOKUP(_xlfn.CONCAT($AK$13,IF(R235&gt;0,"+","-"),IF(P235&gt;0,"+","-")),$AV:$BA,6,0)</f>
        <v>#VALUE!</v>
      </c>
      <c r="AL235" s="31" t="e">
        <f t="shared" ref="AL235:AL298" si="357">S235*N235/1000*VLOOKUP(_xlfn.CONCAT($AL$13,IF(S235&gt;0,"+","-"),IF(N235&gt;0,"+","-")),$AV:$BA,6,0)</f>
        <v>#VALUE!</v>
      </c>
      <c r="AM235" s="31" t="e">
        <f t="shared" ref="AM235:AM298" si="358">S235*O235/1000*VLOOKUP(_xlfn.CONCAT($AM$13,IF(S235&gt;0,"+","-"),IF(O235&gt;0,"+","-")),$AV:$BA,6,0)</f>
        <v>#VALUE!</v>
      </c>
      <c r="AN235" s="32" t="str">
        <f t="shared" ref="AN235:AN298" si="359">IF($M235="","",AK235+AM235)</f>
        <v/>
      </c>
      <c r="AO235" s="27" t="str">
        <f t="shared" ref="AO235:AO298" si="360">IF($M235="","",AI235+AL235)</f>
        <v/>
      </c>
      <c r="AP235" s="27" t="str">
        <f t="shared" ref="AP235:AP298" si="361">IF($M235="","",AH235+AJ235)</f>
        <v/>
      </c>
      <c r="AQ235" s="27">
        <f t="shared" ref="AQ235:AQ298" si="362">IF(M235="",0,AN235+T235)</f>
        <v>0</v>
      </c>
      <c r="AR235" s="27">
        <f t="shared" ref="AR235:AR298" si="363">IF(M235="",0,AO235+U235)</f>
        <v>0</v>
      </c>
      <c r="AS235" s="33">
        <f t="shared" ref="AS235:AS298" si="364">IF(M235="",0,AP235+V235)</f>
        <v>0</v>
      </c>
    </row>
    <row r="236" spans="2:45" hidden="1" x14ac:dyDescent="0.25">
      <c r="B236" s="34">
        <f>IF(B235="","",B235)</f>
        <v>11740</v>
      </c>
      <c r="C236" s="26">
        <f t="shared" ref="C236:F236" si="365">IF(C235="","",C235)</f>
        <v>20</v>
      </c>
      <c r="D236" s="26">
        <f t="shared" si="365"/>
        <v>-500</v>
      </c>
      <c r="E236" s="26">
        <f t="shared" si="365"/>
        <v>0</v>
      </c>
      <c r="F236" s="26">
        <f t="shared" si="365"/>
        <v>-650</v>
      </c>
      <c r="G236" s="24"/>
      <c r="H236" s="24"/>
      <c r="I236" s="24"/>
      <c r="J236" s="24"/>
      <c r="K236" s="24"/>
      <c r="L236" s="24"/>
      <c r="M236" s="44" t="str">
        <f t="shared" si="334"/>
        <v/>
      </c>
      <c r="N236" s="26" t="str">
        <f t="shared" si="335"/>
        <v/>
      </c>
      <c r="O236" s="26" t="str">
        <f t="shared" si="336"/>
        <v/>
      </c>
      <c r="P236" s="26" t="str">
        <f t="shared" si="337"/>
        <v/>
      </c>
      <c r="Q236" s="26">
        <f t="shared" si="338"/>
        <v>0</v>
      </c>
      <c r="R236" s="26">
        <f t="shared" si="339"/>
        <v>0</v>
      </c>
      <c r="S236" s="26">
        <f t="shared" si="340"/>
        <v>0</v>
      </c>
      <c r="T236" s="26" t="str">
        <f t="shared" si="341"/>
        <v/>
      </c>
      <c r="U236" s="26" t="str">
        <f t="shared" si="342"/>
        <v/>
      </c>
      <c r="V236" s="26" t="str">
        <f t="shared" si="343"/>
        <v/>
      </c>
      <c r="W236" s="27" t="str">
        <f t="shared" si="344"/>
        <v/>
      </c>
      <c r="X236" s="27" t="str">
        <f t="shared" si="345"/>
        <v/>
      </c>
      <c r="Y236" s="28" t="str">
        <f t="shared" si="346"/>
        <v/>
      </c>
      <c r="Z236" s="27" t="str">
        <f t="shared" si="347"/>
        <v/>
      </c>
      <c r="AA236" s="27" t="str">
        <f t="shared" si="348"/>
        <v/>
      </c>
      <c r="AB236" s="27" t="str">
        <f t="shared" si="349"/>
        <v/>
      </c>
      <c r="AC236" s="27" t="str">
        <f t="shared" si="350"/>
        <v/>
      </c>
      <c r="AD236" s="29" t="str">
        <f t="shared" si="351"/>
        <v/>
      </c>
      <c r="AE236" s="30" t="str">
        <f t="shared" si="352"/>
        <v/>
      </c>
      <c r="AG236" s="4"/>
      <c r="AH236" s="31" t="e">
        <f t="shared" si="353"/>
        <v>#VALUE!</v>
      </c>
      <c r="AI236" s="31" t="e">
        <f t="shared" si="354"/>
        <v>#VALUE!</v>
      </c>
      <c r="AJ236" s="31" t="e">
        <f t="shared" si="355"/>
        <v>#VALUE!</v>
      </c>
      <c r="AK236" s="31" t="e">
        <f t="shared" si="356"/>
        <v>#VALUE!</v>
      </c>
      <c r="AL236" s="31" t="e">
        <f t="shared" si="357"/>
        <v>#VALUE!</v>
      </c>
      <c r="AM236" s="31" t="e">
        <f t="shared" si="358"/>
        <v>#VALUE!</v>
      </c>
      <c r="AN236" s="32" t="str">
        <f t="shared" si="359"/>
        <v/>
      </c>
      <c r="AO236" s="27" t="str">
        <f t="shared" si="360"/>
        <v/>
      </c>
      <c r="AP236" s="27" t="str">
        <f t="shared" si="361"/>
        <v/>
      </c>
      <c r="AQ236" s="27">
        <f t="shared" si="362"/>
        <v>0</v>
      </c>
      <c r="AR236" s="27">
        <f t="shared" si="363"/>
        <v>0</v>
      </c>
      <c r="AS236" s="33">
        <f t="shared" si="364"/>
        <v>0</v>
      </c>
    </row>
    <row r="237" spans="2:45" hidden="1" x14ac:dyDescent="0.25">
      <c r="B237" s="34">
        <f t="shared" ref="B237:F237" si="366">IF(B236="","",B236)</f>
        <v>11740</v>
      </c>
      <c r="C237" s="26">
        <f t="shared" si="366"/>
        <v>20</v>
      </c>
      <c r="D237" s="26">
        <f t="shared" si="366"/>
        <v>-500</v>
      </c>
      <c r="E237" s="26">
        <f t="shared" si="366"/>
        <v>0</v>
      </c>
      <c r="F237" s="26">
        <f t="shared" si="366"/>
        <v>-650</v>
      </c>
      <c r="G237" s="24"/>
      <c r="H237" s="24"/>
      <c r="I237" s="24"/>
      <c r="J237" s="24"/>
      <c r="K237" s="24"/>
      <c r="L237" s="24"/>
      <c r="M237" s="44" t="str">
        <f t="shared" si="334"/>
        <v/>
      </c>
      <c r="N237" s="26" t="str">
        <f t="shared" si="335"/>
        <v/>
      </c>
      <c r="O237" s="26" t="str">
        <f t="shared" si="336"/>
        <v/>
      </c>
      <c r="P237" s="26" t="str">
        <f t="shared" si="337"/>
        <v/>
      </c>
      <c r="Q237" s="26">
        <f t="shared" si="338"/>
        <v>0</v>
      </c>
      <c r="R237" s="26">
        <f t="shared" si="339"/>
        <v>0</v>
      </c>
      <c r="S237" s="26">
        <f t="shared" si="340"/>
        <v>0</v>
      </c>
      <c r="T237" s="26" t="str">
        <f t="shared" si="341"/>
        <v/>
      </c>
      <c r="U237" s="26" t="str">
        <f t="shared" si="342"/>
        <v/>
      </c>
      <c r="V237" s="26" t="str">
        <f t="shared" si="343"/>
        <v/>
      </c>
      <c r="W237" s="27" t="str">
        <f t="shared" si="344"/>
        <v/>
      </c>
      <c r="X237" s="27" t="str">
        <f t="shared" si="345"/>
        <v/>
      </c>
      <c r="Y237" s="28" t="str">
        <f t="shared" si="346"/>
        <v/>
      </c>
      <c r="Z237" s="27" t="str">
        <f t="shared" si="347"/>
        <v/>
      </c>
      <c r="AA237" s="27" t="str">
        <f t="shared" si="348"/>
        <v/>
      </c>
      <c r="AB237" s="27" t="str">
        <f t="shared" si="349"/>
        <v/>
      </c>
      <c r="AC237" s="27" t="str">
        <f t="shared" si="350"/>
        <v/>
      </c>
      <c r="AD237" s="29" t="str">
        <f t="shared" si="351"/>
        <v/>
      </c>
      <c r="AE237" s="30" t="str">
        <f t="shared" si="352"/>
        <v/>
      </c>
      <c r="AG237" s="4"/>
      <c r="AH237" s="31" t="e">
        <f t="shared" si="353"/>
        <v>#VALUE!</v>
      </c>
      <c r="AI237" s="31" t="e">
        <f t="shared" si="354"/>
        <v>#VALUE!</v>
      </c>
      <c r="AJ237" s="31" t="e">
        <f t="shared" si="355"/>
        <v>#VALUE!</v>
      </c>
      <c r="AK237" s="31" t="e">
        <f t="shared" si="356"/>
        <v>#VALUE!</v>
      </c>
      <c r="AL237" s="31" t="e">
        <f t="shared" si="357"/>
        <v>#VALUE!</v>
      </c>
      <c r="AM237" s="31" t="e">
        <f t="shared" si="358"/>
        <v>#VALUE!</v>
      </c>
      <c r="AN237" s="32" t="str">
        <f t="shared" si="359"/>
        <v/>
      </c>
      <c r="AO237" s="27" t="str">
        <f t="shared" si="360"/>
        <v/>
      </c>
      <c r="AP237" s="27" t="str">
        <f t="shared" si="361"/>
        <v/>
      </c>
      <c r="AQ237" s="27">
        <f t="shared" si="362"/>
        <v>0</v>
      </c>
      <c r="AR237" s="27">
        <f t="shared" si="363"/>
        <v>0</v>
      </c>
      <c r="AS237" s="33">
        <f t="shared" si="364"/>
        <v>0</v>
      </c>
    </row>
    <row r="238" spans="2:45" hidden="1" x14ac:dyDescent="0.25">
      <c r="B238" s="34">
        <f t="shared" ref="B238:F238" si="367">IF(B237="","",B237)</f>
        <v>11740</v>
      </c>
      <c r="C238" s="26">
        <f t="shared" si="367"/>
        <v>20</v>
      </c>
      <c r="D238" s="26">
        <f t="shared" si="367"/>
        <v>-500</v>
      </c>
      <c r="E238" s="26">
        <f t="shared" si="367"/>
        <v>0</v>
      </c>
      <c r="F238" s="26">
        <f t="shared" si="367"/>
        <v>-650</v>
      </c>
      <c r="G238" s="24"/>
      <c r="H238" s="24"/>
      <c r="I238" s="24"/>
      <c r="J238" s="24"/>
      <c r="K238" s="24"/>
      <c r="L238" s="24"/>
      <c r="M238" s="44" t="str">
        <f t="shared" si="334"/>
        <v/>
      </c>
      <c r="N238" s="26" t="str">
        <f t="shared" si="335"/>
        <v/>
      </c>
      <c r="O238" s="26" t="str">
        <f t="shared" si="336"/>
        <v/>
      </c>
      <c r="P238" s="26" t="str">
        <f t="shared" si="337"/>
        <v/>
      </c>
      <c r="Q238" s="26">
        <f t="shared" si="338"/>
        <v>0</v>
      </c>
      <c r="R238" s="26">
        <f t="shared" si="339"/>
        <v>0</v>
      </c>
      <c r="S238" s="26">
        <f t="shared" si="340"/>
        <v>0</v>
      </c>
      <c r="T238" s="26" t="str">
        <f t="shared" si="341"/>
        <v/>
      </c>
      <c r="U238" s="26" t="str">
        <f t="shared" si="342"/>
        <v/>
      </c>
      <c r="V238" s="26" t="str">
        <f t="shared" si="343"/>
        <v/>
      </c>
      <c r="W238" s="27" t="str">
        <f t="shared" si="344"/>
        <v/>
      </c>
      <c r="X238" s="27" t="str">
        <f t="shared" si="345"/>
        <v/>
      </c>
      <c r="Y238" s="28" t="str">
        <f t="shared" si="346"/>
        <v/>
      </c>
      <c r="Z238" s="27" t="str">
        <f t="shared" si="347"/>
        <v/>
      </c>
      <c r="AA238" s="27" t="str">
        <f t="shared" si="348"/>
        <v/>
      </c>
      <c r="AB238" s="27" t="str">
        <f t="shared" si="349"/>
        <v/>
      </c>
      <c r="AC238" s="27" t="str">
        <f t="shared" si="350"/>
        <v/>
      </c>
      <c r="AD238" s="29" t="str">
        <f t="shared" si="351"/>
        <v/>
      </c>
      <c r="AE238" s="30" t="str">
        <f t="shared" si="352"/>
        <v/>
      </c>
      <c r="AG238" s="4"/>
      <c r="AH238" s="31" t="e">
        <f t="shared" si="353"/>
        <v>#VALUE!</v>
      </c>
      <c r="AI238" s="31" t="e">
        <f t="shared" si="354"/>
        <v>#VALUE!</v>
      </c>
      <c r="AJ238" s="31" t="e">
        <f t="shared" si="355"/>
        <v>#VALUE!</v>
      </c>
      <c r="AK238" s="31" t="e">
        <f t="shared" si="356"/>
        <v>#VALUE!</v>
      </c>
      <c r="AL238" s="31" t="e">
        <f t="shared" si="357"/>
        <v>#VALUE!</v>
      </c>
      <c r="AM238" s="31" t="e">
        <f t="shared" si="358"/>
        <v>#VALUE!</v>
      </c>
      <c r="AN238" s="32" t="str">
        <f t="shared" si="359"/>
        <v/>
      </c>
      <c r="AO238" s="27" t="str">
        <f t="shared" si="360"/>
        <v/>
      </c>
      <c r="AP238" s="27" t="str">
        <f t="shared" si="361"/>
        <v/>
      </c>
      <c r="AQ238" s="27">
        <f t="shared" si="362"/>
        <v>0</v>
      </c>
      <c r="AR238" s="27">
        <f t="shared" si="363"/>
        <v>0</v>
      </c>
      <c r="AS238" s="33">
        <f t="shared" si="364"/>
        <v>0</v>
      </c>
    </row>
    <row r="239" spans="2:45" hidden="1" x14ac:dyDescent="0.25">
      <c r="B239" s="34">
        <f t="shared" ref="B239:F239" si="368">IF(B238="","",B238)</f>
        <v>11740</v>
      </c>
      <c r="C239" s="26">
        <f t="shared" si="368"/>
        <v>20</v>
      </c>
      <c r="D239" s="26">
        <f t="shared" si="368"/>
        <v>-500</v>
      </c>
      <c r="E239" s="26">
        <f t="shared" si="368"/>
        <v>0</v>
      </c>
      <c r="F239" s="26">
        <f t="shared" si="368"/>
        <v>-650</v>
      </c>
      <c r="G239" s="24"/>
      <c r="H239" s="24"/>
      <c r="I239" s="24"/>
      <c r="J239" s="24"/>
      <c r="K239" s="24"/>
      <c r="L239" s="24"/>
      <c r="M239" s="44" t="str">
        <f t="shared" si="334"/>
        <v/>
      </c>
      <c r="N239" s="26" t="str">
        <f t="shared" si="335"/>
        <v/>
      </c>
      <c r="O239" s="26" t="str">
        <f t="shared" si="336"/>
        <v/>
      </c>
      <c r="P239" s="26" t="str">
        <f t="shared" si="337"/>
        <v/>
      </c>
      <c r="Q239" s="26">
        <f t="shared" si="338"/>
        <v>0</v>
      </c>
      <c r="R239" s="26">
        <f t="shared" si="339"/>
        <v>0</v>
      </c>
      <c r="S239" s="26">
        <f t="shared" si="340"/>
        <v>0</v>
      </c>
      <c r="T239" s="26" t="str">
        <f t="shared" si="341"/>
        <v/>
      </c>
      <c r="U239" s="26" t="str">
        <f t="shared" si="342"/>
        <v/>
      </c>
      <c r="V239" s="26" t="str">
        <f t="shared" si="343"/>
        <v/>
      </c>
      <c r="W239" s="27" t="str">
        <f t="shared" si="344"/>
        <v/>
      </c>
      <c r="X239" s="27" t="str">
        <f t="shared" si="345"/>
        <v/>
      </c>
      <c r="Y239" s="28" t="str">
        <f t="shared" si="346"/>
        <v/>
      </c>
      <c r="Z239" s="27" t="str">
        <f t="shared" si="347"/>
        <v/>
      </c>
      <c r="AA239" s="27" t="str">
        <f t="shared" si="348"/>
        <v/>
      </c>
      <c r="AB239" s="27" t="str">
        <f t="shared" si="349"/>
        <v/>
      </c>
      <c r="AC239" s="27" t="str">
        <f t="shared" si="350"/>
        <v/>
      </c>
      <c r="AD239" s="29" t="str">
        <f t="shared" si="351"/>
        <v/>
      </c>
      <c r="AE239" s="30" t="str">
        <f t="shared" si="352"/>
        <v/>
      </c>
      <c r="AG239" s="4"/>
      <c r="AH239" s="31" t="e">
        <f t="shared" si="353"/>
        <v>#VALUE!</v>
      </c>
      <c r="AI239" s="31" t="e">
        <f t="shared" si="354"/>
        <v>#VALUE!</v>
      </c>
      <c r="AJ239" s="31" t="e">
        <f t="shared" si="355"/>
        <v>#VALUE!</v>
      </c>
      <c r="AK239" s="31" t="e">
        <f t="shared" si="356"/>
        <v>#VALUE!</v>
      </c>
      <c r="AL239" s="31" t="e">
        <f t="shared" si="357"/>
        <v>#VALUE!</v>
      </c>
      <c r="AM239" s="31" t="e">
        <f t="shared" si="358"/>
        <v>#VALUE!</v>
      </c>
      <c r="AN239" s="32" t="str">
        <f t="shared" si="359"/>
        <v/>
      </c>
      <c r="AO239" s="27" t="str">
        <f t="shared" si="360"/>
        <v/>
      </c>
      <c r="AP239" s="27" t="str">
        <f t="shared" si="361"/>
        <v/>
      </c>
      <c r="AQ239" s="27">
        <f t="shared" si="362"/>
        <v>0</v>
      </c>
      <c r="AR239" s="27">
        <f t="shared" si="363"/>
        <v>0</v>
      </c>
      <c r="AS239" s="33">
        <f t="shared" si="364"/>
        <v>0</v>
      </c>
    </row>
    <row r="240" spans="2:45" hidden="1" x14ac:dyDescent="0.25">
      <c r="B240" s="34">
        <f t="shared" ref="B240:F240" si="369">IF(B239="","",B239)</f>
        <v>11740</v>
      </c>
      <c r="C240" s="26">
        <f t="shared" si="369"/>
        <v>20</v>
      </c>
      <c r="D240" s="26">
        <f t="shared" si="369"/>
        <v>-500</v>
      </c>
      <c r="E240" s="26">
        <f t="shared" si="369"/>
        <v>0</v>
      </c>
      <c r="F240" s="26">
        <f t="shared" si="369"/>
        <v>-650</v>
      </c>
      <c r="G240" s="24"/>
      <c r="H240" s="24"/>
      <c r="I240" s="24"/>
      <c r="J240" s="24"/>
      <c r="K240" s="24"/>
      <c r="L240" s="24"/>
      <c r="M240" s="44" t="str">
        <f t="shared" si="334"/>
        <v/>
      </c>
      <c r="N240" s="26" t="str">
        <f t="shared" si="335"/>
        <v/>
      </c>
      <c r="O240" s="26" t="str">
        <f t="shared" si="336"/>
        <v/>
      </c>
      <c r="P240" s="26" t="str">
        <f t="shared" si="337"/>
        <v/>
      </c>
      <c r="Q240" s="26">
        <f t="shared" si="338"/>
        <v>0</v>
      </c>
      <c r="R240" s="26">
        <f t="shared" si="339"/>
        <v>0</v>
      </c>
      <c r="S240" s="26">
        <f t="shared" si="340"/>
        <v>0</v>
      </c>
      <c r="T240" s="26" t="str">
        <f t="shared" si="341"/>
        <v/>
      </c>
      <c r="U240" s="26" t="str">
        <f t="shared" si="342"/>
        <v/>
      </c>
      <c r="V240" s="26" t="str">
        <f t="shared" si="343"/>
        <v/>
      </c>
      <c r="W240" s="27" t="str">
        <f t="shared" si="344"/>
        <v/>
      </c>
      <c r="X240" s="27" t="str">
        <f t="shared" si="345"/>
        <v/>
      </c>
      <c r="Y240" s="28" t="str">
        <f t="shared" si="346"/>
        <v/>
      </c>
      <c r="Z240" s="27" t="str">
        <f t="shared" si="347"/>
        <v/>
      </c>
      <c r="AA240" s="27" t="str">
        <f t="shared" si="348"/>
        <v/>
      </c>
      <c r="AB240" s="27" t="str">
        <f t="shared" si="349"/>
        <v/>
      </c>
      <c r="AC240" s="27" t="str">
        <f t="shared" si="350"/>
        <v/>
      </c>
      <c r="AD240" s="29" t="str">
        <f t="shared" si="351"/>
        <v/>
      </c>
      <c r="AE240" s="30" t="str">
        <f t="shared" si="352"/>
        <v/>
      </c>
      <c r="AG240" s="4"/>
      <c r="AH240" s="31" t="e">
        <f t="shared" si="353"/>
        <v>#VALUE!</v>
      </c>
      <c r="AI240" s="31" t="e">
        <f t="shared" si="354"/>
        <v>#VALUE!</v>
      </c>
      <c r="AJ240" s="31" t="e">
        <f t="shared" si="355"/>
        <v>#VALUE!</v>
      </c>
      <c r="AK240" s="31" t="e">
        <f t="shared" si="356"/>
        <v>#VALUE!</v>
      </c>
      <c r="AL240" s="31" t="e">
        <f t="shared" si="357"/>
        <v>#VALUE!</v>
      </c>
      <c r="AM240" s="31" t="e">
        <f t="shared" si="358"/>
        <v>#VALUE!</v>
      </c>
      <c r="AN240" s="32" t="str">
        <f t="shared" si="359"/>
        <v/>
      </c>
      <c r="AO240" s="27" t="str">
        <f t="shared" si="360"/>
        <v/>
      </c>
      <c r="AP240" s="27" t="str">
        <f t="shared" si="361"/>
        <v/>
      </c>
      <c r="AQ240" s="27">
        <f t="shared" si="362"/>
        <v>0</v>
      </c>
      <c r="AR240" s="27">
        <f t="shared" si="363"/>
        <v>0</v>
      </c>
      <c r="AS240" s="33">
        <f t="shared" si="364"/>
        <v>0</v>
      </c>
    </row>
    <row r="241" spans="2:45" hidden="1" x14ac:dyDescent="0.25">
      <c r="B241" s="34">
        <f t="shared" ref="B241:F241" si="370">IF(B240="","",B240)</f>
        <v>11740</v>
      </c>
      <c r="C241" s="26">
        <f t="shared" si="370"/>
        <v>20</v>
      </c>
      <c r="D241" s="26">
        <f t="shared" si="370"/>
        <v>-500</v>
      </c>
      <c r="E241" s="26">
        <f t="shared" si="370"/>
        <v>0</v>
      </c>
      <c r="F241" s="26">
        <f t="shared" si="370"/>
        <v>-650</v>
      </c>
      <c r="G241" s="24"/>
      <c r="H241" s="24"/>
      <c r="I241" s="24"/>
      <c r="J241" s="24"/>
      <c r="K241" s="24"/>
      <c r="L241" s="24"/>
      <c r="M241" s="44" t="str">
        <f t="shared" si="334"/>
        <v/>
      </c>
      <c r="N241" s="26" t="str">
        <f t="shared" si="335"/>
        <v/>
      </c>
      <c r="O241" s="26" t="str">
        <f t="shared" si="336"/>
        <v/>
      </c>
      <c r="P241" s="26" t="str">
        <f t="shared" si="337"/>
        <v/>
      </c>
      <c r="Q241" s="26">
        <f t="shared" si="338"/>
        <v>0</v>
      </c>
      <c r="R241" s="26">
        <f t="shared" si="339"/>
        <v>0</v>
      </c>
      <c r="S241" s="26">
        <f t="shared" si="340"/>
        <v>0</v>
      </c>
      <c r="T241" s="26" t="str">
        <f t="shared" si="341"/>
        <v/>
      </c>
      <c r="U241" s="26" t="str">
        <f t="shared" si="342"/>
        <v/>
      </c>
      <c r="V241" s="26" t="str">
        <f t="shared" si="343"/>
        <v/>
      </c>
      <c r="W241" s="27" t="str">
        <f t="shared" si="344"/>
        <v/>
      </c>
      <c r="X241" s="27" t="str">
        <f t="shared" si="345"/>
        <v/>
      </c>
      <c r="Y241" s="28" t="str">
        <f t="shared" si="346"/>
        <v/>
      </c>
      <c r="Z241" s="27" t="str">
        <f t="shared" si="347"/>
        <v/>
      </c>
      <c r="AA241" s="27" t="str">
        <f t="shared" si="348"/>
        <v/>
      </c>
      <c r="AB241" s="27" t="str">
        <f t="shared" si="349"/>
        <v/>
      </c>
      <c r="AC241" s="27" t="str">
        <f t="shared" si="350"/>
        <v/>
      </c>
      <c r="AD241" s="29" t="str">
        <f t="shared" si="351"/>
        <v/>
      </c>
      <c r="AE241" s="30" t="str">
        <f t="shared" si="352"/>
        <v/>
      </c>
      <c r="AG241" s="4"/>
      <c r="AH241" s="31" t="e">
        <f t="shared" si="353"/>
        <v>#VALUE!</v>
      </c>
      <c r="AI241" s="31" t="e">
        <f t="shared" si="354"/>
        <v>#VALUE!</v>
      </c>
      <c r="AJ241" s="31" t="e">
        <f t="shared" si="355"/>
        <v>#VALUE!</v>
      </c>
      <c r="AK241" s="31" t="e">
        <f t="shared" si="356"/>
        <v>#VALUE!</v>
      </c>
      <c r="AL241" s="31" t="e">
        <f t="shared" si="357"/>
        <v>#VALUE!</v>
      </c>
      <c r="AM241" s="31" t="e">
        <f t="shared" si="358"/>
        <v>#VALUE!</v>
      </c>
      <c r="AN241" s="32" t="str">
        <f t="shared" si="359"/>
        <v/>
      </c>
      <c r="AO241" s="27" t="str">
        <f t="shared" si="360"/>
        <v/>
      </c>
      <c r="AP241" s="27" t="str">
        <f t="shared" si="361"/>
        <v/>
      </c>
      <c r="AQ241" s="27">
        <f t="shared" si="362"/>
        <v>0</v>
      </c>
      <c r="AR241" s="27">
        <f t="shared" si="363"/>
        <v>0</v>
      </c>
      <c r="AS241" s="33">
        <f t="shared" si="364"/>
        <v>0</v>
      </c>
    </row>
    <row r="242" spans="2:45" hidden="1" x14ac:dyDescent="0.25">
      <c r="B242" s="34">
        <f t="shared" ref="B242:F242" si="371">IF(B241="","",B241)</f>
        <v>11740</v>
      </c>
      <c r="C242" s="26">
        <f t="shared" si="371"/>
        <v>20</v>
      </c>
      <c r="D242" s="26">
        <f t="shared" si="371"/>
        <v>-500</v>
      </c>
      <c r="E242" s="26">
        <f t="shared" si="371"/>
        <v>0</v>
      </c>
      <c r="F242" s="26">
        <f t="shared" si="371"/>
        <v>-650</v>
      </c>
      <c r="G242" s="24"/>
      <c r="H242" s="24"/>
      <c r="I242" s="24"/>
      <c r="J242" s="24"/>
      <c r="K242" s="24"/>
      <c r="L242" s="24"/>
      <c r="M242" s="44" t="str">
        <f t="shared" si="334"/>
        <v/>
      </c>
      <c r="N242" s="26" t="str">
        <f t="shared" si="335"/>
        <v/>
      </c>
      <c r="O242" s="26" t="str">
        <f t="shared" si="336"/>
        <v/>
      </c>
      <c r="P242" s="26" t="str">
        <f t="shared" si="337"/>
        <v/>
      </c>
      <c r="Q242" s="26">
        <f t="shared" si="338"/>
        <v>0</v>
      </c>
      <c r="R242" s="26">
        <f t="shared" si="339"/>
        <v>0</v>
      </c>
      <c r="S242" s="26">
        <f t="shared" si="340"/>
        <v>0</v>
      </c>
      <c r="T242" s="26" t="str">
        <f t="shared" si="341"/>
        <v/>
      </c>
      <c r="U242" s="26" t="str">
        <f t="shared" si="342"/>
        <v/>
      </c>
      <c r="V242" s="26" t="str">
        <f t="shared" si="343"/>
        <v/>
      </c>
      <c r="W242" s="27" t="str">
        <f t="shared" si="344"/>
        <v/>
      </c>
      <c r="X242" s="27" t="str">
        <f t="shared" si="345"/>
        <v/>
      </c>
      <c r="Y242" s="28" t="str">
        <f t="shared" si="346"/>
        <v/>
      </c>
      <c r="Z242" s="27" t="str">
        <f t="shared" si="347"/>
        <v/>
      </c>
      <c r="AA242" s="27" t="str">
        <f t="shared" si="348"/>
        <v/>
      </c>
      <c r="AB242" s="27" t="str">
        <f t="shared" si="349"/>
        <v/>
      </c>
      <c r="AC242" s="27" t="str">
        <f t="shared" si="350"/>
        <v/>
      </c>
      <c r="AD242" s="29" t="str">
        <f t="shared" si="351"/>
        <v/>
      </c>
      <c r="AE242" s="30" t="str">
        <f t="shared" si="352"/>
        <v/>
      </c>
      <c r="AG242" s="4"/>
      <c r="AH242" s="31" t="e">
        <f t="shared" si="353"/>
        <v>#VALUE!</v>
      </c>
      <c r="AI242" s="31" t="e">
        <f t="shared" si="354"/>
        <v>#VALUE!</v>
      </c>
      <c r="AJ242" s="31" t="e">
        <f t="shared" si="355"/>
        <v>#VALUE!</v>
      </c>
      <c r="AK242" s="31" t="e">
        <f t="shared" si="356"/>
        <v>#VALUE!</v>
      </c>
      <c r="AL242" s="31" t="e">
        <f t="shared" si="357"/>
        <v>#VALUE!</v>
      </c>
      <c r="AM242" s="31" t="e">
        <f t="shared" si="358"/>
        <v>#VALUE!</v>
      </c>
      <c r="AN242" s="32" t="str">
        <f t="shared" si="359"/>
        <v/>
      </c>
      <c r="AO242" s="27" t="str">
        <f t="shared" si="360"/>
        <v/>
      </c>
      <c r="AP242" s="27" t="str">
        <f t="shared" si="361"/>
        <v/>
      </c>
      <c r="AQ242" s="27">
        <f t="shared" si="362"/>
        <v>0</v>
      </c>
      <c r="AR242" s="27">
        <f t="shared" si="363"/>
        <v>0</v>
      </c>
      <c r="AS242" s="33">
        <f t="shared" si="364"/>
        <v>0</v>
      </c>
    </row>
    <row r="243" spans="2:45" hidden="1" x14ac:dyDescent="0.25">
      <c r="B243" s="34">
        <f t="shared" ref="B243:F243" si="372">IF(B242="","",B242)</f>
        <v>11740</v>
      </c>
      <c r="C243" s="26">
        <f t="shared" si="372"/>
        <v>20</v>
      </c>
      <c r="D243" s="26">
        <f t="shared" si="372"/>
        <v>-500</v>
      </c>
      <c r="E243" s="26">
        <f t="shared" si="372"/>
        <v>0</v>
      </c>
      <c r="F243" s="26">
        <f t="shared" si="372"/>
        <v>-650</v>
      </c>
      <c r="G243" s="24"/>
      <c r="H243" s="24"/>
      <c r="I243" s="24"/>
      <c r="J243" s="24"/>
      <c r="K243" s="24"/>
      <c r="L243" s="24"/>
      <c r="M243" s="44" t="str">
        <f t="shared" si="334"/>
        <v/>
      </c>
      <c r="N243" s="26" t="str">
        <f t="shared" si="335"/>
        <v/>
      </c>
      <c r="O243" s="26" t="str">
        <f t="shared" si="336"/>
        <v/>
      </c>
      <c r="P243" s="26" t="str">
        <f t="shared" si="337"/>
        <v/>
      </c>
      <c r="Q243" s="26">
        <f t="shared" si="338"/>
        <v>0</v>
      </c>
      <c r="R243" s="26">
        <f t="shared" si="339"/>
        <v>0</v>
      </c>
      <c r="S243" s="26">
        <f t="shared" si="340"/>
        <v>0</v>
      </c>
      <c r="T243" s="26" t="str">
        <f t="shared" si="341"/>
        <v/>
      </c>
      <c r="U243" s="26" t="str">
        <f t="shared" si="342"/>
        <v/>
      </c>
      <c r="V243" s="26" t="str">
        <f t="shared" si="343"/>
        <v/>
      </c>
      <c r="W243" s="27" t="str">
        <f t="shared" si="344"/>
        <v/>
      </c>
      <c r="X243" s="27" t="str">
        <f t="shared" si="345"/>
        <v/>
      </c>
      <c r="Y243" s="28" t="str">
        <f t="shared" si="346"/>
        <v/>
      </c>
      <c r="Z243" s="27" t="str">
        <f t="shared" si="347"/>
        <v/>
      </c>
      <c r="AA243" s="27" t="str">
        <f t="shared" si="348"/>
        <v/>
      </c>
      <c r="AB243" s="27" t="str">
        <f t="shared" si="349"/>
        <v/>
      </c>
      <c r="AC243" s="27" t="str">
        <f t="shared" si="350"/>
        <v/>
      </c>
      <c r="AD243" s="29" t="str">
        <f t="shared" si="351"/>
        <v/>
      </c>
      <c r="AE243" s="30" t="str">
        <f t="shared" si="352"/>
        <v/>
      </c>
      <c r="AG243" s="4"/>
      <c r="AH243" s="31" t="e">
        <f t="shared" si="353"/>
        <v>#VALUE!</v>
      </c>
      <c r="AI243" s="31" t="e">
        <f t="shared" si="354"/>
        <v>#VALUE!</v>
      </c>
      <c r="AJ243" s="31" t="e">
        <f t="shared" si="355"/>
        <v>#VALUE!</v>
      </c>
      <c r="AK243" s="31" t="e">
        <f t="shared" si="356"/>
        <v>#VALUE!</v>
      </c>
      <c r="AL243" s="31" t="e">
        <f t="shared" si="357"/>
        <v>#VALUE!</v>
      </c>
      <c r="AM243" s="31" t="e">
        <f t="shared" si="358"/>
        <v>#VALUE!</v>
      </c>
      <c r="AN243" s="32" t="str">
        <f t="shared" si="359"/>
        <v/>
      </c>
      <c r="AO243" s="27" t="str">
        <f t="shared" si="360"/>
        <v/>
      </c>
      <c r="AP243" s="27" t="str">
        <f t="shared" si="361"/>
        <v/>
      </c>
      <c r="AQ243" s="27">
        <f t="shared" si="362"/>
        <v>0</v>
      </c>
      <c r="AR243" s="27">
        <f t="shared" si="363"/>
        <v>0</v>
      </c>
      <c r="AS243" s="33">
        <f t="shared" si="364"/>
        <v>0</v>
      </c>
    </row>
    <row r="244" spans="2:45" hidden="1" x14ac:dyDescent="0.25">
      <c r="B244" s="34">
        <f t="shared" ref="B244:F244" si="373">IF(B243="","",B243)</f>
        <v>11740</v>
      </c>
      <c r="C244" s="26">
        <f t="shared" si="373"/>
        <v>20</v>
      </c>
      <c r="D244" s="26">
        <f t="shared" si="373"/>
        <v>-500</v>
      </c>
      <c r="E244" s="26">
        <f t="shared" si="373"/>
        <v>0</v>
      </c>
      <c r="F244" s="26">
        <f t="shared" si="373"/>
        <v>-650</v>
      </c>
      <c r="G244" s="24"/>
      <c r="H244" s="24"/>
      <c r="I244" s="24"/>
      <c r="J244" s="24"/>
      <c r="K244" s="24"/>
      <c r="L244" s="24"/>
      <c r="M244" s="44" t="str">
        <f t="shared" si="334"/>
        <v/>
      </c>
      <c r="N244" s="26" t="str">
        <f t="shared" si="335"/>
        <v/>
      </c>
      <c r="O244" s="26" t="str">
        <f t="shared" si="336"/>
        <v/>
      </c>
      <c r="P244" s="26" t="str">
        <f t="shared" si="337"/>
        <v/>
      </c>
      <c r="Q244" s="26">
        <f t="shared" si="338"/>
        <v>0</v>
      </c>
      <c r="R244" s="26">
        <f t="shared" si="339"/>
        <v>0</v>
      </c>
      <c r="S244" s="26">
        <f t="shared" si="340"/>
        <v>0</v>
      </c>
      <c r="T244" s="26" t="str">
        <f t="shared" si="341"/>
        <v/>
      </c>
      <c r="U244" s="26" t="str">
        <f t="shared" si="342"/>
        <v/>
      </c>
      <c r="V244" s="26" t="str">
        <f t="shared" si="343"/>
        <v/>
      </c>
      <c r="W244" s="27" t="str">
        <f t="shared" si="344"/>
        <v/>
      </c>
      <c r="X244" s="27" t="str">
        <f t="shared" si="345"/>
        <v/>
      </c>
      <c r="Y244" s="28" t="str">
        <f t="shared" si="346"/>
        <v/>
      </c>
      <c r="Z244" s="27" t="str">
        <f t="shared" si="347"/>
        <v/>
      </c>
      <c r="AA244" s="27" t="str">
        <f t="shared" si="348"/>
        <v/>
      </c>
      <c r="AB244" s="27" t="str">
        <f t="shared" si="349"/>
        <v/>
      </c>
      <c r="AC244" s="27" t="str">
        <f t="shared" si="350"/>
        <v/>
      </c>
      <c r="AD244" s="29" t="str">
        <f t="shared" si="351"/>
        <v/>
      </c>
      <c r="AE244" s="30" t="str">
        <f t="shared" si="352"/>
        <v/>
      </c>
      <c r="AG244" s="4"/>
      <c r="AH244" s="31" t="e">
        <f t="shared" si="353"/>
        <v>#VALUE!</v>
      </c>
      <c r="AI244" s="31" t="e">
        <f t="shared" si="354"/>
        <v>#VALUE!</v>
      </c>
      <c r="AJ244" s="31" t="e">
        <f t="shared" si="355"/>
        <v>#VALUE!</v>
      </c>
      <c r="AK244" s="31" t="e">
        <f t="shared" si="356"/>
        <v>#VALUE!</v>
      </c>
      <c r="AL244" s="31" t="e">
        <f t="shared" si="357"/>
        <v>#VALUE!</v>
      </c>
      <c r="AM244" s="31" t="e">
        <f t="shared" si="358"/>
        <v>#VALUE!</v>
      </c>
      <c r="AN244" s="32" t="str">
        <f t="shared" si="359"/>
        <v/>
      </c>
      <c r="AO244" s="27" t="str">
        <f t="shared" si="360"/>
        <v/>
      </c>
      <c r="AP244" s="27" t="str">
        <f t="shared" si="361"/>
        <v/>
      </c>
      <c r="AQ244" s="27">
        <f t="shared" si="362"/>
        <v>0</v>
      </c>
      <c r="AR244" s="27">
        <f t="shared" si="363"/>
        <v>0</v>
      </c>
      <c r="AS244" s="33">
        <f t="shared" si="364"/>
        <v>0</v>
      </c>
    </row>
    <row r="245" spans="2:45" hidden="1" x14ac:dyDescent="0.25">
      <c r="B245" s="34">
        <f t="shared" ref="B245:F245" si="374">IF(B244="","",B244)</f>
        <v>11740</v>
      </c>
      <c r="C245" s="26">
        <f t="shared" si="374"/>
        <v>20</v>
      </c>
      <c r="D245" s="26">
        <f t="shared" si="374"/>
        <v>-500</v>
      </c>
      <c r="E245" s="26">
        <f t="shared" si="374"/>
        <v>0</v>
      </c>
      <c r="F245" s="26">
        <f t="shared" si="374"/>
        <v>-650</v>
      </c>
      <c r="G245" s="24"/>
      <c r="H245" s="24"/>
      <c r="I245" s="24"/>
      <c r="J245" s="24"/>
      <c r="K245" s="24"/>
      <c r="L245" s="24"/>
      <c r="M245" s="44" t="str">
        <f t="shared" si="334"/>
        <v/>
      </c>
      <c r="N245" s="26" t="str">
        <f t="shared" si="335"/>
        <v/>
      </c>
      <c r="O245" s="26" t="str">
        <f t="shared" si="336"/>
        <v/>
      </c>
      <c r="P245" s="26" t="str">
        <f t="shared" si="337"/>
        <v/>
      </c>
      <c r="Q245" s="26">
        <f t="shared" si="338"/>
        <v>0</v>
      </c>
      <c r="R245" s="26">
        <f t="shared" si="339"/>
        <v>0</v>
      </c>
      <c r="S245" s="26">
        <f t="shared" si="340"/>
        <v>0</v>
      </c>
      <c r="T245" s="26" t="str">
        <f t="shared" si="341"/>
        <v/>
      </c>
      <c r="U245" s="26" t="str">
        <f t="shared" si="342"/>
        <v/>
      </c>
      <c r="V245" s="26" t="str">
        <f t="shared" si="343"/>
        <v/>
      </c>
      <c r="W245" s="27" t="str">
        <f t="shared" si="344"/>
        <v/>
      </c>
      <c r="X245" s="27" t="str">
        <f t="shared" si="345"/>
        <v/>
      </c>
      <c r="Y245" s="28" t="str">
        <f t="shared" si="346"/>
        <v/>
      </c>
      <c r="Z245" s="27" t="str">
        <f t="shared" si="347"/>
        <v/>
      </c>
      <c r="AA245" s="27" t="str">
        <f t="shared" si="348"/>
        <v/>
      </c>
      <c r="AB245" s="27" t="str">
        <f t="shared" si="349"/>
        <v/>
      </c>
      <c r="AC245" s="27" t="str">
        <f t="shared" si="350"/>
        <v/>
      </c>
      <c r="AD245" s="29" t="str">
        <f t="shared" si="351"/>
        <v/>
      </c>
      <c r="AE245" s="30" t="str">
        <f t="shared" si="352"/>
        <v/>
      </c>
      <c r="AG245" s="4"/>
      <c r="AH245" s="31" t="e">
        <f t="shared" si="353"/>
        <v>#VALUE!</v>
      </c>
      <c r="AI245" s="31" t="e">
        <f t="shared" si="354"/>
        <v>#VALUE!</v>
      </c>
      <c r="AJ245" s="31" t="e">
        <f t="shared" si="355"/>
        <v>#VALUE!</v>
      </c>
      <c r="AK245" s="31" t="e">
        <f t="shared" si="356"/>
        <v>#VALUE!</v>
      </c>
      <c r="AL245" s="31" t="e">
        <f t="shared" si="357"/>
        <v>#VALUE!</v>
      </c>
      <c r="AM245" s="31" t="e">
        <f t="shared" si="358"/>
        <v>#VALUE!</v>
      </c>
      <c r="AN245" s="32" t="str">
        <f t="shared" si="359"/>
        <v/>
      </c>
      <c r="AO245" s="27" t="str">
        <f t="shared" si="360"/>
        <v/>
      </c>
      <c r="AP245" s="27" t="str">
        <f t="shared" si="361"/>
        <v/>
      </c>
      <c r="AQ245" s="27">
        <f t="shared" si="362"/>
        <v>0</v>
      </c>
      <c r="AR245" s="27">
        <f t="shared" si="363"/>
        <v>0</v>
      </c>
      <c r="AS245" s="33">
        <f t="shared" si="364"/>
        <v>0</v>
      </c>
    </row>
    <row r="246" spans="2:45" hidden="1" x14ac:dyDescent="0.25">
      <c r="B246" s="34">
        <f t="shared" ref="B246:F246" si="375">IF(B245="","",B245)</f>
        <v>11740</v>
      </c>
      <c r="C246" s="26">
        <f t="shared" si="375"/>
        <v>20</v>
      </c>
      <c r="D246" s="26">
        <f t="shared" si="375"/>
        <v>-500</v>
      </c>
      <c r="E246" s="26">
        <f t="shared" si="375"/>
        <v>0</v>
      </c>
      <c r="F246" s="26">
        <f t="shared" si="375"/>
        <v>-650</v>
      </c>
      <c r="G246" s="24"/>
      <c r="H246" s="24"/>
      <c r="I246" s="24"/>
      <c r="J246" s="24"/>
      <c r="K246" s="24"/>
      <c r="L246" s="24"/>
      <c r="M246" s="44" t="str">
        <f t="shared" si="334"/>
        <v/>
      </c>
      <c r="N246" s="26" t="str">
        <f t="shared" si="335"/>
        <v/>
      </c>
      <c r="O246" s="26" t="str">
        <f t="shared" si="336"/>
        <v/>
      </c>
      <c r="P246" s="26" t="str">
        <f t="shared" si="337"/>
        <v/>
      </c>
      <c r="Q246" s="26">
        <f t="shared" si="338"/>
        <v>0</v>
      </c>
      <c r="R246" s="26">
        <f t="shared" si="339"/>
        <v>0</v>
      </c>
      <c r="S246" s="26">
        <f t="shared" si="340"/>
        <v>0</v>
      </c>
      <c r="T246" s="26" t="str">
        <f t="shared" si="341"/>
        <v/>
      </c>
      <c r="U246" s="26" t="str">
        <f t="shared" si="342"/>
        <v/>
      </c>
      <c r="V246" s="26" t="str">
        <f t="shared" si="343"/>
        <v/>
      </c>
      <c r="W246" s="27" t="str">
        <f t="shared" si="344"/>
        <v/>
      </c>
      <c r="X246" s="27" t="str">
        <f t="shared" si="345"/>
        <v/>
      </c>
      <c r="Y246" s="28" t="str">
        <f t="shared" si="346"/>
        <v/>
      </c>
      <c r="Z246" s="27" t="str">
        <f t="shared" si="347"/>
        <v/>
      </c>
      <c r="AA246" s="27" t="str">
        <f t="shared" si="348"/>
        <v/>
      </c>
      <c r="AB246" s="27" t="str">
        <f t="shared" si="349"/>
        <v/>
      </c>
      <c r="AC246" s="27" t="str">
        <f t="shared" si="350"/>
        <v/>
      </c>
      <c r="AD246" s="29" t="str">
        <f t="shared" si="351"/>
        <v/>
      </c>
      <c r="AE246" s="30" t="str">
        <f t="shared" si="352"/>
        <v/>
      </c>
      <c r="AG246" s="4"/>
      <c r="AH246" s="31" t="e">
        <f t="shared" si="353"/>
        <v>#VALUE!</v>
      </c>
      <c r="AI246" s="31" t="e">
        <f t="shared" si="354"/>
        <v>#VALUE!</v>
      </c>
      <c r="AJ246" s="31" t="e">
        <f t="shared" si="355"/>
        <v>#VALUE!</v>
      </c>
      <c r="AK246" s="31" t="e">
        <f t="shared" si="356"/>
        <v>#VALUE!</v>
      </c>
      <c r="AL246" s="31" t="e">
        <f t="shared" si="357"/>
        <v>#VALUE!</v>
      </c>
      <c r="AM246" s="31" t="e">
        <f t="shared" si="358"/>
        <v>#VALUE!</v>
      </c>
      <c r="AN246" s="32" t="str">
        <f t="shared" si="359"/>
        <v/>
      </c>
      <c r="AO246" s="27" t="str">
        <f t="shared" si="360"/>
        <v/>
      </c>
      <c r="AP246" s="27" t="str">
        <f t="shared" si="361"/>
        <v/>
      </c>
      <c r="AQ246" s="27">
        <f t="shared" si="362"/>
        <v>0</v>
      </c>
      <c r="AR246" s="27">
        <f t="shared" si="363"/>
        <v>0</v>
      </c>
      <c r="AS246" s="33">
        <f t="shared" si="364"/>
        <v>0</v>
      </c>
    </row>
    <row r="247" spans="2:45" hidden="1" x14ac:dyDescent="0.25">
      <c r="B247" s="34">
        <f t="shared" ref="B247:F247" si="376">IF(B246="","",B246)</f>
        <v>11740</v>
      </c>
      <c r="C247" s="26">
        <f t="shared" si="376"/>
        <v>20</v>
      </c>
      <c r="D247" s="26">
        <f t="shared" si="376"/>
        <v>-500</v>
      </c>
      <c r="E247" s="26">
        <f t="shared" si="376"/>
        <v>0</v>
      </c>
      <c r="F247" s="26">
        <f t="shared" si="376"/>
        <v>-650</v>
      </c>
      <c r="G247" s="24"/>
      <c r="H247" s="24"/>
      <c r="I247" s="24"/>
      <c r="J247" s="24"/>
      <c r="K247" s="24"/>
      <c r="L247" s="24"/>
      <c r="M247" s="44" t="str">
        <f t="shared" si="334"/>
        <v/>
      </c>
      <c r="N247" s="26" t="str">
        <f t="shared" si="335"/>
        <v/>
      </c>
      <c r="O247" s="26" t="str">
        <f t="shared" si="336"/>
        <v/>
      </c>
      <c r="P247" s="26" t="str">
        <f t="shared" si="337"/>
        <v/>
      </c>
      <c r="Q247" s="26">
        <f t="shared" si="338"/>
        <v>0</v>
      </c>
      <c r="R247" s="26">
        <f t="shared" si="339"/>
        <v>0</v>
      </c>
      <c r="S247" s="26">
        <f t="shared" si="340"/>
        <v>0</v>
      </c>
      <c r="T247" s="26" t="str">
        <f t="shared" si="341"/>
        <v/>
      </c>
      <c r="U247" s="26" t="str">
        <f t="shared" si="342"/>
        <v/>
      </c>
      <c r="V247" s="26" t="str">
        <f t="shared" si="343"/>
        <v/>
      </c>
      <c r="W247" s="27" t="str">
        <f t="shared" si="344"/>
        <v/>
      </c>
      <c r="X247" s="27" t="str">
        <f t="shared" si="345"/>
        <v/>
      </c>
      <c r="Y247" s="28" t="str">
        <f t="shared" si="346"/>
        <v/>
      </c>
      <c r="Z247" s="27" t="str">
        <f t="shared" si="347"/>
        <v/>
      </c>
      <c r="AA247" s="27" t="str">
        <f t="shared" si="348"/>
        <v/>
      </c>
      <c r="AB247" s="27" t="str">
        <f t="shared" si="349"/>
        <v/>
      </c>
      <c r="AC247" s="27" t="str">
        <f t="shared" si="350"/>
        <v/>
      </c>
      <c r="AD247" s="29" t="str">
        <f t="shared" si="351"/>
        <v/>
      </c>
      <c r="AE247" s="30" t="str">
        <f t="shared" si="352"/>
        <v/>
      </c>
      <c r="AG247" s="4"/>
      <c r="AH247" s="31" t="e">
        <f t="shared" si="353"/>
        <v>#VALUE!</v>
      </c>
      <c r="AI247" s="31" t="e">
        <f t="shared" si="354"/>
        <v>#VALUE!</v>
      </c>
      <c r="AJ247" s="31" t="e">
        <f t="shared" si="355"/>
        <v>#VALUE!</v>
      </c>
      <c r="AK247" s="31" t="e">
        <f t="shared" si="356"/>
        <v>#VALUE!</v>
      </c>
      <c r="AL247" s="31" t="e">
        <f t="shared" si="357"/>
        <v>#VALUE!</v>
      </c>
      <c r="AM247" s="31" t="e">
        <f t="shared" si="358"/>
        <v>#VALUE!</v>
      </c>
      <c r="AN247" s="32" t="str">
        <f t="shared" si="359"/>
        <v/>
      </c>
      <c r="AO247" s="27" t="str">
        <f t="shared" si="360"/>
        <v/>
      </c>
      <c r="AP247" s="27" t="str">
        <f t="shared" si="361"/>
        <v/>
      </c>
      <c r="AQ247" s="27">
        <f t="shared" si="362"/>
        <v>0</v>
      </c>
      <c r="AR247" s="27">
        <f t="shared" si="363"/>
        <v>0</v>
      </c>
      <c r="AS247" s="33">
        <f t="shared" si="364"/>
        <v>0</v>
      </c>
    </row>
    <row r="248" spans="2:45" hidden="1" x14ac:dyDescent="0.25">
      <c r="B248" s="34">
        <f t="shared" ref="B248:F248" si="377">IF(B247="","",B247)</f>
        <v>11740</v>
      </c>
      <c r="C248" s="26">
        <f t="shared" si="377"/>
        <v>20</v>
      </c>
      <c r="D248" s="26">
        <f t="shared" si="377"/>
        <v>-500</v>
      </c>
      <c r="E248" s="26">
        <f t="shared" si="377"/>
        <v>0</v>
      </c>
      <c r="F248" s="26">
        <f t="shared" si="377"/>
        <v>-650</v>
      </c>
      <c r="G248" s="24"/>
      <c r="H248" s="24"/>
      <c r="I248" s="24"/>
      <c r="J248" s="24"/>
      <c r="K248" s="24"/>
      <c r="L248" s="24"/>
      <c r="M248" s="44" t="str">
        <f t="shared" si="334"/>
        <v/>
      </c>
      <c r="N248" s="26" t="str">
        <f t="shared" si="335"/>
        <v/>
      </c>
      <c r="O248" s="26" t="str">
        <f t="shared" si="336"/>
        <v/>
      </c>
      <c r="P248" s="26" t="str">
        <f t="shared" si="337"/>
        <v/>
      </c>
      <c r="Q248" s="26">
        <f t="shared" si="338"/>
        <v>0</v>
      </c>
      <c r="R248" s="26">
        <f t="shared" si="339"/>
        <v>0</v>
      </c>
      <c r="S248" s="26">
        <f t="shared" si="340"/>
        <v>0</v>
      </c>
      <c r="T248" s="26" t="str">
        <f t="shared" si="341"/>
        <v/>
      </c>
      <c r="U248" s="26" t="str">
        <f t="shared" si="342"/>
        <v/>
      </c>
      <c r="V248" s="26" t="str">
        <f t="shared" si="343"/>
        <v/>
      </c>
      <c r="W248" s="27" t="str">
        <f t="shared" si="344"/>
        <v/>
      </c>
      <c r="X248" s="27" t="str">
        <f t="shared" si="345"/>
        <v/>
      </c>
      <c r="Y248" s="28" t="str">
        <f t="shared" si="346"/>
        <v/>
      </c>
      <c r="Z248" s="27" t="str">
        <f t="shared" si="347"/>
        <v/>
      </c>
      <c r="AA248" s="27" t="str">
        <f t="shared" si="348"/>
        <v/>
      </c>
      <c r="AB248" s="27" t="str">
        <f t="shared" si="349"/>
        <v/>
      </c>
      <c r="AC248" s="27" t="str">
        <f t="shared" si="350"/>
        <v/>
      </c>
      <c r="AD248" s="29" t="str">
        <f t="shared" si="351"/>
        <v/>
      </c>
      <c r="AE248" s="30" t="str">
        <f t="shared" si="352"/>
        <v/>
      </c>
      <c r="AG248" s="4"/>
      <c r="AH248" s="31" t="e">
        <f t="shared" si="353"/>
        <v>#VALUE!</v>
      </c>
      <c r="AI248" s="31" t="e">
        <f t="shared" si="354"/>
        <v>#VALUE!</v>
      </c>
      <c r="AJ248" s="31" t="e">
        <f t="shared" si="355"/>
        <v>#VALUE!</v>
      </c>
      <c r="AK248" s="31" t="e">
        <f t="shared" si="356"/>
        <v>#VALUE!</v>
      </c>
      <c r="AL248" s="31" t="e">
        <f t="shared" si="357"/>
        <v>#VALUE!</v>
      </c>
      <c r="AM248" s="31" t="e">
        <f t="shared" si="358"/>
        <v>#VALUE!</v>
      </c>
      <c r="AN248" s="32" t="str">
        <f t="shared" si="359"/>
        <v/>
      </c>
      <c r="AO248" s="27" t="str">
        <f t="shared" si="360"/>
        <v/>
      </c>
      <c r="AP248" s="27" t="str">
        <f t="shared" si="361"/>
        <v/>
      </c>
      <c r="AQ248" s="27">
        <f t="shared" si="362"/>
        <v>0</v>
      </c>
      <c r="AR248" s="27">
        <f t="shared" si="363"/>
        <v>0</v>
      </c>
      <c r="AS248" s="33">
        <f t="shared" si="364"/>
        <v>0</v>
      </c>
    </row>
    <row r="249" spans="2:45" hidden="1" x14ac:dyDescent="0.25">
      <c r="B249" s="34">
        <f>IF(B248="","",B248)</f>
        <v>11740</v>
      </c>
      <c r="C249" s="26">
        <f t="shared" ref="C249:F249" si="378">IF(C248="","",C248)</f>
        <v>20</v>
      </c>
      <c r="D249" s="26">
        <f t="shared" si="378"/>
        <v>-500</v>
      </c>
      <c r="E249" s="26">
        <f t="shared" si="378"/>
        <v>0</v>
      </c>
      <c r="F249" s="26">
        <f t="shared" si="378"/>
        <v>-650</v>
      </c>
      <c r="G249" s="24"/>
      <c r="H249" s="24"/>
      <c r="I249" s="24"/>
      <c r="J249" s="24"/>
      <c r="K249" s="24"/>
      <c r="L249" s="24"/>
      <c r="M249" s="44" t="str">
        <f t="shared" si="334"/>
        <v/>
      </c>
      <c r="N249" s="26" t="str">
        <f t="shared" si="335"/>
        <v/>
      </c>
      <c r="O249" s="26" t="str">
        <f t="shared" si="336"/>
        <v/>
      </c>
      <c r="P249" s="26" t="str">
        <f t="shared" si="337"/>
        <v/>
      </c>
      <c r="Q249" s="26">
        <f t="shared" si="338"/>
        <v>0</v>
      </c>
      <c r="R249" s="26">
        <f t="shared" si="339"/>
        <v>0</v>
      </c>
      <c r="S249" s="26">
        <f t="shared" si="340"/>
        <v>0</v>
      </c>
      <c r="T249" s="26" t="str">
        <f t="shared" si="341"/>
        <v/>
      </c>
      <c r="U249" s="26" t="str">
        <f t="shared" si="342"/>
        <v/>
      </c>
      <c r="V249" s="26" t="str">
        <f t="shared" si="343"/>
        <v/>
      </c>
      <c r="W249" s="27" t="str">
        <f t="shared" si="344"/>
        <v/>
      </c>
      <c r="X249" s="27" t="str">
        <f t="shared" si="345"/>
        <v/>
      </c>
      <c r="Y249" s="28" t="str">
        <f t="shared" si="346"/>
        <v/>
      </c>
      <c r="Z249" s="27" t="str">
        <f t="shared" si="347"/>
        <v/>
      </c>
      <c r="AA249" s="27" t="str">
        <f t="shared" si="348"/>
        <v/>
      </c>
      <c r="AB249" s="27" t="str">
        <f t="shared" si="349"/>
        <v/>
      </c>
      <c r="AC249" s="27" t="str">
        <f t="shared" si="350"/>
        <v/>
      </c>
      <c r="AD249" s="29" t="str">
        <f t="shared" si="351"/>
        <v/>
      </c>
      <c r="AE249" s="30" t="str">
        <f t="shared" si="352"/>
        <v/>
      </c>
      <c r="AG249" s="4"/>
      <c r="AH249" s="31" t="e">
        <f t="shared" si="353"/>
        <v>#VALUE!</v>
      </c>
      <c r="AI249" s="31" t="e">
        <f t="shared" si="354"/>
        <v>#VALUE!</v>
      </c>
      <c r="AJ249" s="31" t="e">
        <f t="shared" si="355"/>
        <v>#VALUE!</v>
      </c>
      <c r="AK249" s="31" t="e">
        <f t="shared" si="356"/>
        <v>#VALUE!</v>
      </c>
      <c r="AL249" s="31" t="e">
        <f t="shared" si="357"/>
        <v>#VALUE!</v>
      </c>
      <c r="AM249" s="31" t="e">
        <f t="shared" si="358"/>
        <v>#VALUE!</v>
      </c>
      <c r="AN249" s="32" t="str">
        <f t="shared" si="359"/>
        <v/>
      </c>
      <c r="AO249" s="27" t="str">
        <f t="shared" si="360"/>
        <v/>
      </c>
      <c r="AP249" s="27" t="str">
        <f t="shared" si="361"/>
        <v/>
      </c>
      <c r="AQ249" s="27">
        <f t="shared" si="362"/>
        <v>0</v>
      </c>
      <c r="AR249" s="27">
        <f t="shared" si="363"/>
        <v>0</v>
      </c>
      <c r="AS249" s="33">
        <f t="shared" si="364"/>
        <v>0</v>
      </c>
    </row>
    <row r="250" spans="2:45" hidden="1" x14ac:dyDescent="0.25">
      <c r="B250" s="34">
        <f t="shared" ref="B250:F250" si="379">IF(B249="","",B249)</f>
        <v>11740</v>
      </c>
      <c r="C250" s="26">
        <f t="shared" si="379"/>
        <v>20</v>
      </c>
      <c r="D250" s="26">
        <f t="shared" si="379"/>
        <v>-500</v>
      </c>
      <c r="E250" s="26">
        <f t="shared" si="379"/>
        <v>0</v>
      </c>
      <c r="F250" s="26">
        <f t="shared" si="379"/>
        <v>-650</v>
      </c>
      <c r="G250" s="24"/>
      <c r="H250" s="24"/>
      <c r="I250" s="24"/>
      <c r="J250" s="24"/>
      <c r="K250" s="24"/>
      <c r="L250" s="24"/>
      <c r="M250" s="44" t="str">
        <f t="shared" si="334"/>
        <v/>
      </c>
      <c r="N250" s="26" t="str">
        <f t="shared" si="335"/>
        <v/>
      </c>
      <c r="O250" s="26" t="str">
        <f t="shared" si="336"/>
        <v/>
      </c>
      <c r="P250" s="26" t="str">
        <f t="shared" si="337"/>
        <v/>
      </c>
      <c r="Q250" s="26">
        <f t="shared" si="338"/>
        <v>0</v>
      </c>
      <c r="R250" s="26">
        <f t="shared" si="339"/>
        <v>0</v>
      </c>
      <c r="S250" s="26">
        <f t="shared" si="340"/>
        <v>0</v>
      </c>
      <c r="T250" s="26" t="str">
        <f t="shared" si="341"/>
        <v/>
      </c>
      <c r="U250" s="26" t="str">
        <f t="shared" si="342"/>
        <v/>
      </c>
      <c r="V250" s="26" t="str">
        <f t="shared" si="343"/>
        <v/>
      </c>
      <c r="W250" s="27" t="str">
        <f t="shared" si="344"/>
        <v/>
      </c>
      <c r="X250" s="27" t="str">
        <f t="shared" si="345"/>
        <v/>
      </c>
      <c r="Y250" s="28" t="str">
        <f t="shared" si="346"/>
        <v/>
      </c>
      <c r="Z250" s="27" t="str">
        <f t="shared" si="347"/>
        <v/>
      </c>
      <c r="AA250" s="27" t="str">
        <f t="shared" si="348"/>
        <v/>
      </c>
      <c r="AB250" s="27" t="str">
        <f t="shared" si="349"/>
        <v/>
      </c>
      <c r="AC250" s="27" t="str">
        <f t="shared" si="350"/>
        <v/>
      </c>
      <c r="AD250" s="29" t="str">
        <f t="shared" si="351"/>
        <v/>
      </c>
      <c r="AE250" s="30" t="str">
        <f t="shared" si="352"/>
        <v/>
      </c>
      <c r="AG250" s="4"/>
      <c r="AH250" s="31" t="e">
        <f t="shared" si="353"/>
        <v>#VALUE!</v>
      </c>
      <c r="AI250" s="31" t="e">
        <f t="shared" si="354"/>
        <v>#VALUE!</v>
      </c>
      <c r="AJ250" s="31" t="e">
        <f t="shared" si="355"/>
        <v>#VALUE!</v>
      </c>
      <c r="AK250" s="31" t="e">
        <f t="shared" si="356"/>
        <v>#VALUE!</v>
      </c>
      <c r="AL250" s="31" t="e">
        <f t="shared" si="357"/>
        <v>#VALUE!</v>
      </c>
      <c r="AM250" s="31" t="e">
        <f t="shared" si="358"/>
        <v>#VALUE!</v>
      </c>
      <c r="AN250" s="32" t="str">
        <f t="shared" si="359"/>
        <v/>
      </c>
      <c r="AO250" s="27" t="str">
        <f t="shared" si="360"/>
        <v/>
      </c>
      <c r="AP250" s="27" t="str">
        <f t="shared" si="361"/>
        <v/>
      </c>
      <c r="AQ250" s="27">
        <f t="shared" si="362"/>
        <v>0</v>
      </c>
      <c r="AR250" s="27">
        <f t="shared" si="363"/>
        <v>0</v>
      </c>
      <c r="AS250" s="33">
        <f t="shared" si="364"/>
        <v>0</v>
      </c>
    </row>
    <row r="251" spans="2:45" hidden="1" x14ac:dyDescent="0.25">
      <c r="B251" s="34">
        <f t="shared" ref="B251:F251" si="380">IF(B250="","",B250)</f>
        <v>11740</v>
      </c>
      <c r="C251" s="26">
        <f t="shared" si="380"/>
        <v>20</v>
      </c>
      <c r="D251" s="26">
        <f t="shared" si="380"/>
        <v>-500</v>
      </c>
      <c r="E251" s="26">
        <f t="shared" si="380"/>
        <v>0</v>
      </c>
      <c r="F251" s="26">
        <f t="shared" si="380"/>
        <v>-650</v>
      </c>
      <c r="G251" s="24"/>
      <c r="H251" s="24"/>
      <c r="I251" s="24"/>
      <c r="J251" s="24"/>
      <c r="K251" s="24"/>
      <c r="L251" s="24"/>
      <c r="M251" s="44" t="str">
        <f t="shared" si="334"/>
        <v/>
      </c>
      <c r="N251" s="26" t="str">
        <f t="shared" si="335"/>
        <v/>
      </c>
      <c r="O251" s="26" t="str">
        <f t="shared" si="336"/>
        <v/>
      </c>
      <c r="P251" s="26" t="str">
        <f t="shared" si="337"/>
        <v/>
      </c>
      <c r="Q251" s="26">
        <f t="shared" si="338"/>
        <v>0</v>
      </c>
      <c r="R251" s="26">
        <f t="shared" si="339"/>
        <v>0</v>
      </c>
      <c r="S251" s="26">
        <f t="shared" si="340"/>
        <v>0</v>
      </c>
      <c r="T251" s="26" t="str">
        <f t="shared" si="341"/>
        <v/>
      </c>
      <c r="U251" s="26" t="str">
        <f t="shared" si="342"/>
        <v/>
      </c>
      <c r="V251" s="26" t="str">
        <f t="shared" si="343"/>
        <v/>
      </c>
      <c r="W251" s="27" t="str">
        <f t="shared" si="344"/>
        <v/>
      </c>
      <c r="X251" s="27" t="str">
        <f t="shared" si="345"/>
        <v/>
      </c>
      <c r="Y251" s="28" t="str">
        <f t="shared" si="346"/>
        <v/>
      </c>
      <c r="Z251" s="27" t="str">
        <f t="shared" si="347"/>
        <v/>
      </c>
      <c r="AA251" s="27" t="str">
        <f t="shared" si="348"/>
        <v/>
      </c>
      <c r="AB251" s="27" t="str">
        <f t="shared" si="349"/>
        <v/>
      </c>
      <c r="AC251" s="27" t="str">
        <f t="shared" si="350"/>
        <v/>
      </c>
      <c r="AD251" s="29" t="str">
        <f t="shared" si="351"/>
        <v/>
      </c>
      <c r="AE251" s="30" t="str">
        <f t="shared" si="352"/>
        <v/>
      </c>
      <c r="AG251" s="4"/>
      <c r="AH251" s="31" t="e">
        <f t="shared" si="353"/>
        <v>#VALUE!</v>
      </c>
      <c r="AI251" s="31" t="e">
        <f t="shared" si="354"/>
        <v>#VALUE!</v>
      </c>
      <c r="AJ251" s="31" t="e">
        <f t="shared" si="355"/>
        <v>#VALUE!</v>
      </c>
      <c r="AK251" s="31" t="e">
        <f t="shared" si="356"/>
        <v>#VALUE!</v>
      </c>
      <c r="AL251" s="31" t="e">
        <f t="shared" si="357"/>
        <v>#VALUE!</v>
      </c>
      <c r="AM251" s="31" t="e">
        <f t="shared" si="358"/>
        <v>#VALUE!</v>
      </c>
      <c r="AN251" s="32" t="str">
        <f t="shared" si="359"/>
        <v/>
      </c>
      <c r="AO251" s="27" t="str">
        <f t="shared" si="360"/>
        <v/>
      </c>
      <c r="AP251" s="27" t="str">
        <f t="shared" si="361"/>
        <v/>
      </c>
      <c r="AQ251" s="27">
        <f t="shared" si="362"/>
        <v>0</v>
      </c>
      <c r="AR251" s="27">
        <f t="shared" si="363"/>
        <v>0</v>
      </c>
      <c r="AS251" s="33">
        <f t="shared" si="364"/>
        <v>0</v>
      </c>
    </row>
    <row r="252" spans="2:45" hidden="1" x14ac:dyDescent="0.25">
      <c r="B252" s="34">
        <f t="shared" ref="B252:F252" si="381">IF(B251="","",B251)</f>
        <v>11740</v>
      </c>
      <c r="C252" s="26">
        <f t="shared" si="381"/>
        <v>20</v>
      </c>
      <c r="D252" s="26">
        <f t="shared" si="381"/>
        <v>-500</v>
      </c>
      <c r="E252" s="26">
        <f t="shared" si="381"/>
        <v>0</v>
      </c>
      <c r="F252" s="26">
        <f t="shared" si="381"/>
        <v>-650</v>
      </c>
      <c r="G252" s="24"/>
      <c r="H252" s="24"/>
      <c r="I252" s="24"/>
      <c r="J252" s="24"/>
      <c r="K252" s="24"/>
      <c r="L252" s="24"/>
      <c r="M252" s="44" t="str">
        <f t="shared" si="334"/>
        <v/>
      </c>
      <c r="N252" s="26" t="str">
        <f t="shared" si="335"/>
        <v/>
      </c>
      <c r="O252" s="26" t="str">
        <f t="shared" si="336"/>
        <v/>
      </c>
      <c r="P252" s="26" t="str">
        <f t="shared" si="337"/>
        <v/>
      </c>
      <c r="Q252" s="26">
        <f t="shared" si="338"/>
        <v>0</v>
      </c>
      <c r="R252" s="26">
        <f t="shared" si="339"/>
        <v>0</v>
      </c>
      <c r="S252" s="26">
        <f t="shared" si="340"/>
        <v>0</v>
      </c>
      <c r="T252" s="26" t="str">
        <f t="shared" si="341"/>
        <v/>
      </c>
      <c r="U252" s="26" t="str">
        <f t="shared" si="342"/>
        <v/>
      </c>
      <c r="V252" s="26" t="str">
        <f t="shared" si="343"/>
        <v/>
      </c>
      <c r="W252" s="27" t="str">
        <f t="shared" si="344"/>
        <v/>
      </c>
      <c r="X252" s="27" t="str">
        <f t="shared" si="345"/>
        <v/>
      </c>
      <c r="Y252" s="28" t="str">
        <f t="shared" si="346"/>
        <v/>
      </c>
      <c r="Z252" s="27" t="str">
        <f t="shared" si="347"/>
        <v/>
      </c>
      <c r="AA252" s="27" t="str">
        <f t="shared" si="348"/>
        <v/>
      </c>
      <c r="AB252" s="27" t="str">
        <f t="shared" si="349"/>
        <v/>
      </c>
      <c r="AC252" s="27" t="str">
        <f t="shared" si="350"/>
        <v/>
      </c>
      <c r="AD252" s="29" t="str">
        <f t="shared" si="351"/>
        <v/>
      </c>
      <c r="AE252" s="30" t="str">
        <f t="shared" si="352"/>
        <v/>
      </c>
      <c r="AG252" s="4"/>
      <c r="AH252" s="31" t="e">
        <f t="shared" si="353"/>
        <v>#VALUE!</v>
      </c>
      <c r="AI252" s="31" t="e">
        <f t="shared" si="354"/>
        <v>#VALUE!</v>
      </c>
      <c r="AJ252" s="31" t="e">
        <f t="shared" si="355"/>
        <v>#VALUE!</v>
      </c>
      <c r="AK252" s="31" t="e">
        <f t="shared" si="356"/>
        <v>#VALUE!</v>
      </c>
      <c r="AL252" s="31" t="e">
        <f t="shared" si="357"/>
        <v>#VALUE!</v>
      </c>
      <c r="AM252" s="31" t="e">
        <f t="shared" si="358"/>
        <v>#VALUE!</v>
      </c>
      <c r="AN252" s="32" t="str">
        <f t="shared" si="359"/>
        <v/>
      </c>
      <c r="AO252" s="27" t="str">
        <f t="shared" si="360"/>
        <v/>
      </c>
      <c r="AP252" s="27" t="str">
        <f t="shared" si="361"/>
        <v/>
      </c>
      <c r="AQ252" s="27">
        <f t="shared" si="362"/>
        <v>0</v>
      </c>
      <c r="AR252" s="27">
        <f t="shared" si="363"/>
        <v>0</v>
      </c>
      <c r="AS252" s="33">
        <f t="shared" si="364"/>
        <v>0</v>
      </c>
    </row>
    <row r="253" spans="2:45" hidden="1" x14ac:dyDescent="0.25">
      <c r="B253" s="34">
        <f t="shared" ref="B253:F253" si="382">IF(B252="","",B252)</f>
        <v>11740</v>
      </c>
      <c r="C253" s="26">
        <f t="shared" si="382"/>
        <v>20</v>
      </c>
      <c r="D253" s="26">
        <f t="shared" si="382"/>
        <v>-500</v>
      </c>
      <c r="E253" s="26">
        <f t="shared" si="382"/>
        <v>0</v>
      </c>
      <c r="F253" s="26">
        <f t="shared" si="382"/>
        <v>-650</v>
      </c>
      <c r="G253" s="24"/>
      <c r="H253" s="24"/>
      <c r="I253" s="24"/>
      <c r="J253" s="24"/>
      <c r="K253" s="24"/>
      <c r="L253" s="24"/>
      <c r="M253" s="44" t="str">
        <f t="shared" si="334"/>
        <v/>
      </c>
      <c r="N253" s="26" t="str">
        <f t="shared" si="335"/>
        <v/>
      </c>
      <c r="O253" s="26" t="str">
        <f t="shared" si="336"/>
        <v/>
      </c>
      <c r="P253" s="26" t="str">
        <f t="shared" si="337"/>
        <v/>
      </c>
      <c r="Q253" s="26">
        <f t="shared" si="338"/>
        <v>0</v>
      </c>
      <c r="R253" s="26">
        <f t="shared" si="339"/>
        <v>0</v>
      </c>
      <c r="S253" s="26">
        <f t="shared" si="340"/>
        <v>0</v>
      </c>
      <c r="T253" s="26" t="str">
        <f t="shared" si="341"/>
        <v/>
      </c>
      <c r="U253" s="26" t="str">
        <f t="shared" si="342"/>
        <v/>
      </c>
      <c r="V253" s="26" t="str">
        <f t="shared" si="343"/>
        <v/>
      </c>
      <c r="W253" s="27" t="str">
        <f t="shared" si="344"/>
        <v/>
      </c>
      <c r="X253" s="27" t="str">
        <f t="shared" si="345"/>
        <v/>
      </c>
      <c r="Y253" s="28" t="str">
        <f t="shared" si="346"/>
        <v/>
      </c>
      <c r="Z253" s="27" t="str">
        <f t="shared" si="347"/>
        <v/>
      </c>
      <c r="AA253" s="27" t="str">
        <f t="shared" si="348"/>
        <v/>
      </c>
      <c r="AB253" s="27" t="str">
        <f t="shared" si="349"/>
        <v/>
      </c>
      <c r="AC253" s="27" t="str">
        <f t="shared" si="350"/>
        <v/>
      </c>
      <c r="AD253" s="29" t="str">
        <f t="shared" si="351"/>
        <v/>
      </c>
      <c r="AE253" s="30" t="str">
        <f t="shared" si="352"/>
        <v/>
      </c>
      <c r="AG253" s="4"/>
      <c r="AH253" s="31" t="e">
        <f t="shared" si="353"/>
        <v>#VALUE!</v>
      </c>
      <c r="AI253" s="31" t="e">
        <f t="shared" si="354"/>
        <v>#VALUE!</v>
      </c>
      <c r="AJ253" s="31" t="e">
        <f t="shared" si="355"/>
        <v>#VALUE!</v>
      </c>
      <c r="AK253" s="31" t="e">
        <f t="shared" si="356"/>
        <v>#VALUE!</v>
      </c>
      <c r="AL253" s="31" t="e">
        <f t="shared" si="357"/>
        <v>#VALUE!</v>
      </c>
      <c r="AM253" s="31" t="e">
        <f t="shared" si="358"/>
        <v>#VALUE!</v>
      </c>
      <c r="AN253" s="32" t="str">
        <f t="shared" si="359"/>
        <v/>
      </c>
      <c r="AO253" s="27" t="str">
        <f t="shared" si="360"/>
        <v/>
      </c>
      <c r="AP253" s="27" t="str">
        <f t="shared" si="361"/>
        <v/>
      </c>
      <c r="AQ253" s="27">
        <f t="shared" si="362"/>
        <v>0</v>
      </c>
      <c r="AR253" s="27">
        <f t="shared" si="363"/>
        <v>0</v>
      </c>
      <c r="AS253" s="33">
        <f t="shared" si="364"/>
        <v>0</v>
      </c>
    </row>
    <row r="254" spans="2:45" hidden="1" x14ac:dyDescent="0.25">
      <c r="B254" s="34">
        <f t="shared" ref="B254:F254" si="383">IF(B253="","",B253)</f>
        <v>11740</v>
      </c>
      <c r="C254" s="26">
        <f t="shared" si="383"/>
        <v>20</v>
      </c>
      <c r="D254" s="26">
        <f t="shared" si="383"/>
        <v>-500</v>
      </c>
      <c r="E254" s="26">
        <f t="shared" si="383"/>
        <v>0</v>
      </c>
      <c r="F254" s="26">
        <f t="shared" si="383"/>
        <v>-650</v>
      </c>
      <c r="G254" s="24"/>
      <c r="H254" s="24"/>
      <c r="I254" s="24"/>
      <c r="J254" s="24"/>
      <c r="K254" s="24"/>
      <c r="L254" s="24"/>
      <c r="M254" s="44" t="str">
        <f t="shared" si="334"/>
        <v/>
      </c>
      <c r="N254" s="26" t="str">
        <f t="shared" si="335"/>
        <v/>
      </c>
      <c r="O254" s="26" t="str">
        <f t="shared" si="336"/>
        <v/>
      </c>
      <c r="P254" s="26" t="str">
        <f t="shared" si="337"/>
        <v/>
      </c>
      <c r="Q254" s="26">
        <f t="shared" si="338"/>
        <v>0</v>
      </c>
      <c r="R254" s="26">
        <f t="shared" si="339"/>
        <v>0</v>
      </c>
      <c r="S254" s="26">
        <f t="shared" si="340"/>
        <v>0</v>
      </c>
      <c r="T254" s="26" t="str">
        <f t="shared" si="341"/>
        <v/>
      </c>
      <c r="U254" s="26" t="str">
        <f t="shared" si="342"/>
        <v/>
      </c>
      <c r="V254" s="26" t="str">
        <f t="shared" si="343"/>
        <v/>
      </c>
      <c r="W254" s="27" t="str">
        <f t="shared" si="344"/>
        <v/>
      </c>
      <c r="X254" s="27" t="str">
        <f t="shared" si="345"/>
        <v/>
      </c>
      <c r="Y254" s="28" t="str">
        <f t="shared" si="346"/>
        <v/>
      </c>
      <c r="Z254" s="27" t="str">
        <f t="shared" si="347"/>
        <v/>
      </c>
      <c r="AA254" s="27" t="str">
        <f t="shared" si="348"/>
        <v/>
      </c>
      <c r="AB254" s="27" t="str">
        <f t="shared" si="349"/>
        <v/>
      </c>
      <c r="AC254" s="27" t="str">
        <f t="shared" si="350"/>
        <v/>
      </c>
      <c r="AD254" s="29" t="str">
        <f t="shared" si="351"/>
        <v/>
      </c>
      <c r="AE254" s="30" t="str">
        <f t="shared" si="352"/>
        <v/>
      </c>
      <c r="AG254" s="4"/>
      <c r="AH254" s="31" t="e">
        <f t="shared" si="353"/>
        <v>#VALUE!</v>
      </c>
      <c r="AI254" s="31" t="e">
        <f t="shared" si="354"/>
        <v>#VALUE!</v>
      </c>
      <c r="AJ254" s="31" t="e">
        <f t="shared" si="355"/>
        <v>#VALUE!</v>
      </c>
      <c r="AK254" s="31" t="e">
        <f t="shared" si="356"/>
        <v>#VALUE!</v>
      </c>
      <c r="AL254" s="31" t="e">
        <f t="shared" si="357"/>
        <v>#VALUE!</v>
      </c>
      <c r="AM254" s="31" t="e">
        <f t="shared" si="358"/>
        <v>#VALUE!</v>
      </c>
      <c r="AN254" s="32" t="str">
        <f t="shared" si="359"/>
        <v/>
      </c>
      <c r="AO254" s="27" t="str">
        <f t="shared" si="360"/>
        <v/>
      </c>
      <c r="AP254" s="27" t="str">
        <f t="shared" si="361"/>
        <v/>
      </c>
      <c r="AQ254" s="27">
        <f t="shared" si="362"/>
        <v>0</v>
      </c>
      <c r="AR254" s="27">
        <f t="shared" si="363"/>
        <v>0</v>
      </c>
      <c r="AS254" s="33">
        <f t="shared" si="364"/>
        <v>0</v>
      </c>
    </row>
    <row r="255" spans="2:45" hidden="1" x14ac:dyDescent="0.25">
      <c r="B255" s="34">
        <f t="shared" ref="B255:F255" si="384">IF(B254="","",B254)</f>
        <v>11740</v>
      </c>
      <c r="C255" s="26">
        <f t="shared" si="384"/>
        <v>20</v>
      </c>
      <c r="D255" s="26">
        <f t="shared" si="384"/>
        <v>-500</v>
      </c>
      <c r="E255" s="26">
        <f t="shared" si="384"/>
        <v>0</v>
      </c>
      <c r="F255" s="26">
        <f t="shared" si="384"/>
        <v>-650</v>
      </c>
      <c r="G255" s="24"/>
      <c r="H255" s="24"/>
      <c r="I255" s="24"/>
      <c r="J255" s="24"/>
      <c r="K255" s="24"/>
      <c r="L255" s="24"/>
      <c r="M255" s="44" t="str">
        <f t="shared" si="334"/>
        <v/>
      </c>
      <c r="N255" s="26" t="str">
        <f t="shared" si="335"/>
        <v/>
      </c>
      <c r="O255" s="26" t="str">
        <f t="shared" si="336"/>
        <v/>
      </c>
      <c r="P255" s="26" t="str">
        <f t="shared" si="337"/>
        <v/>
      </c>
      <c r="Q255" s="26">
        <f t="shared" si="338"/>
        <v>0</v>
      </c>
      <c r="R255" s="26">
        <f t="shared" si="339"/>
        <v>0</v>
      </c>
      <c r="S255" s="26">
        <f t="shared" si="340"/>
        <v>0</v>
      </c>
      <c r="T255" s="26" t="str">
        <f t="shared" si="341"/>
        <v/>
      </c>
      <c r="U255" s="26" t="str">
        <f t="shared" si="342"/>
        <v/>
      </c>
      <c r="V255" s="26" t="str">
        <f t="shared" si="343"/>
        <v/>
      </c>
      <c r="W255" s="27" t="str">
        <f t="shared" si="344"/>
        <v/>
      </c>
      <c r="X255" s="27" t="str">
        <f t="shared" si="345"/>
        <v/>
      </c>
      <c r="Y255" s="28" t="str">
        <f t="shared" si="346"/>
        <v/>
      </c>
      <c r="Z255" s="27" t="str">
        <f t="shared" si="347"/>
        <v/>
      </c>
      <c r="AA255" s="27" t="str">
        <f t="shared" si="348"/>
        <v/>
      </c>
      <c r="AB255" s="27" t="str">
        <f t="shared" si="349"/>
        <v/>
      </c>
      <c r="AC255" s="27" t="str">
        <f t="shared" si="350"/>
        <v/>
      </c>
      <c r="AD255" s="29" t="str">
        <f t="shared" si="351"/>
        <v/>
      </c>
      <c r="AE255" s="30" t="str">
        <f t="shared" si="352"/>
        <v/>
      </c>
      <c r="AG255" s="4"/>
      <c r="AH255" s="31" t="e">
        <f t="shared" si="353"/>
        <v>#VALUE!</v>
      </c>
      <c r="AI255" s="31" t="e">
        <f t="shared" si="354"/>
        <v>#VALUE!</v>
      </c>
      <c r="AJ255" s="31" t="e">
        <f t="shared" si="355"/>
        <v>#VALUE!</v>
      </c>
      <c r="AK255" s="31" t="e">
        <f t="shared" si="356"/>
        <v>#VALUE!</v>
      </c>
      <c r="AL255" s="31" t="e">
        <f t="shared" si="357"/>
        <v>#VALUE!</v>
      </c>
      <c r="AM255" s="31" t="e">
        <f t="shared" si="358"/>
        <v>#VALUE!</v>
      </c>
      <c r="AN255" s="32" t="str">
        <f t="shared" si="359"/>
        <v/>
      </c>
      <c r="AO255" s="27" t="str">
        <f t="shared" si="360"/>
        <v/>
      </c>
      <c r="AP255" s="27" t="str">
        <f t="shared" si="361"/>
        <v/>
      </c>
      <c r="AQ255" s="27">
        <f t="shared" si="362"/>
        <v>0</v>
      </c>
      <c r="AR255" s="27">
        <f t="shared" si="363"/>
        <v>0</v>
      </c>
      <c r="AS255" s="33">
        <f t="shared" si="364"/>
        <v>0</v>
      </c>
    </row>
    <row r="256" spans="2:45" hidden="1" x14ac:dyDescent="0.25">
      <c r="B256" s="34">
        <f t="shared" ref="B256:F256" si="385">IF(B255="","",B255)</f>
        <v>11740</v>
      </c>
      <c r="C256" s="26">
        <f t="shared" si="385"/>
        <v>20</v>
      </c>
      <c r="D256" s="26">
        <f t="shared" si="385"/>
        <v>-500</v>
      </c>
      <c r="E256" s="26">
        <f t="shared" si="385"/>
        <v>0</v>
      </c>
      <c r="F256" s="26">
        <f t="shared" si="385"/>
        <v>-650</v>
      </c>
      <c r="G256" s="24"/>
      <c r="H256" s="24"/>
      <c r="I256" s="24"/>
      <c r="J256" s="24"/>
      <c r="K256" s="24"/>
      <c r="L256" s="24"/>
      <c r="M256" s="44" t="str">
        <f t="shared" si="334"/>
        <v/>
      </c>
      <c r="N256" s="26" t="str">
        <f t="shared" si="335"/>
        <v/>
      </c>
      <c r="O256" s="26" t="str">
        <f t="shared" si="336"/>
        <v/>
      </c>
      <c r="P256" s="26" t="str">
        <f t="shared" si="337"/>
        <v/>
      </c>
      <c r="Q256" s="26">
        <f t="shared" si="338"/>
        <v>0</v>
      </c>
      <c r="R256" s="26">
        <f t="shared" si="339"/>
        <v>0</v>
      </c>
      <c r="S256" s="26">
        <f t="shared" si="340"/>
        <v>0</v>
      </c>
      <c r="T256" s="26" t="str">
        <f t="shared" si="341"/>
        <v/>
      </c>
      <c r="U256" s="26" t="str">
        <f t="shared" si="342"/>
        <v/>
      </c>
      <c r="V256" s="26" t="str">
        <f t="shared" si="343"/>
        <v/>
      </c>
      <c r="W256" s="27" t="str">
        <f t="shared" si="344"/>
        <v/>
      </c>
      <c r="X256" s="27" t="str">
        <f t="shared" si="345"/>
        <v/>
      </c>
      <c r="Y256" s="28" t="str">
        <f t="shared" si="346"/>
        <v/>
      </c>
      <c r="Z256" s="27" t="str">
        <f t="shared" si="347"/>
        <v/>
      </c>
      <c r="AA256" s="27" t="str">
        <f t="shared" si="348"/>
        <v/>
      </c>
      <c r="AB256" s="27" t="str">
        <f t="shared" si="349"/>
        <v/>
      </c>
      <c r="AC256" s="27" t="str">
        <f t="shared" si="350"/>
        <v/>
      </c>
      <c r="AD256" s="29" t="str">
        <f t="shared" si="351"/>
        <v/>
      </c>
      <c r="AE256" s="30" t="str">
        <f t="shared" si="352"/>
        <v/>
      </c>
      <c r="AG256" s="4"/>
      <c r="AH256" s="31" t="e">
        <f t="shared" si="353"/>
        <v>#VALUE!</v>
      </c>
      <c r="AI256" s="31" t="e">
        <f t="shared" si="354"/>
        <v>#VALUE!</v>
      </c>
      <c r="AJ256" s="31" t="e">
        <f t="shared" si="355"/>
        <v>#VALUE!</v>
      </c>
      <c r="AK256" s="31" t="e">
        <f t="shared" si="356"/>
        <v>#VALUE!</v>
      </c>
      <c r="AL256" s="31" t="e">
        <f t="shared" si="357"/>
        <v>#VALUE!</v>
      </c>
      <c r="AM256" s="31" t="e">
        <f t="shared" si="358"/>
        <v>#VALUE!</v>
      </c>
      <c r="AN256" s="32" t="str">
        <f t="shared" si="359"/>
        <v/>
      </c>
      <c r="AO256" s="27" t="str">
        <f t="shared" si="360"/>
        <v/>
      </c>
      <c r="AP256" s="27" t="str">
        <f t="shared" si="361"/>
        <v/>
      </c>
      <c r="AQ256" s="27">
        <f t="shared" si="362"/>
        <v>0</v>
      </c>
      <c r="AR256" s="27">
        <f t="shared" si="363"/>
        <v>0</v>
      </c>
      <c r="AS256" s="33">
        <f t="shared" si="364"/>
        <v>0</v>
      </c>
    </row>
    <row r="257" spans="2:45" hidden="1" x14ac:dyDescent="0.25">
      <c r="B257" s="34">
        <f t="shared" ref="B257:F257" si="386">IF(B256="","",B256)</f>
        <v>11740</v>
      </c>
      <c r="C257" s="26">
        <f t="shared" si="386"/>
        <v>20</v>
      </c>
      <c r="D257" s="26">
        <f t="shared" si="386"/>
        <v>-500</v>
      </c>
      <c r="E257" s="26">
        <f t="shared" si="386"/>
        <v>0</v>
      </c>
      <c r="F257" s="26">
        <f t="shared" si="386"/>
        <v>-650</v>
      </c>
      <c r="G257" s="24"/>
      <c r="H257" s="24"/>
      <c r="I257" s="24"/>
      <c r="J257" s="24"/>
      <c r="K257" s="24"/>
      <c r="L257" s="24"/>
      <c r="M257" s="44" t="str">
        <f t="shared" si="334"/>
        <v/>
      </c>
      <c r="N257" s="26" t="str">
        <f t="shared" si="335"/>
        <v/>
      </c>
      <c r="O257" s="26" t="str">
        <f t="shared" si="336"/>
        <v/>
      </c>
      <c r="P257" s="26" t="str">
        <f t="shared" si="337"/>
        <v/>
      </c>
      <c r="Q257" s="26">
        <f t="shared" si="338"/>
        <v>0</v>
      </c>
      <c r="R257" s="26">
        <f t="shared" si="339"/>
        <v>0</v>
      </c>
      <c r="S257" s="26">
        <f t="shared" si="340"/>
        <v>0</v>
      </c>
      <c r="T257" s="26" t="str">
        <f t="shared" si="341"/>
        <v/>
      </c>
      <c r="U257" s="26" t="str">
        <f t="shared" si="342"/>
        <v/>
      </c>
      <c r="V257" s="26" t="str">
        <f t="shared" si="343"/>
        <v/>
      </c>
      <c r="W257" s="27" t="str">
        <f t="shared" si="344"/>
        <v/>
      </c>
      <c r="X257" s="27" t="str">
        <f t="shared" si="345"/>
        <v/>
      </c>
      <c r="Y257" s="28" t="str">
        <f t="shared" si="346"/>
        <v/>
      </c>
      <c r="Z257" s="27" t="str">
        <f t="shared" si="347"/>
        <v/>
      </c>
      <c r="AA257" s="27" t="str">
        <f t="shared" si="348"/>
        <v/>
      </c>
      <c r="AB257" s="27" t="str">
        <f t="shared" si="349"/>
        <v/>
      </c>
      <c r="AC257" s="27" t="str">
        <f t="shared" si="350"/>
        <v/>
      </c>
      <c r="AD257" s="29" t="str">
        <f t="shared" si="351"/>
        <v/>
      </c>
      <c r="AE257" s="30" t="str">
        <f t="shared" si="352"/>
        <v/>
      </c>
      <c r="AG257" s="4"/>
      <c r="AH257" s="31" t="e">
        <f t="shared" si="353"/>
        <v>#VALUE!</v>
      </c>
      <c r="AI257" s="31" t="e">
        <f t="shared" si="354"/>
        <v>#VALUE!</v>
      </c>
      <c r="AJ257" s="31" t="e">
        <f t="shared" si="355"/>
        <v>#VALUE!</v>
      </c>
      <c r="AK257" s="31" t="e">
        <f t="shared" si="356"/>
        <v>#VALUE!</v>
      </c>
      <c r="AL257" s="31" t="e">
        <f t="shared" si="357"/>
        <v>#VALUE!</v>
      </c>
      <c r="AM257" s="31" t="e">
        <f t="shared" si="358"/>
        <v>#VALUE!</v>
      </c>
      <c r="AN257" s="32" t="str">
        <f t="shared" si="359"/>
        <v/>
      </c>
      <c r="AO257" s="27" t="str">
        <f t="shared" si="360"/>
        <v/>
      </c>
      <c r="AP257" s="27" t="str">
        <f t="shared" si="361"/>
        <v/>
      </c>
      <c r="AQ257" s="27">
        <f t="shared" si="362"/>
        <v>0</v>
      </c>
      <c r="AR257" s="27">
        <f t="shared" si="363"/>
        <v>0</v>
      </c>
      <c r="AS257" s="33">
        <f t="shared" si="364"/>
        <v>0</v>
      </c>
    </row>
    <row r="258" spans="2:45" hidden="1" x14ac:dyDescent="0.25">
      <c r="B258" s="34">
        <f t="shared" ref="B258:F258" si="387">IF(B257="","",B257)</f>
        <v>11740</v>
      </c>
      <c r="C258" s="26">
        <f t="shared" si="387"/>
        <v>20</v>
      </c>
      <c r="D258" s="26">
        <f t="shared" si="387"/>
        <v>-500</v>
      </c>
      <c r="E258" s="26">
        <f t="shared" si="387"/>
        <v>0</v>
      </c>
      <c r="F258" s="26">
        <f t="shared" si="387"/>
        <v>-650</v>
      </c>
      <c r="G258" s="24"/>
      <c r="H258" s="24"/>
      <c r="I258" s="24"/>
      <c r="J258" s="24"/>
      <c r="K258" s="24"/>
      <c r="L258" s="24"/>
      <c r="M258" s="44" t="str">
        <f t="shared" si="334"/>
        <v/>
      </c>
      <c r="N258" s="26" t="str">
        <f t="shared" si="335"/>
        <v/>
      </c>
      <c r="O258" s="26" t="str">
        <f t="shared" si="336"/>
        <v/>
      </c>
      <c r="P258" s="26" t="str">
        <f t="shared" si="337"/>
        <v/>
      </c>
      <c r="Q258" s="26">
        <f t="shared" si="338"/>
        <v>0</v>
      </c>
      <c r="R258" s="26">
        <f t="shared" si="339"/>
        <v>0</v>
      </c>
      <c r="S258" s="26">
        <f t="shared" si="340"/>
        <v>0</v>
      </c>
      <c r="T258" s="26" t="str">
        <f t="shared" si="341"/>
        <v/>
      </c>
      <c r="U258" s="26" t="str">
        <f t="shared" si="342"/>
        <v/>
      </c>
      <c r="V258" s="26" t="str">
        <f t="shared" si="343"/>
        <v/>
      </c>
      <c r="W258" s="27" t="str">
        <f t="shared" si="344"/>
        <v/>
      </c>
      <c r="X258" s="27" t="str">
        <f t="shared" si="345"/>
        <v/>
      </c>
      <c r="Y258" s="28" t="str">
        <f t="shared" si="346"/>
        <v/>
      </c>
      <c r="Z258" s="27" t="str">
        <f t="shared" si="347"/>
        <v/>
      </c>
      <c r="AA258" s="27" t="str">
        <f t="shared" si="348"/>
        <v/>
      </c>
      <c r="AB258" s="27" t="str">
        <f t="shared" si="349"/>
        <v/>
      </c>
      <c r="AC258" s="27" t="str">
        <f t="shared" si="350"/>
        <v/>
      </c>
      <c r="AD258" s="29" t="str">
        <f t="shared" si="351"/>
        <v/>
      </c>
      <c r="AE258" s="30" t="str">
        <f t="shared" si="352"/>
        <v/>
      </c>
      <c r="AG258" s="4"/>
      <c r="AH258" s="31" t="e">
        <f t="shared" si="353"/>
        <v>#VALUE!</v>
      </c>
      <c r="AI258" s="31" t="e">
        <f t="shared" si="354"/>
        <v>#VALUE!</v>
      </c>
      <c r="AJ258" s="31" t="e">
        <f t="shared" si="355"/>
        <v>#VALUE!</v>
      </c>
      <c r="AK258" s="31" t="e">
        <f t="shared" si="356"/>
        <v>#VALUE!</v>
      </c>
      <c r="AL258" s="31" t="e">
        <f t="shared" si="357"/>
        <v>#VALUE!</v>
      </c>
      <c r="AM258" s="31" t="e">
        <f t="shared" si="358"/>
        <v>#VALUE!</v>
      </c>
      <c r="AN258" s="32" t="str">
        <f t="shared" si="359"/>
        <v/>
      </c>
      <c r="AO258" s="27" t="str">
        <f t="shared" si="360"/>
        <v/>
      </c>
      <c r="AP258" s="27" t="str">
        <f t="shared" si="361"/>
        <v/>
      </c>
      <c r="AQ258" s="27">
        <f t="shared" si="362"/>
        <v>0</v>
      </c>
      <c r="AR258" s="27">
        <f t="shared" si="363"/>
        <v>0</v>
      </c>
      <c r="AS258" s="33">
        <f t="shared" si="364"/>
        <v>0</v>
      </c>
    </row>
    <row r="259" spans="2:45" hidden="1" x14ac:dyDescent="0.25">
      <c r="B259" s="34">
        <f t="shared" ref="B259:F259" si="388">IF(B258="","",B258)</f>
        <v>11740</v>
      </c>
      <c r="C259" s="26">
        <f t="shared" si="388"/>
        <v>20</v>
      </c>
      <c r="D259" s="26">
        <f t="shared" si="388"/>
        <v>-500</v>
      </c>
      <c r="E259" s="26">
        <f t="shared" si="388"/>
        <v>0</v>
      </c>
      <c r="F259" s="26">
        <f t="shared" si="388"/>
        <v>-650</v>
      </c>
      <c r="G259" s="24"/>
      <c r="H259" s="24"/>
      <c r="I259" s="24"/>
      <c r="J259" s="24"/>
      <c r="K259" s="24"/>
      <c r="L259" s="24"/>
      <c r="M259" s="44" t="str">
        <f t="shared" si="334"/>
        <v/>
      </c>
      <c r="N259" s="26" t="str">
        <f t="shared" si="335"/>
        <v/>
      </c>
      <c r="O259" s="26" t="str">
        <f t="shared" si="336"/>
        <v/>
      </c>
      <c r="P259" s="26" t="str">
        <f t="shared" si="337"/>
        <v/>
      </c>
      <c r="Q259" s="26">
        <f t="shared" si="338"/>
        <v>0</v>
      </c>
      <c r="R259" s="26">
        <f t="shared" si="339"/>
        <v>0</v>
      </c>
      <c r="S259" s="26">
        <f t="shared" si="340"/>
        <v>0</v>
      </c>
      <c r="T259" s="26" t="str">
        <f t="shared" si="341"/>
        <v/>
      </c>
      <c r="U259" s="26" t="str">
        <f t="shared" si="342"/>
        <v/>
      </c>
      <c r="V259" s="26" t="str">
        <f t="shared" si="343"/>
        <v/>
      </c>
      <c r="W259" s="27" t="str">
        <f t="shared" si="344"/>
        <v/>
      </c>
      <c r="X259" s="27" t="str">
        <f t="shared" si="345"/>
        <v/>
      </c>
      <c r="Y259" s="28" t="str">
        <f t="shared" si="346"/>
        <v/>
      </c>
      <c r="Z259" s="27" t="str">
        <f t="shared" si="347"/>
        <v/>
      </c>
      <c r="AA259" s="27" t="str">
        <f t="shared" si="348"/>
        <v/>
      </c>
      <c r="AB259" s="27" t="str">
        <f t="shared" si="349"/>
        <v/>
      </c>
      <c r="AC259" s="27" t="str">
        <f t="shared" si="350"/>
        <v/>
      </c>
      <c r="AD259" s="29" t="str">
        <f t="shared" si="351"/>
        <v/>
      </c>
      <c r="AE259" s="30" t="str">
        <f t="shared" si="352"/>
        <v/>
      </c>
      <c r="AG259" s="4"/>
      <c r="AH259" s="31" t="e">
        <f t="shared" si="353"/>
        <v>#VALUE!</v>
      </c>
      <c r="AI259" s="31" t="e">
        <f t="shared" si="354"/>
        <v>#VALUE!</v>
      </c>
      <c r="AJ259" s="31" t="e">
        <f t="shared" si="355"/>
        <v>#VALUE!</v>
      </c>
      <c r="AK259" s="31" t="e">
        <f t="shared" si="356"/>
        <v>#VALUE!</v>
      </c>
      <c r="AL259" s="31" t="e">
        <f t="shared" si="357"/>
        <v>#VALUE!</v>
      </c>
      <c r="AM259" s="31" t="e">
        <f t="shared" si="358"/>
        <v>#VALUE!</v>
      </c>
      <c r="AN259" s="32" t="str">
        <f t="shared" si="359"/>
        <v/>
      </c>
      <c r="AO259" s="27" t="str">
        <f t="shared" si="360"/>
        <v/>
      </c>
      <c r="AP259" s="27" t="str">
        <f t="shared" si="361"/>
        <v/>
      </c>
      <c r="AQ259" s="27">
        <f t="shared" si="362"/>
        <v>0</v>
      </c>
      <c r="AR259" s="27">
        <f t="shared" si="363"/>
        <v>0</v>
      </c>
      <c r="AS259" s="33">
        <f t="shared" si="364"/>
        <v>0</v>
      </c>
    </row>
    <row r="260" spans="2:45" hidden="1" x14ac:dyDescent="0.25">
      <c r="B260" s="34">
        <f t="shared" ref="B260:F260" si="389">IF(B259="","",B259)</f>
        <v>11740</v>
      </c>
      <c r="C260" s="26">
        <f t="shared" si="389"/>
        <v>20</v>
      </c>
      <c r="D260" s="26">
        <f t="shared" si="389"/>
        <v>-500</v>
      </c>
      <c r="E260" s="26">
        <f t="shared" si="389"/>
        <v>0</v>
      </c>
      <c r="F260" s="26">
        <f t="shared" si="389"/>
        <v>-650</v>
      </c>
      <c r="G260" s="24"/>
      <c r="H260" s="24"/>
      <c r="I260" s="24"/>
      <c r="J260" s="24"/>
      <c r="K260" s="24"/>
      <c r="L260" s="24"/>
      <c r="M260" s="44" t="str">
        <f t="shared" si="334"/>
        <v/>
      </c>
      <c r="N260" s="26" t="str">
        <f t="shared" si="335"/>
        <v/>
      </c>
      <c r="O260" s="26" t="str">
        <f t="shared" si="336"/>
        <v/>
      </c>
      <c r="P260" s="26" t="str">
        <f t="shared" si="337"/>
        <v/>
      </c>
      <c r="Q260" s="26">
        <f t="shared" si="338"/>
        <v>0</v>
      </c>
      <c r="R260" s="26">
        <f t="shared" si="339"/>
        <v>0</v>
      </c>
      <c r="S260" s="26">
        <f t="shared" si="340"/>
        <v>0</v>
      </c>
      <c r="T260" s="26" t="str">
        <f t="shared" si="341"/>
        <v/>
      </c>
      <c r="U260" s="26" t="str">
        <f t="shared" si="342"/>
        <v/>
      </c>
      <c r="V260" s="26" t="str">
        <f t="shared" si="343"/>
        <v/>
      </c>
      <c r="W260" s="27" t="str">
        <f t="shared" si="344"/>
        <v/>
      </c>
      <c r="X260" s="27" t="str">
        <f t="shared" si="345"/>
        <v/>
      </c>
      <c r="Y260" s="28" t="str">
        <f t="shared" si="346"/>
        <v/>
      </c>
      <c r="Z260" s="27" t="str">
        <f t="shared" si="347"/>
        <v/>
      </c>
      <c r="AA260" s="27" t="str">
        <f t="shared" si="348"/>
        <v/>
      </c>
      <c r="AB260" s="27" t="str">
        <f t="shared" si="349"/>
        <v/>
      </c>
      <c r="AC260" s="27" t="str">
        <f t="shared" si="350"/>
        <v/>
      </c>
      <c r="AD260" s="29" t="str">
        <f t="shared" si="351"/>
        <v/>
      </c>
      <c r="AE260" s="30" t="str">
        <f t="shared" si="352"/>
        <v/>
      </c>
      <c r="AG260" s="4"/>
      <c r="AH260" s="31" t="e">
        <f t="shared" si="353"/>
        <v>#VALUE!</v>
      </c>
      <c r="AI260" s="31" t="e">
        <f t="shared" si="354"/>
        <v>#VALUE!</v>
      </c>
      <c r="AJ260" s="31" t="e">
        <f t="shared" si="355"/>
        <v>#VALUE!</v>
      </c>
      <c r="AK260" s="31" t="e">
        <f t="shared" si="356"/>
        <v>#VALUE!</v>
      </c>
      <c r="AL260" s="31" t="e">
        <f t="shared" si="357"/>
        <v>#VALUE!</v>
      </c>
      <c r="AM260" s="31" t="e">
        <f t="shared" si="358"/>
        <v>#VALUE!</v>
      </c>
      <c r="AN260" s="32" t="str">
        <f t="shared" si="359"/>
        <v/>
      </c>
      <c r="AO260" s="27" t="str">
        <f t="shared" si="360"/>
        <v/>
      </c>
      <c r="AP260" s="27" t="str">
        <f t="shared" si="361"/>
        <v/>
      </c>
      <c r="AQ260" s="27">
        <f t="shared" si="362"/>
        <v>0</v>
      </c>
      <c r="AR260" s="27">
        <f t="shared" si="363"/>
        <v>0</v>
      </c>
      <c r="AS260" s="33">
        <f t="shared" si="364"/>
        <v>0</v>
      </c>
    </row>
    <row r="261" spans="2:45" hidden="1" x14ac:dyDescent="0.25">
      <c r="B261" s="34">
        <f t="shared" ref="B261:F261" si="390">IF(B260="","",B260)</f>
        <v>11740</v>
      </c>
      <c r="C261" s="26">
        <f t="shared" si="390"/>
        <v>20</v>
      </c>
      <c r="D261" s="26">
        <f t="shared" si="390"/>
        <v>-500</v>
      </c>
      <c r="E261" s="26">
        <f t="shared" si="390"/>
        <v>0</v>
      </c>
      <c r="F261" s="26">
        <f t="shared" si="390"/>
        <v>-650</v>
      </c>
      <c r="G261" s="24"/>
      <c r="H261" s="24"/>
      <c r="I261" s="24"/>
      <c r="J261" s="24"/>
      <c r="K261" s="24"/>
      <c r="L261" s="24"/>
      <c r="M261" s="44" t="str">
        <f t="shared" si="334"/>
        <v/>
      </c>
      <c r="N261" s="26" t="str">
        <f t="shared" si="335"/>
        <v/>
      </c>
      <c r="O261" s="26" t="str">
        <f t="shared" si="336"/>
        <v/>
      </c>
      <c r="P261" s="26" t="str">
        <f t="shared" si="337"/>
        <v/>
      </c>
      <c r="Q261" s="26">
        <f t="shared" si="338"/>
        <v>0</v>
      </c>
      <c r="R261" s="26">
        <f t="shared" si="339"/>
        <v>0</v>
      </c>
      <c r="S261" s="26">
        <f t="shared" si="340"/>
        <v>0</v>
      </c>
      <c r="T261" s="26" t="str">
        <f t="shared" si="341"/>
        <v/>
      </c>
      <c r="U261" s="26" t="str">
        <f t="shared" si="342"/>
        <v/>
      </c>
      <c r="V261" s="26" t="str">
        <f t="shared" si="343"/>
        <v/>
      </c>
      <c r="W261" s="27" t="str">
        <f t="shared" si="344"/>
        <v/>
      </c>
      <c r="X261" s="27" t="str">
        <f t="shared" si="345"/>
        <v/>
      </c>
      <c r="Y261" s="28" t="str">
        <f t="shared" si="346"/>
        <v/>
      </c>
      <c r="Z261" s="27" t="str">
        <f t="shared" si="347"/>
        <v/>
      </c>
      <c r="AA261" s="27" t="str">
        <f t="shared" si="348"/>
        <v/>
      </c>
      <c r="AB261" s="27" t="str">
        <f t="shared" si="349"/>
        <v/>
      </c>
      <c r="AC261" s="27" t="str">
        <f t="shared" si="350"/>
        <v/>
      </c>
      <c r="AD261" s="29" t="str">
        <f t="shared" si="351"/>
        <v/>
      </c>
      <c r="AE261" s="30" t="str">
        <f t="shared" si="352"/>
        <v/>
      </c>
      <c r="AG261" s="4"/>
      <c r="AH261" s="31" t="e">
        <f t="shared" si="353"/>
        <v>#VALUE!</v>
      </c>
      <c r="AI261" s="31" t="e">
        <f t="shared" si="354"/>
        <v>#VALUE!</v>
      </c>
      <c r="AJ261" s="31" t="e">
        <f t="shared" si="355"/>
        <v>#VALUE!</v>
      </c>
      <c r="AK261" s="31" t="e">
        <f t="shared" si="356"/>
        <v>#VALUE!</v>
      </c>
      <c r="AL261" s="31" t="e">
        <f t="shared" si="357"/>
        <v>#VALUE!</v>
      </c>
      <c r="AM261" s="31" t="e">
        <f t="shared" si="358"/>
        <v>#VALUE!</v>
      </c>
      <c r="AN261" s="32" t="str">
        <f t="shared" si="359"/>
        <v/>
      </c>
      <c r="AO261" s="27" t="str">
        <f t="shared" si="360"/>
        <v/>
      </c>
      <c r="AP261" s="27" t="str">
        <f t="shared" si="361"/>
        <v/>
      </c>
      <c r="AQ261" s="27">
        <f t="shared" si="362"/>
        <v>0</v>
      </c>
      <c r="AR261" s="27">
        <f t="shared" si="363"/>
        <v>0</v>
      </c>
      <c r="AS261" s="33">
        <f t="shared" si="364"/>
        <v>0</v>
      </c>
    </row>
    <row r="262" spans="2:45" hidden="1" x14ac:dyDescent="0.25">
      <c r="B262" s="34">
        <f>IF(B261="","",B261)</f>
        <v>11740</v>
      </c>
      <c r="C262" s="26">
        <f t="shared" ref="C262:F262" si="391">IF(C261="","",C261)</f>
        <v>20</v>
      </c>
      <c r="D262" s="26">
        <f t="shared" si="391"/>
        <v>-500</v>
      </c>
      <c r="E262" s="26">
        <f t="shared" si="391"/>
        <v>0</v>
      </c>
      <c r="F262" s="26">
        <f t="shared" si="391"/>
        <v>-650</v>
      </c>
      <c r="G262" s="24"/>
      <c r="H262" s="24"/>
      <c r="I262" s="24"/>
      <c r="J262" s="24"/>
      <c r="K262" s="24"/>
      <c r="L262" s="24"/>
      <c r="M262" s="44" t="str">
        <f t="shared" si="334"/>
        <v/>
      </c>
      <c r="N262" s="26" t="str">
        <f t="shared" si="335"/>
        <v/>
      </c>
      <c r="O262" s="26" t="str">
        <f t="shared" si="336"/>
        <v/>
      </c>
      <c r="P262" s="26" t="str">
        <f t="shared" si="337"/>
        <v/>
      </c>
      <c r="Q262" s="26">
        <f t="shared" si="338"/>
        <v>0</v>
      </c>
      <c r="R262" s="26">
        <f t="shared" si="339"/>
        <v>0</v>
      </c>
      <c r="S262" s="26">
        <f t="shared" si="340"/>
        <v>0</v>
      </c>
      <c r="T262" s="26" t="str">
        <f t="shared" si="341"/>
        <v/>
      </c>
      <c r="U262" s="26" t="str">
        <f t="shared" si="342"/>
        <v/>
      </c>
      <c r="V262" s="26" t="str">
        <f t="shared" si="343"/>
        <v/>
      </c>
      <c r="W262" s="27" t="str">
        <f t="shared" si="344"/>
        <v/>
      </c>
      <c r="X262" s="27" t="str">
        <f t="shared" si="345"/>
        <v/>
      </c>
      <c r="Y262" s="28" t="str">
        <f t="shared" si="346"/>
        <v/>
      </c>
      <c r="Z262" s="27" t="str">
        <f t="shared" si="347"/>
        <v/>
      </c>
      <c r="AA262" s="27" t="str">
        <f t="shared" si="348"/>
        <v/>
      </c>
      <c r="AB262" s="27" t="str">
        <f t="shared" si="349"/>
        <v/>
      </c>
      <c r="AC262" s="27" t="str">
        <f t="shared" si="350"/>
        <v/>
      </c>
      <c r="AD262" s="29" t="str">
        <f t="shared" si="351"/>
        <v/>
      </c>
      <c r="AE262" s="30" t="str">
        <f t="shared" si="352"/>
        <v/>
      </c>
      <c r="AG262" s="4"/>
      <c r="AH262" s="31" t="e">
        <f t="shared" si="353"/>
        <v>#VALUE!</v>
      </c>
      <c r="AI262" s="31" t="e">
        <f t="shared" si="354"/>
        <v>#VALUE!</v>
      </c>
      <c r="AJ262" s="31" t="e">
        <f t="shared" si="355"/>
        <v>#VALUE!</v>
      </c>
      <c r="AK262" s="31" t="e">
        <f t="shared" si="356"/>
        <v>#VALUE!</v>
      </c>
      <c r="AL262" s="31" t="e">
        <f t="shared" si="357"/>
        <v>#VALUE!</v>
      </c>
      <c r="AM262" s="31" t="e">
        <f t="shared" si="358"/>
        <v>#VALUE!</v>
      </c>
      <c r="AN262" s="32" t="str">
        <f t="shared" si="359"/>
        <v/>
      </c>
      <c r="AO262" s="27" t="str">
        <f t="shared" si="360"/>
        <v/>
      </c>
      <c r="AP262" s="27" t="str">
        <f t="shared" si="361"/>
        <v/>
      </c>
      <c r="AQ262" s="27">
        <f t="shared" si="362"/>
        <v>0</v>
      </c>
      <c r="AR262" s="27">
        <f t="shared" si="363"/>
        <v>0</v>
      </c>
      <c r="AS262" s="33">
        <f t="shared" si="364"/>
        <v>0</v>
      </c>
    </row>
    <row r="263" spans="2:45" hidden="1" x14ac:dyDescent="0.25">
      <c r="B263" s="34">
        <f t="shared" ref="B263:F263" si="392">IF(B262="","",B262)</f>
        <v>11740</v>
      </c>
      <c r="C263" s="26">
        <f t="shared" si="392"/>
        <v>20</v>
      </c>
      <c r="D263" s="26">
        <f t="shared" si="392"/>
        <v>-500</v>
      </c>
      <c r="E263" s="26">
        <f t="shared" si="392"/>
        <v>0</v>
      </c>
      <c r="F263" s="26">
        <f t="shared" si="392"/>
        <v>-650</v>
      </c>
      <c r="G263" s="24"/>
      <c r="H263" s="24"/>
      <c r="I263" s="24"/>
      <c r="J263" s="24"/>
      <c r="K263" s="24"/>
      <c r="L263" s="24"/>
      <c r="M263" s="44" t="str">
        <f t="shared" si="334"/>
        <v/>
      </c>
      <c r="N263" s="26" t="str">
        <f t="shared" si="335"/>
        <v/>
      </c>
      <c r="O263" s="26" t="str">
        <f t="shared" si="336"/>
        <v/>
      </c>
      <c r="P263" s="26" t="str">
        <f t="shared" si="337"/>
        <v/>
      </c>
      <c r="Q263" s="26">
        <f t="shared" si="338"/>
        <v>0</v>
      </c>
      <c r="R263" s="26">
        <f t="shared" si="339"/>
        <v>0</v>
      </c>
      <c r="S263" s="26">
        <f t="shared" si="340"/>
        <v>0</v>
      </c>
      <c r="T263" s="26" t="str">
        <f t="shared" si="341"/>
        <v/>
      </c>
      <c r="U263" s="26" t="str">
        <f t="shared" si="342"/>
        <v/>
      </c>
      <c r="V263" s="26" t="str">
        <f t="shared" si="343"/>
        <v/>
      </c>
      <c r="W263" s="27" t="str">
        <f t="shared" si="344"/>
        <v/>
      </c>
      <c r="X263" s="27" t="str">
        <f t="shared" si="345"/>
        <v/>
      </c>
      <c r="Y263" s="28" t="str">
        <f t="shared" si="346"/>
        <v/>
      </c>
      <c r="Z263" s="27" t="str">
        <f t="shared" si="347"/>
        <v/>
      </c>
      <c r="AA263" s="27" t="str">
        <f t="shared" si="348"/>
        <v/>
      </c>
      <c r="AB263" s="27" t="str">
        <f t="shared" si="349"/>
        <v/>
      </c>
      <c r="AC263" s="27" t="str">
        <f t="shared" si="350"/>
        <v/>
      </c>
      <c r="AD263" s="29" t="str">
        <f t="shared" si="351"/>
        <v/>
      </c>
      <c r="AE263" s="30" t="str">
        <f t="shared" si="352"/>
        <v/>
      </c>
      <c r="AG263" s="4"/>
      <c r="AH263" s="31" t="e">
        <f t="shared" si="353"/>
        <v>#VALUE!</v>
      </c>
      <c r="AI263" s="31" t="e">
        <f t="shared" si="354"/>
        <v>#VALUE!</v>
      </c>
      <c r="AJ263" s="31" t="e">
        <f t="shared" si="355"/>
        <v>#VALUE!</v>
      </c>
      <c r="AK263" s="31" t="e">
        <f t="shared" si="356"/>
        <v>#VALUE!</v>
      </c>
      <c r="AL263" s="31" t="e">
        <f t="shared" si="357"/>
        <v>#VALUE!</v>
      </c>
      <c r="AM263" s="31" t="e">
        <f t="shared" si="358"/>
        <v>#VALUE!</v>
      </c>
      <c r="AN263" s="32" t="str">
        <f t="shared" si="359"/>
        <v/>
      </c>
      <c r="AO263" s="27" t="str">
        <f t="shared" si="360"/>
        <v/>
      </c>
      <c r="AP263" s="27" t="str">
        <f t="shared" si="361"/>
        <v/>
      </c>
      <c r="AQ263" s="27">
        <f t="shared" si="362"/>
        <v>0</v>
      </c>
      <c r="AR263" s="27">
        <f t="shared" si="363"/>
        <v>0</v>
      </c>
      <c r="AS263" s="33">
        <f t="shared" si="364"/>
        <v>0</v>
      </c>
    </row>
    <row r="264" spans="2:45" hidden="1" x14ac:dyDescent="0.25">
      <c r="B264" s="34">
        <f t="shared" ref="B264:F264" si="393">IF(B263="","",B263)</f>
        <v>11740</v>
      </c>
      <c r="C264" s="26">
        <f t="shared" si="393"/>
        <v>20</v>
      </c>
      <c r="D264" s="26">
        <f t="shared" si="393"/>
        <v>-500</v>
      </c>
      <c r="E264" s="26">
        <f t="shared" si="393"/>
        <v>0</v>
      </c>
      <c r="F264" s="26">
        <f t="shared" si="393"/>
        <v>-650</v>
      </c>
      <c r="G264" s="24"/>
      <c r="H264" s="24"/>
      <c r="I264" s="24"/>
      <c r="J264" s="24"/>
      <c r="K264" s="24"/>
      <c r="L264" s="24"/>
      <c r="M264" s="44" t="str">
        <f t="shared" si="334"/>
        <v/>
      </c>
      <c r="N264" s="26" t="str">
        <f t="shared" si="335"/>
        <v/>
      </c>
      <c r="O264" s="26" t="str">
        <f t="shared" si="336"/>
        <v/>
      </c>
      <c r="P264" s="26" t="str">
        <f t="shared" si="337"/>
        <v/>
      </c>
      <c r="Q264" s="26">
        <f t="shared" si="338"/>
        <v>0</v>
      </c>
      <c r="R264" s="26">
        <f t="shared" si="339"/>
        <v>0</v>
      </c>
      <c r="S264" s="26">
        <f t="shared" si="340"/>
        <v>0</v>
      </c>
      <c r="T264" s="26" t="str">
        <f t="shared" si="341"/>
        <v/>
      </c>
      <c r="U264" s="26" t="str">
        <f t="shared" si="342"/>
        <v/>
      </c>
      <c r="V264" s="26" t="str">
        <f t="shared" si="343"/>
        <v/>
      </c>
      <c r="W264" s="27" t="str">
        <f t="shared" si="344"/>
        <v/>
      </c>
      <c r="X264" s="27" t="str">
        <f t="shared" si="345"/>
        <v/>
      </c>
      <c r="Y264" s="28" t="str">
        <f t="shared" si="346"/>
        <v/>
      </c>
      <c r="Z264" s="27" t="str">
        <f t="shared" si="347"/>
        <v/>
      </c>
      <c r="AA264" s="27" t="str">
        <f t="shared" si="348"/>
        <v/>
      </c>
      <c r="AB264" s="27" t="str">
        <f t="shared" si="349"/>
        <v/>
      </c>
      <c r="AC264" s="27" t="str">
        <f t="shared" si="350"/>
        <v/>
      </c>
      <c r="AD264" s="29" t="str">
        <f t="shared" si="351"/>
        <v/>
      </c>
      <c r="AE264" s="30" t="str">
        <f t="shared" si="352"/>
        <v/>
      </c>
      <c r="AG264" s="4"/>
      <c r="AH264" s="31" t="e">
        <f t="shared" si="353"/>
        <v>#VALUE!</v>
      </c>
      <c r="AI264" s="31" t="e">
        <f t="shared" si="354"/>
        <v>#VALUE!</v>
      </c>
      <c r="AJ264" s="31" t="e">
        <f t="shared" si="355"/>
        <v>#VALUE!</v>
      </c>
      <c r="AK264" s="31" t="e">
        <f t="shared" si="356"/>
        <v>#VALUE!</v>
      </c>
      <c r="AL264" s="31" t="e">
        <f t="shared" si="357"/>
        <v>#VALUE!</v>
      </c>
      <c r="AM264" s="31" t="e">
        <f t="shared" si="358"/>
        <v>#VALUE!</v>
      </c>
      <c r="AN264" s="32" t="str">
        <f t="shared" si="359"/>
        <v/>
      </c>
      <c r="AO264" s="27" t="str">
        <f t="shared" si="360"/>
        <v/>
      </c>
      <c r="AP264" s="27" t="str">
        <f t="shared" si="361"/>
        <v/>
      </c>
      <c r="AQ264" s="27">
        <f t="shared" si="362"/>
        <v>0</v>
      </c>
      <c r="AR264" s="27">
        <f t="shared" si="363"/>
        <v>0</v>
      </c>
      <c r="AS264" s="33">
        <f t="shared" si="364"/>
        <v>0</v>
      </c>
    </row>
    <row r="265" spans="2:45" hidden="1" x14ac:dyDescent="0.25">
      <c r="B265" s="34">
        <f t="shared" ref="B265:F265" si="394">IF(B264="","",B264)</f>
        <v>11740</v>
      </c>
      <c r="C265" s="26">
        <f t="shared" si="394"/>
        <v>20</v>
      </c>
      <c r="D265" s="26">
        <f t="shared" si="394"/>
        <v>-500</v>
      </c>
      <c r="E265" s="26">
        <f t="shared" si="394"/>
        <v>0</v>
      </c>
      <c r="F265" s="26">
        <f t="shared" si="394"/>
        <v>-650</v>
      </c>
      <c r="G265" s="24"/>
      <c r="H265" s="24"/>
      <c r="I265" s="24"/>
      <c r="J265" s="24"/>
      <c r="K265" s="24"/>
      <c r="L265" s="24"/>
      <c r="M265" s="44" t="str">
        <f t="shared" si="334"/>
        <v/>
      </c>
      <c r="N265" s="26" t="str">
        <f t="shared" si="335"/>
        <v/>
      </c>
      <c r="O265" s="26" t="str">
        <f t="shared" si="336"/>
        <v/>
      </c>
      <c r="P265" s="26" t="str">
        <f t="shared" si="337"/>
        <v/>
      </c>
      <c r="Q265" s="26">
        <f t="shared" si="338"/>
        <v>0</v>
      </c>
      <c r="R265" s="26">
        <f t="shared" si="339"/>
        <v>0</v>
      </c>
      <c r="S265" s="26">
        <f t="shared" si="340"/>
        <v>0</v>
      </c>
      <c r="T265" s="26" t="str">
        <f t="shared" si="341"/>
        <v/>
      </c>
      <c r="U265" s="26" t="str">
        <f t="shared" si="342"/>
        <v/>
      </c>
      <c r="V265" s="26" t="str">
        <f t="shared" si="343"/>
        <v/>
      </c>
      <c r="W265" s="27" t="str">
        <f t="shared" si="344"/>
        <v/>
      </c>
      <c r="X265" s="27" t="str">
        <f t="shared" si="345"/>
        <v/>
      </c>
      <c r="Y265" s="28" t="str">
        <f t="shared" si="346"/>
        <v/>
      </c>
      <c r="Z265" s="27" t="str">
        <f t="shared" si="347"/>
        <v/>
      </c>
      <c r="AA265" s="27" t="str">
        <f t="shared" si="348"/>
        <v/>
      </c>
      <c r="AB265" s="27" t="str">
        <f t="shared" si="349"/>
        <v/>
      </c>
      <c r="AC265" s="27" t="str">
        <f t="shared" si="350"/>
        <v/>
      </c>
      <c r="AD265" s="29" t="str">
        <f t="shared" si="351"/>
        <v/>
      </c>
      <c r="AE265" s="30" t="str">
        <f t="shared" si="352"/>
        <v/>
      </c>
      <c r="AG265" s="4"/>
      <c r="AH265" s="31" t="e">
        <f t="shared" si="353"/>
        <v>#VALUE!</v>
      </c>
      <c r="AI265" s="31" t="e">
        <f t="shared" si="354"/>
        <v>#VALUE!</v>
      </c>
      <c r="AJ265" s="31" t="e">
        <f t="shared" si="355"/>
        <v>#VALUE!</v>
      </c>
      <c r="AK265" s="31" t="e">
        <f t="shared" si="356"/>
        <v>#VALUE!</v>
      </c>
      <c r="AL265" s="31" t="e">
        <f t="shared" si="357"/>
        <v>#VALUE!</v>
      </c>
      <c r="AM265" s="31" t="e">
        <f t="shared" si="358"/>
        <v>#VALUE!</v>
      </c>
      <c r="AN265" s="32" t="str">
        <f t="shared" si="359"/>
        <v/>
      </c>
      <c r="AO265" s="27" t="str">
        <f t="shared" si="360"/>
        <v/>
      </c>
      <c r="AP265" s="27" t="str">
        <f t="shared" si="361"/>
        <v/>
      </c>
      <c r="AQ265" s="27">
        <f t="shared" si="362"/>
        <v>0</v>
      </c>
      <c r="AR265" s="27">
        <f t="shared" si="363"/>
        <v>0</v>
      </c>
      <c r="AS265" s="33">
        <f t="shared" si="364"/>
        <v>0</v>
      </c>
    </row>
    <row r="266" spans="2:45" hidden="1" x14ac:dyDescent="0.25">
      <c r="B266" s="34">
        <f t="shared" ref="B266:F266" si="395">IF(B265="","",B265)</f>
        <v>11740</v>
      </c>
      <c r="C266" s="26">
        <f t="shared" si="395"/>
        <v>20</v>
      </c>
      <c r="D266" s="26">
        <f t="shared" si="395"/>
        <v>-500</v>
      </c>
      <c r="E266" s="26">
        <f t="shared" si="395"/>
        <v>0</v>
      </c>
      <c r="F266" s="26">
        <f t="shared" si="395"/>
        <v>-650</v>
      </c>
      <c r="G266" s="24"/>
      <c r="H266" s="24"/>
      <c r="I266" s="24"/>
      <c r="J266" s="24"/>
      <c r="K266" s="24"/>
      <c r="L266" s="24"/>
      <c r="M266" s="44" t="str">
        <f t="shared" si="334"/>
        <v/>
      </c>
      <c r="N266" s="26" t="str">
        <f t="shared" si="335"/>
        <v/>
      </c>
      <c r="O266" s="26" t="str">
        <f t="shared" si="336"/>
        <v/>
      </c>
      <c r="P266" s="26" t="str">
        <f t="shared" si="337"/>
        <v/>
      </c>
      <c r="Q266" s="26">
        <f t="shared" si="338"/>
        <v>0</v>
      </c>
      <c r="R266" s="26">
        <f t="shared" si="339"/>
        <v>0</v>
      </c>
      <c r="S266" s="26">
        <f t="shared" si="340"/>
        <v>0</v>
      </c>
      <c r="T266" s="26" t="str">
        <f t="shared" si="341"/>
        <v/>
      </c>
      <c r="U266" s="26" t="str">
        <f t="shared" si="342"/>
        <v/>
      </c>
      <c r="V266" s="26" t="str">
        <f t="shared" si="343"/>
        <v/>
      </c>
      <c r="W266" s="27" t="str">
        <f t="shared" si="344"/>
        <v/>
      </c>
      <c r="X266" s="27" t="str">
        <f t="shared" si="345"/>
        <v/>
      </c>
      <c r="Y266" s="28" t="str">
        <f t="shared" si="346"/>
        <v/>
      </c>
      <c r="Z266" s="27" t="str">
        <f t="shared" si="347"/>
        <v/>
      </c>
      <c r="AA266" s="27" t="str">
        <f t="shared" si="348"/>
        <v/>
      </c>
      <c r="AB266" s="27" t="str">
        <f t="shared" si="349"/>
        <v/>
      </c>
      <c r="AC266" s="27" t="str">
        <f t="shared" si="350"/>
        <v/>
      </c>
      <c r="AD266" s="29" t="str">
        <f t="shared" si="351"/>
        <v/>
      </c>
      <c r="AE266" s="30" t="str">
        <f t="shared" si="352"/>
        <v/>
      </c>
      <c r="AG266" s="4"/>
      <c r="AH266" s="31" t="e">
        <f t="shared" si="353"/>
        <v>#VALUE!</v>
      </c>
      <c r="AI266" s="31" t="e">
        <f t="shared" si="354"/>
        <v>#VALUE!</v>
      </c>
      <c r="AJ266" s="31" t="e">
        <f t="shared" si="355"/>
        <v>#VALUE!</v>
      </c>
      <c r="AK266" s="31" t="e">
        <f t="shared" si="356"/>
        <v>#VALUE!</v>
      </c>
      <c r="AL266" s="31" t="e">
        <f t="shared" si="357"/>
        <v>#VALUE!</v>
      </c>
      <c r="AM266" s="31" t="e">
        <f t="shared" si="358"/>
        <v>#VALUE!</v>
      </c>
      <c r="AN266" s="32" t="str">
        <f t="shared" si="359"/>
        <v/>
      </c>
      <c r="AO266" s="27" t="str">
        <f t="shared" si="360"/>
        <v/>
      </c>
      <c r="AP266" s="27" t="str">
        <f t="shared" si="361"/>
        <v/>
      </c>
      <c r="AQ266" s="27">
        <f t="shared" si="362"/>
        <v>0</v>
      </c>
      <c r="AR266" s="27">
        <f t="shared" si="363"/>
        <v>0</v>
      </c>
      <c r="AS266" s="33">
        <f t="shared" si="364"/>
        <v>0</v>
      </c>
    </row>
    <row r="267" spans="2:45" hidden="1" x14ac:dyDescent="0.25">
      <c r="B267" s="34">
        <f t="shared" ref="B267:F267" si="396">IF(B266="","",B266)</f>
        <v>11740</v>
      </c>
      <c r="C267" s="26">
        <f t="shared" si="396"/>
        <v>20</v>
      </c>
      <c r="D267" s="26">
        <f t="shared" si="396"/>
        <v>-500</v>
      </c>
      <c r="E267" s="26">
        <f t="shared" si="396"/>
        <v>0</v>
      </c>
      <c r="F267" s="26">
        <f t="shared" si="396"/>
        <v>-650</v>
      </c>
      <c r="G267" s="24"/>
      <c r="H267" s="24"/>
      <c r="I267" s="24"/>
      <c r="J267" s="24"/>
      <c r="K267" s="24"/>
      <c r="L267" s="24"/>
      <c r="M267" s="44" t="str">
        <f t="shared" si="334"/>
        <v/>
      </c>
      <c r="N267" s="26" t="str">
        <f t="shared" si="335"/>
        <v/>
      </c>
      <c r="O267" s="26" t="str">
        <f t="shared" si="336"/>
        <v/>
      </c>
      <c r="P267" s="26" t="str">
        <f t="shared" si="337"/>
        <v/>
      </c>
      <c r="Q267" s="26">
        <f t="shared" si="338"/>
        <v>0</v>
      </c>
      <c r="R267" s="26">
        <f t="shared" si="339"/>
        <v>0</v>
      </c>
      <c r="S267" s="26">
        <f t="shared" si="340"/>
        <v>0</v>
      </c>
      <c r="T267" s="26" t="str">
        <f t="shared" si="341"/>
        <v/>
      </c>
      <c r="U267" s="26" t="str">
        <f t="shared" si="342"/>
        <v/>
      </c>
      <c r="V267" s="26" t="str">
        <f t="shared" si="343"/>
        <v/>
      </c>
      <c r="W267" s="27" t="str">
        <f t="shared" si="344"/>
        <v/>
      </c>
      <c r="X267" s="27" t="str">
        <f t="shared" si="345"/>
        <v/>
      </c>
      <c r="Y267" s="28" t="str">
        <f t="shared" si="346"/>
        <v/>
      </c>
      <c r="Z267" s="27" t="str">
        <f t="shared" si="347"/>
        <v/>
      </c>
      <c r="AA267" s="27" t="str">
        <f t="shared" si="348"/>
        <v/>
      </c>
      <c r="AB267" s="27" t="str">
        <f t="shared" si="349"/>
        <v/>
      </c>
      <c r="AC267" s="27" t="str">
        <f t="shared" si="350"/>
        <v/>
      </c>
      <c r="AD267" s="29" t="str">
        <f t="shared" si="351"/>
        <v/>
      </c>
      <c r="AE267" s="30" t="str">
        <f t="shared" si="352"/>
        <v/>
      </c>
      <c r="AG267" s="4"/>
      <c r="AH267" s="31" t="e">
        <f t="shared" si="353"/>
        <v>#VALUE!</v>
      </c>
      <c r="AI267" s="31" t="e">
        <f t="shared" si="354"/>
        <v>#VALUE!</v>
      </c>
      <c r="AJ267" s="31" t="e">
        <f t="shared" si="355"/>
        <v>#VALUE!</v>
      </c>
      <c r="AK267" s="31" t="e">
        <f t="shared" si="356"/>
        <v>#VALUE!</v>
      </c>
      <c r="AL267" s="31" t="e">
        <f t="shared" si="357"/>
        <v>#VALUE!</v>
      </c>
      <c r="AM267" s="31" t="e">
        <f t="shared" si="358"/>
        <v>#VALUE!</v>
      </c>
      <c r="AN267" s="32" t="str">
        <f t="shared" si="359"/>
        <v/>
      </c>
      <c r="AO267" s="27" t="str">
        <f t="shared" si="360"/>
        <v/>
      </c>
      <c r="AP267" s="27" t="str">
        <f t="shared" si="361"/>
        <v/>
      </c>
      <c r="AQ267" s="27">
        <f t="shared" si="362"/>
        <v>0</v>
      </c>
      <c r="AR267" s="27">
        <f t="shared" si="363"/>
        <v>0</v>
      </c>
      <c r="AS267" s="33">
        <f t="shared" si="364"/>
        <v>0</v>
      </c>
    </row>
    <row r="268" spans="2:45" hidden="1" x14ac:dyDescent="0.25">
      <c r="B268" s="34">
        <f t="shared" ref="B268:F268" si="397">IF(B267="","",B267)</f>
        <v>11740</v>
      </c>
      <c r="C268" s="26">
        <f t="shared" si="397"/>
        <v>20</v>
      </c>
      <c r="D268" s="26">
        <f t="shared" si="397"/>
        <v>-500</v>
      </c>
      <c r="E268" s="26">
        <f t="shared" si="397"/>
        <v>0</v>
      </c>
      <c r="F268" s="26">
        <f t="shared" si="397"/>
        <v>-650</v>
      </c>
      <c r="G268" s="24"/>
      <c r="H268" s="24"/>
      <c r="I268" s="24"/>
      <c r="J268" s="24"/>
      <c r="K268" s="24"/>
      <c r="L268" s="24"/>
      <c r="M268" s="44" t="str">
        <f t="shared" si="334"/>
        <v/>
      </c>
      <c r="N268" s="26" t="str">
        <f t="shared" si="335"/>
        <v/>
      </c>
      <c r="O268" s="26" t="str">
        <f t="shared" si="336"/>
        <v/>
      </c>
      <c r="P268" s="26" t="str">
        <f t="shared" si="337"/>
        <v/>
      </c>
      <c r="Q268" s="26">
        <f t="shared" si="338"/>
        <v>0</v>
      </c>
      <c r="R268" s="26">
        <f t="shared" si="339"/>
        <v>0</v>
      </c>
      <c r="S268" s="26">
        <f t="shared" si="340"/>
        <v>0</v>
      </c>
      <c r="T268" s="26" t="str">
        <f t="shared" si="341"/>
        <v/>
      </c>
      <c r="U268" s="26" t="str">
        <f t="shared" si="342"/>
        <v/>
      </c>
      <c r="V268" s="26" t="str">
        <f t="shared" si="343"/>
        <v/>
      </c>
      <c r="W268" s="27" t="str">
        <f t="shared" si="344"/>
        <v/>
      </c>
      <c r="X268" s="27" t="str">
        <f t="shared" si="345"/>
        <v/>
      </c>
      <c r="Y268" s="28" t="str">
        <f t="shared" si="346"/>
        <v/>
      </c>
      <c r="Z268" s="27" t="str">
        <f t="shared" si="347"/>
        <v/>
      </c>
      <c r="AA268" s="27" t="str">
        <f t="shared" si="348"/>
        <v/>
      </c>
      <c r="AB268" s="27" t="str">
        <f t="shared" si="349"/>
        <v/>
      </c>
      <c r="AC268" s="27" t="str">
        <f t="shared" si="350"/>
        <v/>
      </c>
      <c r="AD268" s="29" t="str">
        <f t="shared" si="351"/>
        <v/>
      </c>
      <c r="AE268" s="30" t="str">
        <f t="shared" si="352"/>
        <v/>
      </c>
      <c r="AG268" s="4"/>
      <c r="AH268" s="31" t="e">
        <f t="shared" si="353"/>
        <v>#VALUE!</v>
      </c>
      <c r="AI268" s="31" t="e">
        <f t="shared" si="354"/>
        <v>#VALUE!</v>
      </c>
      <c r="AJ268" s="31" t="e">
        <f t="shared" si="355"/>
        <v>#VALUE!</v>
      </c>
      <c r="AK268" s="31" t="e">
        <f t="shared" si="356"/>
        <v>#VALUE!</v>
      </c>
      <c r="AL268" s="31" t="e">
        <f t="shared" si="357"/>
        <v>#VALUE!</v>
      </c>
      <c r="AM268" s="31" t="e">
        <f t="shared" si="358"/>
        <v>#VALUE!</v>
      </c>
      <c r="AN268" s="32" t="str">
        <f t="shared" si="359"/>
        <v/>
      </c>
      <c r="AO268" s="27" t="str">
        <f t="shared" si="360"/>
        <v/>
      </c>
      <c r="AP268" s="27" t="str">
        <f t="shared" si="361"/>
        <v/>
      </c>
      <c r="AQ268" s="27">
        <f t="shared" si="362"/>
        <v>0</v>
      </c>
      <c r="AR268" s="27">
        <f t="shared" si="363"/>
        <v>0</v>
      </c>
      <c r="AS268" s="33">
        <f t="shared" si="364"/>
        <v>0</v>
      </c>
    </row>
    <row r="269" spans="2:45" hidden="1" x14ac:dyDescent="0.25">
      <c r="B269" s="34">
        <f t="shared" ref="B269:F269" si="398">IF(B268="","",B268)</f>
        <v>11740</v>
      </c>
      <c r="C269" s="26">
        <f t="shared" si="398"/>
        <v>20</v>
      </c>
      <c r="D269" s="26">
        <f t="shared" si="398"/>
        <v>-500</v>
      </c>
      <c r="E269" s="26">
        <f t="shared" si="398"/>
        <v>0</v>
      </c>
      <c r="F269" s="26">
        <f t="shared" si="398"/>
        <v>-650</v>
      </c>
      <c r="G269" s="24"/>
      <c r="H269" s="24"/>
      <c r="I269" s="24"/>
      <c r="J269" s="24"/>
      <c r="K269" s="24"/>
      <c r="L269" s="24"/>
      <c r="M269" s="44" t="str">
        <f t="shared" si="334"/>
        <v/>
      </c>
      <c r="N269" s="26" t="str">
        <f t="shared" si="335"/>
        <v/>
      </c>
      <c r="O269" s="26" t="str">
        <f t="shared" si="336"/>
        <v/>
      </c>
      <c r="P269" s="26" t="str">
        <f t="shared" si="337"/>
        <v/>
      </c>
      <c r="Q269" s="26">
        <f t="shared" si="338"/>
        <v>0</v>
      </c>
      <c r="R269" s="26">
        <f t="shared" si="339"/>
        <v>0</v>
      </c>
      <c r="S269" s="26">
        <f t="shared" si="340"/>
        <v>0</v>
      </c>
      <c r="T269" s="26" t="str">
        <f t="shared" si="341"/>
        <v/>
      </c>
      <c r="U269" s="26" t="str">
        <f t="shared" si="342"/>
        <v/>
      </c>
      <c r="V269" s="26" t="str">
        <f t="shared" si="343"/>
        <v/>
      </c>
      <c r="W269" s="27" t="str">
        <f t="shared" si="344"/>
        <v/>
      </c>
      <c r="X269" s="27" t="str">
        <f t="shared" si="345"/>
        <v/>
      </c>
      <c r="Y269" s="28" t="str">
        <f t="shared" si="346"/>
        <v/>
      </c>
      <c r="Z269" s="27" t="str">
        <f t="shared" si="347"/>
        <v/>
      </c>
      <c r="AA269" s="27" t="str">
        <f t="shared" si="348"/>
        <v/>
      </c>
      <c r="AB269" s="27" t="str">
        <f t="shared" si="349"/>
        <v/>
      </c>
      <c r="AC269" s="27" t="str">
        <f t="shared" si="350"/>
        <v/>
      </c>
      <c r="AD269" s="29" t="str">
        <f t="shared" si="351"/>
        <v/>
      </c>
      <c r="AE269" s="30" t="str">
        <f t="shared" si="352"/>
        <v/>
      </c>
      <c r="AG269" s="4"/>
      <c r="AH269" s="31" t="e">
        <f t="shared" si="353"/>
        <v>#VALUE!</v>
      </c>
      <c r="AI269" s="31" t="e">
        <f t="shared" si="354"/>
        <v>#VALUE!</v>
      </c>
      <c r="AJ269" s="31" t="e">
        <f t="shared" si="355"/>
        <v>#VALUE!</v>
      </c>
      <c r="AK269" s="31" t="e">
        <f t="shared" si="356"/>
        <v>#VALUE!</v>
      </c>
      <c r="AL269" s="31" t="e">
        <f t="shared" si="357"/>
        <v>#VALUE!</v>
      </c>
      <c r="AM269" s="31" t="e">
        <f t="shared" si="358"/>
        <v>#VALUE!</v>
      </c>
      <c r="AN269" s="32" t="str">
        <f t="shared" si="359"/>
        <v/>
      </c>
      <c r="AO269" s="27" t="str">
        <f t="shared" si="360"/>
        <v/>
      </c>
      <c r="AP269" s="27" t="str">
        <f t="shared" si="361"/>
        <v/>
      </c>
      <c r="AQ269" s="27">
        <f t="shared" si="362"/>
        <v>0</v>
      </c>
      <c r="AR269" s="27">
        <f t="shared" si="363"/>
        <v>0</v>
      </c>
      <c r="AS269" s="33">
        <f t="shared" si="364"/>
        <v>0</v>
      </c>
    </row>
    <row r="270" spans="2:45" hidden="1" x14ac:dyDescent="0.25">
      <c r="B270" s="34">
        <f t="shared" ref="B270:F270" si="399">IF(B269="","",B269)</f>
        <v>11740</v>
      </c>
      <c r="C270" s="26">
        <f t="shared" si="399"/>
        <v>20</v>
      </c>
      <c r="D270" s="26">
        <f t="shared" si="399"/>
        <v>-500</v>
      </c>
      <c r="E270" s="26">
        <f t="shared" si="399"/>
        <v>0</v>
      </c>
      <c r="F270" s="26">
        <f t="shared" si="399"/>
        <v>-650</v>
      </c>
      <c r="G270" s="24"/>
      <c r="H270" s="24"/>
      <c r="I270" s="24"/>
      <c r="J270" s="24"/>
      <c r="K270" s="24"/>
      <c r="L270" s="24"/>
      <c r="M270" s="44" t="str">
        <f t="shared" si="334"/>
        <v/>
      </c>
      <c r="N270" s="26" t="str">
        <f t="shared" si="335"/>
        <v/>
      </c>
      <c r="O270" s="26" t="str">
        <f t="shared" si="336"/>
        <v/>
      </c>
      <c r="P270" s="26" t="str">
        <f t="shared" si="337"/>
        <v/>
      </c>
      <c r="Q270" s="26">
        <f t="shared" si="338"/>
        <v>0</v>
      </c>
      <c r="R270" s="26">
        <f t="shared" si="339"/>
        <v>0</v>
      </c>
      <c r="S270" s="26">
        <f t="shared" si="340"/>
        <v>0</v>
      </c>
      <c r="T270" s="26" t="str">
        <f t="shared" si="341"/>
        <v/>
      </c>
      <c r="U270" s="26" t="str">
        <f t="shared" si="342"/>
        <v/>
      </c>
      <c r="V270" s="26" t="str">
        <f t="shared" si="343"/>
        <v/>
      </c>
      <c r="W270" s="27" t="str">
        <f t="shared" si="344"/>
        <v/>
      </c>
      <c r="X270" s="27" t="str">
        <f t="shared" si="345"/>
        <v/>
      </c>
      <c r="Y270" s="28" t="str">
        <f t="shared" si="346"/>
        <v/>
      </c>
      <c r="Z270" s="27" t="str">
        <f t="shared" si="347"/>
        <v/>
      </c>
      <c r="AA270" s="27" t="str">
        <f t="shared" si="348"/>
        <v/>
      </c>
      <c r="AB270" s="27" t="str">
        <f t="shared" si="349"/>
        <v/>
      </c>
      <c r="AC270" s="27" t="str">
        <f t="shared" si="350"/>
        <v/>
      </c>
      <c r="AD270" s="29" t="str">
        <f t="shared" si="351"/>
        <v/>
      </c>
      <c r="AE270" s="30" t="str">
        <f t="shared" si="352"/>
        <v/>
      </c>
      <c r="AG270" s="4"/>
      <c r="AH270" s="31" t="e">
        <f t="shared" si="353"/>
        <v>#VALUE!</v>
      </c>
      <c r="AI270" s="31" t="e">
        <f t="shared" si="354"/>
        <v>#VALUE!</v>
      </c>
      <c r="AJ270" s="31" t="e">
        <f t="shared" si="355"/>
        <v>#VALUE!</v>
      </c>
      <c r="AK270" s="31" t="e">
        <f t="shared" si="356"/>
        <v>#VALUE!</v>
      </c>
      <c r="AL270" s="31" t="e">
        <f t="shared" si="357"/>
        <v>#VALUE!</v>
      </c>
      <c r="AM270" s="31" t="e">
        <f t="shared" si="358"/>
        <v>#VALUE!</v>
      </c>
      <c r="AN270" s="32" t="str">
        <f t="shared" si="359"/>
        <v/>
      </c>
      <c r="AO270" s="27" t="str">
        <f t="shared" si="360"/>
        <v/>
      </c>
      <c r="AP270" s="27" t="str">
        <f t="shared" si="361"/>
        <v/>
      </c>
      <c r="AQ270" s="27">
        <f t="shared" si="362"/>
        <v>0</v>
      </c>
      <c r="AR270" s="27">
        <f t="shared" si="363"/>
        <v>0</v>
      </c>
      <c r="AS270" s="33">
        <f t="shared" si="364"/>
        <v>0</v>
      </c>
    </row>
    <row r="271" spans="2:45" hidden="1" x14ac:dyDescent="0.25">
      <c r="B271" s="34">
        <f t="shared" ref="B271:F271" si="400">IF(B270="","",B270)</f>
        <v>11740</v>
      </c>
      <c r="C271" s="26">
        <f t="shared" si="400"/>
        <v>20</v>
      </c>
      <c r="D271" s="26">
        <f t="shared" si="400"/>
        <v>-500</v>
      </c>
      <c r="E271" s="26">
        <f t="shared" si="400"/>
        <v>0</v>
      </c>
      <c r="F271" s="26">
        <f t="shared" si="400"/>
        <v>-650</v>
      </c>
      <c r="G271" s="24"/>
      <c r="H271" s="24"/>
      <c r="I271" s="24"/>
      <c r="J271" s="24"/>
      <c r="K271" s="24"/>
      <c r="L271" s="24"/>
      <c r="M271" s="44" t="str">
        <f t="shared" si="334"/>
        <v/>
      </c>
      <c r="N271" s="26" t="str">
        <f t="shared" si="335"/>
        <v/>
      </c>
      <c r="O271" s="26" t="str">
        <f t="shared" si="336"/>
        <v/>
      </c>
      <c r="P271" s="26" t="str">
        <f t="shared" si="337"/>
        <v/>
      </c>
      <c r="Q271" s="26">
        <f t="shared" si="338"/>
        <v>0</v>
      </c>
      <c r="R271" s="26">
        <f t="shared" si="339"/>
        <v>0</v>
      </c>
      <c r="S271" s="26">
        <f t="shared" si="340"/>
        <v>0</v>
      </c>
      <c r="T271" s="26" t="str">
        <f t="shared" si="341"/>
        <v/>
      </c>
      <c r="U271" s="26" t="str">
        <f t="shared" si="342"/>
        <v/>
      </c>
      <c r="V271" s="26" t="str">
        <f t="shared" si="343"/>
        <v/>
      </c>
      <c r="W271" s="27" t="str">
        <f t="shared" si="344"/>
        <v/>
      </c>
      <c r="X271" s="27" t="str">
        <f t="shared" si="345"/>
        <v/>
      </c>
      <c r="Y271" s="28" t="str">
        <f t="shared" si="346"/>
        <v/>
      </c>
      <c r="Z271" s="27" t="str">
        <f t="shared" si="347"/>
        <v/>
      </c>
      <c r="AA271" s="27" t="str">
        <f t="shared" si="348"/>
        <v/>
      </c>
      <c r="AB271" s="27" t="str">
        <f t="shared" si="349"/>
        <v/>
      </c>
      <c r="AC271" s="27" t="str">
        <f t="shared" si="350"/>
        <v/>
      </c>
      <c r="AD271" s="29" t="str">
        <f t="shared" si="351"/>
        <v/>
      </c>
      <c r="AE271" s="30" t="str">
        <f t="shared" si="352"/>
        <v/>
      </c>
      <c r="AG271" s="4"/>
      <c r="AH271" s="31" t="e">
        <f t="shared" si="353"/>
        <v>#VALUE!</v>
      </c>
      <c r="AI271" s="31" t="e">
        <f t="shared" si="354"/>
        <v>#VALUE!</v>
      </c>
      <c r="AJ271" s="31" t="e">
        <f t="shared" si="355"/>
        <v>#VALUE!</v>
      </c>
      <c r="AK271" s="31" t="e">
        <f t="shared" si="356"/>
        <v>#VALUE!</v>
      </c>
      <c r="AL271" s="31" t="e">
        <f t="shared" si="357"/>
        <v>#VALUE!</v>
      </c>
      <c r="AM271" s="31" t="e">
        <f t="shared" si="358"/>
        <v>#VALUE!</v>
      </c>
      <c r="AN271" s="32" t="str">
        <f t="shared" si="359"/>
        <v/>
      </c>
      <c r="AO271" s="27" t="str">
        <f t="shared" si="360"/>
        <v/>
      </c>
      <c r="AP271" s="27" t="str">
        <f t="shared" si="361"/>
        <v/>
      </c>
      <c r="AQ271" s="27">
        <f t="shared" si="362"/>
        <v>0</v>
      </c>
      <c r="AR271" s="27">
        <f t="shared" si="363"/>
        <v>0</v>
      </c>
      <c r="AS271" s="33">
        <f t="shared" si="364"/>
        <v>0</v>
      </c>
    </row>
    <row r="272" spans="2:45" hidden="1" x14ac:dyDescent="0.25">
      <c r="B272" s="34">
        <f t="shared" ref="B272:F272" si="401">IF(B271="","",B271)</f>
        <v>11740</v>
      </c>
      <c r="C272" s="26">
        <f t="shared" si="401"/>
        <v>20</v>
      </c>
      <c r="D272" s="26">
        <f t="shared" si="401"/>
        <v>-500</v>
      </c>
      <c r="E272" s="26">
        <f t="shared" si="401"/>
        <v>0</v>
      </c>
      <c r="F272" s="26">
        <f t="shared" si="401"/>
        <v>-650</v>
      </c>
      <c r="G272" s="24"/>
      <c r="H272" s="24"/>
      <c r="I272" s="24"/>
      <c r="J272" s="24"/>
      <c r="K272" s="24"/>
      <c r="L272" s="24"/>
      <c r="M272" s="44" t="str">
        <f t="shared" si="334"/>
        <v/>
      </c>
      <c r="N272" s="26" t="str">
        <f t="shared" si="335"/>
        <v/>
      </c>
      <c r="O272" s="26" t="str">
        <f t="shared" si="336"/>
        <v/>
      </c>
      <c r="P272" s="26" t="str">
        <f t="shared" si="337"/>
        <v/>
      </c>
      <c r="Q272" s="26">
        <f t="shared" si="338"/>
        <v>0</v>
      </c>
      <c r="R272" s="26">
        <f t="shared" si="339"/>
        <v>0</v>
      </c>
      <c r="S272" s="26">
        <f t="shared" si="340"/>
        <v>0</v>
      </c>
      <c r="T272" s="26" t="str">
        <f t="shared" si="341"/>
        <v/>
      </c>
      <c r="U272" s="26" t="str">
        <f t="shared" si="342"/>
        <v/>
      </c>
      <c r="V272" s="26" t="str">
        <f t="shared" si="343"/>
        <v/>
      </c>
      <c r="W272" s="27" t="str">
        <f t="shared" si="344"/>
        <v/>
      </c>
      <c r="X272" s="27" t="str">
        <f t="shared" si="345"/>
        <v/>
      </c>
      <c r="Y272" s="28" t="str">
        <f t="shared" si="346"/>
        <v/>
      </c>
      <c r="Z272" s="27" t="str">
        <f t="shared" si="347"/>
        <v/>
      </c>
      <c r="AA272" s="27" t="str">
        <f t="shared" si="348"/>
        <v/>
      </c>
      <c r="AB272" s="27" t="str">
        <f t="shared" si="349"/>
        <v/>
      </c>
      <c r="AC272" s="27" t="str">
        <f t="shared" si="350"/>
        <v/>
      </c>
      <c r="AD272" s="29" t="str">
        <f t="shared" si="351"/>
        <v/>
      </c>
      <c r="AE272" s="30" t="str">
        <f t="shared" si="352"/>
        <v/>
      </c>
      <c r="AG272" s="4"/>
      <c r="AH272" s="31" t="e">
        <f t="shared" si="353"/>
        <v>#VALUE!</v>
      </c>
      <c r="AI272" s="31" t="e">
        <f t="shared" si="354"/>
        <v>#VALUE!</v>
      </c>
      <c r="AJ272" s="31" t="e">
        <f t="shared" si="355"/>
        <v>#VALUE!</v>
      </c>
      <c r="AK272" s="31" t="e">
        <f t="shared" si="356"/>
        <v>#VALUE!</v>
      </c>
      <c r="AL272" s="31" t="e">
        <f t="shared" si="357"/>
        <v>#VALUE!</v>
      </c>
      <c r="AM272" s="31" t="e">
        <f t="shared" si="358"/>
        <v>#VALUE!</v>
      </c>
      <c r="AN272" s="32" t="str">
        <f t="shared" si="359"/>
        <v/>
      </c>
      <c r="AO272" s="27" t="str">
        <f t="shared" si="360"/>
        <v/>
      </c>
      <c r="AP272" s="27" t="str">
        <f t="shared" si="361"/>
        <v/>
      </c>
      <c r="AQ272" s="27">
        <f t="shared" si="362"/>
        <v>0</v>
      </c>
      <c r="AR272" s="27">
        <f t="shared" si="363"/>
        <v>0</v>
      </c>
      <c r="AS272" s="33">
        <f t="shared" si="364"/>
        <v>0</v>
      </c>
    </row>
    <row r="273" spans="2:45" hidden="1" x14ac:dyDescent="0.25">
      <c r="B273" s="34">
        <f t="shared" ref="B273:F273" si="402">IF(B272="","",B272)</f>
        <v>11740</v>
      </c>
      <c r="C273" s="26">
        <f t="shared" si="402"/>
        <v>20</v>
      </c>
      <c r="D273" s="26">
        <f t="shared" si="402"/>
        <v>-500</v>
      </c>
      <c r="E273" s="26">
        <f t="shared" si="402"/>
        <v>0</v>
      </c>
      <c r="F273" s="26">
        <f t="shared" si="402"/>
        <v>-650</v>
      </c>
      <c r="G273" s="24"/>
      <c r="H273" s="24"/>
      <c r="I273" s="24"/>
      <c r="J273" s="24"/>
      <c r="K273" s="24"/>
      <c r="L273" s="24"/>
      <c r="M273" s="44" t="str">
        <f t="shared" si="334"/>
        <v/>
      </c>
      <c r="N273" s="26" t="str">
        <f t="shared" si="335"/>
        <v/>
      </c>
      <c r="O273" s="26" t="str">
        <f t="shared" si="336"/>
        <v/>
      </c>
      <c r="P273" s="26" t="str">
        <f t="shared" si="337"/>
        <v/>
      </c>
      <c r="Q273" s="26">
        <f t="shared" si="338"/>
        <v>0</v>
      </c>
      <c r="R273" s="26">
        <f t="shared" si="339"/>
        <v>0</v>
      </c>
      <c r="S273" s="26">
        <f t="shared" si="340"/>
        <v>0</v>
      </c>
      <c r="T273" s="26" t="str">
        <f t="shared" si="341"/>
        <v/>
      </c>
      <c r="U273" s="26" t="str">
        <f t="shared" si="342"/>
        <v/>
      </c>
      <c r="V273" s="26" t="str">
        <f t="shared" si="343"/>
        <v/>
      </c>
      <c r="W273" s="27" t="str">
        <f t="shared" si="344"/>
        <v/>
      </c>
      <c r="X273" s="27" t="str">
        <f t="shared" si="345"/>
        <v/>
      </c>
      <c r="Y273" s="28" t="str">
        <f t="shared" si="346"/>
        <v/>
      </c>
      <c r="Z273" s="27" t="str">
        <f t="shared" si="347"/>
        <v/>
      </c>
      <c r="AA273" s="27" t="str">
        <f t="shared" si="348"/>
        <v/>
      </c>
      <c r="AB273" s="27" t="str">
        <f t="shared" si="349"/>
        <v/>
      </c>
      <c r="AC273" s="27" t="str">
        <f t="shared" si="350"/>
        <v/>
      </c>
      <c r="AD273" s="29" t="str">
        <f t="shared" si="351"/>
        <v/>
      </c>
      <c r="AE273" s="30" t="str">
        <f t="shared" si="352"/>
        <v/>
      </c>
      <c r="AG273" s="4"/>
      <c r="AH273" s="31" t="e">
        <f t="shared" si="353"/>
        <v>#VALUE!</v>
      </c>
      <c r="AI273" s="31" t="e">
        <f t="shared" si="354"/>
        <v>#VALUE!</v>
      </c>
      <c r="AJ273" s="31" t="e">
        <f t="shared" si="355"/>
        <v>#VALUE!</v>
      </c>
      <c r="AK273" s="31" t="e">
        <f t="shared" si="356"/>
        <v>#VALUE!</v>
      </c>
      <c r="AL273" s="31" t="e">
        <f t="shared" si="357"/>
        <v>#VALUE!</v>
      </c>
      <c r="AM273" s="31" t="e">
        <f t="shared" si="358"/>
        <v>#VALUE!</v>
      </c>
      <c r="AN273" s="32" t="str">
        <f t="shared" si="359"/>
        <v/>
      </c>
      <c r="AO273" s="27" t="str">
        <f t="shared" si="360"/>
        <v/>
      </c>
      <c r="AP273" s="27" t="str">
        <f t="shared" si="361"/>
        <v/>
      </c>
      <c r="AQ273" s="27">
        <f t="shared" si="362"/>
        <v>0</v>
      </c>
      <c r="AR273" s="27">
        <f t="shared" si="363"/>
        <v>0</v>
      </c>
      <c r="AS273" s="33">
        <f t="shared" si="364"/>
        <v>0</v>
      </c>
    </row>
    <row r="274" spans="2:45" hidden="1" x14ac:dyDescent="0.25">
      <c r="B274" s="34">
        <f t="shared" ref="B274:F274" si="403">IF(B273="","",B273)</f>
        <v>11740</v>
      </c>
      <c r="C274" s="26">
        <f t="shared" si="403"/>
        <v>20</v>
      </c>
      <c r="D274" s="26">
        <f t="shared" si="403"/>
        <v>-500</v>
      </c>
      <c r="E274" s="26">
        <f t="shared" si="403"/>
        <v>0</v>
      </c>
      <c r="F274" s="26">
        <f t="shared" si="403"/>
        <v>-650</v>
      </c>
      <c r="G274" s="24"/>
      <c r="H274" s="24"/>
      <c r="I274" s="24"/>
      <c r="J274" s="24"/>
      <c r="K274" s="24"/>
      <c r="L274" s="24"/>
      <c r="M274" s="44" t="str">
        <f t="shared" si="334"/>
        <v/>
      </c>
      <c r="N274" s="26" t="str">
        <f t="shared" si="335"/>
        <v/>
      </c>
      <c r="O274" s="26" t="str">
        <f t="shared" si="336"/>
        <v/>
      </c>
      <c r="P274" s="26" t="str">
        <f t="shared" si="337"/>
        <v/>
      </c>
      <c r="Q274" s="26">
        <f t="shared" si="338"/>
        <v>0</v>
      </c>
      <c r="R274" s="26">
        <f t="shared" si="339"/>
        <v>0</v>
      </c>
      <c r="S274" s="26">
        <f t="shared" si="340"/>
        <v>0</v>
      </c>
      <c r="T274" s="26" t="str">
        <f t="shared" si="341"/>
        <v/>
      </c>
      <c r="U274" s="26" t="str">
        <f t="shared" si="342"/>
        <v/>
      </c>
      <c r="V274" s="26" t="str">
        <f t="shared" si="343"/>
        <v/>
      </c>
      <c r="W274" s="27" t="str">
        <f t="shared" si="344"/>
        <v/>
      </c>
      <c r="X274" s="27" t="str">
        <f t="shared" si="345"/>
        <v/>
      </c>
      <c r="Y274" s="28" t="str">
        <f t="shared" si="346"/>
        <v/>
      </c>
      <c r="Z274" s="27" t="str">
        <f t="shared" si="347"/>
        <v/>
      </c>
      <c r="AA274" s="27" t="str">
        <f t="shared" si="348"/>
        <v/>
      </c>
      <c r="AB274" s="27" t="str">
        <f t="shared" si="349"/>
        <v/>
      </c>
      <c r="AC274" s="27" t="str">
        <f t="shared" si="350"/>
        <v/>
      </c>
      <c r="AD274" s="29" t="str">
        <f t="shared" si="351"/>
        <v/>
      </c>
      <c r="AE274" s="30" t="str">
        <f t="shared" si="352"/>
        <v/>
      </c>
      <c r="AG274" s="4"/>
      <c r="AH274" s="31" t="e">
        <f t="shared" si="353"/>
        <v>#VALUE!</v>
      </c>
      <c r="AI274" s="31" t="e">
        <f t="shared" si="354"/>
        <v>#VALUE!</v>
      </c>
      <c r="AJ274" s="31" t="e">
        <f t="shared" si="355"/>
        <v>#VALUE!</v>
      </c>
      <c r="AK274" s="31" t="e">
        <f t="shared" si="356"/>
        <v>#VALUE!</v>
      </c>
      <c r="AL274" s="31" t="e">
        <f t="shared" si="357"/>
        <v>#VALUE!</v>
      </c>
      <c r="AM274" s="31" t="e">
        <f t="shared" si="358"/>
        <v>#VALUE!</v>
      </c>
      <c r="AN274" s="32" t="str">
        <f t="shared" si="359"/>
        <v/>
      </c>
      <c r="AO274" s="27" t="str">
        <f t="shared" si="360"/>
        <v/>
      </c>
      <c r="AP274" s="27" t="str">
        <f t="shared" si="361"/>
        <v/>
      </c>
      <c r="AQ274" s="27">
        <f t="shared" si="362"/>
        <v>0</v>
      </c>
      <c r="AR274" s="27">
        <f t="shared" si="363"/>
        <v>0</v>
      </c>
      <c r="AS274" s="33">
        <f t="shared" si="364"/>
        <v>0</v>
      </c>
    </row>
    <row r="275" spans="2:45" hidden="1" x14ac:dyDescent="0.25">
      <c r="B275" s="34">
        <f t="shared" ref="B275:F275" si="404">IF(B274="","",B274)</f>
        <v>11740</v>
      </c>
      <c r="C275" s="26">
        <f t="shared" si="404"/>
        <v>20</v>
      </c>
      <c r="D275" s="26">
        <f t="shared" si="404"/>
        <v>-500</v>
      </c>
      <c r="E275" s="26">
        <f t="shared" si="404"/>
        <v>0</v>
      </c>
      <c r="F275" s="26">
        <f t="shared" si="404"/>
        <v>-650</v>
      </c>
      <c r="G275" s="24"/>
      <c r="H275" s="24"/>
      <c r="I275" s="24"/>
      <c r="J275" s="24"/>
      <c r="K275" s="24"/>
      <c r="L275" s="24"/>
      <c r="M275" s="44" t="str">
        <f t="shared" si="334"/>
        <v/>
      </c>
      <c r="N275" s="26" t="str">
        <f t="shared" si="335"/>
        <v/>
      </c>
      <c r="O275" s="26" t="str">
        <f t="shared" si="336"/>
        <v/>
      </c>
      <c r="P275" s="26" t="str">
        <f t="shared" si="337"/>
        <v/>
      </c>
      <c r="Q275" s="26">
        <f t="shared" si="338"/>
        <v>0</v>
      </c>
      <c r="R275" s="26">
        <f t="shared" si="339"/>
        <v>0</v>
      </c>
      <c r="S275" s="26">
        <f t="shared" si="340"/>
        <v>0</v>
      </c>
      <c r="T275" s="26" t="str">
        <f t="shared" si="341"/>
        <v/>
      </c>
      <c r="U275" s="26" t="str">
        <f t="shared" si="342"/>
        <v/>
      </c>
      <c r="V275" s="26" t="str">
        <f t="shared" si="343"/>
        <v/>
      </c>
      <c r="W275" s="27" t="str">
        <f t="shared" si="344"/>
        <v/>
      </c>
      <c r="X275" s="27" t="str">
        <f t="shared" si="345"/>
        <v/>
      </c>
      <c r="Y275" s="28" t="str">
        <f t="shared" si="346"/>
        <v/>
      </c>
      <c r="Z275" s="27" t="str">
        <f t="shared" si="347"/>
        <v/>
      </c>
      <c r="AA275" s="27" t="str">
        <f t="shared" si="348"/>
        <v/>
      </c>
      <c r="AB275" s="27" t="str">
        <f t="shared" si="349"/>
        <v/>
      </c>
      <c r="AC275" s="27" t="str">
        <f t="shared" si="350"/>
        <v/>
      </c>
      <c r="AD275" s="29" t="str">
        <f t="shared" si="351"/>
        <v/>
      </c>
      <c r="AE275" s="30" t="str">
        <f t="shared" si="352"/>
        <v/>
      </c>
      <c r="AG275" s="4"/>
      <c r="AH275" s="31" t="e">
        <f t="shared" si="353"/>
        <v>#VALUE!</v>
      </c>
      <c r="AI275" s="31" t="e">
        <f t="shared" si="354"/>
        <v>#VALUE!</v>
      </c>
      <c r="AJ275" s="31" t="e">
        <f t="shared" si="355"/>
        <v>#VALUE!</v>
      </c>
      <c r="AK275" s="31" t="e">
        <f t="shared" si="356"/>
        <v>#VALUE!</v>
      </c>
      <c r="AL275" s="31" t="e">
        <f t="shared" si="357"/>
        <v>#VALUE!</v>
      </c>
      <c r="AM275" s="31" t="e">
        <f t="shared" si="358"/>
        <v>#VALUE!</v>
      </c>
      <c r="AN275" s="32" t="str">
        <f t="shared" si="359"/>
        <v/>
      </c>
      <c r="AO275" s="27" t="str">
        <f t="shared" si="360"/>
        <v/>
      </c>
      <c r="AP275" s="27" t="str">
        <f t="shared" si="361"/>
        <v/>
      </c>
      <c r="AQ275" s="27">
        <f t="shared" si="362"/>
        <v>0</v>
      </c>
      <c r="AR275" s="27">
        <f t="shared" si="363"/>
        <v>0</v>
      </c>
      <c r="AS275" s="33">
        <f t="shared" si="364"/>
        <v>0</v>
      </c>
    </row>
    <row r="276" spans="2:45" hidden="1" x14ac:dyDescent="0.25">
      <c r="B276" s="34">
        <f t="shared" ref="B276:F276" si="405">IF(B275="","",B275)</f>
        <v>11740</v>
      </c>
      <c r="C276" s="26">
        <f t="shared" si="405"/>
        <v>20</v>
      </c>
      <c r="D276" s="26">
        <f t="shared" si="405"/>
        <v>-500</v>
      </c>
      <c r="E276" s="26">
        <f t="shared" si="405"/>
        <v>0</v>
      </c>
      <c r="F276" s="26">
        <f t="shared" si="405"/>
        <v>-650</v>
      </c>
      <c r="G276" s="24"/>
      <c r="H276" s="24"/>
      <c r="I276" s="24"/>
      <c r="J276" s="24"/>
      <c r="K276" s="24"/>
      <c r="L276" s="24"/>
      <c r="M276" s="44" t="str">
        <f t="shared" si="334"/>
        <v/>
      </c>
      <c r="N276" s="26" t="str">
        <f t="shared" si="335"/>
        <v/>
      </c>
      <c r="O276" s="26" t="str">
        <f t="shared" si="336"/>
        <v/>
      </c>
      <c r="P276" s="26" t="str">
        <f t="shared" si="337"/>
        <v/>
      </c>
      <c r="Q276" s="26">
        <f t="shared" si="338"/>
        <v>0</v>
      </c>
      <c r="R276" s="26">
        <f t="shared" si="339"/>
        <v>0</v>
      </c>
      <c r="S276" s="26">
        <f t="shared" si="340"/>
        <v>0</v>
      </c>
      <c r="T276" s="26" t="str">
        <f t="shared" si="341"/>
        <v/>
      </c>
      <c r="U276" s="26" t="str">
        <f t="shared" si="342"/>
        <v/>
      </c>
      <c r="V276" s="26" t="str">
        <f t="shared" si="343"/>
        <v/>
      </c>
      <c r="W276" s="27" t="str">
        <f t="shared" si="344"/>
        <v/>
      </c>
      <c r="X276" s="27" t="str">
        <f t="shared" si="345"/>
        <v/>
      </c>
      <c r="Y276" s="28" t="str">
        <f t="shared" si="346"/>
        <v/>
      </c>
      <c r="Z276" s="27" t="str">
        <f t="shared" si="347"/>
        <v/>
      </c>
      <c r="AA276" s="27" t="str">
        <f t="shared" si="348"/>
        <v/>
      </c>
      <c r="AB276" s="27" t="str">
        <f t="shared" si="349"/>
        <v/>
      </c>
      <c r="AC276" s="27" t="str">
        <f t="shared" si="350"/>
        <v/>
      </c>
      <c r="AD276" s="29" t="str">
        <f t="shared" si="351"/>
        <v/>
      </c>
      <c r="AE276" s="30" t="str">
        <f t="shared" si="352"/>
        <v/>
      </c>
      <c r="AG276" s="4"/>
      <c r="AH276" s="31" t="e">
        <f t="shared" si="353"/>
        <v>#VALUE!</v>
      </c>
      <c r="AI276" s="31" t="e">
        <f t="shared" si="354"/>
        <v>#VALUE!</v>
      </c>
      <c r="AJ276" s="31" t="e">
        <f t="shared" si="355"/>
        <v>#VALUE!</v>
      </c>
      <c r="AK276" s="31" t="e">
        <f t="shared" si="356"/>
        <v>#VALUE!</v>
      </c>
      <c r="AL276" s="31" t="e">
        <f t="shared" si="357"/>
        <v>#VALUE!</v>
      </c>
      <c r="AM276" s="31" t="e">
        <f t="shared" si="358"/>
        <v>#VALUE!</v>
      </c>
      <c r="AN276" s="32" t="str">
        <f t="shared" si="359"/>
        <v/>
      </c>
      <c r="AO276" s="27" t="str">
        <f t="shared" si="360"/>
        <v/>
      </c>
      <c r="AP276" s="27" t="str">
        <f t="shared" si="361"/>
        <v/>
      </c>
      <c r="AQ276" s="27">
        <f t="shared" si="362"/>
        <v>0</v>
      </c>
      <c r="AR276" s="27">
        <f t="shared" si="363"/>
        <v>0</v>
      </c>
      <c r="AS276" s="33">
        <f t="shared" si="364"/>
        <v>0</v>
      </c>
    </row>
    <row r="277" spans="2:45" hidden="1" x14ac:dyDescent="0.25">
      <c r="B277" s="34">
        <f t="shared" ref="B277:F277" si="406">IF(B276="","",B276)</f>
        <v>11740</v>
      </c>
      <c r="C277" s="26">
        <f t="shared" si="406"/>
        <v>20</v>
      </c>
      <c r="D277" s="26">
        <f t="shared" si="406"/>
        <v>-500</v>
      </c>
      <c r="E277" s="26">
        <f t="shared" si="406"/>
        <v>0</v>
      </c>
      <c r="F277" s="26">
        <f t="shared" si="406"/>
        <v>-650</v>
      </c>
      <c r="G277" s="24"/>
      <c r="H277" s="24"/>
      <c r="I277" s="24"/>
      <c r="J277" s="24"/>
      <c r="K277" s="24"/>
      <c r="L277" s="24"/>
      <c r="M277" s="44" t="str">
        <f t="shared" si="334"/>
        <v/>
      </c>
      <c r="N277" s="26" t="str">
        <f t="shared" si="335"/>
        <v/>
      </c>
      <c r="O277" s="26" t="str">
        <f t="shared" si="336"/>
        <v/>
      </c>
      <c r="P277" s="26" t="str">
        <f t="shared" si="337"/>
        <v/>
      </c>
      <c r="Q277" s="26">
        <f t="shared" si="338"/>
        <v>0</v>
      </c>
      <c r="R277" s="26">
        <f t="shared" si="339"/>
        <v>0</v>
      </c>
      <c r="S277" s="26">
        <f t="shared" si="340"/>
        <v>0</v>
      </c>
      <c r="T277" s="26" t="str">
        <f t="shared" si="341"/>
        <v/>
      </c>
      <c r="U277" s="26" t="str">
        <f t="shared" si="342"/>
        <v/>
      </c>
      <c r="V277" s="26" t="str">
        <f t="shared" si="343"/>
        <v/>
      </c>
      <c r="W277" s="27" t="str">
        <f t="shared" si="344"/>
        <v/>
      </c>
      <c r="X277" s="27" t="str">
        <f t="shared" si="345"/>
        <v/>
      </c>
      <c r="Y277" s="28" t="str">
        <f t="shared" si="346"/>
        <v/>
      </c>
      <c r="Z277" s="27" t="str">
        <f t="shared" si="347"/>
        <v/>
      </c>
      <c r="AA277" s="27" t="str">
        <f t="shared" si="348"/>
        <v/>
      </c>
      <c r="AB277" s="27" t="str">
        <f t="shared" si="349"/>
        <v/>
      </c>
      <c r="AC277" s="27" t="str">
        <f t="shared" si="350"/>
        <v/>
      </c>
      <c r="AD277" s="29" t="str">
        <f t="shared" si="351"/>
        <v/>
      </c>
      <c r="AE277" s="30" t="str">
        <f t="shared" si="352"/>
        <v/>
      </c>
      <c r="AG277" s="4"/>
      <c r="AH277" s="31" t="e">
        <f t="shared" si="353"/>
        <v>#VALUE!</v>
      </c>
      <c r="AI277" s="31" t="e">
        <f t="shared" si="354"/>
        <v>#VALUE!</v>
      </c>
      <c r="AJ277" s="31" t="e">
        <f t="shared" si="355"/>
        <v>#VALUE!</v>
      </c>
      <c r="AK277" s="31" t="e">
        <f t="shared" si="356"/>
        <v>#VALUE!</v>
      </c>
      <c r="AL277" s="31" t="e">
        <f t="shared" si="357"/>
        <v>#VALUE!</v>
      </c>
      <c r="AM277" s="31" t="e">
        <f t="shared" si="358"/>
        <v>#VALUE!</v>
      </c>
      <c r="AN277" s="32" t="str">
        <f t="shared" si="359"/>
        <v/>
      </c>
      <c r="AO277" s="27" t="str">
        <f t="shared" si="360"/>
        <v/>
      </c>
      <c r="AP277" s="27" t="str">
        <f t="shared" si="361"/>
        <v/>
      </c>
      <c r="AQ277" s="27">
        <f t="shared" si="362"/>
        <v>0</v>
      </c>
      <c r="AR277" s="27">
        <f t="shared" si="363"/>
        <v>0</v>
      </c>
      <c r="AS277" s="33">
        <f t="shared" si="364"/>
        <v>0</v>
      </c>
    </row>
    <row r="278" spans="2:45" hidden="1" x14ac:dyDescent="0.25">
      <c r="B278" s="34">
        <f t="shared" ref="B278:F278" si="407">IF(B277="","",B277)</f>
        <v>11740</v>
      </c>
      <c r="C278" s="26">
        <f t="shared" si="407"/>
        <v>20</v>
      </c>
      <c r="D278" s="26">
        <f t="shared" si="407"/>
        <v>-500</v>
      </c>
      <c r="E278" s="26">
        <f t="shared" si="407"/>
        <v>0</v>
      </c>
      <c r="F278" s="26">
        <f t="shared" si="407"/>
        <v>-650</v>
      </c>
      <c r="G278" s="24"/>
      <c r="H278" s="24"/>
      <c r="I278" s="24"/>
      <c r="J278" s="24"/>
      <c r="K278" s="24"/>
      <c r="L278" s="24"/>
      <c r="M278" s="44" t="str">
        <f t="shared" si="334"/>
        <v/>
      </c>
      <c r="N278" s="26" t="str">
        <f t="shared" si="335"/>
        <v/>
      </c>
      <c r="O278" s="26" t="str">
        <f t="shared" si="336"/>
        <v/>
      </c>
      <c r="P278" s="26" t="str">
        <f t="shared" si="337"/>
        <v/>
      </c>
      <c r="Q278" s="26">
        <f t="shared" si="338"/>
        <v>0</v>
      </c>
      <c r="R278" s="26">
        <f t="shared" si="339"/>
        <v>0</v>
      </c>
      <c r="S278" s="26">
        <f t="shared" si="340"/>
        <v>0</v>
      </c>
      <c r="T278" s="26" t="str">
        <f t="shared" si="341"/>
        <v/>
      </c>
      <c r="U278" s="26" t="str">
        <f t="shared" si="342"/>
        <v/>
      </c>
      <c r="V278" s="26" t="str">
        <f t="shared" si="343"/>
        <v/>
      </c>
      <c r="W278" s="27" t="str">
        <f t="shared" si="344"/>
        <v/>
      </c>
      <c r="X278" s="27" t="str">
        <f t="shared" si="345"/>
        <v/>
      </c>
      <c r="Y278" s="28" t="str">
        <f t="shared" si="346"/>
        <v/>
      </c>
      <c r="Z278" s="27" t="str">
        <f t="shared" si="347"/>
        <v/>
      </c>
      <c r="AA278" s="27" t="str">
        <f t="shared" si="348"/>
        <v/>
      </c>
      <c r="AB278" s="27" t="str">
        <f t="shared" si="349"/>
        <v/>
      </c>
      <c r="AC278" s="27" t="str">
        <f t="shared" si="350"/>
        <v/>
      </c>
      <c r="AD278" s="29" t="str">
        <f t="shared" si="351"/>
        <v/>
      </c>
      <c r="AE278" s="30" t="str">
        <f t="shared" si="352"/>
        <v/>
      </c>
      <c r="AG278" s="4"/>
      <c r="AH278" s="31" t="e">
        <f t="shared" si="353"/>
        <v>#VALUE!</v>
      </c>
      <c r="AI278" s="31" t="e">
        <f t="shared" si="354"/>
        <v>#VALUE!</v>
      </c>
      <c r="AJ278" s="31" t="e">
        <f t="shared" si="355"/>
        <v>#VALUE!</v>
      </c>
      <c r="AK278" s="31" t="e">
        <f t="shared" si="356"/>
        <v>#VALUE!</v>
      </c>
      <c r="AL278" s="31" t="e">
        <f t="shared" si="357"/>
        <v>#VALUE!</v>
      </c>
      <c r="AM278" s="31" t="e">
        <f t="shared" si="358"/>
        <v>#VALUE!</v>
      </c>
      <c r="AN278" s="32" t="str">
        <f t="shared" si="359"/>
        <v/>
      </c>
      <c r="AO278" s="27" t="str">
        <f t="shared" si="360"/>
        <v/>
      </c>
      <c r="AP278" s="27" t="str">
        <f t="shared" si="361"/>
        <v/>
      </c>
      <c r="AQ278" s="27">
        <f t="shared" si="362"/>
        <v>0</v>
      </c>
      <c r="AR278" s="27">
        <f t="shared" si="363"/>
        <v>0</v>
      </c>
      <c r="AS278" s="33">
        <f t="shared" si="364"/>
        <v>0</v>
      </c>
    </row>
    <row r="279" spans="2:45" hidden="1" x14ac:dyDescent="0.25">
      <c r="B279" s="34">
        <f t="shared" ref="B279:F279" si="408">IF(B278="","",B278)</f>
        <v>11740</v>
      </c>
      <c r="C279" s="26">
        <f t="shared" si="408"/>
        <v>20</v>
      </c>
      <c r="D279" s="26">
        <f t="shared" si="408"/>
        <v>-500</v>
      </c>
      <c r="E279" s="26">
        <f t="shared" si="408"/>
        <v>0</v>
      </c>
      <c r="F279" s="26">
        <f t="shared" si="408"/>
        <v>-650</v>
      </c>
      <c r="G279" s="24"/>
      <c r="H279" s="24"/>
      <c r="I279" s="24"/>
      <c r="J279" s="24"/>
      <c r="K279" s="24"/>
      <c r="L279" s="24"/>
      <c r="M279" s="44" t="str">
        <f t="shared" si="334"/>
        <v/>
      </c>
      <c r="N279" s="26" t="str">
        <f t="shared" si="335"/>
        <v/>
      </c>
      <c r="O279" s="26" t="str">
        <f t="shared" si="336"/>
        <v/>
      </c>
      <c r="P279" s="26" t="str">
        <f t="shared" si="337"/>
        <v/>
      </c>
      <c r="Q279" s="26">
        <f t="shared" si="338"/>
        <v>0</v>
      </c>
      <c r="R279" s="26">
        <f t="shared" si="339"/>
        <v>0</v>
      </c>
      <c r="S279" s="26">
        <f t="shared" si="340"/>
        <v>0</v>
      </c>
      <c r="T279" s="26" t="str">
        <f t="shared" si="341"/>
        <v/>
      </c>
      <c r="U279" s="26" t="str">
        <f t="shared" si="342"/>
        <v/>
      </c>
      <c r="V279" s="26" t="str">
        <f t="shared" si="343"/>
        <v/>
      </c>
      <c r="W279" s="27" t="str">
        <f t="shared" si="344"/>
        <v/>
      </c>
      <c r="X279" s="27" t="str">
        <f t="shared" si="345"/>
        <v/>
      </c>
      <c r="Y279" s="28" t="str">
        <f t="shared" si="346"/>
        <v/>
      </c>
      <c r="Z279" s="27" t="str">
        <f t="shared" si="347"/>
        <v/>
      </c>
      <c r="AA279" s="27" t="str">
        <f t="shared" si="348"/>
        <v/>
      </c>
      <c r="AB279" s="27" t="str">
        <f t="shared" si="349"/>
        <v/>
      </c>
      <c r="AC279" s="27" t="str">
        <f t="shared" si="350"/>
        <v/>
      </c>
      <c r="AD279" s="29" t="str">
        <f t="shared" si="351"/>
        <v/>
      </c>
      <c r="AE279" s="30" t="str">
        <f t="shared" si="352"/>
        <v/>
      </c>
      <c r="AG279" s="4"/>
      <c r="AH279" s="31" t="e">
        <f t="shared" si="353"/>
        <v>#VALUE!</v>
      </c>
      <c r="AI279" s="31" t="e">
        <f t="shared" si="354"/>
        <v>#VALUE!</v>
      </c>
      <c r="AJ279" s="31" t="e">
        <f t="shared" si="355"/>
        <v>#VALUE!</v>
      </c>
      <c r="AK279" s="31" t="e">
        <f t="shared" si="356"/>
        <v>#VALUE!</v>
      </c>
      <c r="AL279" s="31" t="e">
        <f t="shared" si="357"/>
        <v>#VALUE!</v>
      </c>
      <c r="AM279" s="31" t="e">
        <f t="shared" si="358"/>
        <v>#VALUE!</v>
      </c>
      <c r="AN279" s="32" t="str">
        <f t="shared" si="359"/>
        <v/>
      </c>
      <c r="AO279" s="27" t="str">
        <f t="shared" si="360"/>
        <v/>
      </c>
      <c r="AP279" s="27" t="str">
        <f t="shared" si="361"/>
        <v/>
      </c>
      <c r="AQ279" s="27">
        <f t="shared" si="362"/>
        <v>0</v>
      </c>
      <c r="AR279" s="27">
        <f t="shared" si="363"/>
        <v>0</v>
      </c>
      <c r="AS279" s="33">
        <f t="shared" si="364"/>
        <v>0</v>
      </c>
    </row>
    <row r="280" spans="2:45" hidden="1" x14ac:dyDescent="0.25">
      <c r="B280" s="34">
        <f>IF(B279="","",B279)</f>
        <v>11740</v>
      </c>
      <c r="C280" s="26">
        <f t="shared" ref="C280:F280" si="409">IF(C279="","",C279)</f>
        <v>20</v>
      </c>
      <c r="D280" s="26">
        <f t="shared" si="409"/>
        <v>-500</v>
      </c>
      <c r="E280" s="26">
        <f t="shared" si="409"/>
        <v>0</v>
      </c>
      <c r="F280" s="26">
        <f t="shared" si="409"/>
        <v>-650</v>
      </c>
      <c r="G280" s="24"/>
      <c r="H280" s="24"/>
      <c r="I280" s="24"/>
      <c r="J280" s="24"/>
      <c r="K280" s="24"/>
      <c r="L280" s="24"/>
      <c r="M280" s="44" t="str">
        <f t="shared" si="334"/>
        <v/>
      </c>
      <c r="N280" s="26" t="str">
        <f t="shared" si="335"/>
        <v/>
      </c>
      <c r="O280" s="26" t="str">
        <f t="shared" si="336"/>
        <v/>
      </c>
      <c r="P280" s="26" t="str">
        <f t="shared" si="337"/>
        <v/>
      </c>
      <c r="Q280" s="26">
        <f t="shared" si="338"/>
        <v>0</v>
      </c>
      <c r="R280" s="26">
        <f t="shared" si="339"/>
        <v>0</v>
      </c>
      <c r="S280" s="26">
        <f t="shared" si="340"/>
        <v>0</v>
      </c>
      <c r="T280" s="26" t="str">
        <f t="shared" si="341"/>
        <v/>
      </c>
      <c r="U280" s="26" t="str">
        <f t="shared" si="342"/>
        <v/>
      </c>
      <c r="V280" s="26" t="str">
        <f t="shared" si="343"/>
        <v/>
      </c>
      <c r="W280" s="27" t="str">
        <f t="shared" si="344"/>
        <v/>
      </c>
      <c r="X280" s="27" t="str">
        <f t="shared" si="345"/>
        <v/>
      </c>
      <c r="Y280" s="28" t="str">
        <f t="shared" si="346"/>
        <v/>
      </c>
      <c r="Z280" s="27" t="str">
        <f t="shared" si="347"/>
        <v/>
      </c>
      <c r="AA280" s="27" t="str">
        <f t="shared" si="348"/>
        <v/>
      </c>
      <c r="AB280" s="27" t="str">
        <f t="shared" si="349"/>
        <v/>
      </c>
      <c r="AC280" s="27" t="str">
        <f t="shared" si="350"/>
        <v/>
      </c>
      <c r="AD280" s="29" t="str">
        <f t="shared" si="351"/>
        <v/>
      </c>
      <c r="AE280" s="30" t="str">
        <f t="shared" si="352"/>
        <v/>
      </c>
      <c r="AG280" s="4"/>
      <c r="AH280" s="31" t="e">
        <f t="shared" si="353"/>
        <v>#VALUE!</v>
      </c>
      <c r="AI280" s="31" t="e">
        <f t="shared" si="354"/>
        <v>#VALUE!</v>
      </c>
      <c r="AJ280" s="31" t="e">
        <f t="shared" si="355"/>
        <v>#VALUE!</v>
      </c>
      <c r="AK280" s="31" t="e">
        <f t="shared" si="356"/>
        <v>#VALUE!</v>
      </c>
      <c r="AL280" s="31" t="e">
        <f t="shared" si="357"/>
        <v>#VALUE!</v>
      </c>
      <c r="AM280" s="31" t="e">
        <f t="shared" si="358"/>
        <v>#VALUE!</v>
      </c>
      <c r="AN280" s="32" t="str">
        <f t="shared" si="359"/>
        <v/>
      </c>
      <c r="AO280" s="27" t="str">
        <f t="shared" si="360"/>
        <v/>
      </c>
      <c r="AP280" s="27" t="str">
        <f t="shared" si="361"/>
        <v/>
      </c>
      <c r="AQ280" s="27">
        <f t="shared" si="362"/>
        <v>0</v>
      </c>
      <c r="AR280" s="27">
        <f t="shared" si="363"/>
        <v>0</v>
      </c>
      <c r="AS280" s="33">
        <f t="shared" si="364"/>
        <v>0</v>
      </c>
    </row>
    <row r="281" spans="2:45" hidden="1" x14ac:dyDescent="0.25">
      <c r="B281" s="34">
        <f t="shared" ref="B281:F281" si="410">IF(B280="","",B280)</f>
        <v>11740</v>
      </c>
      <c r="C281" s="26">
        <f t="shared" si="410"/>
        <v>20</v>
      </c>
      <c r="D281" s="26">
        <f t="shared" si="410"/>
        <v>-500</v>
      </c>
      <c r="E281" s="26">
        <f t="shared" si="410"/>
        <v>0</v>
      </c>
      <c r="F281" s="26">
        <f t="shared" si="410"/>
        <v>-650</v>
      </c>
      <c r="G281" s="24"/>
      <c r="H281" s="24"/>
      <c r="I281" s="24"/>
      <c r="J281" s="24"/>
      <c r="K281" s="24"/>
      <c r="L281" s="24"/>
      <c r="M281" s="44" t="str">
        <f t="shared" si="334"/>
        <v/>
      </c>
      <c r="N281" s="26" t="str">
        <f t="shared" si="335"/>
        <v/>
      </c>
      <c r="O281" s="26" t="str">
        <f t="shared" si="336"/>
        <v/>
      </c>
      <c r="P281" s="26" t="str">
        <f t="shared" si="337"/>
        <v/>
      </c>
      <c r="Q281" s="26">
        <f t="shared" si="338"/>
        <v>0</v>
      </c>
      <c r="R281" s="26">
        <f t="shared" si="339"/>
        <v>0</v>
      </c>
      <c r="S281" s="26">
        <f t="shared" si="340"/>
        <v>0</v>
      </c>
      <c r="T281" s="26" t="str">
        <f t="shared" si="341"/>
        <v/>
      </c>
      <c r="U281" s="26" t="str">
        <f t="shared" si="342"/>
        <v/>
      </c>
      <c r="V281" s="26" t="str">
        <f t="shared" si="343"/>
        <v/>
      </c>
      <c r="W281" s="27" t="str">
        <f t="shared" si="344"/>
        <v/>
      </c>
      <c r="X281" s="27" t="str">
        <f t="shared" si="345"/>
        <v/>
      </c>
      <c r="Y281" s="28" t="str">
        <f t="shared" si="346"/>
        <v/>
      </c>
      <c r="Z281" s="27" t="str">
        <f t="shared" si="347"/>
        <v/>
      </c>
      <c r="AA281" s="27" t="str">
        <f t="shared" si="348"/>
        <v/>
      </c>
      <c r="AB281" s="27" t="str">
        <f t="shared" si="349"/>
        <v/>
      </c>
      <c r="AC281" s="27" t="str">
        <f t="shared" si="350"/>
        <v/>
      </c>
      <c r="AD281" s="29" t="str">
        <f t="shared" si="351"/>
        <v/>
      </c>
      <c r="AE281" s="30" t="str">
        <f t="shared" si="352"/>
        <v/>
      </c>
      <c r="AG281" s="4"/>
      <c r="AH281" s="31" t="e">
        <f t="shared" si="353"/>
        <v>#VALUE!</v>
      </c>
      <c r="AI281" s="31" t="e">
        <f t="shared" si="354"/>
        <v>#VALUE!</v>
      </c>
      <c r="AJ281" s="31" t="e">
        <f t="shared" si="355"/>
        <v>#VALUE!</v>
      </c>
      <c r="AK281" s="31" t="e">
        <f t="shared" si="356"/>
        <v>#VALUE!</v>
      </c>
      <c r="AL281" s="31" t="e">
        <f t="shared" si="357"/>
        <v>#VALUE!</v>
      </c>
      <c r="AM281" s="31" t="e">
        <f t="shared" si="358"/>
        <v>#VALUE!</v>
      </c>
      <c r="AN281" s="32" t="str">
        <f t="shared" si="359"/>
        <v/>
      </c>
      <c r="AO281" s="27" t="str">
        <f t="shared" si="360"/>
        <v/>
      </c>
      <c r="AP281" s="27" t="str">
        <f t="shared" si="361"/>
        <v/>
      </c>
      <c r="AQ281" s="27">
        <f t="shared" si="362"/>
        <v>0</v>
      </c>
      <c r="AR281" s="27">
        <f t="shared" si="363"/>
        <v>0</v>
      </c>
      <c r="AS281" s="33">
        <f t="shared" si="364"/>
        <v>0</v>
      </c>
    </row>
    <row r="282" spans="2:45" hidden="1" x14ac:dyDescent="0.25">
      <c r="B282" s="34">
        <f t="shared" ref="B282:F282" si="411">IF(B281="","",B281)</f>
        <v>11740</v>
      </c>
      <c r="C282" s="26">
        <f t="shared" si="411"/>
        <v>20</v>
      </c>
      <c r="D282" s="26">
        <f t="shared" si="411"/>
        <v>-500</v>
      </c>
      <c r="E282" s="26">
        <f t="shared" si="411"/>
        <v>0</v>
      </c>
      <c r="F282" s="26">
        <f t="shared" si="411"/>
        <v>-650</v>
      </c>
      <c r="G282" s="24"/>
      <c r="H282" s="24"/>
      <c r="I282" s="24"/>
      <c r="J282" s="24"/>
      <c r="K282" s="24"/>
      <c r="L282" s="24"/>
      <c r="M282" s="44" t="str">
        <f t="shared" si="334"/>
        <v/>
      </c>
      <c r="N282" s="26" t="str">
        <f t="shared" si="335"/>
        <v/>
      </c>
      <c r="O282" s="26" t="str">
        <f t="shared" si="336"/>
        <v/>
      </c>
      <c r="P282" s="26" t="str">
        <f t="shared" si="337"/>
        <v/>
      </c>
      <c r="Q282" s="26">
        <f t="shared" si="338"/>
        <v>0</v>
      </c>
      <c r="R282" s="26">
        <f t="shared" si="339"/>
        <v>0</v>
      </c>
      <c r="S282" s="26">
        <f t="shared" si="340"/>
        <v>0</v>
      </c>
      <c r="T282" s="26" t="str">
        <f t="shared" si="341"/>
        <v/>
      </c>
      <c r="U282" s="26" t="str">
        <f t="shared" si="342"/>
        <v/>
      </c>
      <c r="V282" s="26" t="str">
        <f t="shared" si="343"/>
        <v/>
      </c>
      <c r="W282" s="27" t="str">
        <f t="shared" si="344"/>
        <v/>
      </c>
      <c r="X282" s="27" t="str">
        <f t="shared" si="345"/>
        <v/>
      </c>
      <c r="Y282" s="28" t="str">
        <f t="shared" si="346"/>
        <v/>
      </c>
      <c r="Z282" s="27" t="str">
        <f t="shared" si="347"/>
        <v/>
      </c>
      <c r="AA282" s="27" t="str">
        <f t="shared" si="348"/>
        <v/>
      </c>
      <c r="AB282" s="27" t="str">
        <f t="shared" si="349"/>
        <v/>
      </c>
      <c r="AC282" s="27" t="str">
        <f t="shared" si="350"/>
        <v/>
      </c>
      <c r="AD282" s="29" t="str">
        <f t="shared" si="351"/>
        <v/>
      </c>
      <c r="AE282" s="30" t="str">
        <f t="shared" si="352"/>
        <v/>
      </c>
      <c r="AG282" s="4"/>
      <c r="AH282" s="31" t="e">
        <f t="shared" si="353"/>
        <v>#VALUE!</v>
      </c>
      <c r="AI282" s="31" t="e">
        <f t="shared" si="354"/>
        <v>#VALUE!</v>
      </c>
      <c r="AJ282" s="31" t="e">
        <f t="shared" si="355"/>
        <v>#VALUE!</v>
      </c>
      <c r="AK282" s="31" t="e">
        <f t="shared" si="356"/>
        <v>#VALUE!</v>
      </c>
      <c r="AL282" s="31" t="e">
        <f t="shared" si="357"/>
        <v>#VALUE!</v>
      </c>
      <c r="AM282" s="31" t="e">
        <f t="shared" si="358"/>
        <v>#VALUE!</v>
      </c>
      <c r="AN282" s="32" t="str">
        <f t="shared" si="359"/>
        <v/>
      </c>
      <c r="AO282" s="27" t="str">
        <f t="shared" si="360"/>
        <v/>
      </c>
      <c r="AP282" s="27" t="str">
        <f t="shared" si="361"/>
        <v/>
      </c>
      <c r="AQ282" s="27">
        <f t="shared" si="362"/>
        <v>0</v>
      </c>
      <c r="AR282" s="27">
        <f t="shared" si="363"/>
        <v>0</v>
      </c>
      <c r="AS282" s="33">
        <f t="shared" si="364"/>
        <v>0</v>
      </c>
    </row>
    <row r="283" spans="2:45" hidden="1" x14ac:dyDescent="0.25">
      <c r="B283" s="34">
        <f t="shared" ref="B283:F283" si="412">IF(B282="","",B282)</f>
        <v>11740</v>
      </c>
      <c r="C283" s="26">
        <f t="shared" si="412"/>
        <v>20</v>
      </c>
      <c r="D283" s="26">
        <f t="shared" si="412"/>
        <v>-500</v>
      </c>
      <c r="E283" s="26">
        <f t="shared" si="412"/>
        <v>0</v>
      </c>
      <c r="F283" s="26">
        <f t="shared" si="412"/>
        <v>-650</v>
      </c>
      <c r="G283" s="24"/>
      <c r="H283" s="24"/>
      <c r="I283" s="24"/>
      <c r="J283" s="24"/>
      <c r="K283" s="24"/>
      <c r="L283" s="24"/>
      <c r="M283" s="44" t="str">
        <f t="shared" si="334"/>
        <v/>
      </c>
      <c r="N283" s="26" t="str">
        <f t="shared" si="335"/>
        <v/>
      </c>
      <c r="O283" s="26" t="str">
        <f t="shared" si="336"/>
        <v/>
      </c>
      <c r="P283" s="26" t="str">
        <f t="shared" si="337"/>
        <v/>
      </c>
      <c r="Q283" s="26">
        <f t="shared" si="338"/>
        <v>0</v>
      </c>
      <c r="R283" s="26">
        <f t="shared" si="339"/>
        <v>0</v>
      </c>
      <c r="S283" s="26">
        <f t="shared" si="340"/>
        <v>0</v>
      </c>
      <c r="T283" s="26" t="str">
        <f t="shared" si="341"/>
        <v/>
      </c>
      <c r="U283" s="26" t="str">
        <f t="shared" si="342"/>
        <v/>
      </c>
      <c r="V283" s="26" t="str">
        <f t="shared" si="343"/>
        <v/>
      </c>
      <c r="W283" s="27" t="str">
        <f t="shared" si="344"/>
        <v/>
      </c>
      <c r="X283" s="27" t="str">
        <f t="shared" si="345"/>
        <v/>
      </c>
      <c r="Y283" s="28" t="str">
        <f t="shared" si="346"/>
        <v/>
      </c>
      <c r="Z283" s="27" t="str">
        <f t="shared" si="347"/>
        <v/>
      </c>
      <c r="AA283" s="27" t="str">
        <f t="shared" si="348"/>
        <v/>
      </c>
      <c r="AB283" s="27" t="str">
        <f t="shared" si="349"/>
        <v/>
      </c>
      <c r="AC283" s="27" t="str">
        <f t="shared" si="350"/>
        <v/>
      </c>
      <c r="AD283" s="29" t="str">
        <f t="shared" si="351"/>
        <v/>
      </c>
      <c r="AE283" s="30" t="str">
        <f t="shared" si="352"/>
        <v/>
      </c>
      <c r="AG283" s="4"/>
      <c r="AH283" s="31" t="e">
        <f t="shared" si="353"/>
        <v>#VALUE!</v>
      </c>
      <c r="AI283" s="31" t="e">
        <f t="shared" si="354"/>
        <v>#VALUE!</v>
      </c>
      <c r="AJ283" s="31" t="e">
        <f t="shared" si="355"/>
        <v>#VALUE!</v>
      </c>
      <c r="AK283" s="31" t="e">
        <f t="shared" si="356"/>
        <v>#VALUE!</v>
      </c>
      <c r="AL283" s="31" t="e">
        <f t="shared" si="357"/>
        <v>#VALUE!</v>
      </c>
      <c r="AM283" s="31" t="e">
        <f t="shared" si="358"/>
        <v>#VALUE!</v>
      </c>
      <c r="AN283" s="32" t="str">
        <f t="shared" si="359"/>
        <v/>
      </c>
      <c r="AO283" s="27" t="str">
        <f t="shared" si="360"/>
        <v/>
      </c>
      <c r="AP283" s="27" t="str">
        <f t="shared" si="361"/>
        <v/>
      </c>
      <c r="AQ283" s="27">
        <f t="shared" si="362"/>
        <v>0</v>
      </c>
      <c r="AR283" s="27">
        <f t="shared" si="363"/>
        <v>0</v>
      </c>
      <c r="AS283" s="33">
        <f t="shared" si="364"/>
        <v>0</v>
      </c>
    </row>
    <row r="284" spans="2:45" hidden="1" x14ac:dyDescent="0.25">
      <c r="B284" s="34">
        <f t="shared" ref="B284:F284" si="413">IF(B283="","",B283)</f>
        <v>11740</v>
      </c>
      <c r="C284" s="26">
        <f t="shared" si="413"/>
        <v>20</v>
      </c>
      <c r="D284" s="26">
        <f t="shared" si="413"/>
        <v>-500</v>
      </c>
      <c r="E284" s="26">
        <f t="shared" si="413"/>
        <v>0</v>
      </c>
      <c r="F284" s="26">
        <f t="shared" si="413"/>
        <v>-650</v>
      </c>
      <c r="G284" s="24"/>
      <c r="H284" s="24"/>
      <c r="I284" s="24"/>
      <c r="J284" s="24"/>
      <c r="K284" s="24"/>
      <c r="L284" s="24"/>
      <c r="M284" s="44" t="str">
        <f t="shared" si="334"/>
        <v/>
      </c>
      <c r="N284" s="26" t="str">
        <f t="shared" si="335"/>
        <v/>
      </c>
      <c r="O284" s="26" t="str">
        <f t="shared" si="336"/>
        <v/>
      </c>
      <c r="P284" s="26" t="str">
        <f t="shared" si="337"/>
        <v/>
      </c>
      <c r="Q284" s="26">
        <f t="shared" si="338"/>
        <v>0</v>
      </c>
      <c r="R284" s="26">
        <f t="shared" si="339"/>
        <v>0</v>
      </c>
      <c r="S284" s="26">
        <f t="shared" si="340"/>
        <v>0</v>
      </c>
      <c r="T284" s="26" t="str">
        <f t="shared" si="341"/>
        <v/>
      </c>
      <c r="U284" s="26" t="str">
        <f t="shared" si="342"/>
        <v/>
      </c>
      <c r="V284" s="26" t="str">
        <f t="shared" si="343"/>
        <v/>
      </c>
      <c r="W284" s="27" t="str">
        <f t="shared" si="344"/>
        <v/>
      </c>
      <c r="X284" s="27" t="str">
        <f t="shared" si="345"/>
        <v/>
      </c>
      <c r="Y284" s="28" t="str">
        <f t="shared" si="346"/>
        <v/>
      </c>
      <c r="Z284" s="27" t="str">
        <f t="shared" si="347"/>
        <v/>
      </c>
      <c r="AA284" s="27" t="str">
        <f t="shared" si="348"/>
        <v/>
      </c>
      <c r="AB284" s="27" t="str">
        <f t="shared" si="349"/>
        <v/>
      </c>
      <c r="AC284" s="27" t="str">
        <f t="shared" si="350"/>
        <v/>
      </c>
      <c r="AD284" s="29" t="str">
        <f t="shared" si="351"/>
        <v/>
      </c>
      <c r="AE284" s="30" t="str">
        <f t="shared" si="352"/>
        <v/>
      </c>
      <c r="AG284" s="4"/>
      <c r="AH284" s="31" t="e">
        <f t="shared" si="353"/>
        <v>#VALUE!</v>
      </c>
      <c r="AI284" s="31" t="e">
        <f t="shared" si="354"/>
        <v>#VALUE!</v>
      </c>
      <c r="AJ284" s="31" t="e">
        <f t="shared" si="355"/>
        <v>#VALUE!</v>
      </c>
      <c r="AK284" s="31" t="e">
        <f t="shared" si="356"/>
        <v>#VALUE!</v>
      </c>
      <c r="AL284" s="31" t="e">
        <f t="shared" si="357"/>
        <v>#VALUE!</v>
      </c>
      <c r="AM284" s="31" t="e">
        <f t="shared" si="358"/>
        <v>#VALUE!</v>
      </c>
      <c r="AN284" s="32" t="str">
        <f t="shared" si="359"/>
        <v/>
      </c>
      <c r="AO284" s="27" t="str">
        <f t="shared" si="360"/>
        <v/>
      </c>
      <c r="AP284" s="27" t="str">
        <f t="shared" si="361"/>
        <v/>
      </c>
      <c r="AQ284" s="27">
        <f t="shared" si="362"/>
        <v>0</v>
      </c>
      <c r="AR284" s="27">
        <f t="shared" si="363"/>
        <v>0</v>
      </c>
      <c r="AS284" s="33">
        <f t="shared" si="364"/>
        <v>0</v>
      </c>
    </row>
    <row r="285" spans="2:45" hidden="1" x14ac:dyDescent="0.25">
      <c r="B285" s="34">
        <f t="shared" ref="B285:F285" si="414">IF(B284="","",B284)</f>
        <v>11740</v>
      </c>
      <c r="C285" s="26">
        <f t="shared" si="414"/>
        <v>20</v>
      </c>
      <c r="D285" s="26">
        <f t="shared" si="414"/>
        <v>-500</v>
      </c>
      <c r="E285" s="26">
        <f t="shared" si="414"/>
        <v>0</v>
      </c>
      <c r="F285" s="26">
        <f t="shared" si="414"/>
        <v>-650</v>
      </c>
      <c r="G285" s="24"/>
      <c r="H285" s="24"/>
      <c r="I285" s="24"/>
      <c r="J285" s="24"/>
      <c r="K285" s="24"/>
      <c r="L285" s="24"/>
      <c r="M285" s="44" t="str">
        <f t="shared" si="334"/>
        <v/>
      </c>
      <c r="N285" s="26" t="str">
        <f t="shared" si="335"/>
        <v/>
      </c>
      <c r="O285" s="26" t="str">
        <f t="shared" si="336"/>
        <v/>
      </c>
      <c r="P285" s="26" t="str">
        <f t="shared" si="337"/>
        <v/>
      </c>
      <c r="Q285" s="26">
        <f t="shared" si="338"/>
        <v>0</v>
      </c>
      <c r="R285" s="26">
        <f t="shared" si="339"/>
        <v>0</v>
      </c>
      <c r="S285" s="26">
        <f t="shared" si="340"/>
        <v>0</v>
      </c>
      <c r="T285" s="26" t="str">
        <f t="shared" si="341"/>
        <v/>
      </c>
      <c r="U285" s="26" t="str">
        <f t="shared" si="342"/>
        <v/>
      </c>
      <c r="V285" s="26" t="str">
        <f t="shared" si="343"/>
        <v/>
      </c>
      <c r="W285" s="27" t="str">
        <f t="shared" si="344"/>
        <v/>
      </c>
      <c r="X285" s="27" t="str">
        <f t="shared" si="345"/>
        <v/>
      </c>
      <c r="Y285" s="28" t="str">
        <f t="shared" si="346"/>
        <v/>
      </c>
      <c r="Z285" s="27" t="str">
        <f t="shared" si="347"/>
        <v/>
      </c>
      <c r="AA285" s="27" t="str">
        <f t="shared" si="348"/>
        <v/>
      </c>
      <c r="AB285" s="27" t="str">
        <f t="shared" si="349"/>
        <v/>
      </c>
      <c r="AC285" s="27" t="str">
        <f t="shared" si="350"/>
        <v/>
      </c>
      <c r="AD285" s="29" t="str">
        <f t="shared" si="351"/>
        <v/>
      </c>
      <c r="AE285" s="30" t="str">
        <f t="shared" si="352"/>
        <v/>
      </c>
      <c r="AG285" s="4"/>
      <c r="AH285" s="31" t="e">
        <f t="shared" si="353"/>
        <v>#VALUE!</v>
      </c>
      <c r="AI285" s="31" t="e">
        <f t="shared" si="354"/>
        <v>#VALUE!</v>
      </c>
      <c r="AJ285" s="31" t="e">
        <f t="shared" si="355"/>
        <v>#VALUE!</v>
      </c>
      <c r="AK285" s="31" t="e">
        <f t="shared" si="356"/>
        <v>#VALUE!</v>
      </c>
      <c r="AL285" s="31" t="e">
        <f t="shared" si="357"/>
        <v>#VALUE!</v>
      </c>
      <c r="AM285" s="31" t="e">
        <f t="shared" si="358"/>
        <v>#VALUE!</v>
      </c>
      <c r="AN285" s="32" t="str">
        <f t="shared" si="359"/>
        <v/>
      </c>
      <c r="AO285" s="27" t="str">
        <f t="shared" si="360"/>
        <v/>
      </c>
      <c r="AP285" s="27" t="str">
        <f t="shared" si="361"/>
        <v/>
      </c>
      <c r="AQ285" s="27">
        <f t="shared" si="362"/>
        <v>0</v>
      </c>
      <c r="AR285" s="27">
        <f t="shared" si="363"/>
        <v>0</v>
      </c>
      <c r="AS285" s="33">
        <f t="shared" si="364"/>
        <v>0</v>
      </c>
    </row>
    <row r="286" spans="2:45" hidden="1" x14ac:dyDescent="0.25">
      <c r="B286" s="34">
        <f t="shared" ref="B286:F286" si="415">IF(B285="","",B285)</f>
        <v>11740</v>
      </c>
      <c r="C286" s="26">
        <f t="shared" si="415"/>
        <v>20</v>
      </c>
      <c r="D286" s="26">
        <f t="shared" si="415"/>
        <v>-500</v>
      </c>
      <c r="E286" s="26">
        <f t="shared" si="415"/>
        <v>0</v>
      </c>
      <c r="F286" s="26">
        <f t="shared" si="415"/>
        <v>-650</v>
      </c>
      <c r="G286" s="24"/>
      <c r="H286" s="24"/>
      <c r="I286" s="24"/>
      <c r="J286" s="24"/>
      <c r="K286" s="24"/>
      <c r="L286" s="24"/>
      <c r="M286" s="44" t="str">
        <f t="shared" si="334"/>
        <v/>
      </c>
      <c r="N286" s="26" t="str">
        <f t="shared" si="335"/>
        <v/>
      </c>
      <c r="O286" s="26" t="str">
        <f t="shared" si="336"/>
        <v/>
      </c>
      <c r="P286" s="26" t="str">
        <f t="shared" si="337"/>
        <v/>
      </c>
      <c r="Q286" s="26">
        <f t="shared" si="338"/>
        <v>0</v>
      </c>
      <c r="R286" s="26">
        <f t="shared" si="339"/>
        <v>0</v>
      </c>
      <c r="S286" s="26">
        <f t="shared" si="340"/>
        <v>0</v>
      </c>
      <c r="T286" s="26" t="str">
        <f t="shared" si="341"/>
        <v/>
      </c>
      <c r="U286" s="26" t="str">
        <f t="shared" si="342"/>
        <v/>
      </c>
      <c r="V286" s="26" t="str">
        <f t="shared" si="343"/>
        <v/>
      </c>
      <c r="W286" s="27" t="str">
        <f t="shared" si="344"/>
        <v/>
      </c>
      <c r="X286" s="27" t="str">
        <f t="shared" si="345"/>
        <v/>
      </c>
      <c r="Y286" s="28" t="str">
        <f t="shared" si="346"/>
        <v/>
      </c>
      <c r="Z286" s="27" t="str">
        <f t="shared" si="347"/>
        <v/>
      </c>
      <c r="AA286" s="27" t="str">
        <f t="shared" si="348"/>
        <v/>
      </c>
      <c r="AB286" s="27" t="str">
        <f t="shared" si="349"/>
        <v/>
      </c>
      <c r="AC286" s="27" t="str">
        <f t="shared" si="350"/>
        <v/>
      </c>
      <c r="AD286" s="29" t="str">
        <f t="shared" si="351"/>
        <v/>
      </c>
      <c r="AE286" s="30" t="str">
        <f t="shared" si="352"/>
        <v/>
      </c>
      <c r="AG286" s="4"/>
      <c r="AH286" s="31" t="e">
        <f t="shared" si="353"/>
        <v>#VALUE!</v>
      </c>
      <c r="AI286" s="31" t="e">
        <f t="shared" si="354"/>
        <v>#VALUE!</v>
      </c>
      <c r="AJ286" s="31" t="e">
        <f t="shared" si="355"/>
        <v>#VALUE!</v>
      </c>
      <c r="AK286" s="31" t="e">
        <f t="shared" si="356"/>
        <v>#VALUE!</v>
      </c>
      <c r="AL286" s="31" t="e">
        <f t="shared" si="357"/>
        <v>#VALUE!</v>
      </c>
      <c r="AM286" s="31" t="e">
        <f t="shared" si="358"/>
        <v>#VALUE!</v>
      </c>
      <c r="AN286" s="32" t="str">
        <f t="shared" si="359"/>
        <v/>
      </c>
      <c r="AO286" s="27" t="str">
        <f t="shared" si="360"/>
        <v/>
      </c>
      <c r="AP286" s="27" t="str">
        <f t="shared" si="361"/>
        <v/>
      </c>
      <c r="AQ286" s="27">
        <f t="shared" si="362"/>
        <v>0</v>
      </c>
      <c r="AR286" s="27">
        <f t="shared" si="363"/>
        <v>0</v>
      </c>
      <c r="AS286" s="33">
        <f t="shared" si="364"/>
        <v>0</v>
      </c>
    </row>
    <row r="287" spans="2:45" hidden="1" x14ac:dyDescent="0.25">
      <c r="B287" s="34">
        <f t="shared" ref="B287:F287" si="416">IF(B286="","",B286)</f>
        <v>11740</v>
      </c>
      <c r="C287" s="26">
        <f t="shared" si="416"/>
        <v>20</v>
      </c>
      <c r="D287" s="26">
        <f t="shared" si="416"/>
        <v>-500</v>
      </c>
      <c r="E287" s="26">
        <f t="shared" si="416"/>
        <v>0</v>
      </c>
      <c r="F287" s="26">
        <f t="shared" si="416"/>
        <v>-650</v>
      </c>
      <c r="G287" s="24"/>
      <c r="H287" s="24"/>
      <c r="I287" s="24"/>
      <c r="J287" s="24"/>
      <c r="K287" s="24"/>
      <c r="L287" s="24"/>
      <c r="M287" s="44" t="str">
        <f t="shared" si="334"/>
        <v/>
      </c>
      <c r="N287" s="26" t="str">
        <f t="shared" si="335"/>
        <v/>
      </c>
      <c r="O287" s="26" t="str">
        <f t="shared" si="336"/>
        <v/>
      </c>
      <c r="P287" s="26" t="str">
        <f t="shared" si="337"/>
        <v/>
      </c>
      <c r="Q287" s="26">
        <f t="shared" si="338"/>
        <v>0</v>
      </c>
      <c r="R287" s="26">
        <f t="shared" si="339"/>
        <v>0</v>
      </c>
      <c r="S287" s="26">
        <f t="shared" si="340"/>
        <v>0</v>
      </c>
      <c r="T287" s="26" t="str">
        <f t="shared" si="341"/>
        <v/>
      </c>
      <c r="U287" s="26" t="str">
        <f t="shared" si="342"/>
        <v/>
      </c>
      <c r="V287" s="26" t="str">
        <f t="shared" si="343"/>
        <v/>
      </c>
      <c r="W287" s="27" t="str">
        <f t="shared" si="344"/>
        <v/>
      </c>
      <c r="X287" s="27" t="str">
        <f t="shared" si="345"/>
        <v/>
      </c>
      <c r="Y287" s="28" t="str">
        <f t="shared" si="346"/>
        <v/>
      </c>
      <c r="Z287" s="27" t="str">
        <f t="shared" si="347"/>
        <v/>
      </c>
      <c r="AA287" s="27" t="str">
        <f t="shared" si="348"/>
        <v/>
      </c>
      <c r="AB287" s="27" t="str">
        <f t="shared" si="349"/>
        <v/>
      </c>
      <c r="AC287" s="27" t="str">
        <f t="shared" si="350"/>
        <v/>
      </c>
      <c r="AD287" s="29" t="str">
        <f t="shared" si="351"/>
        <v/>
      </c>
      <c r="AE287" s="30" t="str">
        <f t="shared" si="352"/>
        <v/>
      </c>
      <c r="AG287" s="4"/>
      <c r="AH287" s="31" t="e">
        <f t="shared" si="353"/>
        <v>#VALUE!</v>
      </c>
      <c r="AI287" s="31" t="e">
        <f t="shared" si="354"/>
        <v>#VALUE!</v>
      </c>
      <c r="AJ287" s="31" t="e">
        <f t="shared" si="355"/>
        <v>#VALUE!</v>
      </c>
      <c r="AK287" s="31" t="e">
        <f t="shared" si="356"/>
        <v>#VALUE!</v>
      </c>
      <c r="AL287" s="31" t="e">
        <f t="shared" si="357"/>
        <v>#VALUE!</v>
      </c>
      <c r="AM287" s="31" t="e">
        <f t="shared" si="358"/>
        <v>#VALUE!</v>
      </c>
      <c r="AN287" s="32" t="str">
        <f t="shared" si="359"/>
        <v/>
      </c>
      <c r="AO287" s="27" t="str">
        <f t="shared" si="360"/>
        <v/>
      </c>
      <c r="AP287" s="27" t="str">
        <f t="shared" si="361"/>
        <v/>
      </c>
      <c r="AQ287" s="27">
        <f t="shared" si="362"/>
        <v>0</v>
      </c>
      <c r="AR287" s="27">
        <f t="shared" si="363"/>
        <v>0</v>
      </c>
      <c r="AS287" s="33">
        <f t="shared" si="364"/>
        <v>0</v>
      </c>
    </row>
    <row r="288" spans="2:45" hidden="1" x14ac:dyDescent="0.25">
      <c r="B288" s="34">
        <f t="shared" ref="B288:F288" si="417">IF(B287="","",B287)</f>
        <v>11740</v>
      </c>
      <c r="C288" s="26">
        <f t="shared" si="417"/>
        <v>20</v>
      </c>
      <c r="D288" s="26">
        <f t="shared" si="417"/>
        <v>-500</v>
      </c>
      <c r="E288" s="26">
        <f t="shared" si="417"/>
        <v>0</v>
      </c>
      <c r="F288" s="26">
        <f t="shared" si="417"/>
        <v>-650</v>
      </c>
      <c r="G288" s="24"/>
      <c r="H288" s="24"/>
      <c r="I288" s="24"/>
      <c r="J288" s="24"/>
      <c r="K288" s="24"/>
      <c r="L288" s="24"/>
      <c r="M288" s="44" t="str">
        <f t="shared" si="334"/>
        <v/>
      </c>
      <c r="N288" s="26" t="str">
        <f t="shared" si="335"/>
        <v/>
      </c>
      <c r="O288" s="26" t="str">
        <f t="shared" si="336"/>
        <v/>
      </c>
      <c r="P288" s="26" t="str">
        <f t="shared" si="337"/>
        <v/>
      </c>
      <c r="Q288" s="26">
        <f t="shared" si="338"/>
        <v>0</v>
      </c>
      <c r="R288" s="26">
        <f t="shared" si="339"/>
        <v>0</v>
      </c>
      <c r="S288" s="26">
        <f t="shared" si="340"/>
        <v>0</v>
      </c>
      <c r="T288" s="26" t="str">
        <f t="shared" si="341"/>
        <v/>
      </c>
      <c r="U288" s="26" t="str">
        <f t="shared" si="342"/>
        <v/>
      </c>
      <c r="V288" s="26" t="str">
        <f t="shared" si="343"/>
        <v/>
      </c>
      <c r="W288" s="27" t="str">
        <f t="shared" si="344"/>
        <v/>
      </c>
      <c r="X288" s="27" t="str">
        <f t="shared" si="345"/>
        <v/>
      </c>
      <c r="Y288" s="28" t="str">
        <f t="shared" si="346"/>
        <v/>
      </c>
      <c r="Z288" s="27" t="str">
        <f t="shared" si="347"/>
        <v/>
      </c>
      <c r="AA288" s="27" t="str">
        <f t="shared" si="348"/>
        <v/>
      </c>
      <c r="AB288" s="27" t="str">
        <f t="shared" si="349"/>
        <v/>
      </c>
      <c r="AC288" s="27" t="str">
        <f t="shared" si="350"/>
        <v/>
      </c>
      <c r="AD288" s="29" t="str">
        <f t="shared" si="351"/>
        <v/>
      </c>
      <c r="AE288" s="30" t="str">
        <f t="shared" si="352"/>
        <v/>
      </c>
      <c r="AG288" s="4"/>
      <c r="AH288" s="31" t="e">
        <f t="shared" si="353"/>
        <v>#VALUE!</v>
      </c>
      <c r="AI288" s="31" t="e">
        <f t="shared" si="354"/>
        <v>#VALUE!</v>
      </c>
      <c r="AJ288" s="31" t="e">
        <f t="shared" si="355"/>
        <v>#VALUE!</v>
      </c>
      <c r="AK288" s="31" t="e">
        <f t="shared" si="356"/>
        <v>#VALUE!</v>
      </c>
      <c r="AL288" s="31" t="e">
        <f t="shared" si="357"/>
        <v>#VALUE!</v>
      </c>
      <c r="AM288" s="31" t="e">
        <f t="shared" si="358"/>
        <v>#VALUE!</v>
      </c>
      <c r="AN288" s="32" t="str">
        <f t="shared" si="359"/>
        <v/>
      </c>
      <c r="AO288" s="27" t="str">
        <f t="shared" si="360"/>
        <v/>
      </c>
      <c r="AP288" s="27" t="str">
        <f t="shared" si="361"/>
        <v/>
      </c>
      <c r="AQ288" s="27">
        <f t="shared" si="362"/>
        <v>0</v>
      </c>
      <c r="AR288" s="27">
        <f t="shared" si="363"/>
        <v>0</v>
      </c>
      <c r="AS288" s="33">
        <f t="shared" si="364"/>
        <v>0</v>
      </c>
    </row>
    <row r="289" spans="2:45" hidden="1" x14ac:dyDescent="0.25">
      <c r="B289" s="34">
        <f t="shared" ref="B289:F289" si="418">IF(B288="","",B288)</f>
        <v>11740</v>
      </c>
      <c r="C289" s="26">
        <f t="shared" si="418"/>
        <v>20</v>
      </c>
      <c r="D289" s="26">
        <f t="shared" si="418"/>
        <v>-500</v>
      </c>
      <c r="E289" s="26">
        <f t="shared" si="418"/>
        <v>0</v>
      </c>
      <c r="F289" s="26">
        <f t="shared" si="418"/>
        <v>-650</v>
      </c>
      <c r="G289" s="24"/>
      <c r="H289" s="24"/>
      <c r="I289" s="24"/>
      <c r="J289" s="24"/>
      <c r="K289" s="24"/>
      <c r="L289" s="24"/>
      <c r="M289" s="44" t="str">
        <f t="shared" si="334"/>
        <v/>
      </c>
      <c r="N289" s="26" t="str">
        <f t="shared" si="335"/>
        <v/>
      </c>
      <c r="O289" s="26" t="str">
        <f t="shared" si="336"/>
        <v/>
      </c>
      <c r="P289" s="26" t="str">
        <f t="shared" si="337"/>
        <v/>
      </c>
      <c r="Q289" s="26">
        <f t="shared" si="338"/>
        <v>0</v>
      </c>
      <c r="R289" s="26">
        <f t="shared" si="339"/>
        <v>0</v>
      </c>
      <c r="S289" s="26">
        <f t="shared" si="340"/>
        <v>0</v>
      </c>
      <c r="T289" s="26" t="str">
        <f t="shared" si="341"/>
        <v/>
      </c>
      <c r="U289" s="26" t="str">
        <f t="shared" si="342"/>
        <v/>
      </c>
      <c r="V289" s="26" t="str">
        <f t="shared" si="343"/>
        <v/>
      </c>
      <c r="W289" s="27" t="str">
        <f t="shared" si="344"/>
        <v/>
      </c>
      <c r="X289" s="27" t="str">
        <f t="shared" si="345"/>
        <v/>
      </c>
      <c r="Y289" s="28" t="str">
        <f t="shared" si="346"/>
        <v/>
      </c>
      <c r="Z289" s="27" t="str">
        <f t="shared" si="347"/>
        <v/>
      </c>
      <c r="AA289" s="27" t="str">
        <f t="shared" si="348"/>
        <v/>
      </c>
      <c r="AB289" s="27" t="str">
        <f t="shared" si="349"/>
        <v/>
      </c>
      <c r="AC289" s="27" t="str">
        <f t="shared" si="350"/>
        <v/>
      </c>
      <c r="AD289" s="29" t="str">
        <f t="shared" si="351"/>
        <v/>
      </c>
      <c r="AE289" s="30" t="str">
        <f t="shared" si="352"/>
        <v/>
      </c>
      <c r="AG289" s="4"/>
      <c r="AH289" s="31" t="e">
        <f t="shared" si="353"/>
        <v>#VALUE!</v>
      </c>
      <c r="AI289" s="31" t="e">
        <f t="shared" si="354"/>
        <v>#VALUE!</v>
      </c>
      <c r="AJ289" s="31" t="e">
        <f t="shared" si="355"/>
        <v>#VALUE!</v>
      </c>
      <c r="AK289" s="31" t="e">
        <f t="shared" si="356"/>
        <v>#VALUE!</v>
      </c>
      <c r="AL289" s="31" t="e">
        <f t="shared" si="357"/>
        <v>#VALUE!</v>
      </c>
      <c r="AM289" s="31" t="e">
        <f t="shared" si="358"/>
        <v>#VALUE!</v>
      </c>
      <c r="AN289" s="32" t="str">
        <f t="shared" si="359"/>
        <v/>
      </c>
      <c r="AO289" s="27" t="str">
        <f t="shared" si="360"/>
        <v/>
      </c>
      <c r="AP289" s="27" t="str">
        <f t="shared" si="361"/>
        <v/>
      </c>
      <c r="AQ289" s="27">
        <f t="shared" si="362"/>
        <v>0</v>
      </c>
      <c r="AR289" s="27">
        <f t="shared" si="363"/>
        <v>0</v>
      </c>
      <c r="AS289" s="33">
        <f t="shared" si="364"/>
        <v>0</v>
      </c>
    </row>
    <row r="290" spans="2:45" hidden="1" x14ac:dyDescent="0.25">
      <c r="B290" s="34">
        <f t="shared" ref="B290:F290" si="419">IF(B289="","",B289)</f>
        <v>11740</v>
      </c>
      <c r="C290" s="26">
        <f t="shared" si="419"/>
        <v>20</v>
      </c>
      <c r="D290" s="26">
        <f t="shared" si="419"/>
        <v>-500</v>
      </c>
      <c r="E290" s="26">
        <f t="shared" si="419"/>
        <v>0</v>
      </c>
      <c r="F290" s="26">
        <f t="shared" si="419"/>
        <v>-650</v>
      </c>
      <c r="G290" s="24"/>
      <c r="H290" s="24"/>
      <c r="I290" s="24"/>
      <c r="J290" s="24"/>
      <c r="K290" s="24"/>
      <c r="L290" s="24"/>
      <c r="M290" s="44" t="str">
        <f t="shared" si="334"/>
        <v/>
      </c>
      <c r="N290" s="26" t="str">
        <f t="shared" si="335"/>
        <v/>
      </c>
      <c r="O290" s="26" t="str">
        <f t="shared" si="336"/>
        <v/>
      </c>
      <c r="P290" s="26" t="str">
        <f t="shared" si="337"/>
        <v/>
      </c>
      <c r="Q290" s="26">
        <f t="shared" si="338"/>
        <v>0</v>
      </c>
      <c r="R290" s="26">
        <f t="shared" si="339"/>
        <v>0</v>
      </c>
      <c r="S290" s="26">
        <f t="shared" si="340"/>
        <v>0</v>
      </c>
      <c r="T290" s="26" t="str">
        <f t="shared" si="341"/>
        <v/>
      </c>
      <c r="U290" s="26" t="str">
        <f t="shared" si="342"/>
        <v/>
      </c>
      <c r="V290" s="26" t="str">
        <f t="shared" si="343"/>
        <v/>
      </c>
      <c r="W290" s="27" t="str">
        <f t="shared" si="344"/>
        <v/>
      </c>
      <c r="X290" s="27" t="str">
        <f t="shared" si="345"/>
        <v/>
      </c>
      <c r="Y290" s="28" t="str">
        <f t="shared" si="346"/>
        <v/>
      </c>
      <c r="Z290" s="27" t="str">
        <f t="shared" si="347"/>
        <v/>
      </c>
      <c r="AA290" s="27" t="str">
        <f t="shared" si="348"/>
        <v/>
      </c>
      <c r="AB290" s="27" t="str">
        <f t="shared" si="349"/>
        <v/>
      </c>
      <c r="AC290" s="27" t="str">
        <f t="shared" si="350"/>
        <v/>
      </c>
      <c r="AD290" s="29" t="str">
        <f t="shared" si="351"/>
        <v/>
      </c>
      <c r="AE290" s="30" t="str">
        <f t="shared" si="352"/>
        <v/>
      </c>
      <c r="AG290" s="4"/>
      <c r="AH290" s="31" t="e">
        <f t="shared" si="353"/>
        <v>#VALUE!</v>
      </c>
      <c r="AI290" s="31" t="e">
        <f t="shared" si="354"/>
        <v>#VALUE!</v>
      </c>
      <c r="AJ290" s="31" t="e">
        <f t="shared" si="355"/>
        <v>#VALUE!</v>
      </c>
      <c r="AK290" s="31" t="e">
        <f t="shared" si="356"/>
        <v>#VALUE!</v>
      </c>
      <c r="AL290" s="31" t="e">
        <f t="shared" si="357"/>
        <v>#VALUE!</v>
      </c>
      <c r="AM290" s="31" t="e">
        <f t="shared" si="358"/>
        <v>#VALUE!</v>
      </c>
      <c r="AN290" s="32" t="str">
        <f t="shared" si="359"/>
        <v/>
      </c>
      <c r="AO290" s="27" t="str">
        <f t="shared" si="360"/>
        <v/>
      </c>
      <c r="AP290" s="27" t="str">
        <f t="shared" si="361"/>
        <v/>
      </c>
      <c r="AQ290" s="27">
        <f t="shared" si="362"/>
        <v>0</v>
      </c>
      <c r="AR290" s="27">
        <f t="shared" si="363"/>
        <v>0</v>
      </c>
      <c r="AS290" s="33">
        <f t="shared" si="364"/>
        <v>0</v>
      </c>
    </row>
    <row r="291" spans="2:45" hidden="1" x14ac:dyDescent="0.25">
      <c r="B291" s="34">
        <f t="shared" ref="B291:F291" si="420">IF(B290="","",B290)</f>
        <v>11740</v>
      </c>
      <c r="C291" s="26">
        <f t="shared" si="420"/>
        <v>20</v>
      </c>
      <c r="D291" s="26">
        <f t="shared" si="420"/>
        <v>-500</v>
      </c>
      <c r="E291" s="26">
        <f t="shared" si="420"/>
        <v>0</v>
      </c>
      <c r="F291" s="26">
        <f t="shared" si="420"/>
        <v>-650</v>
      </c>
      <c r="G291" s="24"/>
      <c r="H291" s="24"/>
      <c r="I291" s="24"/>
      <c r="J291" s="24"/>
      <c r="K291" s="24"/>
      <c r="L291" s="24"/>
      <c r="M291" s="44" t="str">
        <f t="shared" si="334"/>
        <v/>
      </c>
      <c r="N291" s="26" t="str">
        <f t="shared" si="335"/>
        <v/>
      </c>
      <c r="O291" s="26" t="str">
        <f t="shared" si="336"/>
        <v/>
      </c>
      <c r="P291" s="26" t="str">
        <f t="shared" si="337"/>
        <v/>
      </c>
      <c r="Q291" s="26">
        <f t="shared" si="338"/>
        <v>0</v>
      </c>
      <c r="R291" s="26">
        <f t="shared" si="339"/>
        <v>0</v>
      </c>
      <c r="S291" s="26">
        <f t="shared" si="340"/>
        <v>0</v>
      </c>
      <c r="T291" s="26" t="str">
        <f t="shared" si="341"/>
        <v/>
      </c>
      <c r="U291" s="26" t="str">
        <f t="shared" si="342"/>
        <v/>
      </c>
      <c r="V291" s="26" t="str">
        <f t="shared" si="343"/>
        <v/>
      </c>
      <c r="W291" s="27" t="str">
        <f t="shared" si="344"/>
        <v/>
      </c>
      <c r="X291" s="27" t="str">
        <f t="shared" si="345"/>
        <v/>
      </c>
      <c r="Y291" s="28" t="str">
        <f t="shared" si="346"/>
        <v/>
      </c>
      <c r="Z291" s="27" t="str">
        <f t="shared" si="347"/>
        <v/>
      </c>
      <c r="AA291" s="27" t="str">
        <f t="shared" si="348"/>
        <v/>
      </c>
      <c r="AB291" s="27" t="str">
        <f t="shared" si="349"/>
        <v/>
      </c>
      <c r="AC291" s="27" t="str">
        <f t="shared" si="350"/>
        <v/>
      </c>
      <c r="AD291" s="29" t="str">
        <f t="shared" si="351"/>
        <v/>
      </c>
      <c r="AE291" s="30" t="str">
        <f t="shared" si="352"/>
        <v/>
      </c>
      <c r="AG291" s="4"/>
      <c r="AH291" s="31" t="e">
        <f t="shared" si="353"/>
        <v>#VALUE!</v>
      </c>
      <c r="AI291" s="31" t="e">
        <f t="shared" si="354"/>
        <v>#VALUE!</v>
      </c>
      <c r="AJ291" s="31" t="e">
        <f t="shared" si="355"/>
        <v>#VALUE!</v>
      </c>
      <c r="AK291" s="31" t="e">
        <f t="shared" si="356"/>
        <v>#VALUE!</v>
      </c>
      <c r="AL291" s="31" t="e">
        <f t="shared" si="357"/>
        <v>#VALUE!</v>
      </c>
      <c r="AM291" s="31" t="e">
        <f t="shared" si="358"/>
        <v>#VALUE!</v>
      </c>
      <c r="AN291" s="32" t="str">
        <f t="shared" si="359"/>
        <v/>
      </c>
      <c r="AO291" s="27" t="str">
        <f t="shared" si="360"/>
        <v/>
      </c>
      <c r="AP291" s="27" t="str">
        <f t="shared" si="361"/>
        <v/>
      </c>
      <c r="AQ291" s="27">
        <f t="shared" si="362"/>
        <v>0</v>
      </c>
      <c r="AR291" s="27">
        <f t="shared" si="363"/>
        <v>0</v>
      </c>
      <c r="AS291" s="33">
        <f t="shared" si="364"/>
        <v>0</v>
      </c>
    </row>
    <row r="292" spans="2:45" hidden="1" x14ac:dyDescent="0.25">
      <c r="B292" s="34">
        <f t="shared" ref="B292:F292" si="421">IF(B291="","",B291)</f>
        <v>11740</v>
      </c>
      <c r="C292" s="26">
        <f t="shared" si="421"/>
        <v>20</v>
      </c>
      <c r="D292" s="26">
        <f t="shared" si="421"/>
        <v>-500</v>
      </c>
      <c r="E292" s="26">
        <f t="shared" si="421"/>
        <v>0</v>
      </c>
      <c r="F292" s="26">
        <f t="shared" si="421"/>
        <v>-650</v>
      </c>
      <c r="G292" s="24"/>
      <c r="H292" s="24"/>
      <c r="I292" s="24"/>
      <c r="J292" s="24"/>
      <c r="K292" s="24"/>
      <c r="L292" s="24"/>
      <c r="M292" s="44" t="str">
        <f t="shared" si="334"/>
        <v/>
      </c>
      <c r="N292" s="26" t="str">
        <f t="shared" si="335"/>
        <v/>
      </c>
      <c r="O292" s="26" t="str">
        <f t="shared" si="336"/>
        <v/>
      </c>
      <c r="P292" s="26" t="str">
        <f t="shared" si="337"/>
        <v/>
      </c>
      <c r="Q292" s="26">
        <f t="shared" si="338"/>
        <v>0</v>
      </c>
      <c r="R292" s="26">
        <f t="shared" si="339"/>
        <v>0</v>
      </c>
      <c r="S292" s="26">
        <f t="shared" si="340"/>
        <v>0</v>
      </c>
      <c r="T292" s="26" t="str">
        <f t="shared" si="341"/>
        <v/>
      </c>
      <c r="U292" s="26" t="str">
        <f t="shared" si="342"/>
        <v/>
      </c>
      <c r="V292" s="26" t="str">
        <f t="shared" si="343"/>
        <v/>
      </c>
      <c r="W292" s="27" t="str">
        <f t="shared" si="344"/>
        <v/>
      </c>
      <c r="X292" s="27" t="str">
        <f t="shared" si="345"/>
        <v/>
      </c>
      <c r="Y292" s="28" t="str">
        <f t="shared" si="346"/>
        <v/>
      </c>
      <c r="Z292" s="27" t="str">
        <f t="shared" si="347"/>
        <v/>
      </c>
      <c r="AA292" s="27" t="str">
        <f t="shared" si="348"/>
        <v/>
      </c>
      <c r="AB292" s="27" t="str">
        <f t="shared" si="349"/>
        <v/>
      </c>
      <c r="AC292" s="27" t="str">
        <f t="shared" si="350"/>
        <v/>
      </c>
      <c r="AD292" s="29" t="str">
        <f t="shared" si="351"/>
        <v/>
      </c>
      <c r="AE292" s="30" t="str">
        <f t="shared" si="352"/>
        <v/>
      </c>
      <c r="AG292" s="4"/>
      <c r="AH292" s="31" t="e">
        <f t="shared" si="353"/>
        <v>#VALUE!</v>
      </c>
      <c r="AI292" s="31" t="e">
        <f t="shared" si="354"/>
        <v>#VALUE!</v>
      </c>
      <c r="AJ292" s="31" t="e">
        <f t="shared" si="355"/>
        <v>#VALUE!</v>
      </c>
      <c r="AK292" s="31" t="e">
        <f t="shared" si="356"/>
        <v>#VALUE!</v>
      </c>
      <c r="AL292" s="31" t="e">
        <f t="shared" si="357"/>
        <v>#VALUE!</v>
      </c>
      <c r="AM292" s="31" t="e">
        <f t="shared" si="358"/>
        <v>#VALUE!</v>
      </c>
      <c r="AN292" s="32" t="str">
        <f t="shared" si="359"/>
        <v/>
      </c>
      <c r="AO292" s="27" t="str">
        <f t="shared" si="360"/>
        <v/>
      </c>
      <c r="AP292" s="27" t="str">
        <f t="shared" si="361"/>
        <v/>
      </c>
      <c r="AQ292" s="27">
        <f t="shared" si="362"/>
        <v>0</v>
      </c>
      <c r="AR292" s="27">
        <f t="shared" si="363"/>
        <v>0</v>
      </c>
      <c r="AS292" s="33">
        <f t="shared" si="364"/>
        <v>0</v>
      </c>
    </row>
    <row r="293" spans="2:45" hidden="1" x14ac:dyDescent="0.25">
      <c r="B293" s="34">
        <f>IF(B292="","",B292)</f>
        <v>11740</v>
      </c>
      <c r="C293" s="26">
        <f t="shared" ref="C293:F293" si="422">IF(C292="","",C292)</f>
        <v>20</v>
      </c>
      <c r="D293" s="26">
        <f t="shared" si="422"/>
        <v>-500</v>
      </c>
      <c r="E293" s="26">
        <f t="shared" si="422"/>
        <v>0</v>
      </c>
      <c r="F293" s="26">
        <f t="shared" si="422"/>
        <v>-650</v>
      </c>
      <c r="G293" s="24"/>
      <c r="H293" s="24"/>
      <c r="I293" s="24"/>
      <c r="J293" s="24"/>
      <c r="K293" s="24"/>
      <c r="L293" s="24"/>
      <c r="M293" s="44" t="str">
        <f t="shared" si="334"/>
        <v/>
      </c>
      <c r="N293" s="26" t="str">
        <f t="shared" si="335"/>
        <v/>
      </c>
      <c r="O293" s="26" t="str">
        <f t="shared" si="336"/>
        <v/>
      </c>
      <c r="P293" s="26" t="str">
        <f t="shared" si="337"/>
        <v/>
      </c>
      <c r="Q293" s="26">
        <f t="shared" si="338"/>
        <v>0</v>
      </c>
      <c r="R293" s="26">
        <f t="shared" si="339"/>
        <v>0</v>
      </c>
      <c r="S293" s="26">
        <f t="shared" si="340"/>
        <v>0</v>
      </c>
      <c r="T293" s="26" t="str">
        <f t="shared" si="341"/>
        <v/>
      </c>
      <c r="U293" s="26" t="str">
        <f t="shared" si="342"/>
        <v/>
      </c>
      <c r="V293" s="26" t="str">
        <f t="shared" si="343"/>
        <v/>
      </c>
      <c r="W293" s="27" t="str">
        <f t="shared" si="344"/>
        <v/>
      </c>
      <c r="X293" s="27" t="str">
        <f t="shared" si="345"/>
        <v/>
      </c>
      <c r="Y293" s="28" t="str">
        <f t="shared" si="346"/>
        <v/>
      </c>
      <c r="Z293" s="27" t="str">
        <f t="shared" si="347"/>
        <v/>
      </c>
      <c r="AA293" s="27" t="str">
        <f t="shared" si="348"/>
        <v/>
      </c>
      <c r="AB293" s="27" t="str">
        <f t="shared" si="349"/>
        <v/>
      </c>
      <c r="AC293" s="27" t="str">
        <f t="shared" si="350"/>
        <v/>
      </c>
      <c r="AD293" s="29" t="str">
        <f t="shared" si="351"/>
        <v/>
      </c>
      <c r="AE293" s="30" t="str">
        <f t="shared" si="352"/>
        <v/>
      </c>
      <c r="AG293" s="4"/>
      <c r="AH293" s="31" t="e">
        <f t="shared" si="353"/>
        <v>#VALUE!</v>
      </c>
      <c r="AI293" s="31" t="e">
        <f t="shared" si="354"/>
        <v>#VALUE!</v>
      </c>
      <c r="AJ293" s="31" t="e">
        <f t="shared" si="355"/>
        <v>#VALUE!</v>
      </c>
      <c r="AK293" s="31" t="e">
        <f t="shared" si="356"/>
        <v>#VALUE!</v>
      </c>
      <c r="AL293" s="31" t="e">
        <f t="shared" si="357"/>
        <v>#VALUE!</v>
      </c>
      <c r="AM293" s="31" t="e">
        <f t="shared" si="358"/>
        <v>#VALUE!</v>
      </c>
      <c r="AN293" s="32" t="str">
        <f t="shared" si="359"/>
        <v/>
      </c>
      <c r="AO293" s="27" t="str">
        <f t="shared" si="360"/>
        <v/>
      </c>
      <c r="AP293" s="27" t="str">
        <f t="shared" si="361"/>
        <v/>
      </c>
      <c r="AQ293" s="27">
        <f t="shared" si="362"/>
        <v>0</v>
      </c>
      <c r="AR293" s="27">
        <f t="shared" si="363"/>
        <v>0</v>
      </c>
      <c r="AS293" s="33">
        <f t="shared" si="364"/>
        <v>0</v>
      </c>
    </row>
    <row r="294" spans="2:45" hidden="1" x14ac:dyDescent="0.25">
      <c r="B294" s="34">
        <f t="shared" ref="B294:F294" si="423">IF(B293="","",B293)</f>
        <v>11740</v>
      </c>
      <c r="C294" s="26">
        <f t="shared" si="423"/>
        <v>20</v>
      </c>
      <c r="D294" s="26">
        <f t="shared" si="423"/>
        <v>-500</v>
      </c>
      <c r="E294" s="26">
        <f t="shared" si="423"/>
        <v>0</v>
      </c>
      <c r="F294" s="26">
        <f t="shared" si="423"/>
        <v>-650</v>
      </c>
      <c r="G294" s="24"/>
      <c r="H294" s="24"/>
      <c r="I294" s="24"/>
      <c r="J294" s="24"/>
      <c r="K294" s="24"/>
      <c r="L294" s="24"/>
      <c r="M294" s="44" t="str">
        <f t="shared" si="334"/>
        <v/>
      </c>
      <c r="N294" s="26" t="str">
        <f t="shared" si="335"/>
        <v/>
      </c>
      <c r="O294" s="26" t="str">
        <f t="shared" si="336"/>
        <v/>
      </c>
      <c r="P294" s="26" t="str">
        <f t="shared" si="337"/>
        <v/>
      </c>
      <c r="Q294" s="26">
        <f t="shared" si="338"/>
        <v>0</v>
      </c>
      <c r="R294" s="26">
        <f t="shared" si="339"/>
        <v>0</v>
      </c>
      <c r="S294" s="26">
        <f t="shared" si="340"/>
        <v>0</v>
      </c>
      <c r="T294" s="26" t="str">
        <f t="shared" si="341"/>
        <v/>
      </c>
      <c r="U294" s="26" t="str">
        <f t="shared" si="342"/>
        <v/>
      </c>
      <c r="V294" s="26" t="str">
        <f t="shared" si="343"/>
        <v/>
      </c>
      <c r="W294" s="27" t="str">
        <f t="shared" si="344"/>
        <v/>
      </c>
      <c r="X294" s="27" t="str">
        <f t="shared" si="345"/>
        <v/>
      </c>
      <c r="Y294" s="28" t="str">
        <f t="shared" si="346"/>
        <v/>
      </c>
      <c r="Z294" s="27" t="str">
        <f t="shared" si="347"/>
        <v/>
      </c>
      <c r="AA294" s="27" t="str">
        <f t="shared" si="348"/>
        <v/>
      </c>
      <c r="AB294" s="27" t="str">
        <f t="shared" si="349"/>
        <v/>
      </c>
      <c r="AC294" s="27" t="str">
        <f t="shared" si="350"/>
        <v/>
      </c>
      <c r="AD294" s="29" t="str">
        <f t="shared" si="351"/>
        <v/>
      </c>
      <c r="AE294" s="30" t="str">
        <f t="shared" si="352"/>
        <v/>
      </c>
      <c r="AG294" s="4"/>
      <c r="AH294" s="31" t="e">
        <f t="shared" si="353"/>
        <v>#VALUE!</v>
      </c>
      <c r="AI294" s="31" t="e">
        <f t="shared" si="354"/>
        <v>#VALUE!</v>
      </c>
      <c r="AJ294" s="31" t="e">
        <f t="shared" si="355"/>
        <v>#VALUE!</v>
      </c>
      <c r="AK294" s="31" t="e">
        <f t="shared" si="356"/>
        <v>#VALUE!</v>
      </c>
      <c r="AL294" s="31" t="e">
        <f t="shared" si="357"/>
        <v>#VALUE!</v>
      </c>
      <c r="AM294" s="31" t="e">
        <f t="shared" si="358"/>
        <v>#VALUE!</v>
      </c>
      <c r="AN294" s="32" t="str">
        <f t="shared" si="359"/>
        <v/>
      </c>
      <c r="AO294" s="27" t="str">
        <f t="shared" si="360"/>
        <v/>
      </c>
      <c r="AP294" s="27" t="str">
        <f t="shared" si="361"/>
        <v/>
      </c>
      <c r="AQ294" s="27">
        <f t="shared" si="362"/>
        <v>0</v>
      </c>
      <c r="AR294" s="27">
        <f t="shared" si="363"/>
        <v>0</v>
      </c>
      <c r="AS294" s="33">
        <f t="shared" si="364"/>
        <v>0</v>
      </c>
    </row>
    <row r="295" spans="2:45" hidden="1" x14ac:dyDescent="0.25">
      <c r="B295" s="34">
        <f t="shared" ref="B295:F295" si="424">IF(B294="","",B294)</f>
        <v>11740</v>
      </c>
      <c r="C295" s="26">
        <f t="shared" si="424"/>
        <v>20</v>
      </c>
      <c r="D295" s="26">
        <f t="shared" si="424"/>
        <v>-500</v>
      </c>
      <c r="E295" s="26">
        <f t="shared" si="424"/>
        <v>0</v>
      </c>
      <c r="F295" s="26">
        <f t="shared" si="424"/>
        <v>-650</v>
      </c>
      <c r="G295" s="24"/>
      <c r="H295" s="24"/>
      <c r="I295" s="24"/>
      <c r="J295" s="24"/>
      <c r="K295" s="24"/>
      <c r="L295" s="24"/>
      <c r="M295" s="44" t="str">
        <f t="shared" si="334"/>
        <v/>
      </c>
      <c r="N295" s="26" t="str">
        <f t="shared" si="335"/>
        <v/>
      </c>
      <c r="O295" s="26" t="str">
        <f t="shared" si="336"/>
        <v/>
      </c>
      <c r="P295" s="26" t="str">
        <f t="shared" si="337"/>
        <v/>
      </c>
      <c r="Q295" s="26">
        <f t="shared" si="338"/>
        <v>0</v>
      </c>
      <c r="R295" s="26">
        <f t="shared" si="339"/>
        <v>0</v>
      </c>
      <c r="S295" s="26">
        <f t="shared" si="340"/>
        <v>0</v>
      </c>
      <c r="T295" s="26" t="str">
        <f t="shared" si="341"/>
        <v/>
      </c>
      <c r="U295" s="26" t="str">
        <f t="shared" si="342"/>
        <v/>
      </c>
      <c r="V295" s="26" t="str">
        <f t="shared" si="343"/>
        <v/>
      </c>
      <c r="W295" s="27" t="str">
        <f t="shared" si="344"/>
        <v/>
      </c>
      <c r="X295" s="27" t="str">
        <f t="shared" si="345"/>
        <v/>
      </c>
      <c r="Y295" s="28" t="str">
        <f t="shared" si="346"/>
        <v/>
      </c>
      <c r="Z295" s="27" t="str">
        <f t="shared" si="347"/>
        <v/>
      </c>
      <c r="AA295" s="27" t="str">
        <f t="shared" si="348"/>
        <v/>
      </c>
      <c r="AB295" s="27" t="str">
        <f t="shared" si="349"/>
        <v/>
      </c>
      <c r="AC295" s="27" t="str">
        <f t="shared" si="350"/>
        <v/>
      </c>
      <c r="AD295" s="29" t="str">
        <f t="shared" si="351"/>
        <v/>
      </c>
      <c r="AE295" s="30" t="str">
        <f t="shared" si="352"/>
        <v/>
      </c>
      <c r="AG295" s="4"/>
      <c r="AH295" s="31" t="e">
        <f t="shared" si="353"/>
        <v>#VALUE!</v>
      </c>
      <c r="AI295" s="31" t="e">
        <f t="shared" si="354"/>
        <v>#VALUE!</v>
      </c>
      <c r="AJ295" s="31" t="e">
        <f t="shared" si="355"/>
        <v>#VALUE!</v>
      </c>
      <c r="AK295" s="31" t="e">
        <f t="shared" si="356"/>
        <v>#VALUE!</v>
      </c>
      <c r="AL295" s="31" t="e">
        <f t="shared" si="357"/>
        <v>#VALUE!</v>
      </c>
      <c r="AM295" s="31" t="e">
        <f t="shared" si="358"/>
        <v>#VALUE!</v>
      </c>
      <c r="AN295" s="32" t="str">
        <f t="shared" si="359"/>
        <v/>
      </c>
      <c r="AO295" s="27" t="str">
        <f t="shared" si="360"/>
        <v/>
      </c>
      <c r="AP295" s="27" t="str">
        <f t="shared" si="361"/>
        <v/>
      </c>
      <c r="AQ295" s="27">
        <f t="shared" si="362"/>
        <v>0</v>
      </c>
      <c r="AR295" s="27">
        <f t="shared" si="363"/>
        <v>0</v>
      </c>
      <c r="AS295" s="33">
        <f t="shared" si="364"/>
        <v>0</v>
      </c>
    </row>
    <row r="296" spans="2:45" hidden="1" x14ac:dyDescent="0.25">
      <c r="B296" s="34">
        <f t="shared" ref="B296:F296" si="425">IF(B295="","",B295)</f>
        <v>11740</v>
      </c>
      <c r="C296" s="26">
        <f t="shared" si="425"/>
        <v>20</v>
      </c>
      <c r="D296" s="26">
        <f t="shared" si="425"/>
        <v>-500</v>
      </c>
      <c r="E296" s="26">
        <f t="shared" si="425"/>
        <v>0</v>
      </c>
      <c r="F296" s="26">
        <f t="shared" si="425"/>
        <v>-650</v>
      </c>
      <c r="G296" s="24"/>
      <c r="H296" s="24"/>
      <c r="I296" s="24"/>
      <c r="J296" s="24"/>
      <c r="K296" s="24"/>
      <c r="L296" s="24"/>
      <c r="M296" s="44" t="str">
        <f t="shared" si="334"/>
        <v/>
      </c>
      <c r="N296" s="26" t="str">
        <f t="shared" si="335"/>
        <v/>
      </c>
      <c r="O296" s="26" t="str">
        <f t="shared" si="336"/>
        <v/>
      </c>
      <c r="P296" s="26" t="str">
        <f t="shared" si="337"/>
        <v/>
      </c>
      <c r="Q296" s="26">
        <f t="shared" si="338"/>
        <v>0</v>
      </c>
      <c r="R296" s="26">
        <f t="shared" si="339"/>
        <v>0</v>
      </c>
      <c r="S296" s="26">
        <f t="shared" si="340"/>
        <v>0</v>
      </c>
      <c r="T296" s="26" t="str">
        <f t="shared" si="341"/>
        <v/>
      </c>
      <c r="U296" s="26" t="str">
        <f t="shared" si="342"/>
        <v/>
      </c>
      <c r="V296" s="26" t="str">
        <f t="shared" si="343"/>
        <v/>
      </c>
      <c r="W296" s="27" t="str">
        <f t="shared" si="344"/>
        <v/>
      </c>
      <c r="X296" s="27" t="str">
        <f t="shared" si="345"/>
        <v/>
      </c>
      <c r="Y296" s="28" t="str">
        <f t="shared" si="346"/>
        <v/>
      </c>
      <c r="Z296" s="27" t="str">
        <f t="shared" si="347"/>
        <v/>
      </c>
      <c r="AA296" s="27" t="str">
        <f t="shared" si="348"/>
        <v/>
      </c>
      <c r="AB296" s="27" t="str">
        <f t="shared" si="349"/>
        <v/>
      </c>
      <c r="AC296" s="27" t="str">
        <f t="shared" si="350"/>
        <v/>
      </c>
      <c r="AD296" s="29" t="str">
        <f t="shared" si="351"/>
        <v/>
      </c>
      <c r="AE296" s="30" t="str">
        <f t="shared" si="352"/>
        <v/>
      </c>
      <c r="AG296" s="4"/>
      <c r="AH296" s="31" t="e">
        <f t="shared" si="353"/>
        <v>#VALUE!</v>
      </c>
      <c r="AI296" s="31" t="e">
        <f t="shared" si="354"/>
        <v>#VALUE!</v>
      </c>
      <c r="AJ296" s="31" t="e">
        <f t="shared" si="355"/>
        <v>#VALUE!</v>
      </c>
      <c r="AK296" s="31" t="e">
        <f t="shared" si="356"/>
        <v>#VALUE!</v>
      </c>
      <c r="AL296" s="31" t="e">
        <f t="shared" si="357"/>
        <v>#VALUE!</v>
      </c>
      <c r="AM296" s="31" t="e">
        <f t="shared" si="358"/>
        <v>#VALUE!</v>
      </c>
      <c r="AN296" s="32" t="str">
        <f t="shared" si="359"/>
        <v/>
      </c>
      <c r="AO296" s="27" t="str">
        <f t="shared" si="360"/>
        <v/>
      </c>
      <c r="AP296" s="27" t="str">
        <f t="shared" si="361"/>
        <v/>
      </c>
      <c r="AQ296" s="27">
        <f t="shared" si="362"/>
        <v>0</v>
      </c>
      <c r="AR296" s="27">
        <f t="shared" si="363"/>
        <v>0</v>
      </c>
      <c r="AS296" s="33">
        <f t="shared" si="364"/>
        <v>0</v>
      </c>
    </row>
    <row r="297" spans="2:45" hidden="1" x14ac:dyDescent="0.25">
      <c r="B297" s="34">
        <f t="shared" ref="B297:F297" si="426">IF(B296="","",B296)</f>
        <v>11740</v>
      </c>
      <c r="C297" s="26">
        <f t="shared" si="426"/>
        <v>20</v>
      </c>
      <c r="D297" s="26">
        <f t="shared" si="426"/>
        <v>-500</v>
      </c>
      <c r="E297" s="26">
        <f t="shared" si="426"/>
        <v>0</v>
      </c>
      <c r="F297" s="26">
        <f t="shared" si="426"/>
        <v>-650</v>
      </c>
      <c r="G297" s="24"/>
      <c r="H297" s="24"/>
      <c r="I297" s="24"/>
      <c r="J297" s="24"/>
      <c r="K297" s="24"/>
      <c r="L297" s="24"/>
      <c r="M297" s="44" t="str">
        <f t="shared" si="334"/>
        <v/>
      </c>
      <c r="N297" s="26" t="str">
        <f t="shared" si="335"/>
        <v/>
      </c>
      <c r="O297" s="26" t="str">
        <f t="shared" si="336"/>
        <v/>
      </c>
      <c r="P297" s="26" t="str">
        <f t="shared" si="337"/>
        <v/>
      </c>
      <c r="Q297" s="26">
        <f t="shared" si="338"/>
        <v>0</v>
      </c>
      <c r="R297" s="26">
        <f t="shared" si="339"/>
        <v>0</v>
      </c>
      <c r="S297" s="26">
        <f t="shared" si="340"/>
        <v>0</v>
      </c>
      <c r="T297" s="26" t="str">
        <f t="shared" si="341"/>
        <v/>
      </c>
      <c r="U297" s="26" t="str">
        <f t="shared" si="342"/>
        <v/>
      </c>
      <c r="V297" s="26" t="str">
        <f t="shared" si="343"/>
        <v/>
      </c>
      <c r="W297" s="27" t="str">
        <f t="shared" si="344"/>
        <v/>
      </c>
      <c r="X297" s="27" t="str">
        <f t="shared" si="345"/>
        <v/>
      </c>
      <c r="Y297" s="28" t="str">
        <f t="shared" si="346"/>
        <v/>
      </c>
      <c r="Z297" s="27" t="str">
        <f t="shared" si="347"/>
        <v/>
      </c>
      <c r="AA297" s="27" t="str">
        <f t="shared" si="348"/>
        <v/>
      </c>
      <c r="AB297" s="27" t="str">
        <f t="shared" si="349"/>
        <v/>
      </c>
      <c r="AC297" s="27" t="str">
        <f t="shared" si="350"/>
        <v/>
      </c>
      <c r="AD297" s="29" t="str">
        <f t="shared" si="351"/>
        <v/>
      </c>
      <c r="AE297" s="30" t="str">
        <f t="shared" si="352"/>
        <v/>
      </c>
      <c r="AG297" s="4"/>
      <c r="AH297" s="31" t="e">
        <f t="shared" si="353"/>
        <v>#VALUE!</v>
      </c>
      <c r="AI297" s="31" t="e">
        <f t="shared" si="354"/>
        <v>#VALUE!</v>
      </c>
      <c r="AJ297" s="31" t="e">
        <f t="shared" si="355"/>
        <v>#VALUE!</v>
      </c>
      <c r="AK297" s="31" t="e">
        <f t="shared" si="356"/>
        <v>#VALUE!</v>
      </c>
      <c r="AL297" s="31" t="e">
        <f t="shared" si="357"/>
        <v>#VALUE!</v>
      </c>
      <c r="AM297" s="31" t="e">
        <f t="shared" si="358"/>
        <v>#VALUE!</v>
      </c>
      <c r="AN297" s="32" t="str">
        <f t="shared" si="359"/>
        <v/>
      </c>
      <c r="AO297" s="27" t="str">
        <f t="shared" si="360"/>
        <v/>
      </c>
      <c r="AP297" s="27" t="str">
        <f t="shared" si="361"/>
        <v/>
      </c>
      <c r="AQ297" s="27">
        <f t="shared" si="362"/>
        <v>0</v>
      </c>
      <c r="AR297" s="27">
        <f t="shared" si="363"/>
        <v>0</v>
      </c>
      <c r="AS297" s="33">
        <f t="shared" si="364"/>
        <v>0</v>
      </c>
    </row>
    <row r="298" spans="2:45" hidden="1" x14ac:dyDescent="0.25">
      <c r="B298" s="34">
        <f t="shared" ref="B298:F298" si="427">IF(B297="","",B297)</f>
        <v>11740</v>
      </c>
      <c r="C298" s="26">
        <f t="shared" si="427"/>
        <v>20</v>
      </c>
      <c r="D298" s="26">
        <f t="shared" si="427"/>
        <v>-500</v>
      </c>
      <c r="E298" s="26">
        <f t="shared" si="427"/>
        <v>0</v>
      </c>
      <c r="F298" s="26">
        <f t="shared" si="427"/>
        <v>-650</v>
      </c>
      <c r="G298" s="24"/>
      <c r="H298" s="24"/>
      <c r="I298" s="24"/>
      <c r="J298" s="24"/>
      <c r="K298" s="24"/>
      <c r="L298" s="24"/>
      <c r="M298" s="44" t="str">
        <f t="shared" si="334"/>
        <v/>
      </c>
      <c r="N298" s="26" t="str">
        <f t="shared" si="335"/>
        <v/>
      </c>
      <c r="O298" s="26" t="str">
        <f t="shared" si="336"/>
        <v/>
      </c>
      <c r="P298" s="26" t="str">
        <f t="shared" si="337"/>
        <v/>
      </c>
      <c r="Q298" s="26">
        <f t="shared" si="338"/>
        <v>0</v>
      </c>
      <c r="R298" s="26">
        <f t="shared" si="339"/>
        <v>0</v>
      </c>
      <c r="S298" s="26">
        <f t="shared" si="340"/>
        <v>0</v>
      </c>
      <c r="T298" s="26" t="str">
        <f t="shared" si="341"/>
        <v/>
      </c>
      <c r="U298" s="26" t="str">
        <f t="shared" si="342"/>
        <v/>
      </c>
      <c r="V298" s="26" t="str">
        <f t="shared" si="343"/>
        <v/>
      </c>
      <c r="W298" s="27" t="str">
        <f t="shared" si="344"/>
        <v/>
      </c>
      <c r="X298" s="27" t="str">
        <f t="shared" si="345"/>
        <v/>
      </c>
      <c r="Y298" s="28" t="str">
        <f t="shared" si="346"/>
        <v/>
      </c>
      <c r="Z298" s="27" t="str">
        <f t="shared" si="347"/>
        <v/>
      </c>
      <c r="AA298" s="27" t="str">
        <f t="shared" si="348"/>
        <v/>
      </c>
      <c r="AB298" s="27" t="str">
        <f t="shared" si="349"/>
        <v/>
      </c>
      <c r="AC298" s="27" t="str">
        <f t="shared" si="350"/>
        <v/>
      </c>
      <c r="AD298" s="29" t="str">
        <f t="shared" si="351"/>
        <v/>
      </c>
      <c r="AE298" s="30" t="str">
        <f t="shared" si="352"/>
        <v/>
      </c>
      <c r="AG298" s="4"/>
      <c r="AH298" s="31" t="e">
        <f t="shared" si="353"/>
        <v>#VALUE!</v>
      </c>
      <c r="AI298" s="31" t="e">
        <f t="shared" si="354"/>
        <v>#VALUE!</v>
      </c>
      <c r="AJ298" s="31" t="e">
        <f t="shared" si="355"/>
        <v>#VALUE!</v>
      </c>
      <c r="AK298" s="31" t="e">
        <f t="shared" si="356"/>
        <v>#VALUE!</v>
      </c>
      <c r="AL298" s="31" t="e">
        <f t="shared" si="357"/>
        <v>#VALUE!</v>
      </c>
      <c r="AM298" s="31" t="e">
        <f t="shared" si="358"/>
        <v>#VALUE!</v>
      </c>
      <c r="AN298" s="32" t="str">
        <f t="shared" si="359"/>
        <v/>
      </c>
      <c r="AO298" s="27" t="str">
        <f t="shared" si="360"/>
        <v/>
      </c>
      <c r="AP298" s="27" t="str">
        <f t="shared" si="361"/>
        <v/>
      </c>
      <c r="AQ298" s="27">
        <f t="shared" si="362"/>
        <v>0</v>
      </c>
      <c r="AR298" s="27">
        <f t="shared" si="363"/>
        <v>0</v>
      </c>
      <c r="AS298" s="33">
        <f t="shared" si="364"/>
        <v>0</v>
      </c>
    </row>
    <row r="299" spans="2:45" hidden="1" x14ac:dyDescent="0.25">
      <c r="B299" s="34">
        <f t="shared" ref="B299:F299" si="428">IF(B298="","",B298)</f>
        <v>11740</v>
      </c>
      <c r="C299" s="26">
        <f t="shared" si="428"/>
        <v>20</v>
      </c>
      <c r="D299" s="26">
        <f t="shared" si="428"/>
        <v>-500</v>
      </c>
      <c r="E299" s="26">
        <f t="shared" si="428"/>
        <v>0</v>
      </c>
      <c r="F299" s="26">
        <f t="shared" si="428"/>
        <v>-650</v>
      </c>
      <c r="G299" s="24"/>
      <c r="H299" s="24"/>
      <c r="I299" s="24"/>
      <c r="J299" s="24"/>
      <c r="K299" s="24"/>
      <c r="L299" s="24"/>
      <c r="M299" s="44" t="str">
        <f t="shared" ref="M299:M319" si="429">IF(B299="","",IF(M143="","",M143))</f>
        <v/>
      </c>
      <c r="N299" s="26" t="str">
        <f t="shared" ref="N299:N319" si="430">IF($J$7="NO",IF(M299="","",IF($E$7="+X",D299,IF($E$7="-X",-D299,IF($E$7="+Z",F299,IF($E$7="-Z",-F299))))),IF(M299="","",IF($E$7="+X",D299,IF($E$7="-X",-D299,IF($E$7="+Y",E299,IF($E$7="-Y",-E299))))))</f>
        <v/>
      </c>
      <c r="O299" s="26" t="str">
        <f t="shared" ref="O299:O319" si="431">IF($J$7="NO",IF(M299="","",E299),IF(M299="","",F299))</f>
        <v/>
      </c>
      <c r="P299" s="26" t="str">
        <f t="shared" ref="P299:P319" si="432">IF($J$7="NO",IF(M299="","",IF($E$7="+X",F299,IF($E$7="-X",-F299,IF($E$7="+Z",-D299,IF($E$7="-Z",D299))))),IF(M299="","",IF($E$7="+X",-E299,IF($E$7="-X",E299,IF($E$7="+Y",D299,IF($E$7="-Y",-D299))))))</f>
        <v/>
      </c>
      <c r="Q299" s="26">
        <f t="shared" ref="Q299:Q319" si="433">IF($J$7="NO",IF(M299="",0,IF($E$7="+X",G299,IF($E$7="-X",-G299,IF($E$7="+Z",I299,IF($E$7="-Z",-I299))))),IF(M299="",0,IF($E$7="+X",G299,IF($E$7="-X",-G299,IF($E$7="+Y",H299,IF($E$7="-Y",-H299))))))</f>
        <v>0</v>
      </c>
      <c r="R299" s="26">
        <f t="shared" ref="R299:R319" si="434">IF($J$7="NO",IF(M299="",0,H299),IF(M299="",0,I299))</f>
        <v>0</v>
      </c>
      <c r="S299" s="26">
        <f t="shared" ref="S299:S319" si="435">IF($J$7="NO",IF(M299="",0,IF($E$7="+X",I299,IF($E$7="-X",-I299,IF($E$7="+Z",-G299,IF($E$7="-Z",G299))))),IF(M299="",0,IF($E$7="+X",-H299,IF($E$7="-X",H299,IF($E$7="+Y",G299,IF($E$7="-Y",-G299))))))</f>
        <v>0</v>
      </c>
      <c r="T299" s="26" t="str">
        <f t="shared" ref="T299:T319" si="436">IF($J$7="NO",IF(M299="","",IF($E$7="+X",J299,IF($E$7="-X",-J299,IF($E$7="+Z",L299,IF($E$7="-Z",-L299))))),IF(M299="","",IF($E$7="+X",J299,IF($E$7="-X",-J299,IF($E$7="+Y",K299,IF($E$7="-Y",-K299))))))</f>
        <v/>
      </c>
      <c r="U299" s="26" t="str">
        <f t="shared" ref="U299:U319" si="437">IF($J$7="NO",IF(M299="","",K299),IF(M299="","",L299))</f>
        <v/>
      </c>
      <c r="V299" s="26" t="str">
        <f t="shared" ref="V299:V319" si="438">IF($J$7="NO",IF(M299="","",IF($E$7="+X",L299,IF($E$7="-X",-L299,IF($E$7="+Z",-J299,IF($E$7="-Z",J299))))),IF(M299="","",IF($E$7="+X",-K299,IF($E$7="-X",K299,IF($E$7="+Y",J299,IF($E$7="-Y",-J299))))))</f>
        <v/>
      </c>
      <c r="W299" s="27" t="str">
        <f t="shared" ref="W299:W319" si="439">IF(M299="","",SQRT(Q299^2+R299^2+S299^2))</f>
        <v/>
      </c>
      <c r="X299" s="27" t="str">
        <f t="shared" ref="X299:X319" si="440">IF(M299="","",SQRT(T299^2+U299^2+V299^2))</f>
        <v/>
      </c>
      <c r="Y299" s="28" t="str">
        <f t="shared" ref="Y299:Y319" si="441">IF(M299="","",IF($C299&lt;=8,$C299,(16+$C299)/3))</f>
        <v/>
      </c>
      <c r="Z299" s="27" t="str">
        <f t="shared" ref="Z299:Z319" si="442">IF(M299="","",W299*0.224808)</f>
        <v/>
      </c>
      <c r="AA299" s="27" t="str">
        <f t="shared" ref="AA299:AA319" si="443">IF(M299="","",X299*0.737562)</f>
        <v/>
      </c>
      <c r="AB299" s="27" t="str">
        <f t="shared" ref="AB299:AB319" si="444">IF(M299="","",3*Z299+AA299)</f>
        <v/>
      </c>
      <c r="AC299" s="27" t="str">
        <f t="shared" ref="AC299:AC319" si="445">IF(M299="","",IF(M299="","",500*Y299*$O$7))</f>
        <v/>
      </c>
      <c r="AD299" s="29" t="str">
        <f t="shared" ref="AD299:AD319" si="446">IF(M299="","",IF(M299="","",AB299/AC299)*100)</f>
        <v/>
      </c>
      <c r="AE299" s="30" t="str">
        <f t="shared" ref="AE299:AE319" si="447">IF(M299="","",IF(AD299&lt;=100, "PASS","FAIL"))</f>
        <v/>
      </c>
      <c r="AG299" s="4"/>
      <c r="AH299" s="31" t="e">
        <f t="shared" ref="AH299:AH319" si="448">Q299*O299/1000*VLOOKUP(_xlfn.CONCAT($AH$13,IF(Q299&gt;0,"+","-"),IF(O299&gt;0,"+","-")),$AV:$BA,6,0)</f>
        <v>#VALUE!</v>
      </c>
      <c r="AI299" s="31" t="e">
        <f t="shared" ref="AI299:AI319" si="449">Q299*P299/1000*VLOOKUP(_xlfn.CONCAT($AI$13,IF(Q299&gt;0,"+","-"),IF(P299&gt;0,"+","-")),$AV:$BA,6,0)</f>
        <v>#VALUE!</v>
      </c>
      <c r="AJ299" s="31" t="e">
        <f t="shared" ref="AJ299:AJ319" si="450">R299*N299/1000*VLOOKUP(_xlfn.CONCAT($AJ$13,IF(R299&gt;0,"+","-"),IF(N299&gt;0,"+","-")),$AV:$BA,6,0)</f>
        <v>#VALUE!</v>
      </c>
      <c r="AK299" s="31" t="e">
        <f t="shared" ref="AK299:AK319" si="451">R299*P299/1000*VLOOKUP(_xlfn.CONCAT($AK$13,IF(R299&gt;0,"+","-"),IF(P299&gt;0,"+","-")),$AV:$BA,6,0)</f>
        <v>#VALUE!</v>
      </c>
      <c r="AL299" s="31" t="e">
        <f t="shared" ref="AL299:AL319" si="452">S299*N299/1000*VLOOKUP(_xlfn.CONCAT($AL$13,IF(S299&gt;0,"+","-"),IF(N299&gt;0,"+","-")),$AV:$BA,6,0)</f>
        <v>#VALUE!</v>
      </c>
      <c r="AM299" s="31" t="e">
        <f t="shared" ref="AM299:AM319" si="453">S299*O299/1000*VLOOKUP(_xlfn.CONCAT($AM$13,IF(S299&gt;0,"+","-"),IF(O299&gt;0,"+","-")),$AV:$BA,6,0)</f>
        <v>#VALUE!</v>
      </c>
      <c r="AN299" s="32" t="str">
        <f t="shared" ref="AN299:AN319" si="454">IF($M299="","",AK299+AM299)</f>
        <v/>
      </c>
      <c r="AO299" s="27" t="str">
        <f t="shared" ref="AO299:AO319" si="455">IF($M299="","",AI299+AL299)</f>
        <v/>
      </c>
      <c r="AP299" s="27" t="str">
        <f t="shared" ref="AP299:AP319" si="456">IF($M299="","",AH299+AJ299)</f>
        <v/>
      </c>
      <c r="AQ299" s="27">
        <f t="shared" ref="AQ299:AQ319" si="457">IF(M299="",0,AN299+T299)</f>
        <v>0</v>
      </c>
      <c r="AR299" s="27">
        <f t="shared" ref="AR299:AR319" si="458">IF(M299="",0,AO299+U299)</f>
        <v>0</v>
      </c>
      <c r="AS299" s="33">
        <f t="shared" ref="AS299:AS319" si="459">IF(M299="",0,AP299+V299)</f>
        <v>0</v>
      </c>
    </row>
    <row r="300" spans="2:45" hidden="1" x14ac:dyDescent="0.25">
      <c r="B300" s="34">
        <f t="shared" ref="B300:F300" si="460">IF(B299="","",B299)</f>
        <v>11740</v>
      </c>
      <c r="C300" s="26">
        <f t="shared" si="460"/>
        <v>20</v>
      </c>
      <c r="D300" s="26">
        <f t="shared" si="460"/>
        <v>-500</v>
      </c>
      <c r="E300" s="26">
        <f t="shared" si="460"/>
        <v>0</v>
      </c>
      <c r="F300" s="26">
        <f t="shared" si="460"/>
        <v>-650</v>
      </c>
      <c r="G300" s="24"/>
      <c r="H300" s="24"/>
      <c r="I300" s="24"/>
      <c r="J300" s="24"/>
      <c r="K300" s="24"/>
      <c r="L300" s="24"/>
      <c r="M300" s="44" t="str">
        <f t="shared" si="429"/>
        <v/>
      </c>
      <c r="N300" s="26" t="str">
        <f t="shared" si="430"/>
        <v/>
      </c>
      <c r="O300" s="26" t="str">
        <f t="shared" si="431"/>
        <v/>
      </c>
      <c r="P300" s="26" t="str">
        <f t="shared" si="432"/>
        <v/>
      </c>
      <c r="Q300" s="26">
        <f t="shared" si="433"/>
        <v>0</v>
      </c>
      <c r="R300" s="26">
        <f t="shared" si="434"/>
        <v>0</v>
      </c>
      <c r="S300" s="26">
        <f t="shared" si="435"/>
        <v>0</v>
      </c>
      <c r="T300" s="26" t="str">
        <f t="shared" si="436"/>
        <v/>
      </c>
      <c r="U300" s="26" t="str">
        <f t="shared" si="437"/>
        <v/>
      </c>
      <c r="V300" s="26" t="str">
        <f t="shared" si="438"/>
        <v/>
      </c>
      <c r="W300" s="27" t="str">
        <f t="shared" si="439"/>
        <v/>
      </c>
      <c r="X300" s="27" t="str">
        <f t="shared" si="440"/>
        <v/>
      </c>
      <c r="Y300" s="28" t="str">
        <f t="shared" si="441"/>
        <v/>
      </c>
      <c r="Z300" s="27" t="str">
        <f t="shared" si="442"/>
        <v/>
      </c>
      <c r="AA300" s="27" t="str">
        <f t="shared" si="443"/>
        <v/>
      </c>
      <c r="AB300" s="27" t="str">
        <f t="shared" si="444"/>
        <v/>
      </c>
      <c r="AC300" s="27" t="str">
        <f t="shared" si="445"/>
        <v/>
      </c>
      <c r="AD300" s="29" t="str">
        <f t="shared" si="446"/>
        <v/>
      </c>
      <c r="AE300" s="30" t="str">
        <f t="shared" si="447"/>
        <v/>
      </c>
      <c r="AG300" s="4"/>
      <c r="AH300" s="31" t="e">
        <f t="shared" si="448"/>
        <v>#VALUE!</v>
      </c>
      <c r="AI300" s="31" t="e">
        <f t="shared" si="449"/>
        <v>#VALUE!</v>
      </c>
      <c r="AJ300" s="31" t="e">
        <f t="shared" si="450"/>
        <v>#VALUE!</v>
      </c>
      <c r="AK300" s="31" t="e">
        <f t="shared" si="451"/>
        <v>#VALUE!</v>
      </c>
      <c r="AL300" s="31" t="e">
        <f t="shared" si="452"/>
        <v>#VALUE!</v>
      </c>
      <c r="AM300" s="31" t="e">
        <f t="shared" si="453"/>
        <v>#VALUE!</v>
      </c>
      <c r="AN300" s="32" t="str">
        <f t="shared" si="454"/>
        <v/>
      </c>
      <c r="AO300" s="27" t="str">
        <f t="shared" si="455"/>
        <v/>
      </c>
      <c r="AP300" s="27" t="str">
        <f t="shared" si="456"/>
        <v/>
      </c>
      <c r="AQ300" s="27">
        <f t="shared" si="457"/>
        <v>0</v>
      </c>
      <c r="AR300" s="27">
        <f t="shared" si="458"/>
        <v>0</v>
      </c>
      <c r="AS300" s="33">
        <f t="shared" si="459"/>
        <v>0</v>
      </c>
    </row>
    <row r="301" spans="2:45" hidden="1" x14ac:dyDescent="0.25">
      <c r="B301" s="34">
        <f t="shared" ref="B301:F301" si="461">IF(B300="","",B300)</f>
        <v>11740</v>
      </c>
      <c r="C301" s="26">
        <f t="shared" si="461"/>
        <v>20</v>
      </c>
      <c r="D301" s="26">
        <f t="shared" si="461"/>
        <v>-500</v>
      </c>
      <c r="E301" s="26">
        <f t="shared" si="461"/>
        <v>0</v>
      </c>
      <c r="F301" s="26">
        <f t="shared" si="461"/>
        <v>-650</v>
      </c>
      <c r="G301" s="24"/>
      <c r="H301" s="24"/>
      <c r="I301" s="24"/>
      <c r="J301" s="24"/>
      <c r="K301" s="24"/>
      <c r="L301" s="24"/>
      <c r="M301" s="44" t="str">
        <f t="shared" si="429"/>
        <v/>
      </c>
      <c r="N301" s="26" t="str">
        <f t="shared" si="430"/>
        <v/>
      </c>
      <c r="O301" s="26" t="str">
        <f t="shared" si="431"/>
        <v/>
      </c>
      <c r="P301" s="26" t="str">
        <f t="shared" si="432"/>
        <v/>
      </c>
      <c r="Q301" s="26">
        <f t="shared" si="433"/>
        <v>0</v>
      </c>
      <c r="R301" s="26">
        <f t="shared" si="434"/>
        <v>0</v>
      </c>
      <c r="S301" s="26">
        <f t="shared" si="435"/>
        <v>0</v>
      </c>
      <c r="T301" s="26" t="str">
        <f t="shared" si="436"/>
        <v/>
      </c>
      <c r="U301" s="26" t="str">
        <f t="shared" si="437"/>
        <v/>
      </c>
      <c r="V301" s="26" t="str">
        <f t="shared" si="438"/>
        <v/>
      </c>
      <c r="W301" s="27" t="str">
        <f t="shared" si="439"/>
        <v/>
      </c>
      <c r="X301" s="27" t="str">
        <f t="shared" si="440"/>
        <v/>
      </c>
      <c r="Y301" s="28" t="str">
        <f t="shared" si="441"/>
        <v/>
      </c>
      <c r="Z301" s="27" t="str">
        <f t="shared" si="442"/>
        <v/>
      </c>
      <c r="AA301" s="27" t="str">
        <f t="shared" si="443"/>
        <v/>
      </c>
      <c r="AB301" s="27" t="str">
        <f t="shared" si="444"/>
        <v/>
      </c>
      <c r="AC301" s="27" t="str">
        <f t="shared" si="445"/>
        <v/>
      </c>
      <c r="AD301" s="29" t="str">
        <f t="shared" si="446"/>
        <v/>
      </c>
      <c r="AE301" s="30" t="str">
        <f t="shared" si="447"/>
        <v/>
      </c>
      <c r="AG301" s="4"/>
      <c r="AH301" s="31" t="e">
        <f t="shared" si="448"/>
        <v>#VALUE!</v>
      </c>
      <c r="AI301" s="31" t="e">
        <f t="shared" si="449"/>
        <v>#VALUE!</v>
      </c>
      <c r="AJ301" s="31" t="e">
        <f t="shared" si="450"/>
        <v>#VALUE!</v>
      </c>
      <c r="AK301" s="31" t="e">
        <f t="shared" si="451"/>
        <v>#VALUE!</v>
      </c>
      <c r="AL301" s="31" t="e">
        <f t="shared" si="452"/>
        <v>#VALUE!</v>
      </c>
      <c r="AM301" s="31" t="e">
        <f t="shared" si="453"/>
        <v>#VALUE!</v>
      </c>
      <c r="AN301" s="32" t="str">
        <f t="shared" si="454"/>
        <v/>
      </c>
      <c r="AO301" s="27" t="str">
        <f t="shared" si="455"/>
        <v/>
      </c>
      <c r="AP301" s="27" t="str">
        <f t="shared" si="456"/>
        <v/>
      </c>
      <c r="AQ301" s="27">
        <f t="shared" si="457"/>
        <v>0</v>
      </c>
      <c r="AR301" s="27">
        <f t="shared" si="458"/>
        <v>0</v>
      </c>
      <c r="AS301" s="33">
        <f t="shared" si="459"/>
        <v>0</v>
      </c>
    </row>
    <row r="302" spans="2:45" hidden="1" x14ac:dyDescent="0.25">
      <c r="B302" s="34">
        <f t="shared" ref="B302:F302" si="462">IF(B301="","",B301)</f>
        <v>11740</v>
      </c>
      <c r="C302" s="26">
        <f t="shared" si="462"/>
        <v>20</v>
      </c>
      <c r="D302" s="26">
        <f t="shared" si="462"/>
        <v>-500</v>
      </c>
      <c r="E302" s="26">
        <f t="shared" si="462"/>
        <v>0</v>
      </c>
      <c r="F302" s="26">
        <f t="shared" si="462"/>
        <v>-650</v>
      </c>
      <c r="G302" s="24"/>
      <c r="H302" s="24"/>
      <c r="I302" s="24"/>
      <c r="J302" s="24"/>
      <c r="K302" s="24"/>
      <c r="L302" s="24"/>
      <c r="M302" s="44" t="str">
        <f t="shared" si="429"/>
        <v/>
      </c>
      <c r="N302" s="26" t="str">
        <f t="shared" si="430"/>
        <v/>
      </c>
      <c r="O302" s="26" t="str">
        <f t="shared" si="431"/>
        <v/>
      </c>
      <c r="P302" s="26" t="str">
        <f t="shared" si="432"/>
        <v/>
      </c>
      <c r="Q302" s="26">
        <f t="shared" si="433"/>
        <v>0</v>
      </c>
      <c r="R302" s="26">
        <f t="shared" si="434"/>
        <v>0</v>
      </c>
      <c r="S302" s="26">
        <f t="shared" si="435"/>
        <v>0</v>
      </c>
      <c r="T302" s="26" t="str">
        <f t="shared" si="436"/>
        <v/>
      </c>
      <c r="U302" s="26" t="str">
        <f t="shared" si="437"/>
        <v/>
      </c>
      <c r="V302" s="26" t="str">
        <f t="shared" si="438"/>
        <v/>
      </c>
      <c r="W302" s="27" t="str">
        <f t="shared" si="439"/>
        <v/>
      </c>
      <c r="X302" s="27" t="str">
        <f t="shared" si="440"/>
        <v/>
      </c>
      <c r="Y302" s="28" t="str">
        <f t="shared" si="441"/>
        <v/>
      </c>
      <c r="Z302" s="27" t="str">
        <f t="shared" si="442"/>
        <v/>
      </c>
      <c r="AA302" s="27" t="str">
        <f t="shared" si="443"/>
        <v/>
      </c>
      <c r="AB302" s="27" t="str">
        <f t="shared" si="444"/>
        <v/>
      </c>
      <c r="AC302" s="27" t="str">
        <f t="shared" si="445"/>
        <v/>
      </c>
      <c r="AD302" s="29" t="str">
        <f t="shared" si="446"/>
        <v/>
      </c>
      <c r="AE302" s="30" t="str">
        <f t="shared" si="447"/>
        <v/>
      </c>
      <c r="AG302" s="4"/>
      <c r="AH302" s="31" t="e">
        <f t="shared" si="448"/>
        <v>#VALUE!</v>
      </c>
      <c r="AI302" s="31" t="e">
        <f t="shared" si="449"/>
        <v>#VALUE!</v>
      </c>
      <c r="AJ302" s="31" t="e">
        <f t="shared" si="450"/>
        <v>#VALUE!</v>
      </c>
      <c r="AK302" s="31" t="e">
        <f t="shared" si="451"/>
        <v>#VALUE!</v>
      </c>
      <c r="AL302" s="31" t="e">
        <f t="shared" si="452"/>
        <v>#VALUE!</v>
      </c>
      <c r="AM302" s="31" t="e">
        <f t="shared" si="453"/>
        <v>#VALUE!</v>
      </c>
      <c r="AN302" s="32" t="str">
        <f t="shared" si="454"/>
        <v/>
      </c>
      <c r="AO302" s="27" t="str">
        <f t="shared" si="455"/>
        <v/>
      </c>
      <c r="AP302" s="27" t="str">
        <f t="shared" si="456"/>
        <v/>
      </c>
      <c r="AQ302" s="27">
        <f t="shared" si="457"/>
        <v>0</v>
      </c>
      <c r="AR302" s="27">
        <f t="shared" si="458"/>
        <v>0</v>
      </c>
      <c r="AS302" s="33">
        <f t="shared" si="459"/>
        <v>0</v>
      </c>
    </row>
    <row r="303" spans="2:45" hidden="1" x14ac:dyDescent="0.25">
      <c r="B303" s="34">
        <f t="shared" ref="B303:F303" si="463">IF(B302="","",B302)</f>
        <v>11740</v>
      </c>
      <c r="C303" s="26">
        <f t="shared" si="463"/>
        <v>20</v>
      </c>
      <c r="D303" s="26">
        <f t="shared" si="463"/>
        <v>-500</v>
      </c>
      <c r="E303" s="26">
        <f t="shared" si="463"/>
        <v>0</v>
      </c>
      <c r="F303" s="26">
        <f t="shared" si="463"/>
        <v>-650</v>
      </c>
      <c r="G303" s="24"/>
      <c r="H303" s="24"/>
      <c r="I303" s="24"/>
      <c r="J303" s="24"/>
      <c r="K303" s="24"/>
      <c r="L303" s="24"/>
      <c r="M303" s="44" t="str">
        <f t="shared" si="429"/>
        <v/>
      </c>
      <c r="N303" s="26" t="str">
        <f t="shared" si="430"/>
        <v/>
      </c>
      <c r="O303" s="26" t="str">
        <f t="shared" si="431"/>
        <v/>
      </c>
      <c r="P303" s="26" t="str">
        <f t="shared" si="432"/>
        <v/>
      </c>
      <c r="Q303" s="26">
        <f t="shared" si="433"/>
        <v>0</v>
      </c>
      <c r="R303" s="26">
        <f t="shared" si="434"/>
        <v>0</v>
      </c>
      <c r="S303" s="26">
        <f t="shared" si="435"/>
        <v>0</v>
      </c>
      <c r="T303" s="26" t="str">
        <f t="shared" si="436"/>
        <v/>
      </c>
      <c r="U303" s="26" t="str">
        <f t="shared" si="437"/>
        <v/>
      </c>
      <c r="V303" s="26" t="str">
        <f t="shared" si="438"/>
        <v/>
      </c>
      <c r="W303" s="27" t="str">
        <f t="shared" si="439"/>
        <v/>
      </c>
      <c r="X303" s="27" t="str">
        <f t="shared" si="440"/>
        <v/>
      </c>
      <c r="Y303" s="28" t="str">
        <f t="shared" si="441"/>
        <v/>
      </c>
      <c r="Z303" s="27" t="str">
        <f t="shared" si="442"/>
        <v/>
      </c>
      <c r="AA303" s="27" t="str">
        <f t="shared" si="443"/>
        <v/>
      </c>
      <c r="AB303" s="27" t="str">
        <f t="shared" si="444"/>
        <v/>
      </c>
      <c r="AC303" s="27" t="str">
        <f t="shared" si="445"/>
        <v/>
      </c>
      <c r="AD303" s="29" t="str">
        <f t="shared" si="446"/>
        <v/>
      </c>
      <c r="AE303" s="30" t="str">
        <f t="shared" si="447"/>
        <v/>
      </c>
      <c r="AG303" s="4"/>
      <c r="AH303" s="31" t="e">
        <f t="shared" si="448"/>
        <v>#VALUE!</v>
      </c>
      <c r="AI303" s="31" t="e">
        <f t="shared" si="449"/>
        <v>#VALUE!</v>
      </c>
      <c r="AJ303" s="31" t="e">
        <f t="shared" si="450"/>
        <v>#VALUE!</v>
      </c>
      <c r="AK303" s="31" t="e">
        <f t="shared" si="451"/>
        <v>#VALUE!</v>
      </c>
      <c r="AL303" s="31" t="e">
        <f t="shared" si="452"/>
        <v>#VALUE!</v>
      </c>
      <c r="AM303" s="31" t="e">
        <f t="shared" si="453"/>
        <v>#VALUE!</v>
      </c>
      <c r="AN303" s="32" t="str">
        <f t="shared" si="454"/>
        <v/>
      </c>
      <c r="AO303" s="27" t="str">
        <f t="shared" si="455"/>
        <v/>
      </c>
      <c r="AP303" s="27" t="str">
        <f t="shared" si="456"/>
        <v/>
      </c>
      <c r="AQ303" s="27">
        <f t="shared" si="457"/>
        <v>0</v>
      </c>
      <c r="AR303" s="27">
        <f t="shared" si="458"/>
        <v>0</v>
      </c>
      <c r="AS303" s="33">
        <f t="shared" si="459"/>
        <v>0</v>
      </c>
    </row>
    <row r="304" spans="2:45" hidden="1" x14ac:dyDescent="0.25">
      <c r="B304" s="34">
        <f t="shared" ref="B304:F304" si="464">IF(B303="","",B303)</f>
        <v>11740</v>
      </c>
      <c r="C304" s="26">
        <f t="shared" si="464"/>
        <v>20</v>
      </c>
      <c r="D304" s="26">
        <f t="shared" si="464"/>
        <v>-500</v>
      </c>
      <c r="E304" s="26">
        <f t="shared" si="464"/>
        <v>0</v>
      </c>
      <c r="F304" s="26">
        <f t="shared" si="464"/>
        <v>-650</v>
      </c>
      <c r="G304" s="24"/>
      <c r="H304" s="24"/>
      <c r="I304" s="24"/>
      <c r="J304" s="24"/>
      <c r="K304" s="24"/>
      <c r="L304" s="24"/>
      <c r="M304" s="44" t="str">
        <f t="shared" si="429"/>
        <v/>
      </c>
      <c r="N304" s="26" t="str">
        <f t="shared" si="430"/>
        <v/>
      </c>
      <c r="O304" s="26" t="str">
        <f t="shared" si="431"/>
        <v/>
      </c>
      <c r="P304" s="26" t="str">
        <f t="shared" si="432"/>
        <v/>
      </c>
      <c r="Q304" s="26">
        <f t="shared" si="433"/>
        <v>0</v>
      </c>
      <c r="R304" s="26">
        <f t="shared" si="434"/>
        <v>0</v>
      </c>
      <c r="S304" s="26">
        <f t="shared" si="435"/>
        <v>0</v>
      </c>
      <c r="T304" s="26" t="str">
        <f t="shared" si="436"/>
        <v/>
      </c>
      <c r="U304" s="26" t="str">
        <f t="shared" si="437"/>
        <v/>
      </c>
      <c r="V304" s="26" t="str">
        <f t="shared" si="438"/>
        <v/>
      </c>
      <c r="W304" s="27" t="str">
        <f t="shared" si="439"/>
        <v/>
      </c>
      <c r="X304" s="27" t="str">
        <f t="shared" si="440"/>
        <v/>
      </c>
      <c r="Y304" s="28" t="str">
        <f t="shared" si="441"/>
        <v/>
      </c>
      <c r="Z304" s="27" t="str">
        <f t="shared" si="442"/>
        <v/>
      </c>
      <c r="AA304" s="27" t="str">
        <f t="shared" si="443"/>
        <v/>
      </c>
      <c r="AB304" s="27" t="str">
        <f t="shared" si="444"/>
        <v/>
      </c>
      <c r="AC304" s="27" t="str">
        <f t="shared" si="445"/>
        <v/>
      </c>
      <c r="AD304" s="29" t="str">
        <f t="shared" si="446"/>
        <v/>
      </c>
      <c r="AE304" s="30" t="str">
        <f t="shared" si="447"/>
        <v/>
      </c>
      <c r="AG304" s="4"/>
      <c r="AH304" s="31" t="e">
        <f t="shared" si="448"/>
        <v>#VALUE!</v>
      </c>
      <c r="AI304" s="31" t="e">
        <f t="shared" si="449"/>
        <v>#VALUE!</v>
      </c>
      <c r="AJ304" s="31" t="e">
        <f t="shared" si="450"/>
        <v>#VALUE!</v>
      </c>
      <c r="AK304" s="31" t="e">
        <f t="shared" si="451"/>
        <v>#VALUE!</v>
      </c>
      <c r="AL304" s="31" t="e">
        <f t="shared" si="452"/>
        <v>#VALUE!</v>
      </c>
      <c r="AM304" s="31" t="e">
        <f t="shared" si="453"/>
        <v>#VALUE!</v>
      </c>
      <c r="AN304" s="32" t="str">
        <f t="shared" si="454"/>
        <v/>
      </c>
      <c r="AO304" s="27" t="str">
        <f t="shared" si="455"/>
        <v/>
      </c>
      <c r="AP304" s="27" t="str">
        <f t="shared" si="456"/>
        <v/>
      </c>
      <c r="AQ304" s="27">
        <f t="shared" si="457"/>
        <v>0</v>
      </c>
      <c r="AR304" s="27">
        <f t="shared" si="458"/>
        <v>0</v>
      </c>
      <c r="AS304" s="33">
        <f t="shared" si="459"/>
        <v>0</v>
      </c>
    </row>
    <row r="305" spans="2:45" hidden="1" x14ac:dyDescent="0.25">
      <c r="B305" s="34">
        <f t="shared" ref="B305:F305" si="465">IF(B304="","",B304)</f>
        <v>11740</v>
      </c>
      <c r="C305" s="26">
        <f t="shared" si="465"/>
        <v>20</v>
      </c>
      <c r="D305" s="26">
        <f t="shared" si="465"/>
        <v>-500</v>
      </c>
      <c r="E305" s="26">
        <f t="shared" si="465"/>
        <v>0</v>
      </c>
      <c r="F305" s="26">
        <f t="shared" si="465"/>
        <v>-650</v>
      </c>
      <c r="G305" s="24"/>
      <c r="H305" s="24"/>
      <c r="I305" s="24"/>
      <c r="J305" s="24"/>
      <c r="K305" s="24"/>
      <c r="L305" s="24"/>
      <c r="M305" s="44" t="str">
        <f t="shared" si="429"/>
        <v/>
      </c>
      <c r="N305" s="26" t="str">
        <f t="shared" si="430"/>
        <v/>
      </c>
      <c r="O305" s="26" t="str">
        <f t="shared" si="431"/>
        <v/>
      </c>
      <c r="P305" s="26" t="str">
        <f t="shared" si="432"/>
        <v/>
      </c>
      <c r="Q305" s="26">
        <f t="shared" si="433"/>
        <v>0</v>
      </c>
      <c r="R305" s="26">
        <f t="shared" si="434"/>
        <v>0</v>
      </c>
      <c r="S305" s="26">
        <f t="shared" si="435"/>
        <v>0</v>
      </c>
      <c r="T305" s="26" t="str">
        <f t="shared" si="436"/>
        <v/>
      </c>
      <c r="U305" s="26" t="str">
        <f t="shared" si="437"/>
        <v/>
      </c>
      <c r="V305" s="26" t="str">
        <f t="shared" si="438"/>
        <v/>
      </c>
      <c r="W305" s="27" t="str">
        <f t="shared" si="439"/>
        <v/>
      </c>
      <c r="X305" s="27" t="str">
        <f t="shared" si="440"/>
        <v/>
      </c>
      <c r="Y305" s="28" t="str">
        <f t="shared" si="441"/>
        <v/>
      </c>
      <c r="Z305" s="27" t="str">
        <f t="shared" si="442"/>
        <v/>
      </c>
      <c r="AA305" s="27" t="str">
        <f t="shared" si="443"/>
        <v/>
      </c>
      <c r="AB305" s="27" t="str">
        <f t="shared" si="444"/>
        <v/>
      </c>
      <c r="AC305" s="27" t="str">
        <f t="shared" si="445"/>
        <v/>
      </c>
      <c r="AD305" s="29" t="str">
        <f t="shared" si="446"/>
        <v/>
      </c>
      <c r="AE305" s="30" t="str">
        <f t="shared" si="447"/>
        <v/>
      </c>
      <c r="AG305" s="4"/>
      <c r="AH305" s="31" t="e">
        <f t="shared" si="448"/>
        <v>#VALUE!</v>
      </c>
      <c r="AI305" s="31" t="e">
        <f t="shared" si="449"/>
        <v>#VALUE!</v>
      </c>
      <c r="AJ305" s="31" t="e">
        <f t="shared" si="450"/>
        <v>#VALUE!</v>
      </c>
      <c r="AK305" s="31" t="e">
        <f t="shared" si="451"/>
        <v>#VALUE!</v>
      </c>
      <c r="AL305" s="31" t="e">
        <f t="shared" si="452"/>
        <v>#VALUE!</v>
      </c>
      <c r="AM305" s="31" t="e">
        <f t="shared" si="453"/>
        <v>#VALUE!</v>
      </c>
      <c r="AN305" s="32" t="str">
        <f t="shared" si="454"/>
        <v/>
      </c>
      <c r="AO305" s="27" t="str">
        <f t="shared" si="455"/>
        <v/>
      </c>
      <c r="AP305" s="27" t="str">
        <f t="shared" si="456"/>
        <v/>
      </c>
      <c r="AQ305" s="27">
        <f t="shared" si="457"/>
        <v>0</v>
      </c>
      <c r="AR305" s="27">
        <f t="shared" si="458"/>
        <v>0</v>
      </c>
      <c r="AS305" s="33">
        <f t="shared" si="459"/>
        <v>0</v>
      </c>
    </row>
    <row r="306" spans="2:45" hidden="1" x14ac:dyDescent="0.25">
      <c r="B306" s="34">
        <f>IF(B305="","",B305)</f>
        <v>11740</v>
      </c>
      <c r="C306" s="26">
        <f t="shared" ref="C306:F306" si="466">IF(C305="","",C305)</f>
        <v>20</v>
      </c>
      <c r="D306" s="26">
        <f t="shared" si="466"/>
        <v>-500</v>
      </c>
      <c r="E306" s="26">
        <f t="shared" si="466"/>
        <v>0</v>
      </c>
      <c r="F306" s="26">
        <f t="shared" si="466"/>
        <v>-650</v>
      </c>
      <c r="G306" s="24"/>
      <c r="H306" s="24"/>
      <c r="I306" s="24"/>
      <c r="J306" s="24"/>
      <c r="K306" s="24"/>
      <c r="L306" s="24"/>
      <c r="M306" s="44" t="str">
        <f t="shared" si="429"/>
        <v/>
      </c>
      <c r="N306" s="26" t="str">
        <f t="shared" si="430"/>
        <v/>
      </c>
      <c r="O306" s="26" t="str">
        <f t="shared" si="431"/>
        <v/>
      </c>
      <c r="P306" s="26" t="str">
        <f t="shared" si="432"/>
        <v/>
      </c>
      <c r="Q306" s="26">
        <f t="shared" si="433"/>
        <v>0</v>
      </c>
      <c r="R306" s="26">
        <f t="shared" si="434"/>
        <v>0</v>
      </c>
      <c r="S306" s="26">
        <f t="shared" si="435"/>
        <v>0</v>
      </c>
      <c r="T306" s="26" t="str">
        <f t="shared" si="436"/>
        <v/>
      </c>
      <c r="U306" s="26" t="str">
        <f t="shared" si="437"/>
        <v/>
      </c>
      <c r="V306" s="26" t="str">
        <f t="shared" si="438"/>
        <v/>
      </c>
      <c r="W306" s="27" t="str">
        <f t="shared" si="439"/>
        <v/>
      </c>
      <c r="X306" s="27" t="str">
        <f t="shared" si="440"/>
        <v/>
      </c>
      <c r="Y306" s="28" t="str">
        <f t="shared" si="441"/>
        <v/>
      </c>
      <c r="Z306" s="27" t="str">
        <f t="shared" si="442"/>
        <v/>
      </c>
      <c r="AA306" s="27" t="str">
        <f t="shared" si="443"/>
        <v/>
      </c>
      <c r="AB306" s="27" t="str">
        <f t="shared" si="444"/>
        <v/>
      </c>
      <c r="AC306" s="27" t="str">
        <f t="shared" si="445"/>
        <v/>
      </c>
      <c r="AD306" s="29" t="str">
        <f t="shared" si="446"/>
        <v/>
      </c>
      <c r="AE306" s="30" t="str">
        <f t="shared" si="447"/>
        <v/>
      </c>
      <c r="AG306" s="4"/>
      <c r="AH306" s="31" t="e">
        <f t="shared" si="448"/>
        <v>#VALUE!</v>
      </c>
      <c r="AI306" s="31" t="e">
        <f t="shared" si="449"/>
        <v>#VALUE!</v>
      </c>
      <c r="AJ306" s="31" t="e">
        <f t="shared" si="450"/>
        <v>#VALUE!</v>
      </c>
      <c r="AK306" s="31" t="e">
        <f t="shared" si="451"/>
        <v>#VALUE!</v>
      </c>
      <c r="AL306" s="31" t="e">
        <f t="shared" si="452"/>
        <v>#VALUE!</v>
      </c>
      <c r="AM306" s="31" t="e">
        <f t="shared" si="453"/>
        <v>#VALUE!</v>
      </c>
      <c r="AN306" s="32" t="str">
        <f t="shared" si="454"/>
        <v/>
      </c>
      <c r="AO306" s="27" t="str">
        <f t="shared" si="455"/>
        <v/>
      </c>
      <c r="AP306" s="27" t="str">
        <f t="shared" si="456"/>
        <v/>
      </c>
      <c r="AQ306" s="27">
        <f t="shared" si="457"/>
        <v>0</v>
      </c>
      <c r="AR306" s="27">
        <f t="shared" si="458"/>
        <v>0</v>
      </c>
      <c r="AS306" s="33">
        <f t="shared" si="459"/>
        <v>0</v>
      </c>
    </row>
    <row r="307" spans="2:45" hidden="1" x14ac:dyDescent="0.25">
      <c r="B307" s="34">
        <f t="shared" ref="B307:F307" si="467">IF(B306="","",B306)</f>
        <v>11740</v>
      </c>
      <c r="C307" s="26">
        <f t="shared" si="467"/>
        <v>20</v>
      </c>
      <c r="D307" s="26">
        <f t="shared" si="467"/>
        <v>-500</v>
      </c>
      <c r="E307" s="26">
        <f t="shared" si="467"/>
        <v>0</v>
      </c>
      <c r="F307" s="26">
        <f t="shared" si="467"/>
        <v>-650</v>
      </c>
      <c r="G307" s="24"/>
      <c r="H307" s="24"/>
      <c r="I307" s="24"/>
      <c r="J307" s="24"/>
      <c r="K307" s="24"/>
      <c r="L307" s="24"/>
      <c r="M307" s="44" t="str">
        <f t="shared" si="429"/>
        <v/>
      </c>
      <c r="N307" s="26" t="str">
        <f t="shared" si="430"/>
        <v/>
      </c>
      <c r="O307" s="26" t="str">
        <f t="shared" si="431"/>
        <v/>
      </c>
      <c r="P307" s="26" t="str">
        <f t="shared" si="432"/>
        <v/>
      </c>
      <c r="Q307" s="26">
        <f t="shared" si="433"/>
        <v>0</v>
      </c>
      <c r="R307" s="26">
        <f t="shared" si="434"/>
        <v>0</v>
      </c>
      <c r="S307" s="26">
        <f t="shared" si="435"/>
        <v>0</v>
      </c>
      <c r="T307" s="26" t="str">
        <f t="shared" si="436"/>
        <v/>
      </c>
      <c r="U307" s="26" t="str">
        <f t="shared" si="437"/>
        <v/>
      </c>
      <c r="V307" s="26" t="str">
        <f t="shared" si="438"/>
        <v/>
      </c>
      <c r="W307" s="27" t="str">
        <f t="shared" si="439"/>
        <v/>
      </c>
      <c r="X307" s="27" t="str">
        <f t="shared" si="440"/>
        <v/>
      </c>
      <c r="Y307" s="28" t="str">
        <f t="shared" si="441"/>
        <v/>
      </c>
      <c r="Z307" s="27" t="str">
        <f t="shared" si="442"/>
        <v/>
      </c>
      <c r="AA307" s="27" t="str">
        <f t="shared" si="443"/>
        <v/>
      </c>
      <c r="AB307" s="27" t="str">
        <f t="shared" si="444"/>
        <v/>
      </c>
      <c r="AC307" s="27" t="str">
        <f t="shared" si="445"/>
        <v/>
      </c>
      <c r="AD307" s="29" t="str">
        <f t="shared" si="446"/>
        <v/>
      </c>
      <c r="AE307" s="30" t="str">
        <f t="shared" si="447"/>
        <v/>
      </c>
      <c r="AG307" s="4"/>
      <c r="AH307" s="31" t="e">
        <f t="shared" si="448"/>
        <v>#VALUE!</v>
      </c>
      <c r="AI307" s="31" t="e">
        <f t="shared" si="449"/>
        <v>#VALUE!</v>
      </c>
      <c r="AJ307" s="31" t="e">
        <f t="shared" si="450"/>
        <v>#VALUE!</v>
      </c>
      <c r="AK307" s="31" t="e">
        <f t="shared" si="451"/>
        <v>#VALUE!</v>
      </c>
      <c r="AL307" s="31" t="e">
        <f t="shared" si="452"/>
        <v>#VALUE!</v>
      </c>
      <c r="AM307" s="31" t="e">
        <f t="shared" si="453"/>
        <v>#VALUE!</v>
      </c>
      <c r="AN307" s="32" t="str">
        <f t="shared" si="454"/>
        <v/>
      </c>
      <c r="AO307" s="27" t="str">
        <f t="shared" si="455"/>
        <v/>
      </c>
      <c r="AP307" s="27" t="str">
        <f t="shared" si="456"/>
        <v/>
      </c>
      <c r="AQ307" s="27">
        <f t="shared" si="457"/>
        <v>0</v>
      </c>
      <c r="AR307" s="27">
        <f t="shared" si="458"/>
        <v>0</v>
      </c>
      <c r="AS307" s="33">
        <f t="shared" si="459"/>
        <v>0</v>
      </c>
    </row>
    <row r="308" spans="2:45" hidden="1" x14ac:dyDescent="0.25">
      <c r="B308" s="34">
        <f t="shared" ref="B308:F308" si="468">IF(B307="","",B307)</f>
        <v>11740</v>
      </c>
      <c r="C308" s="26">
        <f t="shared" si="468"/>
        <v>20</v>
      </c>
      <c r="D308" s="26">
        <f t="shared" si="468"/>
        <v>-500</v>
      </c>
      <c r="E308" s="26">
        <f t="shared" si="468"/>
        <v>0</v>
      </c>
      <c r="F308" s="26">
        <f t="shared" si="468"/>
        <v>-650</v>
      </c>
      <c r="G308" s="24"/>
      <c r="H308" s="24"/>
      <c r="I308" s="24"/>
      <c r="J308" s="24"/>
      <c r="K308" s="24"/>
      <c r="L308" s="24"/>
      <c r="M308" s="44" t="str">
        <f t="shared" si="429"/>
        <v/>
      </c>
      <c r="N308" s="26" t="str">
        <f t="shared" si="430"/>
        <v/>
      </c>
      <c r="O308" s="26" t="str">
        <f t="shared" si="431"/>
        <v/>
      </c>
      <c r="P308" s="26" t="str">
        <f t="shared" si="432"/>
        <v/>
      </c>
      <c r="Q308" s="26">
        <f t="shared" si="433"/>
        <v>0</v>
      </c>
      <c r="R308" s="26">
        <f t="shared" si="434"/>
        <v>0</v>
      </c>
      <c r="S308" s="26">
        <f t="shared" si="435"/>
        <v>0</v>
      </c>
      <c r="T308" s="26" t="str">
        <f t="shared" si="436"/>
        <v/>
      </c>
      <c r="U308" s="26" t="str">
        <f t="shared" si="437"/>
        <v/>
      </c>
      <c r="V308" s="26" t="str">
        <f t="shared" si="438"/>
        <v/>
      </c>
      <c r="W308" s="27" t="str">
        <f t="shared" si="439"/>
        <v/>
      </c>
      <c r="X308" s="27" t="str">
        <f t="shared" si="440"/>
        <v/>
      </c>
      <c r="Y308" s="28" t="str">
        <f t="shared" si="441"/>
        <v/>
      </c>
      <c r="Z308" s="27" t="str">
        <f t="shared" si="442"/>
        <v/>
      </c>
      <c r="AA308" s="27" t="str">
        <f t="shared" si="443"/>
        <v/>
      </c>
      <c r="AB308" s="27" t="str">
        <f t="shared" si="444"/>
        <v/>
      </c>
      <c r="AC308" s="27" t="str">
        <f t="shared" si="445"/>
        <v/>
      </c>
      <c r="AD308" s="29" t="str">
        <f t="shared" si="446"/>
        <v/>
      </c>
      <c r="AE308" s="30" t="str">
        <f t="shared" si="447"/>
        <v/>
      </c>
      <c r="AG308" s="4"/>
      <c r="AH308" s="31" t="e">
        <f t="shared" si="448"/>
        <v>#VALUE!</v>
      </c>
      <c r="AI308" s="31" t="e">
        <f t="shared" si="449"/>
        <v>#VALUE!</v>
      </c>
      <c r="AJ308" s="31" t="e">
        <f t="shared" si="450"/>
        <v>#VALUE!</v>
      </c>
      <c r="AK308" s="31" t="e">
        <f t="shared" si="451"/>
        <v>#VALUE!</v>
      </c>
      <c r="AL308" s="31" t="e">
        <f t="shared" si="452"/>
        <v>#VALUE!</v>
      </c>
      <c r="AM308" s="31" t="e">
        <f t="shared" si="453"/>
        <v>#VALUE!</v>
      </c>
      <c r="AN308" s="32" t="str">
        <f t="shared" si="454"/>
        <v/>
      </c>
      <c r="AO308" s="27" t="str">
        <f t="shared" si="455"/>
        <v/>
      </c>
      <c r="AP308" s="27" t="str">
        <f t="shared" si="456"/>
        <v/>
      </c>
      <c r="AQ308" s="27">
        <f t="shared" si="457"/>
        <v>0</v>
      </c>
      <c r="AR308" s="27">
        <f t="shared" si="458"/>
        <v>0</v>
      </c>
      <c r="AS308" s="33">
        <f t="shared" si="459"/>
        <v>0</v>
      </c>
    </row>
    <row r="309" spans="2:45" hidden="1" x14ac:dyDescent="0.25">
      <c r="B309" s="34">
        <f t="shared" ref="B309:F309" si="469">IF(B308="","",B308)</f>
        <v>11740</v>
      </c>
      <c r="C309" s="26">
        <f t="shared" si="469"/>
        <v>20</v>
      </c>
      <c r="D309" s="26">
        <f t="shared" si="469"/>
        <v>-500</v>
      </c>
      <c r="E309" s="26">
        <f t="shared" si="469"/>
        <v>0</v>
      </c>
      <c r="F309" s="26">
        <f t="shared" si="469"/>
        <v>-650</v>
      </c>
      <c r="G309" s="24"/>
      <c r="H309" s="24"/>
      <c r="I309" s="24"/>
      <c r="J309" s="24"/>
      <c r="K309" s="24"/>
      <c r="L309" s="24"/>
      <c r="M309" s="44" t="str">
        <f t="shared" si="429"/>
        <v/>
      </c>
      <c r="N309" s="26" t="str">
        <f t="shared" si="430"/>
        <v/>
      </c>
      <c r="O309" s="26" t="str">
        <f t="shared" si="431"/>
        <v/>
      </c>
      <c r="P309" s="26" t="str">
        <f t="shared" si="432"/>
        <v/>
      </c>
      <c r="Q309" s="26">
        <f t="shared" si="433"/>
        <v>0</v>
      </c>
      <c r="R309" s="26">
        <f t="shared" si="434"/>
        <v>0</v>
      </c>
      <c r="S309" s="26">
        <f t="shared" si="435"/>
        <v>0</v>
      </c>
      <c r="T309" s="26" t="str">
        <f t="shared" si="436"/>
        <v/>
      </c>
      <c r="U309" s="26" t="str">
        <f t="shared" si="437"/>
        <v/>
      </c>
      <c r="V309" s="26" t="str">
        <f t="shared" si="438"/>
        <v/>
      </c>
      <c r="W309" s="27" t="str">
        <f t="shared" si="439"/>
        <v/>
      </c>
      <c r="X309" s="27" t="str">
        <f t="shared" si="440"/>
        <v/>
      </c>
      <c r="Y309" s="28" t="str">
        <f t="shared" si="441"/>
        <v/>
      </c>
      <c r="Z309" s="27" t="str">
        <f t="shared" si="442"/>
        <v/>
      </c>
      <c r="AA309" s="27" t="str">
        <f t="shared" si="443"/>
        <v/>
      </c>
      <c r="AB309" s="27" t="str">
        <f t="shared" si="444"/>
        <v/>
      </c>
      <c r="AC309" s="27" t="str">
        <f t="shared" si="445"/>
        <v/>
      </c>
      <c r="AD309" s="29" t="str">
        <f t="shared" si="446"/>
        <v/>
      </c>
      <c r="AE309" s="30" t="str">
        <f t="shared" si="447"/>
        <v/>
      </c>
      <c r="AG309" s="4"/>
      <c r="AH309" s="31" t="e">
        <f t="shared" si="448"/>
        <v>#VALUE!</v>
      </c>
      <c r="AI309" s="31" t="e">
        <f t="shared" si="449"/>
        <v>#VALUE!</v>
      </c>
      <c r="AJ309" s="31" t="e">
        <f t="shared" si="450"/>
        <v>#VALUE!</v>
      </c>
      <c r="AK309" s="31" t="e">
        <f t="shared" si="451"/>
        <v>#VALUE!</v>
      </c>
      <c r="AL309" s="31" t="e">
        <f t="shared" si="452"/>
        <v>#VALUE!</v>
      </c>
      <c r="AM309" s="31" t="e">
        <f t="shared" si="453"/>
        <v>#VALUE!</v>
      </c>
      <c r="AN309" s="32" t="str">
        <f t="shared" si="454"/>
        <v/>
      </c>
      <c r="AO309" s="27" t="str">
        <f t="shared" si="455"/>
        <v/>
      </c>
      <c r="AP309" s="27" t="str">
        <f t="shared" si="456"/>
        <v/>
      </c>
      <c r="AQ309" s="27">
        <f t="shared" si="457"/>
        <v>0</v>
      </c>
      <c r="AR309" s="27">
        <f t="shared" si="458"/>
        <v>0</v>
      </c>
      <c r="AS309" s="33">
        <f t="shared" si="459"/>
        <v>0</v>
      </c>
    </row>
    <row r="310" spans="2:45" hidden="1" x14ac:dyDescent="0.25">
      <c r="B310" s="34">
        <f t="shared" ref="B310:F310" si="470">IF(B309="","",B309)</f>
        <v>11740</v>
      </c>
      <c r="C310" s="26">
        <f t="shared" si="470"/>
        <v>20</v>
      </c>
      <c r="D310" s="26">
        <f t="shared" si="470"/>
        <v>-500</v>
      </c>
      <c r="E310" s="26">
        <f t="shared" si="470"/>
        <v>0</v>
      </c>
      <c r="F310" s="26">
        <f t="shared" si="470"/>
        <v>-650</v>
      </c>
      <c r="G310" s="24"/>
      <c r="H310" s="24"/>
      <c r="I310" s="24"/>
      <c r="J310" s="24"/>
      <c r="K310" s="24"/>
      <c r="L310" s="24"/>
      <c r="M310" s="44" t="str">
        <f t="shared" si="429"/>
        <v/>
      </c>
      <c r="N310" s="26" t="str">
        <f t="shared" si="430"/>
        <v/>
      </c>
      <c r="O310" s="26" t="str">
        <f t="shared" si="431"/>
        <v/>
      </c>
      <c r="P310" s="26" t="str">
        <f t="shared" si="432"/>
        <v/>
      </c>
      <c r="Q310" s="26">
        <f t="shared" si="433"/>
        <v>0</v>
      </c>
      <c r="R310" s="26">
        <f t="shared" si="434"/>
        <v>0</v>
      </c>
      <c r="S310" s="26">
        <f t="shared" si="435"/>
        <v>0</v>
      </c>
      <c r="T310" s="26" t="str">
        <f t="shared" si="436"/>
        <v/>
      </c>
      <c r="U310" s="26" t="str">
        <f t="shared" si="437"/>
        <v/>
      </c>
      <c r="V310" s="26" t="str">
        <f t="shared" si="438"/>
        <v/>
      </c>
      <c r="W310" s="27" t="str">
        <f t="shared" si="439"/>
        <v/>
      </c>
      <c r="X310" s="27" t="str">
        <f t="shared" si="440"/>
        <v/>
      </c>
      <c r="Y310" s="28" t="str">
        <f t="shared" si="441"/>
        <v/>
      </c>
      <c r="Z310" s="27" t="str">
        <f t="shared" si="442"/>
        <v/>
      </c>
      <c r="AA310" s="27" t="str">
        <f t="shared" si="443"/>
        <v/>
      </c>
      <c r="AB310" s="27" t="str">
        <f t="shared" si="444"/>
        <v/>
      </c>
      <c r="AC310" s="27" t="str">
        <f t="shared" si="445"/>
        <v/>
      </c>
      <c r="AD310" s="29" t="str">
        <f t="shared" si="446"/>
        <v/>
      </c>
      <c r="AE310" s="30" t="str">
        <f t="shared" si="447"/>
        <v/>
      </c>
      <c r="AG310" s="4"/>
      <c r="AH310" s="31" t="e">
        <f t="shared" si="448"/>
        <v>#VALUE!</v>
      </c>
      <c r="AI310" s="31" t="e">
        <f t="shared" si="449"/>
        <v>#VALUE!</v>
      </c>
      <c r="AJ310" s="31" t="e">
        <f t="shared" si="450"/>
        <v>#VALUE!</v>
      </c>
      <c r="AK310" s="31" t="e">
        <f t="shared" si="451"/>
        <v>#VALUE!</v>
      </c>
      <c r="AL310" s="31" t="e">
        <f t="shared" si="452"/>
        <v>#VALUE!</v>
      </c>
      <c r="AM310" s="31" t="e">
        <f t="shared" si="453"/>
        <v>#VALUE!</v>
      </c>
      <c r="AN310" s="32" t="str">
        <f t="shared" si="454"/>
        <v/>
      </c>
      <c r="AO310" s="27" t="str">
        <f t="shared" si="455"/>
        <v/>
      </c>
      <c r="AP310" s="27" t="str">
        <f t="shared" si="456"/>
        <v/>
      </c>
      <c r="AQ310" s="27">
        <f t="shared" si="457"/>
        <v>0</v>
      </c>
      <c r="AR310" s="27">
        <f t="shared" si="458"/>
        <v>0</v>
      </c>
      <c r="AS310" s="33">
        <f t="shared" si="459"/>
        <v>0</v>
      </c>
    </row>
    <row r="311" spans="2:45" hidden="1" x14ac:dyDescent="0.25">
      <c r="B311" s="34">
        <f t="shared" ref="B311:F311" si="471">IF(B310="","",B310)</f>
        <v>11740</v>
      </c>
      <c r="C311" s="26">
        <f t="shared" si="471"/>
        <v>20</v>
      </c>
      <c r="D311" s="26">
        <f t="shared" si="471"/>
        <v>-500</v>
      </c>
      <c r="E311" s="26">
        <f t="shared" si="471"/>
        <v>0</v>
      </c>
      <c r="F311" s="26">
        <f t="shared" si="471"/>
        <v>-650</v>
      </c>
      <c r="G311" s="24"/>
      <c r="H311" s="24"/>
      <c r="I311" s="24"/>
      <c r="J311" s="24"/>
      <c r="K311" s="24"/>
      <c r="L311" s="24"/>
      <c r="M311" s="44" t="str">
        <f t="shared" si="429"/>
        <v/>
      </c>
      <c r="N311" s="26" t="str">
        <f t="shared" si="430"/>
        <v/>
      </c>
      <c r="O311" s="26" t="str">
        <f t="shared" si="431"/>
        <v/>
      </c>
      <c r="P311" s="26" t="str">
        <f t="shared" si="432"/>
        <v/>
      </c>
      <c r="Q311" s="26">
        <f t="shared" si="433"/>
        <v>0</v>
      </c>
      <c r="R311" s="26">
        <f t="shared" si="434"/>
        <v>0</v>
      </c>
      <c r="S311" s="26">
        <f t="shared" si="435"/>
        <v>0</v>
      </c>
      <c r="T311" s="26" t="str">
        <f t="shared" si="436"/>
        <v/>
      </c>
      <c r="U311" s="26" t="str">
        <f t="shared" si="437"/>
        <v/>
      </c>
      <c r="V311" s="26" t="str">
        <f t="shared" si="438"/>
        <v/>
      </c>
      <c r="W311" s="27" t="str">
        <f t="shared" si="439"/>
        <v/>
      </c>
      <c r="X311" s="27" t="str">
        <f t="shared" si="440"/>
        <v/>
      </c>
      <c r="Y311" s="28" t="str">
        <f t="shared" si="441"/>
        <v/>
      </c>
      <c r="Z311" s="27" t="str">
        <f t="shared" si="442"/>
        <v/>
      </c>
      <c r="AA311" s="27" t="str">
        <f t="shared" si="443"/>
        <v/>
      </c>
      <c r="AB311" s="27" t="str">
        <f t="shared" si="444"/>
        <v/>
      </c>
      <c r="AC311" s="27" t="str">
        <f t="shared" si="445"/>
        <v/>
      </c>
      <c r="AD311" s="29" t="str">
        <f t="shared" si="446"/>
        <v/>
      </c>
      <c r="AE311" s="30" t="str">
        <f t="shared" si="447"/>
        <v/>
      </c>
      <c r="AG311" s="4"/>
      <c r="AH311" s="31" t="e">
        <f t="shared" si="448"/>
        <v>#VALUE!</v>
      </c>
      <c r="AI311" s="31" t="e">
        <f t="shared" si="449"/>
        <v>#VALUE!</v>
      </c>
      <c r="AJ311" s="31" t="e">
        <f t="shared" si="450"/>
        <v>#VALUE!</v>
      </c>
      <c r="AK311" s="31" t="e">
        <f t="shared" si="451"/>
        <v>#VALUE!</v>
      </c>
      <c r="AL311" s="31" t="e">
        <f t="shared" si="452"/>
        <v>#VALUE!</v>
      </c>
      <c r="AM311" s="31" t="e">
        <f t="shared" si="453"/>
        <v>#VALUE!</v>
      </c>
      <c r="AN311" s="32" t="str">
        <f t="shared" si="454"/>
        <v/>
      </c>
      <c r="AO311" s="27" t="str">
        <f t="shared" si="455"/>
        <v/>
      </c>
      <c r="AP311" s="27" t="str">
        <f t="shared" si="456"/>
        <v/>
      </c>
      <c r="AQ311" s="27">
        <f t="shared" si="457"/>
        <v>0</v>
      </c>
      <c r="AR311" s="27">
        <f t="shared" si="458"/>
        <v>0</v>
      </c>
      <c r="AS311" s="33">
        <f t="shared" si="459"/>
        <v>0</v>
      </c>
    </row>
    <row r="312" spans="2:45" hidden="1" x14ac:dyDescent="0.25">
      <c r="B312" s="34">
        <f t="shared" ref="B312:F312" si="472">IF(B311="","",B311)</f>
        <v>11740</v>
      </c>
      <c r="C312" s="26">
        <f t="shared" si="472"/>
        <v>20</v>
      </c>
      <c r="D312" s="26">
        <f t="shared" si="472"/>
        <v>-500</v>
      </c>
      <c r="E312" s="26">
        <f t="shared" si="472"/>
        <v>0</v>
      </c>
      <c r="F312" s="26">
        <f t="shared" si="472"/>
        <v>-650</v>
      </c>
      <c r="G312" s="24"/>
      <c r="H312" s="24"/>
      <c r="I312" s="24"/>
      <c r="J312" s="24"/>
      <c r="K312" s="24"/>
      <c r="L312" s="24"/>
      <c r="M312" s="44" t="str">
        <f t="shared" si="429"/>
        <v/>
      </c>
      <c r="N312" s="26" t="str">
        <f t="shared" si="430"/>
        <v/>
      </c>
      <c r="O312" s="26" t="str">
        <f t="shared" si="431"/>
        <v/>
      </c>
      <c r="P312" s="26" t="str">
        <f t="shared" si="432"/>
        <v/>
      </c>
      <c r="Q312" s="26">
        <f t="shared" si="433"/>
        <v>0</v>
      </c>
      <c r="R312" s="26">
        <f t="shared" si="434"/>
        <v>0</v>
      </c>
      <c r="S312" s="26">
        <f t="shared" si="435"/>
        <v>0</v>
      </c>
      <c r="T312" s="26" t="str">
        <f t="shared" si="436"/>
        <v/>
      </c>
      <c r="U312" s="26" t="str">
        <f t="shared" si="437"/>
        <v/>
      </c>
      <c r="V312" s="26" t="str">
        <f t="shared" si="438"/>
        <v/>
      </c>
      <c r="W312" s="27" t="str">
        <f t="shared" si="439"/>
        <v/>
      </c>
      <c r="X312" s="27" t="str">
        <f t="shared" si="440"/>
        <v/>
      </c>
      <c r="Y312" s="28" t="str">
        <f t="shared" si="441"/>
        <v/>
      </c>
      <c r="Z312" s="27" t="str">
        <f t="shared" si="442"/>
        <v/>
      </c>
      <c r="AA312" s="27" t="str">
        <f t="shared" si="443"/>
        <v/>
      </c>
      <c r="AB312" s="27" t="str">
        <f t="shared" si="444"/>
        <v/>
      </c>
      <c r="AC312" s="27" t="str">
        <f t="shared" si="445"/>
        <v/>
      </c>
      <c r="AD312" s="29" t="str">
        <f t="shared" si="446"/>
        <v/>
      </c>
      <c r="AE312" s="30" t="str">
        <f t="shared" si="447"/>
        <v/>
      </c>
      <c r="AG312" s="4"/>
      <c r="AH312" s="31" t="e">
        <f t="shared" si="448"/>
        <v>#VALUE!</v>
      </c>
      <c r="AI312" s="31" t="e">
        <f t="shared" si="449"/>
        <v>#VALUE!</v>
      </c>
      <c r="AJ312" s="31" t="e">
        <f t="shared" si="450"/>
        <v>#VALUE!</v>
      </c>
      <c r="AK312" s="31" t="e">
        <f t="shared" si="451"/>
        <v>#VALUE!</v>
      </c>
      <c r="AL312" s="31" t="e">
        <f t="shared" si="452"/>
        <v>#VALUE!</v>
      </c>
      <c r="AM312" s="31" t="e">
        <f t="shared" si="453"/>
        <v>#VALUE!</v>
      </c>
      <c r="AN312" s="32" t="str">
        <f t="shared" si="454"/>
        <v/>
      </c>
      <c r="AO312" s="27" t="str">
        <f t="shared" si="455"/>
        <v/>
      </c>
      <c r="AP312" s="27" t="str">
        <f t="shared" si="456"/>
        <v/>
      </c>
      <c r="AQ312" s="27">
        <f t="shared" si="457"/>
        <v>0</v>
      </c>
      <c r="AR312" s="27">
        <f t="shared" si="458"/>
        <v>0</v>
      </c>
      <c r="AS312" s="33">
        <f t="shared" si="459"/>
        <v>0</v>
      </c>
    </row>
    <row r="313" spans="2:45" hidden="1" x14ac:dyDescent="0.25">
      <c r="B313" s="34">
        <f t="shared" ref="B313:F313" si="473">IF(B312="","",B312)</f>
        <v>11740</v>
      </c>
      <c r="C313" s="26">
        <f t="shared" si="473"/>
        <v>20</v>
      </c>
      <c r="D313" s="26">
        <f t="shared" si="473"/>
        <v>-500</v>
      </c>
      <c r="E313" s="26">
        <f t="shared" si="473"/>
        <v>0</v>
      </c>
      <c r="F313" s="26">
        <f t="shared" si="473"/>
        <v>-650</v>
      </c>
      <c r="G313" s="24"/>
      <c r="H313" s="24"/>
      <c r="I313" s="24"/>
      <c r="J313" s="24"/>
      <c r="K313" s="24"/>
      <c r="L313" s="24"/>
      <c r="M313" s="44" t="str">
        <f t="shared" si="429"/>
        <v/>
      </c>
      <c r="N313" s="26" t="str">
        <f t="shared" si="430"/>
        <v/>
      </c>
      <c r="O313" s="26" t="str">
        <f t="shared" si="431"/>
        <v/>
      </c>
      <c r="P313" s="26" t="str">
        <f t="shared" si="432"/>
        <v/>
      </c>
      <c r="Q313" s="26">
        <f t="shared" si="433"/>
        <v>0</v>
      </c>
      <c r="R313" s="26">
        <f t="shared" si="434"/>
        <v>0</v>
      </c>
      <c r="S313" s="26">
        <f t="shared" si="435"/>
        <v>0</v>
      </c>
      <c r="T313" s="26" t="str">
        <f t="shared" si="436"/>
        <v/>
      </c>
      <c r="U313" s="26" t="str">
        <f t="shared" si="437"/>
        <v/>
      </c>
      <c r="V313" s="26" t="str">
        <f t="shared" si="438"/>
        <v/>
      </c>
      <c r="W313" s="27" t="str">
        <f t="shared" si="439"/>
        <v/>
      </c>
      <c r="X313" s="27" t="str">
        <f t="shared" si="440"/>
        <v/>
      </c>
      <c r="Y313" s="28" t="str">
        <f t="shared" si="441"/>
        <v/>
      </c>
      <c r="Z313" s="27" t="str">
        <f t="shared" si="442"/>
        <v/>
      </c>
      <c r="AA313" s="27" t="str">
        <f t="shared" si="443"/>
        <v/>
      </c>
      <c r="AB313" s="27" t="str">
        <f t="shared" si="444"/>
        <v/>
      </c>
      <c r="AC313" s="27" t="str">
        <f t="shared" si="445"/>
        <v/>
      </c>
      <c r="AD313" s="29" t="str">
        <f t="shared" si="446"/>
        <v/>
      </c>
      <c r="AE313" s="30" t="str">
        <f t="shared" si="447"/>
        <v/>
      </c>
      <c r="AG313" s="4"/>
      <c r="AH313" s="31" t="e">
        <f t="shared" si="448"/>
        <v>#VALUE!</v>
      </c>
      <c r="AI313" s="31" t="e">
        <f t="shared" si="449"/>
        <v>#VALUE!</v>
      </c>
      <c r="AJ313" s="31" t="e">
        <f t="shared" si="450"/>
        <v>#VALUE!</v>
      </c>
      <c r="AK313" s="31" t="e">
        <f t="shared" si="451"/>
        <v>#VALUE!</v>
      </c>
      <c r="AL313" s="31" t="e">
        <f t="shared" si="452"/>
        <v>#VALUE!</v>
      </c>
      <c r="AM313" s="31" t="e">
        <f t="shared" si="453"/>
        <v>#VALUE!</v>
      </c>
      <c r="AN313" s="32" t="str">
        <f t="shared" si="454"/>
        <v/>
      </c>
      <c r="AO313" s="27" t="str">
        <f t="shared" si="455"/>
        <v/>
      </c>
      <c r="AP313" s="27" t="str">
        <f t="shared" si="456"/>
        <v/>
      </c>
      <c r="AQ313" s="27">
        <f t="shared" si="457"/>
        <v>0</v>
      </c>
      <c r="AR313" s="27">
        <f t="shared" si="458"/>
        <v>0</v>
      </c>
      <c r="AS313" s="33">
        <f t="shared" si="459"/>
        <v>0</v>
      </c>
    </row>
    <row r="314" spans="2:45" hidden="1" x14ac:dyDescent="0.25">
      <c r="B314" s="34">
        <f t="shared" ref="B314:F314" si="474">IF(B313="","",B313)</f>
        <v>11740</v>
      </c>
      <c r="C314" s="26">
        <f t="shared" si="474"/>
        <v>20</v>
      </c>
      <c r="D314" s="26">
        <f t="shared" si="474"/>
        <v>-500</v>
      </c>
      <c r="E314" s="26">
        <f t="shared" si="474"/>
        <v>0</v>
      </c>
      <c r="F314" s="26">
        <f t="shared" si="474"/>
        <v>-650</v>
      </c>
      <c r="G314" s="24"/>
      <c r="H314" s="24"/>
      <c r="I314" s="24"/>
      <c r="J314" s="24"/>
      <c r="K314" s="24"/>
      <c r="L314" s="24"/>
      <c r="M314" s="44" t="str">
        <f t="shared" si="429"/>
        <v/>
      </c>
      <c r="N314" s="26" t="str">
        <f t="shared" si="430"/>
        <v/>
      </c>
      <c r="O314" s="26" t="str">
        <f t="shared" si="431"/>
        <v/>
      </c>
      <c r="P314" s="26" t="str">
        <f t="shared" si="432"/>
        <v/>
      </c>
      <c r="Q314" s="26">
        <f t="shared" si="433"/>
        <v>0</v>
      </c>
      <c r="R314" s="26">
        <f t="shared" si="434"/>
        <v>0</v>
      </c>
      <c r="S314" s="26">
        <f t="shared" si="435"/>
        <v>0</v>
      </c>
      <c r="T314" s="26" t="str">
        <f t="shared" si="436"/>
        <v/>
      </c>
      <c r="U314" s="26" t="str">
        <f t="shared" si="437"/>
        <v/>
      </c>
      <c r="V314" s="26" t="str">
        <f t="shared" si="438"/>
        <v/>
      </c>
      <c r="W314" s="27" t="str">
        <f t="shared" si="439"/>
        <v/>
      </c>
      <c r="X314" s="27" t="str">
        <f t="shared" si="440"/>
        <v/>
      </c>
      <c r="Y314" s="28" t="str">
        <f t="shared" si="441"/>
        <v/>
      </c>
      <c r="Z314" s="27" t="str">
        <f t="shared" si="442"/>
        <v/>
      </c>
      <c r="AA314" s="27" t="str">
        <f t="shared" si="443"/>
        <v/>
      </c>
      <c r="AB314" s="27" t="str">
        <f t="shared" si="444"/>
        <v/>
      </c>
      <c r="AC314" s="27" t="str">
        <f t="shared" si="445"/>
        <v/>
      </c>
      <c r="AD314" s="29" t="str">
        <f t="shared" si="446"/>
        <v/>
      </c>
      <c r="AE314" s="30" t="str">
        <f t="shared" si="447"/>
        <v/>
      </c>
      <c r="AG314" s="4"/>
      <c r="AH314" s="31" t="e">
        <f t="shared" si="448"/>
        <v>#VALUE!</v>
      </c>
      <c r="AI314" s="31" t="e">
        <f t="shared" si="449"/>
        <v>#VALUE!</v>
      </c>
      <c r="AJ314" s="31" t="e">
        <f t="shared" si="450"/>
        <v>#VALUE!</v>
      </c>
      <c r="AK314" s="31" t="e">
        <f t="shared" si="451"/>
        <v>#VALUE!</v>
      </c>
      <c r="AL314" s="31" t="e">
        <f t="shared" si="452"/>
        <v>#VALUE!</v>
      </c>
      <c r="AM314" s="31" t="e">
        <f t="shared" si="453"/>
        <v>#VALUE!</v>
      </c>
      <c r="AN314" s="32" t="str">
        <f t="shared" si="454"/>
        <v/>
      </c>
      <c r="AO314" s="27" t="str">
        <f t="shared" si="455"/>
        <v/>
      </c>
      <c r="AP314" s="27" t="str">
        <f t="shared" si="456"/>
        <v/>
      </c>
      <c r="AQ314" s="27">
        <f t="shared" si="457"/>
        <v>0</v>
      </c>
      <c r="AR314" s="27">
        <f t="shared" si="458"/>
        <v>0</v>
      </c>
      <c r="AS314" s="33">
        <f t="shared" si="459"/>
        <v>0</v>
      </c>
    </row>
    <row r="315" spans="2:45" hidden="1" x14ac:dyDescent="0.25">
      <c r="B315" s="34">
        <f t="shared" ref="B315:F315" si="475">IF(B314="","",B314)</f>
        <v>11740</v>
      </c>
      <c r="C315" s="26">
        <f t="shared" si="475"/>
        <v>20</v>
      </c>
      <c r="D315" s="26">
        <f t="shared" si="475"/>
        <v>-500</v>
      </c>
      <c r="E315" s="26">
        <f t="shared" si="475"/>
        <v>0</v>
      </c>
      <c r="F315" s="26">
        <f t="shared" si="475"/>
        <v>-650</v>
      </c>
      <c r="G315" s="24"/>
      <c r="H315" s="24"/>
      <c r="I315" s="24"/>
      <c r="J315" s="24"/>
      <c r="K315" s="24"/>
      <c r="L315" s="24"/>
      <c r="M315" s="44" t="str">
        <f t="shared" si="429"/>
        <v/>
      </c>
      <c r="N315" s="26" t="str">
        <f t="shared" si="430"/>
        <v/>
      </c>
      <c r="O315" s="26" t="str">
        <f t="shared" si="431"/>
        <v/>
      </c>
      <c r="P315" s="26" t="str">
        <f t="shared" si="432"/>
        <v/>
      </c>
      <c r="Q315" s="26">
        <f t="shared" si="433"/>
        <v>0</v>
      </c>
      <c r="R315" s="26">
        <f t="shared" si="434"/>
        <v>0</v>
      </c>
      <c r="S315" s="26">
        <f t="shared" si="435"/>
        <v>0</v>
      </c>
      <c r="T315" s="26" t="str">
        <f t="shared" si="436"/>
        <v/>
      </c>
      <c r="U315" s="26" t="str">
        <f t="shared" si="437"/>
        <v/>
      </c>
      <c r="V315" s="26" t="str">
        <f t="shared" si="438"/>
        <v/>
      </c>
      <c r="W315" s="27" t="str">
        <f t="shared" si="439"/>
        <v/>
      </c>
      <c r="X315" s="27" t="str">
        <f t="shared" si="440"/>
        <v/>
      </c>
      <c r="Y315" s="28" t="str">
        <f t="shared" si="441"/>
        <v/>
      </c>
      <c r="Z315" s="27" t="str">
        <f t="shared" si="442"/>
        <v/>
      </c>
      <c r="AA315" s="27" t="str">
        <f t="shared" si="443"/>
        <v/>
      </c>
      <c r="AB315" s="27" t="str">
        <f t="shared" si="444"/>
        <v/>
      </c>
      <c r="AC315" s="27" t="str">
        <f t="shared" si="445"/>
        <v/>
      </c>
      <c r="AD315" s="29" t="str">
        <f t="shared" si="446"/>
        <v/>
      </c>
      <c r="AE315" s="30" t="str">
        <f t="shared" si="447"/>
        <v/>
      </c>
      <c r="AG315" s="4"/>
      <c r="AH315" s="31" t="e">
        <f t="shared" si="448"/>
        <v>#VALUE!</v>
      </c>
      <c r="AI315" s="31" t="e">
        <f t="shared" si="449"/>
        <v>#VALUE!</v>
      </c>
      <c r="AJ315" s="31" t="e">
        <f t="shared" si="450"/>
        <v>#VALUE!</v>
      </c>
      <c r="AK315" s="31" t="e">
        <f t="shared" si="451"/>
        <v>#VALUE!</v>
      </c>
      <c r="AL315" s="31" t="e">
        <f t="shared" si="452"/>
        <v>#VALUE!</v>
      </c>
      <c r="AM315" s="31" t="e">
        <f t="shared" si="453"/>
        <v>#VALUE!</v>
      </c>
      <c r="AN315" s="32" t="str">
        <f t="shared" si="454"/>
        <v/>
      </c>
      <c r="AO315" s="27" t="str">
        <f t="shared" si="455"/>
        <v/>
      </c>
      <c r="AP315" s="27" t="str">
        <f t="shared" si="456"/>
        <v/>
      </c>
      <c r="AQ315" s="27">
        <f t="shared" si="457"/>
        <v>0</v>
      </c>
      <c r="AR315" s="27">
        <f t="shared" si="458"/>
        <v>0</v>
      </c>
      <c r="AS315" s="33">
        <f t="shared" si="459"/>
        <v>0</v>
      </c>
    </row>
    <row r="316" spans="2:45" hidden="1" x14ac:dyDescent="0.25">
      <c r="B316" s="34">
        <f t="shared" ref="B316:F316" si="476">IF(B315="","",B315)</f>
        <v>11740</v>
      </c>
      <c r="C316" s="26">
        <f t="shared" si="476"/>
        <v>20</v>
      </c>
      <c r="D316" s="26">
        <f t="shared" si="476"/>
        <v>-500</v>
      </c>
      <c r="E316" s="26">
        <f t="shared" si="476"/>
        <v>0</v>
      </c>
      <c r="F316" s="26">
        <f t="shared" si="476"/>
        <v>-650</v>
      </c>
      <c r="G316" s="24"/>
      <c r="H316" s="24"/>
      <c r="I316" s="24"/>
      <c r="J316" s="24"/>
      <c r="K316" s="24"/>
      <c r="L316" s="24"/>
      <c r="M316" s="44" t="str">
        <f t="shared" si="429"/>
        <v/>
      </c>
      <c r="N316" s="26" t="str">
        <f t="shared" si="430"/>
        <v/>
      </c>
      <c r="O316" s="26" t="str">
        <f t="shared" si="431"/>
        <v/>
      </c>
      <c r="P316" s="26" t="str">
        <f t="shared" si="432"/>
        <v/>
      </c>
      <c r="Q316" s="26">
        <f t="shared" si="433"/>
        <v>0</v>
      </c>
      <c r="R316" s="26">
        <f t="shared" si="434"/>
        <v>0</v>
      </c>
      <c r="S316" s="26">
        <f t="shared" si="435"/>
        <v>0</v>
      </c>
      <c r="T316" s="26" t="str">
        <f t="shared" si="436"/>
        <v/>
      </c>
      <c r="U316" s="26" t="str">
        <f t="shared" si="437"/>
        <v/>
      </c>
      <c r="V316" s="26" t="str">
        <f t="shared" si="438"/>
        <v/>
      </c>
      <c r="W316" s="27" t="str">
        <f t="shared" si="439"/>
        <v/>
      </c>
      <c r="X316" s="27" t="str">
        <f t="shared" si="440"/>
        <v/>
      </c>
      <c r="Y316" s="28" t="str">
        <f t="shared" si="441"/>
        <v/>
      </c>
      <c r="Z316" s="27" t="str">
        <f t="shared" si="442"/>
        <v/>
      </c>
      <c r="AA316" s="27" t="str">
        <f t="shared" si="443"/>
        <v/>
      </c>
      <c r="AB316" s="27" t="str">
        <f t="shared" si="444"/>
        <v/>
      </c>
      <c r="AC316" s="27" t="str">
        <f t="shared" si="445"/>
        <v/>
      </c>
      <c r="AD316" s="29" t="str">
        <f t="shared" si="446"/>
        <v/>
      </c>
      <c r="AE316" s="30" t="str">
        <f t="shared" si="447"/>
        <v/>
      </c>
      <c r="AG316" s="4"/>
      <c r="AH316" s="31" t="e">
        <f t="shared" si="448"/>
        <v>#VALUE!</v>
      </c>
      <c r="AI316" s="31" t="e">
        <f t="shared" si="449"/>
        <v>#VALUE!</v>
      </c>
      <c r="AJ316" s="31" t="e">
        <f t="shared" si="450"/>
        <v>#VALUE!</v>
      </c>
      <c r="AK316" s="31" t="e">
        <f t="shared" si="451"/>
        <v>#VALUE!</v>
      </c>
      <c r="AL316" s="31" t="e">
        <f t="shared" si="452"/>
        <v>#VALUE!</v>
      </c>
      <c r="AM316" s="31" t="e">
        <f t="shared" si="453"/>
        <v>#VALUE!</v>
      </c>
      <c r="AN316" s="32" t="str">
        <f t="shared" si="454"/>
        <v/>
      </c>
      <c r="AO316" s="27" t="str">
        <f t="shared" si="455"/>
        <v/>
      </c>
      <c r="AP316" s="27" t="str">
        <f t="shared" si="456"/>
        <v/>
      </c>
      <c r="AQ316" s="27">
        <f t="shared" si="457"/>
        <v>0</v>
      </c>
      <c r="AR316" s="27">
        <f t="shared" si="458"/>
        <v>0</v>
      </c>
      <c r="AS316" s="33">
        <f t="shared" si="459"/>
        <v>0</v>
      </c>
    </row>
    <row r="317" spans="2:45" hidden="1" x14ac:dyDescent="0.25">
      <c r="B317" s="34">
        <f t="shared" ref="B317:F317" si="477">IF(B316="","",B316)</f>
        <v>11740</v>
      </c>
      <c r="C317" s="26">
        <f t="shared" si="477"/>
        <v>20</v>
      </c>
      <c r="D317" s="26">
        <f t="shared" si="477"/>
        <v>-500</v>
      </c>
      <c r="E317" s="26">
        <f t="shared" si="477"/>
        <v>0</v>
      </c>
      <c r="F317" s="26">
        <f t="shared" si="477"/>
        <v>-650</v>
      </c>
      <c r="G317" s="24"/>
      <c r="H317" s="24"/>
      <c r="I317" s="24"/>
      <c r="J317" s="24"/>
      <c r="K317" s="24"/>
      <c r="L317" s="24"/>
      <c r="M317" s="44" t="str">
        <f t="shared" si="429"/>
        <v/>
      </c>
      <c r="N317" s="26" t="str">
        <f t="shared" si="430"/>
        <v/>
      </c>
      <c r="O317" s="26" t="str">
        <f t="shared" si="431"/>
        <v/>
      </c>
      <c r="P317" s="26" t="str">
        <f t="shared" si="432"/>
        <v/>
      </c>
      <c r="Q317" s="26">
        <f t="shared" si="433"/>
        <v>0</v>
      </c>
      <c r="R317" s="26">
        <f t="shared" si="434"/>
        <v>0</v>
      </c>
      <c r="S317" s="26">
        <f t="shared" si="435"/>
        <v>0</v>
      </c>
      <c r="T317" s="26" t="str">
        <f t="shared" si="436"/>
        <v/>
      </c>
      <c r="U317" s="26" t="str">
        <f t="shared" si="437"/>
        <v/>
      </c>
      <c r="V317" s="26" t="str">
        <f t="shared" si="438"/>
        <v/>
      </c>
      <c r="W317" s="27" t="str">
        <f t="shared" si="439"/>
        <v/>
      </c>
      <c r="X317" s="27" t="str">
        <f t="shared" si="440"/>
        <v/>
      </c>
      <c r="Y317" s="28" t="str">
        <f t="shared" si="441"/>
        <v/>
      </c>
      <c r="Z317" s="27" t="str">
        <f t="shared" si="442"/>
        <v/>
      </c>
      <c r="AA317" s="27" t="str">
        <f t="shared" si="443"/>
        <v/>
      </c>
      <c r="AB317" s="27" t="str">
        <f t="shared" si="444"/>
        <v/>
      </c>
      <c r="AC317" s="27" t="str">
        <f t="shared" si="445"/>
        <v/>
      </c>
      <c r="AD317" s="29" t="str">
        <f t="shared" si="446"/>
        <v/>
      </c>
      <c r="AE317" s="30" t="str">
        <f t="shared" si="447"/>
        <v/>
      </c>
      <c r="AG317" s="4"/>
      <c r="AH317" s="31" t="e">
        <f t="shared" si="448"/>
        <v>#VALUE!</v>
      </c>
      <c r="AI317" s="31" t="e">
        <f t="shared" si="449"/>
        <v>#VALUE!</v>
      </c>
      <c r="AJ317" s="31" t="e">
        <f t="shared" si="450"/>
        <v>#VALUE!</v>
      </c>
      <c r="AK317" s="31" t="e">
        <f t="shared" si="451"/>
        <v>#VALUE!</v>
      </c>
      <c r="AL317" s="31" t="e">
        <f t="shared" si="452"/>
        <v>#VALUE!</v>
      </c>
      <c r="AM317" s="31" t="e">
        <f t="shared" si="453"/>
        <v>#VALUE!</v>
      </c>
      <c r="AN317" s="32" t="str">
        <f t="shared" si="454"/>
        <v/>
      </c>
      <c r="AO317" s="27" t="str">
        <f t="shared" si="455"/>
        <v/>
      </c>
      <c r="AP317" s="27" t="str">
        <f t="shared" si="456"/>
        <v/>
      </c>
      <c r="AQ317" s="27">
        <f t="shared" si="457"/>
        <v>0</v>
      </c>
      <c r="AR317" s="27">
        <f t="shared" si="458"/>
        <v>0</v>
      </c>
      <c r="AS317" s="33">
        <f t="shared" si="459"/>
        <v>0</v>
      </c>
    </row>
    <row r="318" spans="2:45" hidden="1" x14ac:dyDescent="0.25">
      <c r="B318" s="34">
        <f t="shared" ref="B318:F318" si="478">IF(B317="","",B317)</f>
        <v>11740</v>
      </c>
      <c r="C318" s="26">
        <f t="shared" si="478"/>
        <v>20</v>
      </c>
      <c r="D318" s="26">
        <f t="shared" si="478"/>
        <v>-500</v>
      </c>
      <c r="E318" s="26">
        <f t="shared" si="478"/>
        <v>0</v>
      </c>
      <c r="F318" s="26">
        <f t="shared" si="478"/>
        <v>-650</v>
      </c>
      <c r="G318" s="24"/>
      <c r="H318" s="24"/>
      <c r="I318" s="24"/>
      <c r="J318" s="24"/>
      <c r="K318" s="24"/>
      <c r="L318" s="24"/>
      <c r="M318" s="44" t="str">
        <f t="shared" si="429"/>
        <v/>
      </c>
      <c r="N318" s="26" t="str">
        <f t="shared" si="430"/>
        <v/>
      </c>
      <c r="O318" s="26" t="str">
        <f t="shared" si="431"/>
        <v/>
      </c>
      <c r="P318" s="26" t="str">
        <f t="shared" si="432"/>
        <v/>
      </c>
      <c r="Q318" s="26">
        <f t="shared" si="433"/>
        <v>0</v>
      </c>
      <c r="R318" s="26">
        <f t="shared" si="434"/>
        <v>0</v>
      </c>
      <c r="S318" s="26">
        <f t="shared" si="435"/>
        <v>0</v>
      </c>
      <c r="T318" s="26" t="str">
        <f t="shared" si="436"/>
        <v/>
      </c>
      <c r="U318" s="26" t="str">
        <f t="shared" si="437"/>
        <v/>
      </c>
      <c r="V318" s="26" t="str">
        <f t="shared" si="438"/>
        <v/>
      </c>
      <c r="W318" s="27" t="str">
        <f t="shared" si="439"/>
        <v/>
      </c>
      <c r="X318" s="27" t="str">
        <f t="shared" si="440"/>
        <v/>
      </c>
      <c r="Y318" s="28" t="str">
        <f t="shared" si="441"/>
        <v/>
      </c>
      <c r="Z318" s="27" t="str">
        <f t="shared" si="442"/>
        <v/>
      </c>
      <c r="AA318" s="27" t="str">
        <f t="shared" si="443"/>
        <v/>
      </c>
      <c r="AB318" s="27" t="str">
        <f t="shared" si="444"/>
        <v/>
      </c>
      <c r="AC318" s="27" t="str">
        <f t="shared" si="445"/>
        <v/>
      </c>
      <c r="AD318" s="29" t="str">
        <f t="shared" si="446"/>
        <v/>
      </c>
      <c r="AE318" s="30" t="str">
        <f t="shared" si="447"/>
        <v/>
      </c>
      <c r="AG318" s="4"/>
      <c r="AH318" s="31" t="e">
        <f t="shared" si="448"/>
        <v>#VALUE!</v>
      </c>
      <c r="AI318" s="31" t="e">
        <f t="shared" si="449"/>
        <v>#VALUE!</v>
      </c>
      <c r="AJ318" s="31" t="e">
        <f t="shared" si="450"/>
        <v>#VALUE!</v>
      </c>
      <c r="AK318" s="31" t="e">
        <f t="shared" si="451"/>
        <v>#VALUE!</v>
      </c>
      <c r="AL318" s="31" t="e">
        <f t="shared" si="452"/>
        <v>#VALUE!</v>
      </c>
      <c r="AM318" s="31" t="e">
        <f t="shared" si="453"/>
        <v>#VALUE!</v>
      </c>
      <c r="AN318" s="32" t="str">
        <f t="shared" si="454"/>
        <v/>
      </c>
      <c r="AO318" s="27" t="str">
        <f t="shared" si="455"/>
        <v/>
      </c>
      <c r="AP318" s="27" t="str">
        <f t="shared" si="456"/>
        <v/>
      </c>
      <c r="AQ318" s="27">
        <f t="shared" si="457"/>
        <v>0</v>
      </c>
      <c r="AR318" s="27">
        <f t="shared" si="458"/>
        <v>0</v>
      </c>
      <c r="AS318" s="33">
        <f t="shared" si="459"/>
        <v>0</v>
      </c>
    </row>
    <row r="319" spans="2:45" ht="16.5" hidden="1" thickBot="1" x14ac:dyDescent="0.3">
      <c r="B319" s="35">
        <f>IF(B183="","",B183)</f>
        <v>11740</v>
      </c>
      <c r="C319" s="36">
        <f>IF(C183="","",C183)</f>
        <v>20</v>
      </c>
      <c r="D319" s="36">
        <f>IF(D183="","",D183)</f>
        <v>-500</v>
      </c>
      <c r="E319" s="36">
        <f>IF(E183="","",E183)</f>
        <v>0</v>
      </c>
      <c r="F319" s="36">
        <f>IF(F183="","",F183)</f>
        <v>-650</v>
      </c>
      <c r="G319" s="37"/>
      <c r="H319" s="37"/>
      <c r="I319" s="37"/>
      <c r="J319" s="37"/>
      <c r="K319" s="37"/>
      <c r="L319" s="37"/>
      <c r="M319" s="45" t="str">
        <f t="shared" si="429"/>
        <v/>
      </c>
      <c r="N319" s="36" t="str">
        <f t="shared" si="430"/>
        <v/>
      </c>
      <c r="O319" s="36" t="str">
        <f t="shared" si="431"/>
        <v/>
      </c>
      <c r="P319" s="36" t="str">
        <f t="shared" si="432"/>
        <v/>
      </c>
      <c r="Q319" s="36">
        <f t="shared" si="433"/>
        <v>0</v>
      </c>
      <c r="R319" s="36">
        <f t="shared" si="434"/>
        <v>0</v>
      </c>
      <c r="S319" s="36">
        <f t="shared" si="435"/>
        <v>0</v>
      </c>
      <c r="T319" s="36" t="str">
        <f t="shared" si="436"/>
        <v/>
      </c>
      <c r="U319" s="36" t="str">
        <f t="shared" si="437"/>
        <v/>
      </c>
      <c r="V319" s="36" t="str">
        <f t="shared" si="438"/>
        <v/>
      </c>
      <c r="W319" s="39" t="str">
        <f t="shared" si="439"/>
        <v/>
      </c>
      <c r="X319" s="39" t="str">
        <f t="shared" si="440"/>
        <v/>
      </c>
      <c r="Y319" s="40" t="str">
        <f t="shared" si="441"/>
        <v/>
      </c>
      <c r="Z319" s="39" t="str">
        <f t="shared" si="442"/>
        <v/>
      </c>
      <c r="AA319" s="39" t="str">
        <f t="shared" si="443"/>
        <v/>
      </c>
      <c r="AB319" s="39" t="str">
        <f t="shared" si="444"/>
        <v/>
      </c>
      <c r="AC319" s="39" t="str">
        <f t="shared" si="445"/>
        <v/>
      </c>
      <c r="AD319" s="65" t="str">
        <f t="shared" si="446"/>
        <v/>
      </c>
      <c r="AE319" s="41" t="str">
        <f t="shared" si="447"/>
        <v/>
      </c>
      <c r="AG319" s="4"/>
      <c r="AH319" s="31" t="e">
        <f t="shared" si="448"/>
        <v>#VALUE!</v>
      </c>
      <c r="AI319" s="31" t="e">
        <f t="shared" si="449"/>
        <v>#VALUE!</v>
      </c>
      <c r="AJ319" s="31" t="e">
        <f t="shared" si="450"/>
        <v>#VALUE!</v>
      </c>
      <c r="AK319" s="31" t="e">
        <f t="shared" si="451"/>
        <v>#VALUE!</v>
      </c>
      <c r="AL319" s="31" t="e">
        <f t="shared" si="452"/>
        <v>#VALUE!</v>
      </c>
      <c r="AM319" s="31" t="e">
        <f t="shared" si="453"/>
        <v>#VALUE!</v>
      </c>
      <c r="AN319" s="42" t="str">
        <f t="shared" si="454"/>
        <v/>
      </c>
      <c r="AO319" s="39" t="str">
        <f t="shared" si="455"/>
        <v/>
      </c>
      <c r="AP319" s="39" t="str">
        <f t="shared" si="456"/>
        <v/>
      </c>
      <c r="AQ319" s="39">
        <f t="shared" si="457"/>
        <v>0</v>
      </c>
      <c r="AR319" s="39">
        <f t="shared" si="458"/>
        <v>0</v>
      </c>
      <c r="AS319" s="43">
        <f t="shared" si="459"/>
        <v>0</v>
      </c>
    </row>
    <row r="320" spans="2:45" x14ac:dyDescent="0.25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N320" s="3"/>
      <c r="AO320" s="3"/>
      <c r="AP320" s="3"/>
      <c r="AQ320" s="3"/>
      <c r="AR320" s="3"/>
      <c r="AS320" s="3"/>
    </row>
    <row r="321" spans="2:45" ht="16.5" thickBot="1" x14ac:dyDescent="0.3"/>
    <row r="322" spans="2:45" ht="16.5" thickBot="1" x14ac:dyDescent="0.3">
      <c r="B322" s="107" t="s">
        <v>61</v>
      </c>
      <c r="C322" s="108"/>
      <c r="D322" s="109"/>
      <c r="E322" s="110"/>
      <c r="F322" s="111"/>
      <c r="G322" s="112" t="s">
        <v>62</v>
      </c>
      <c r="H322" s="108"/>
      <c r="I322" s="113"/>
      <c r="J322" s="114"/>
      <c r="K322" s="114"/>
      <c r="L322" s="115"/>
      <c r="M322" s="66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2:45" x14ac:dyDescent="0.25">
      <c r="B323" s="116" t="s">
        <v>14</v>
      </c>
      <c r="C323" s="119" t="s">
        <v>48</v>
      </c>
      <c r="D323" s="122" t="s">
        <v>16</v>
      </c>
      <c r="E323" s="122"/>
      <c r="F323" s="122"/>
      <c r="G323" s="122"/>
      <c r="H323" s="122"/>
      <c r="I323" s="122"/>
      <c r="J323" s="122"/>
      <c r="K323" s="122"/>
      <c r="L323" s="122"/>
      <c r="M323" s="119" t="s">
        <v>47</v>
      </c>
      <c r="N323" s="122" t="s">
        <v>17</v>
      </c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3" t="s">
        <v>63</v>
      </c>
      <c r="Z323" s="124"/>
      <c r="AA323" s="124"/>
      <c r="AB323" s="124"/>
      <c r="AC323" s="124"/>
      <c r="AD323" s="124"/>
      <c r="AE323" s="125"/>
      <c r="AF323" s="18"/>
      <c r="AG323" s="16"/>
      <c r="AH323" s="16"/>
      <c r="AI323" s="16"/>
      <c r="AJ323" s="16"/>
      <c r="AK323" s="16"/>
      <c r="AL323" s="16"/>
      <c r="AM323" s="16"/>
      <c r="AN323" s="130" t="s">
        <v>20</v>
      </c>
      <c r="AO323" s="131"/>
      <c r="AP323" s="132"/>
      <c r="AQ323" s="136" t="s">
        <v>31</v>
      </c>
      <c r="AR323" s="131"/>
      <c r="AS323" s="137"/>
    </row>
    <row r="324" spans="2:45" x14ac:dyDescent="0.25">
      <c r="B324" s="117"/>
      <c r="C324" s="120"/>
      <c r="D324" s="140" t="s">
        <v>18</v>
      </c>
      <c r="E324" s="140"/>
      <c r="F324" s="140"/>
      <c r="G324" s="141" t="s">
        <v>19</v>
      </c>
      <c r="H324" s="141"/>
      <c r="I324" s="141"/>
      <c r="J324" s="141"/>
      <c r="K324" s="141"/>
      <c r="L324" s="141"/>
      <c r="M324" s="120"/>
      <c r="N324" s="140" t="s">
        <v>18</v>
      </c>
      <c r="O324" s="140"/>
      <c r="P324" s="140"/>
      <c r="Q324" s="141" t="s">
        <v>19</v>
      </c>
      <c r="R324" s="141"/>
      <c r="S324" s="141"/>
      <c r="T324" s="141"/>
      <c r="U324" s="141"/>
      <c r="V324" s="141"/>
      <c r="W324" s="141"/>
      <c r="X324" s="141"/>
      <c r="Y324" s="126" t="s">
        <v>32</v>
      </c>
      <c r="Z324" s="126" t="s">
        <v>45</v>
      </c>
      <c r="AA324" s="126" t="s">
        <v>46</v>
      </c>
      <c r="AB324" s="142" t="s">
        <v>15</v>
      </c>
      <c r="AC324" s="126" t="s">
        <v>54</v>
      </c>
      <c r="AD324" s="126" t="s">
        <v>39</v>
      </c>
      <c r="AE324" s="128" t="s">
        <v>40</v>
      </c>
      <c r="AF324" s="18"/>
      <c r="AG324" s="16"/>
      <c r="AH324" s="16"/>
      <c r="AI324" s="16"/>
      <c r="AJ324" s="16"/>
      <c r="AK324" s="16"/>
      <c r="AL324" s="16"/>
      <c r="AM324" s="16"/>
      <c r="AN324" s="133"/>
      <c r="AO324" s="134"/>
      <c r="AP324" s="135"/>
      <c r="AQ324" s="138"/>
      <c r="AR324" s="134"/>
      <c r="AS324" s="139"/>
    </row>
    <row r="325" spans="2:45" x14ac:dyDescent="0.25">
      <c r="B325" s="118"/>
      <c r="C325" s="121"/>
      <c r="D325" s="19" t="s">
        <v>0</v>
      </c>
      <c r="E325" s="19" t="s">
        <v>1</v>
      </c>
      <c r="F325" s="19" t="s">
        <v>2</v>
      </c>
      <c r="G325" s="20" t="s">
        <v>4</v>
      </c>
      <c r="H325" s="20" t="s">
        <v>5</v>
      </c>
      <c r="I325" s="20" t="s">
        <v>6</v>
      </c>
      <c r="J325" s="20" t="s">
        <v>7</v>
      </c>
      <c r="K325" s="20" t="s">
        <v>8</v>
      </c>
      <c r="L325" s="20" t="s">
        <v>9</v>
      </c>
      <c r="M325" s="121"/>
      <c r="N325" s="19" t="s">
        <v>0</v>
      </c>
      <c r="O325" s="19" t="s">
        <v>1</v>
      </c>
      <c r="P325" s="19" t="s">
        <v>2</v>
      </c>
      <c r="Q325" s="20" t="s">
        <v>4</v>
      </c>
      <c r="R325" s="20" t="s">
        <v>5</v>
      </c>
      <c r="S325" s="20" t="s">
        <v>6</v>
      </c>
      <c r="T325" s="20" t="s">
        <v>7</v>
      </c>
      <c r="U325" s="20" t="s">
        <v>8</v>
      </c>
      <c r="V325" s="20" t="s">
        <v>9</v>
      </c>
      <c r="W325" s="20" t="s">
        <v>10</v>
      </c>
      <c r="X325" s="20" t="s">
        <v>11</v>
      </c>
      <c r="Y325" s="121"/>
      <c r="Z325" s="121"/>
      <c r="AA325" s="121"/>
      <c r="AB325" s="127"/>
      <c r="AC325" s="127"/>
      <c r="AD325" s="121"/>
      <c r="AE325" s="129"/>
      <c r="AF325" s="15"/>
      <c r="AG325" s="13"/>
      <c r="AH325" s="14" t="s">
        <v>55</v>
      </c>
      <c r="AI325" s="14" t="s">
        <v>56</v>
      </c>
      <c r="AJ325" s="14" t="s">
        <v>57</v>
      </c>
      <c r="AK325" s="14" t="s">
        <v>58</v>
      </c>
      <c r="AL325" s="14" t="s">
        <v>59</v>
      </c>
      <c r="AM325" s="14" t="s">
        <v>60</v>
      </c>
      <c r="AN325" s="21" t="s">
        <v>7</v>
      </c>
      <c r="AO325" s="20" t="s">
        <v>8</v>
      </c>
      <c r="AP325" s="20" t="s">
        <v>9</v>
      </c>
      <c r="AQ325" s="20" t="s">
        <v>7</v>
      </c>
      <c r="AR325" s="20" t="s">
        <v>8</v>
      </c>
      <c r="AS325" s="22" t="s">
        <v>9</v>
      </c>
    </row>
    <row r="326" spans="2:45" x14ac:dyDescent="0.25">
      <c r="B326" s="23">
        <v>250</v>
      </c>
      <c r="C326" s="24">
        <v>20</v>
      </c>
      <c r="D326" s="24">
        <v>0</v>
      </c>
      <c r="E326" s="24">
        <v>0</v>
      </c>
      <c r="F326" s="24">
        <v>-1630</v>
      </c>
      <c r="G326" s="24">
        <v>5881</v>
      </c>
      <c r="H326" s="24">
        <v>-1859</v>
      </c>
      <c r="I326" s="24">
        <v>-1318</v>
      </c>
      <c r="J326" s="24">
        <v>-3317</v>
      </c>
      <c r="K326" s="24">
        <v>-4687</v>
      </c>
      <c r="L326" s="24">
        <v>-5768</v>
      </c>
      <c r="M326" s="44" t="str">
        <f t="shared" ref="M326:M357" si="479">IF(B326="","",IF(M170="","",M170))</f>
        <v>6(OPE)</v>
      </c>
      <c r="N326" s="26">
        <f>IF($J$7="NO",IF(M326="","",IF($E$7="+X",D326,IF($E$7="-X",-D326,IF($E$7="+Z",F326,IF($E$7="-Z",-F326))))),IF(M326="","",IF($E$7="+X",D326,IF($E$7="-X",-D326,IF($E$7="+Y",E326,IF($E$7="-Y",-E326))))))</f>
        <v>-1630</v>
      </c>
      <c r="O326" s="26">
        <f>IF($J$7="NO",IF(M326="","",E326),IF(M326="","",F326))</f>
        <v>0</v>
      </c>
      <c r="P326" s="26">
        <f>IF($J$7="NO",IF(M326="","",IF($E$7="+X",F326,IF($E$7="-X",-F326,IF($E$7="+Z",-D326,IF($E$7="-Z",D326))))),IF(M326="","",IF($E$7="+X",-E326,IF($E$7="-X",E326,IF($E$7="+Y",D326,IF($E$7="-Y",-D326))))))</f>
        <v>0</v>
      </c>
      <c r="Q326" s="26">
        <f>IF($J$7="NO",IF(M326="",0,IF($E$7="+X",G326,IF($E$7="-X",-G326,IF($E$7="+Z",I326,IF($E$7="-Z",-I326))))),IF(M326="",0,IF($E$7="+X",G326,IF($E$7="-X",-G326,IF($E$7="+Y",H326,IF($E$7="-Y",-H326))))))</f>
        <v>-1318</v>
      </c>
      <c r="R326" s="26">
        <f>IF($J$7="NO",IF(M326="",0,H326),IF(M326="",0,I326))</f>
        <v>-1859</v>
      </c>
      <c r="S326" s="26">
        <f>IF($J$7="NO",IF(M326="",0,IF($E$7="+X",I326,IF($E$7="-X",-I326,IF($E$7="+Z",-G326,IF($E$7="-Z",G326))))),IF(M326="",0,IF($E$7="+X",-H326,IF($E$7="-X",H326,IF($E$7="+Y",G326,IF($E$7="-Y",-G326))))))</f>
        <v>-5881</v>
      </c>
      <c r="T326" s="26">
        <f>IF($J$7="NO",IF(M326="","",IF($E$7="+X",J326,IF($E$7="-X",-J326,IF($E$7="+Z",L326,IF($E$7="-Z",-L326))))),IF(M326="","",IF($E$7="+X",J326,IF($E$7="-X",-J326,IF($E$7="+Y",K326,IF($E$7="-Y",-K326))))))</f>
        <v>-5768</v>
      </c>
      <c r="U326" s="26">
        <f>IF($J$7="NO",IF(M326="","",K326),IF(M326="","",L326))</f>
        <v>-4687</v>
      </c>
      <c r="V326" s="26">
        <f>IF($J$7="NO",IF(M326="","",IF($E$7="+X",L326,IF($E$7="-X",-L326,IF($E$7="+Z",-J326,IF($E$7="-Z",J326))))),IF(M326="","",IF($E$7="+X",-K326,IF($E$7="-X",K326,IF($E$7="+Y",J326,IF($E$7="-Y",-J326))))))</f>
        <v>3317</v>
      </c>
      <c r="W326" s="27">
        <f>IF(M326="","",SQRT(Q326^2+R326^2+S326^2))</f>
        <v>6307.0726965843669</v>
      </c>
      <c r="X326" s="27">
        <f>IF(M326="","",SQRT(T326^2+U326^2+V326^2))</f>
        <v>8138.8133041617311</v>
      </c>
      <c r="Y326" s="28">
        <f t="shared" ref="Y326" si="480">IF(M326="","",IF($C326&lt;=8,$C326,(16+$C326)/3))</f>
        <v>12</v>
      </c>
      <c r="Z326" s="27">
        <f>IF(M326="","",W326*0.224808)</f>
        <v>1417.8803987737383</v>
      </c>
      <c r="AA326" s="27">
        <f>IF(M326="","",X326*0.737562)</f>
        <v>6002.8794182441352</v>
      </c>
      <c r="AB326" s="27">
        <f t="shared" ref="AB326" si="481">IF(M326="","",3*Z326+AA326)</f>
        <v>10256.52061456535</v>
      </c>
      <c r="AC326" s="27">
        <f t="shared" ref="AC326" si="482">IF(M326="","",IF(M326="","",500*Y326*$O$7))</f>
        <v>129000</v>
      </c>
      <c r="AD326" s="29">
        <f t="shared" ref="AD326" si="483">IF(M326="","",IF(M326="","",AB326/AC326)*100)</f>
        <v>7.950791174081667</v>
      </c>
      <c r="AE326" s="30" t="str">
        <f t="shared" ref="AE326" si="484">IF(M326="","",IF(AD326&lt;=100, "PASS","FAIL"))</f>
        <v>PASS</v>
      </c>
      <c r="AG326" s="4"/>
      <c r="AH326" s="31">
        <f>Q326*O326/1000*VLOOKUP(_xlfn.CONCAT($AH$13,IF(Q326&gt;0,"+","-"),IF(O326&gt;0,"+","-")),$AV:$BA,6,0)</f>
        <v>0</v>
      </c>
      <c r="AI326" s="31">
        <f>Q326*P326/1000*VLOOKUP(_xlfn.CONCAT($AI$13,IF(Q326&gt;0,"+","-"),IF(P326&gt;0,"+","-")),$AV:$BA,6,0)</f>
        <v>0</v>
      </c>
      <c r="AJ326" s="31">
        <f>R326*N326/1000*VLOOKUP(_xlfn.CONCAT($AJ$13,IF(R326&gt;0,"+","-"),IF(N326&gt;0,"+","-")),$AV:$BA,6,0)</f>
        <v>3030.17</v>
      </c>
      <c r="AK326" s="31">
        <f>R326*P326/1000*VLOOKUP(_xlfn.CONCAT($AK$13,IF(R326&gt;0,"+","-"),IF(P326&gt;0,"+","-")),$AV:$BA,6,0)</f>
        <v>0</v>
      </c>
      <c r="AL326" s="31">
        <f>S326*N326/1000*VLOOKUP(_xlfn.CONCAT($AL$13,IF(S326&gt;0,"+","-"),IF(N326&gt;0,"+","-")),$AV:$BA,6,0)</f>
        <v>-9586.0300000000007</v>
      </c>
      <c r="AM326" s="31">
        <f>S326*O326/1000*VLOOKUP(_xlfn.CONCAT($AM$13,IF(S326&gt;0,"+","-"),IF(O326&gt;0,"+","-")),$AV:$BA,6,0)</f>
        <v>0</v>
      </c>
      <c r="AN326" s="32">
        <f>IF($M326="","",AK326+AM326)</f>
        <v>0</v>
      </c>
      <c r="AO326" s="27">
        <f>IF($M326="","",AI326+AL326)</f>
        <v>-9586.0300000000007</v>
      </c>
      <c r="AP326" s="27">
        <f>IF($M326="","",AH326+AJ326)</f>
        <v>3030.17</v>
      </c>
      <c r="AQ326" s="27">
        <f t="shared" ref="AQ326" si="485">IF(M326="",0,AN326+T326)</f>
        <v>-5768</v>
      </c>
      <c r="AR326" s="27">
        <f t="shared" ref="AR326" si="486">IF(M326="",0,AO326+U326)</f>
        <v>-14273.03</v>
      </c>
      <c r="AS326" s="33">
        <f t="shared" ref="AS326" si="487">IF(M326="",0,AP326+V326)</f>
        <v>6347.17</v>
      </c>
    </row>
    <row r="327" spans="2:45" x14ac:dyDescent="0.25">
      <c r="B327" s="34">
        <f>IF(B326="","",B326)</f>
        <v>250</v>
      </c>
      <c r="C327" s="26">
        <f t="shared" ref="C327:F327" si="488">IF(C326="","",C326)</f>
        <v>20</v>
      </c>
      <c r="D327" s="26">
        <f t="shared" si="488"/>
        <v>0</v>
      </c>
      <c r="E327" s="26">
        <f t="shared" si="488"/>
        <v>0</v>
      </c>
      <c r="F327" s="26">
        <f t="shared" si="488"/>
        <v>-1630</v>
      </c>
      <c r="G327" s="24">
        <v>6900</v>
      </c>
      <c r="H327" s="24">
        <v>-3445</v>
      </c>
      <c r="I327" s="24">
        <v>-1504</v>
      </c>
      <c r="J327" s="24">
        <v>-2412</v>
      </c>
      <c r="K327" s="24">
        <v>-5261</v>
      </c>
      <c r="L327" s="24">
        <v>-5900</v>
      </c>
      <c r="M327" s="44" t="str">
        <f t="shared" si="479"/>
        <v>10(OPE)</v>
      </c>
      <c r="N327" s="26">
        <f t="shared" ref="N327:N390" si="489">IF($J$7="NO",IF(M327="","",IF($E$7="+X",D327,IF($E$7="-X",-D327,IF($E$7="+Z",F327,IF($E$7="-Z",-F327))))),IF(M327="","",IF($E$7="+X",D327,IF($E$7="-X",-D327,IF($E$7="+Y",E327,IF($E$7="-Y",-E327))))))</f>
        <v>-1630</v>
      </c>
      <c r="O327" s="26">
        <f t="shared" ref="O327:O390" si="490">IF($J$7="NO",IF(M327="","",E327),IF(M327="","",F327))</f>
        <v>0</v>
      </c>
      <c r="P327" s="26">
        <f t="shared" ref="P327:P390" si="491">IF($J$7="NO",IF(M327="","",IF($E$7="+X",F327,IF($E$7="-X",-F327,IF($E$7="+Z",-D327,IF($E$7="-Z",D327))))),IF(M327="","",IF($E$7="+X",-E327,IF($E$7="-X",E327,IF($E$7="+Y",D327,IF($E$7="-Y",-D327))))))</f>
        <v>0</v>
      </c>
      <c r="Q327" s="26">
        <f t="shared" ref="Q327:Q390" si="492">IF($J$7="NO",IF(M327="",0,IF($E$7="+X",G327,IF($E$7="-X",-G327,IF($E$7="+Z",I327,IF($E$7="-Z",-I327))))),IF(M327="",0,IF($E$7="+X",G327,IF($E$7="-X",-G327,IF($E$7="+Y",H327,IF($E$7="-Y",-H327))))))</f>
        <v>-1504</v>
      </c>
      <c r="R327" s="26">
        <f t="shared" ref="R327:R390" si="493">IF($J$7="NO",IF(M327="",0,H327),IF(M327="",0,I327))</f>
        <v>-3445</v>
      </c>
      <c r="S327" s="26">
        <f t="shared" ref="S327:S390" si="494">IF($J$7="NO",IF(M327="",0,IF($E$7="+X",I327,IF($E$7="-X",-I327,IF($E$7="+Z",-G327,IF($E$7="-Z",G327))))),IF(M327="",0,IF($E$7="+X",-H327,IF($E$7="-X",H327,IF($E$7="+Y",G327,IF($E$7="-Y",-G327))))))</f>
        <v>-6900</v>
      </c>
      <c r="T327" s="26">
        <f t="shared" ref="T327:T390" si="495">IF($J$7="NO",IF(M327="","",IF($E$7="+X",J327,IF($E$7="-X",-J327,IF($E$7="+Z",L327,IF($E$7="-Z",-L327))))),IF(M327="","",IF($E$7="+X",J327,IF($E$7="-X",-J327,IF($E$7="+Y",K327,IF($E$7="-Y",-K327))))))</f>
        <v>-5900</v>
      </c>
      <c r="U327" s="26">
        <f t="shared" ref="U327:U390" si="496">IF($J$7="NO",IF(M327="","",K327),IF(M327="","",L327))</f>
        <v>-5261</v>
      </c>
      <c r="V327" s="26">
        <f t="shared" ref="V327:V390" si="497">IF($J$7="NO",IF(M327="","",IF($E$7="+X",L327,IF($E$7="-X",-L327,IF($E$7="+Z",-J327,IF($E$7="-Z",J327))))),IF(M327="","",IF($E$7="+X",-K327,IF($E$7="-X",K327,IF($E$7="+Y",J327,IF($E$7="-Y",-J327))))))</f>
        <v>2412</v>
      </c>
      <c r="W327" s="27">
        <f t="shared" ref="W327:W390" si="498">IF(M327="","",SQRT(Q327^2+R327^2+S327^2))</f>
        <v>7857.4831212036343</v>
      </c>
      <c r="X327" s="27">
        <f t="shared" ref="X327:X390" si="499">IF(M327="","",SQRT(T327^2+U327^2+V327^2))</f>
        <v>8264.7362329356893</v>
      </c>
      <c r="Y327" s="28">
        <f t="shared" ref="Y327:Y390" si="500">IF(M327="","",IF($C327&lt;=8,$C327,(16+$C327)/3))</f>
        <v>12</v>
      </c>
      <c r="Z327" s="27">
        <f t="shared" ref="Z327:Z390" si="501">IF(M327="","",W327*0.224808)</f>
        <v>1766.4250655115466</v>
      </c>
      <c r="AA327" s="27">
        <f t="shared" ref="AA327:AA390" si="502">IF(M327="","",X327*0.737562)</f>
        <v>6095.7553854365133</v>
      </c>
      <c r="AB327" s="27">
        <f t="shared" ref="AB327:AB390" si="503">IF(M327="","",3*Z327+AA327)</f>
        <v>11395.030581971154</v>
      </c>
      <c r="AC327" s="27">
        <f t="shared" ref="AC327:AC390" si="504">IF(M327="","",IF(M327="","",500*Y327*$O$7))</f>
        <v>129000</v>
      </c>
      <c r="AD327" s="29">
        <f t="shared" ref="AD327:AD390" si="505">IF(M327="","",IF(M327="","",AB327/AC327)*100)</f>
        <v>8.8333570402877157</v>
      </c>
      <c r="AE327" s="30" t="str">
        <f t="shared" ref="AE327:AE390" si="506">IF(M327="","",IF(AD327&lt;=100, "PASS","FAIL"))</f>
        <v>PASS</v>
      </c>
      <c r="AG327" s="4"/>
      <c r="AH327" s="31">
        <f t="shared" ref="AH327:AH390" si="507">Q327*O327/1000*VLOOKUP(_xlfn.CONCAT($AH$13,IF(Q327&gt;0,"+","-"),IF(O327&gt;0,"+","-")),$AV:$BA,6,0)</f>
        <v>0</v>
      </c>
      <c r="AI327" s="31">
        <f t="shared" ref="AI327:AI390" si="508">Q327*P327/1000*VLOOKUP(_xlfn.CONCAT($AI$13,IF(Q327&gt;0,"+","-"),IF(P327&gt;0,"+","-")),$AV:$BA,6,0)</f>
        <v>0</v>
      </c>
      <c r="AJ327" s="31">
        <f t="shared" ref="AJ327:AJ390" si="509">R327*N327/1000*VLOOKUP(_xlfn.CONCAT($AJ$13,IF(R327&gt;0,"+","-"),IF(N327&gt;0,"+","-")),$AV:$BA,6,0)</f>
        <v>5615.35</v>
      </c>
      <c r="AK327" s="31">
        <f t="shared" ref="AK327:AK390" si="510">R327*P327/1000*VLOOKUP(_xlfn.CONCAT($AK$13,IF(R327&gt;0,"+","-"),IF(P327&gt;0,"+","-")),$AV:$BA,6,0)</f>
        <v>0</v>
      </c>
      <c r="AL327" s="31">
        <f t="shared" ref="AL327:AL390" si="511">S327*N327/1000*VLOOKUP(_xlfn.CONCAT($AL$13,IF(S327&gt;0,"+","-"),IF(N327&gt;0,"+","-")),$AV:$BA,6,0)</f>
        <v>-11247</v>
      </c>
      <c r="AM327" s="31">
        <f t="shared" ref="AM327:AM390" si="512">S327*O327/1000*VLOOKUP(_xlfn.CONCAT($AM$13,IF(S327&gt;0,"+","-"),IF(O327&gt;0,"+","-")),$AV:$BA,6,0)</f>
        <v>0</v>
      </c>
      <c r="AN327" s="32">
        <f t="shared" ref="AN327:AN390" si="513">IF($M327="","",AK327+AM327)</f>
        <v>0</v>
      </c>
      <c r="AO327" s="27">
        <f t="shared" ref="AO327:AO390" si="514">IF($M327="","",AI327+AL327)</f>
        <v>-11247</v>
      </c>
      <c r="AP327" s="27">
        <f t="shared" ref="AP327:AP390" si="515">IF($M327="","",AH327+AJ327)</f>
        <v>5615.35</v>
      </c>
      <c r="AQ327" s="27">
        <f t="shared" ref="AQ327:AQ390" si="516">IF(M327="",0,AN327+T327)</f>
        <v>-5900</v>
      </c>
      <c r="AR327" s="27">
        <f t="shared" ref="AR327:AR390" si="517">IF(M327="",0,AO327+U327)</f>
        <v>-16508</v>
      </c>
      <c r="AS327" s="33">
        <f t="shared" ref="AS327:AS390" si="518">IF(M327="",0,AP327+V327)</f>
        <v>8027.35</v>
      </c>
    </row>
    <row r="328" spans="2:45" x14ac:dyDescent="0.25">
      <c r="B328" s="34">
        <f t="shared" ref="B328:F339" si="519">IF(B327="","",B327)</f>
        <v>250</v>
      </c>
      <c r="C328" s="26">
        <f t="shared" si="519"/>
        <v>20</v>
      </c>
      <c r="D328" s="26">
        <f t="shared" si="519"/>
        <v>0</v>
      </c>
      <c r="E328" s="26">
        <f t="shared" si="519"/>
        <v>0</v>
      </c>
      <c r="F328" s="26">
        <f t="shared" si="519"/>
        <v>-1630</v>
      </c>
      <c r="G328" s="24">
        <v>12917</v>
      </c>
      <c r="H328" s="24">
        <v>-7845</v>
      </c>
      <c r="I328" s="24">
        <v>-637</v>
      </c>
      <c r="J328" s="24">
        <v>5344</v>
      </c>
      <c r="K328" s="24">
        <v>-7915</v>
      </c>
      <c r="L328" s="24">
        <v>-16645</v>
      </c>
      <c r="M328" s="44" t="str">
        <f t="shared" si="479"/>
        <v>12(OPE)</v>
      </c>
      <c r="N328" s="26">
        <f t="shared" si="489"/>
        <v>-1630</v>
      </c>
      <c r="O328" s="26">
        <f t="shared" si="490"/>
        <v>0</v>
      </c>
      <c r="P328" s="26">
        <f t="shared" si="491"/>
        <v>0</v>
      </c>
      <c r="Q328" s="26">
        <f t="shared" si="492"/>
        <v>-637</v>
      </c>
      <c r="R328" s="26">
        <f t="shared" si="493"/>
        <v>-7845</v>
      </c>
      <c r="S328" s="26">
        <f t="shared" si="494"/>
        <v>-12917</v>
      </c>
      <c r="T328" s="26">
        <f t="shared" si="495"/>
        <v>-16645</v>
      </c>
      <c r="U328" s="26">
        <f t="shared" si="496"/>
        <v>-7915</v>
      </c>
      <c r="V328" s="26">
        <f t="shared" si="497"/>
        <v>-5344</v>
      </c>
      <c r="W328" s="27">
        <f t="shared" si="498"/>
        <v>15126.092786969146</v>
      </c>
      <c r="X328" s="27">
        <f t="shared" si="499"/>
        <v>19190.1429384984</v>
      </c>
      <c r="Y328" s="28">
        <f t="shared" si="500"/>
        <v>12</v>
      </c>
      <c r="Z328" s="27">
        <f t="shared" si="501"/>
        <v>3400.4666672529597</v>
      </c>
      <c r="AA328" s="27">
        <f t="shared" si="502"/>
        <v>14153.920206004757</v>
      </c>
      <c r="AB328" s="27">
        <f t="shared" si="503"/>
        <v>24355.320207763638</v>
      </c>
      <c r="AC328" s="27">
        <f t="shared" si="504"/>
        <v>129000</v>
      </c>
      <c r="AD328" s="29">
        <f t="shared" si="505"/>
        <v>18.880093184312898</v>
      </c>
      <c r="AE328" s="30" t="str">
        <f t="shared" si="506"/>
        <v>PASS</v>
      </c>
      <c r="AG328" s="4"/>
      <c r="AH328" s="31">
        <f t="shared" si="507"/>
        <v>0</v>
      </c>
      <c r="AI328" s="31">
        <f t="shared" si="508"/>
        <v>0</v>
      </c>
      <c r="AJ328" s="31">
        <f t="shared" si="509"/>
        <v>12787.35</v>
      </c>
      <c r="AK328" s="31">
        <f t="shared" si="510"/>
        <v>0</v>
      </c>
      <c r="AL328" s="31">
        <f t="shared" si="511"/>
        <v>-21054.71</v>
      </c>
      <c r="AM328" s="31">
        <f t="shared" si="512"/>
        <v>0</v>
      </c>
      <c r="AN328" s="32">
        <f t="shared" si="513"/>
        <v>0</v>
      </c>
      <c r="AO328" s="27">
        <f t="shared" si="514"/>
        <v>-21054.71</v>
      </c>
      <c r="AP328" s="27">
        <f t="shared" si="515"/>
        <v>12787.35</v>
      </c>
      <c r="AQ328" s="27">
        <f t="shared" si="516"/>
        <v>-16645</v>
      </c>
      <c r="AR328" s="27">
        <f t="shared" si="517"/>
        <v>-28969.71</v>
      </c>
      <c r="AS328" s="33">
        <f t="shared" si="518"/>
        <v>7443.35</v>
      </c>
    </row>
    <row r="329" spans="2:45" x14ac:dyDescent="0.25">
      <c r="B329" s="34">
        <f t="shared" si="519"/>
        <v>250</v>
      </c>
      <c r="C329" s="26">
        <f t="shared" si="519"/>
        <v>20</v>
      </c>
      <c r="D329" s="26">
        <f t="shared" si="519"/>
        <v>0</v>
      </c>
      <c r="E329" s="26">
        <f t="shared" si="519"/>
        <v>0</v>
      </c>
      <c r="F329" s="26">
        <f t="shared" si="519"/>
        <v>-1630</v>
      </c>
      <c r="G329" s="24">
        <v>5041</v>
      </c>
      <c r="H329" s="24">
        <v>-1245</v>
      </c>
      <c r="I329" s="24">
        <v>1937</v>
      </c>
      <c r="J329" s="24">
        <v>9120</v>
      </c>
      <c r="K329" s="24">
        <v>-5431</v>
      </c>
      <c r="L329" s="24">
        <v>-3243</v>
      </c>
      <c r="M329" s="44" t="str">
        <f t="shared" si="479"/>
        <v>16(OPE)</v>
      </c>
      <c r="N329" s="26">
        <f t="shared" si="489"/>
        <v>-1630</v>
      </c>
      <c r="O329" s="26">
        <f t="shared" si="490"/>
        <v>0</v>
      </c>
      <c r="P329" s="26">
        <f t="shared" si="491"/>
        <v>0</v>
      </c>
      <c r="Q329" s="26">
        <f t="shared" si="492"/>
        <v>1937</v>
      </c>
      <c r="R329" s="26">
        <f t="shared" si="493"/>
        <v>-1245</v>
      </c>
      <c r="S329" s="26">
        <f t="shared" si="494"/>
        <v>-5041</v>
      </c>
      <c r="T329" s="26">
        <f t="shared" si="495"/>
        <v>-3243</v>
      </c>
      <c r="U329" s="26">
        <f t="shared" si="496"/>
        <v>-5431</v>
      </c>
      <c r="V329" s="26">
        <f t="shared" si="497"/>
        <v>-9120</v>
      </c>
      <c r="W329" s="27">
        <f t="shared" si="498"/>
        <v>5541.9919704019785</v>
      </c>
      <c r="X329" s="27">
        <f t="shared" si="499"/>
        <v>11098.973375947886</v>
      </c>
      <c r="Y329" s="28">
        <f t="shared" si="500"/>
        <v>12</v>
      </c>
      <c r="Z329" s="27">
        <f t="shared" si="501"/>
        <v>1245.8841308821279</v>
      </c>
      <c r="AA329" s="27">
        <f t="shared" si="502"/>
        <v>8186.1810011108755</v>
      </c>
      <c r="AB329" s="27">
        <f t="shared" si="503"/>
        <v>11923.833393757259</v>
      </c>
      <c r="AC329" s="27">
        <f t="shared" si="504"/>
        <v>129000</v>
      </c>
      <c r="AD329" s="29">
        <f t="shared" si="505"/>
        <v>9.2432817005870227</v>
      </c>
      <c r="AE329" s="30" t="str">
        <f t="shared" si="506"/>
        <v>PASS</v>
      </c>
      <c r="AG329" s="4"/>
      <c r="AH329" s="31">
        <f t="shared" si="507"/>
        <v>0</v>
      </c>
      <c r="AI329" s="31">
        <f t="shared" si="508"/>
        <v>0</v>
      </c>
      <c r="AJ329" s="31">
        <f t="shared" si="509"/>
        <v>2029.35</v>
      </c>
      <c r="AK329" s="31">
        <f t="shared" si="510"/>
        <v>0</v>
      </c>
      <c r="AL329" s="31">
        <f t="shared" si="511"/>
        <v>-8216.83</v>
      </c>
      <c r="AM329" s="31">
        <f t="shared" si="512"/>
        <v>0</v>
      </c>
      <c r="AN329" s="32">
        <f t="shared" si="513"/>
        <v>0</v>
      </c>
      <c r="AO329" s="27">
        <f t="shared" si="514"/>
        <v>-8216.83</v>
      </c>
      <c r="AP329" s="27">
        <f t="shared" si="515"/>
        <v>2029.35</v>
      </c>
      <c r="AQ329" s="27">
        <f t="shared" si="516"/>
        <v>-3243</v>
      </c>
      <c r="AR329" s="27">
        <f t="shared" si="517"/>
        <v>-13647.83</v>
      </c>
      <c r="AS329" s="33">
        <f t="shared" si="518"/>
        <v>-7090.65</v>
      </c>
    </row>
    <row r="330" spans="2:45" x14ac:dyDescent="0.25">
      <c r="B330" s="34">
        <f t="shared" si="519"/>
        <v>250</v>
      </c>
      <c r="C330" s="26">
        <f t="shared" si="519"/>
        <v>20</v>
      </c>
      <c r="D330" s="26">
        <f t="shared" si="519"/>
        <v>0</v>
      </c>
      <c r="E330" s="26">
        <f t="shared" si="519"/>
        <v>0</v>
      </c>
      <c r="F330" s="26">
        <f t="shared" si="519"/>
        <v>-1630</v>
      </c>
      <c r="G330" s="24">
        <v>6118</v>
      </c>
      <c r="H330" s="24">
        <v>-2838</v>
      </c>
      <c r="I330" s="24">
        <v>1771</v>
      </c>
      <c r="J330" s="24">
        <v>10125</v>
      </c>
      <c r="K330" s="24">
        <v>-5972</v>
      </c>
      <c r="L330" s="24">
        <v>-3538</v>
      </c>
      <c r="M330" s="44" t="str">
        <f t="shared" si="479"/>
        <v>20(OPE)</v>
      </c>
      <c r="N330" s="26">
        <f t="shared" si="489"/>
        <v>-1630</v>
      </c>
      <c r="O330" s="26">
        <f t="shared" si="490"/>
        <v>0</v>
      </c>
      <c r="P330" s="26">
        <f t="shared" si="491"/>
        <v>0</v>
      </c>
      <c r="Q330" s="26">
        <f t="shared" si="492"/>
        <v>1771</v>
      </c>
      <c r="R330" s="26">
        <f t="shared" si="493"/>
        <v>-2838</v>
      </c>
      <c r="S330" s="26">
        <f t="shared" si="494"/>
        <v>-6118</v>
      </c>
      <c r="T330" s="26">
        <f t="shared" si="495"/>
        <v>-3538</v>
      </c>
      <c r="U330" s="26">
        <f t="shared" si="496"/>
        <v>-5972</v>
      </c>
      <c r="V330" s="26">
        <f t="shared" si="497"/>
        <v>-10125</v>
      </c>
      <c r="W330" s="27">
        <f t="shared" si="498"/>
        <v>6972.8479834282925</v>
      </c>
      <c r="X330" s="27">
        <f t="shared" si="499"/>
        <v>12275.905384125441</v>
      </c>
      <c r="Y330" s="28">
        <f t="shared" si="500"/>
        <v>12</v>
      </c>
      <c r="Z330" s="27">
        <f t="shared" si="501"/>
        <v>1567.5520094585477</v>
      </c>
      <c r="AA330" s="27">
        <f t="shared" si="502"/>
        <v>9054.2413269263288</v>
      </c>
      <c r="AB330" s="27">
        <f t="shared" si="503"/>
        <v>13756.897355301971</v>
      </c>
      <c r="AC330" s="27">
        <f t="shared" si="504"/>
        <v>129000</v>
      </c>
      <c r="AD330" s="29">
        <f t="shared" si="505"/>
        <v>10.664261515737962</v>
      </c>
      <c r="AE330" s="30" t="str">
        <f t="shared" si="506"/>
        <v>PASS</v>
      </c>
      <c r="AG330" s="4"/>
      <c r="AH330" s="31">
        <f t="shared" si="507"/>
        <v>0</v>
      </c>
      <c r="AI330" s="31">
        <f t="shared" si="508"/>
        <v>0</v>
      </c>
      <c r="AJ330" s="31">
        <f t="shared" si="509"/>
        <v>4625.9399999999996</v>
      </c>
      <c r="AK330" s="31">
        <f t="shared" si="510"/>
        <v>0</v>
      </c>
      <c r="AL330" s="31">
        <f t="shared" si="511"/>
        <v>-9972.34</v>
      </c>
      <c r="AM330" s="31">
        <f t="shared" si="512"/>
        <v>0</v>
      </c>
      <c r="AN330" s="32">
        <f t="shared" si="513"/>
        <v>0</v>
      </c>
      <c r="AO330" s="27">
        <f t="shared" si="514"/>
        <v>-9972.34</v>
      </c>
      <c r="AP330" s="27">
        <f t="shared" si="515"/>
        <v>4625.9399999999996</v>
      </c>
      <c r="AQ330" s="27">
        <f t="shared" si="516"/>
        <v>-3538</v>
      </c>
      <c r="AR330" s="27">
        <f t="shared" si="517"/>
        <v>-15944.34</v>
      </c>
      <c r="AS330" s="33">
        <f t="shared" si="518"/>
        <v>-5499.06</v>
      </c>
    </row>
    <row r="331" spans="2:45" x14ac:dyDescent="0.25">
      <c r="B331" s="34">
        <f t="shared" si="519"/>
        <v>250</v>
      </c>
      <c r="C331" s="26">
        <f t="shared" si="519"/>
        <v>20</v>
      </c>
      <c r="D331" s="26">
        <f t="shared" si="519"/>
        <v>0</v>
      </c>
      <c r="E331" s="26">
        <f t="shared" si="519"/>
        <v>0</v>
      </c>
      <c r="F331" s="26">
        <f t="shared" si="519"/>
        <v>-1630</v>
      </c>
      <c r="G331" s="24">
        <v>11813</v>
      </c>
      <c r="H331" s="24">
        <v>-7229</v>
      </c>
      <c r="I331" s="24">
        <v>-612</v>
      </c>
      <c r="J331" s="24">
        <v>5097</v>
      </c>
      <c r="K331" s="24">
        <v>-7626</v>
      </c>
      <c r="L331" s="24">
        <v>-12992</v>
      </c>
      <c r="M331" s="44" t="str">
        <f t="shared" si="479"/>
        <v>22(OPE)</v>
      </c>
      <c r="N331" s="26">
        <f t="shared" si="489"/>
        <v>-1630</v>
      </c>
      <c r="O331" s="26">
        <f t="shared" si="490"/>
        <v>0</v>
      </c>
      <c r="P331" s="26">
        <f t="shared" si="491"/>
        <v>0</v>
      </c>
      <c r="Q331" s="26">
        <f t="shared" si="492"/>
        <v>-612</v>
      </c>
      <c r="R331" s="26">
        <f t="shared" si="493"/>
        <v>-7229</v>
      </c>
      <c r="S331" s="26">
        <f t="shared" si="494"/>
        <v>-11813</v>
      </c>
      <c r="T331" s="26">
        <f t="shared" si="495"/>
        <v>-12992</v>
      </c>
      <c r="U331" s="26">
        <f t="shared" si="496"/>
        <v>-7626</v>
      </c>
      <c r="V331" s="26">
        <f t="shared" si="497"/>
        <v>-5097</v>
      </c>
      <c r="W331" s="27">
        <f t="shared" si="498"/>
        <v>13862.898470377686</v>
      </c>
      <c r="X331" s="27">
        <f t="shared" si="499"/>
        <v>15903.689791994813</v>
      </c>
      <c r="Y331" s="28">
        <f t="shared" si="500"/>
        <v>12</v>
      </c>
      <c r="Z331" s="27">
        <f t="shared" si="501"/>
        <v>3116.4904793286669</v>
      </c>
      <c r="AA331" s="27">
        <f t="shared" si="502"/>
        <v>11729.957250363279</v>
      </c>
      <c r="AB331" s="27">
        <f t="shared" si="503"/>
        <v>21079.428688349282</v>
      </c>
      <c r="AC331" s="27">
        <f t="shared" si="504"/>
        <v>129000</v>
      </c>
      <c r="AD331" s="29">
        <f t="shared" si="505"/>
        <v>16.34064239406921</v>
      </c>
      <c r="AE331" s="30" t="str">
        <f t="shared" si="506"/>
        <v>PASS</v>
      </c>
      <c r="AG331" s="4"/>
      <c r="AH331" s="31">
        <f t="shared" si="507"/>
        <v>0</v>
      </c>
      <c r="AI331" s="31">
        <f t="shared" si="508"/>
        <v>0</v>
      </c>
      <c r="AJ331" s="31">
        <f t="shared" si="509"/>
        <v>11783.27</v>
      </c>
      <c r="AK331" s="31">
        <f t="shared" si="510"/>
        <v>0</v>
      </c>
      <c r="AL331" s="31">
        <f t="shared" si="511"/>
        <v>-19255.189999999999</v>
      </c>
      <c r="AM331" s="31">
        <f t="shared" si="512"/>
        <v>0</v>
      </c>
      <c r="AN331" s="32">
        <f t="shared" si="513"/>
        <v>0</v>
      </c>
      <c r="AO331" s="27">
        <f t="shared" si="514"/>
        <v>-19255.189999999999</v>
      </c>
      <c r="AP331" s="27">
        <f t="shared" si="515"/>
        <v>11783.27</v>
      </c>
      <c r="AQ331" s="27">
        <f t="shared" si="516"/>
        <v>-12992</v>
      </c>
      <c r="AR331" s="27">
        <f t="shared" si="517"/>
        <v>-26881.19</v>
      </c>
      <c r="AS331" s="33">
        <f t="shared" si="518"/>
        <v>6686.27</v>
      </c>
    </row>
    <row r="332" spans="2:45" x14ac:dyDescent="0.25">
      <c r="B332" s="34">
        <f t="shared" si="519"/>
        <v>250</v>
      </c>
      <c r="C332" s="26">
        <f t="shared" si="519"/>
        <v>20</v>
      </c>
      <c r="D332" s="26">
        <f t="shared" si="519"/>
        <v>0</v>
      </c>
      <c r="E332" s="26">
        <f t="shared" si="519"/>
        <v>0</v>
      </c>
      <c r="F332" s="26">
        <f t="shared" si="519"/>
        <v>-1630</v>
      </c>
      <c r="G332" s="24">
        <v>1532</v>
      </c>
      <c r="H332" s="24">
        <v>3387</v>
      </c>
      <c r="I332" s="24">
        <v>544</v>
      </c>
      <c r="J332" s="24">
        <v>-977</v>
      </c>
      <c r="K332" s="24">
        <v>939</v>
      </c>
      <c r="L332" s="24">
        <v>-1249</v>
      </c>
      <c r="M332" s="44" t="str">
        <f t="shared" si="479"/>
        <v>34(SUS)</v>
      </c>
      <c r="N332" s="26">
        <f t="shared" si="489"/>
        <v>-1630</v>
      </c>
      <c r="O332" s="26">
        <f t="shared" si="490"/>
        <v>0</v>
      </c>
      <c r="P332" s="26">
        <f t="shared" si="491"/>
        <v>0</v>
      </c>
      <c r="Q332" s="26">
        <f t="shared" si="492"/>
        <v>544</v>
      </c>
      <c r="R332" s="26">
        <f t="shared" si="493"/>
        <v>3387</v>
      </c>
      <c r="S332" s="26">
        <f t="shared" si="494"/>
        <v>-1532</v>
      </c>
      <c r="T332" s="26">
        <f t="shared" si="495"/>
        <v>-1249</v>
      </c>
      <c r="U332" s="26">
        <f t="shared" si="496"/>
        <v>939</v>
      </c>
      <c r="V332" s="26">
        <f t="shared" si="497"/>
        <v>977</v>
      </c>
      <c r="W332" s="27">
        <f t="shared" si="498"/>
        <v>3756.9574125880108</v>
      </c>
      <c r="X332" s="27">
        <f t="shared" si="499"/>
        <v>1842.8920207109259</v>
      </c>
      <c r="Y332" s="28">
        <f t="shared" si="500"/>
        <v>12</v>
      </c>
      <c r="Z332" s="27">
        <f t="shared" si="501"/>
        <v>844.59408200908558</v>
      </c>
      <c r="AA332" s="27">
        <f t="shared" si="502"/>
        <v>1359.2471245795921</v>
      </c>
      <c r="AB332" s="27">
        <f t="shared" si="503"/>
        <v>3893.0293706068487</v>
      </c>
      <c r="AC332" s="27">
        <f t="shared" si="504"/>
        <v>129000</v>
      </c>
      <c r="AD332" s="29">
        <f t="shared" si="505"/>
        <v>3.0178522252766271</v>
      </c>
      <c r="AE332" s="30" t="str">
        <f t="shared" si="506"/>
        <v>PASS</v>
      </c>
      <c r="AG332" s="4"/>
      <c r="AH332" s="31">
        <f t="shared" si="507"/>
        <v>0</v>
      </c>
      <c r="AI332" s="31">
        <f t="shared" si="508"/>
        <v>0</v>
      </c>
      <c r="AJ332" s="31">
        <f t="shared" si="509"/>
        <v>-5520.81</v>
      </c>
      <c r="AK332" s="31">
        <f t="shared" si="510"/>
        <v>0</v>
      </c>
      <c r="AL332" s="31">
        <f t="shared" si="511"/>
        <v>-2497.16</v>
      </c>
      <c r="AM332" s="31">
        <f t="shared" si="512"/>
        <v>0</v>
      </c>
      <c r="AN332" s="32">
        <f t="shared" si="513"/>
        <v>0</v>
      </c>
      <c r="AO332" s="27">
        <f t="shared" si="514"/>
        <v>-2497.16</v>
      </c>
      <c r="AP332" s="27">
        <f t="shared" si="515"/>
        <v>-5520.81</v>
      </c>
      <c r="AQ332" s="27">
        <f t="shared" si="516"/>
        <v>-1249</v>
      </c>
      <c r="AR332" s="27">
        <f t="shared" si="517"/>
        <v>-1558.1599999999999</v>
      </c>
      <c r="AS332" s="33">
        <f t="shared" si="518"/>
        <v>-4543.8100000000004</v>
      </c>
    </row>
    <row r="333" spans="2:45" x14ac:dyDescent="0.25">
      <c r="B333" s="34">
        <f t="shared" si="519"/>
        <v>250</v>
      </c>
      <c r="C333" s="26">
        <f t="shared" si="519"/>
        <v>20</v>
      </c>
      <c r="D333" s="26">
        <f t="shared" si="519"/>
        <v>0</v>
      </c>
      <c r="E333" s="26">
        <f t="shared" si="519"/>
        <v>0</v>
      </c>
      <c r="F333" s="26">
        <f t="shared" si="519"/>
        <v>-1630</v>
      </c>
      <c r="G333" s="24">
        <v>1511</v>
      </c>
      <c r="H333" s="24">
        <v>3538</v>
      </c>
      <c r="I333" s="24">
        <v>539</v>
      </c>
      <c r="J333" s="24">
        <v>-933</v>
      </c>
      <c r="K333" s="24">
        <v>930</v>
      </c>
      <c r="L333" s="24">
        <v>-1233</v>
      </c>
      <c r="M333" s="44" t="str">
        <f t="shared" si="479"/>
        <v>35(SUS)</v>
      </c>
      <c r="N333" s="26">
        <f t="shared" si="489"/>
        <v>-1630</v>
      </c>
      <c r="O333" s="26">
        <f t="shared" si="490"/>
        <v>0</v>
      </c>
      <c r="P333" s="26">
        <f t="shared" si="491"/>
        <v>0</v>
      </c>
      <c r="Q333" s="26">
        <f t="shared" si="492"/>
        <v>539</v>
      </c>
      <c r="R333" s="26">
        <f t="shared" si="493"/>
        <v>3538</v>
      </c>
      <c r="S333" s="26">
        <f t="shared" si="494"/>
        <v>-1511</v>
      </c>
      <c r="T333" s="26">
        <f t="shared" si="495"/>
        <v>-1233</v>
      </c>
      <c r="U333" s="26">
        <f t="shared" si="496"/>
        <v>930</v>
      </c>
      <c r="V333" s="26">
        <f t="shared" si="497"/>
        <v>933</v>
      </c>
      <c r="W333" s="27">
        <f t="shared" si="498"/>
        <v>3884.7247006705634</v>
      </c>
      <c r="X333" s="27">
        <f t="shared" si="499"/>
        <v>1804.3497443677597</v>
      </c>
      <c r="Y333" s="28">
        <f t="shared" si="500"/>
        <v>12</v>
      </c>
      <c r="Z333" s="27">
        <f t="shared" si="501"/>
        <v>873.31719050834806</v>
      </c>
      <c r="AA333" s="27">
        <f t="shared" si="502"/>
        <v>1330.8198061553737</v>
      </c>
      <c r="AB333" s="27">
        <f t="shared" si="503"/>
        <v>3950.7713776804176</v>
      </c>
      <c r="AC333" s="27">
        <f t="shared" si="504"/>
        <v>129000</v>
      </c>
      <c r="AD333" s="29">
        <f t="shared" si="505"/>
        <v>3.0626134710700912</v>
      </c>
      <c r="AE333" s="30" t="str">
        <f t="shared" si="506"/>
        <v>PASS</v>
      </c>
      <c r="AG333" s="4"/>
      <c r="AH333" s="31">
        <f t="shared" si="507"/>
        <v>0</v>
      </c>
      <c r="AI333" s="31">
        <f t="shared" si="508"/>
        <v>0</v>
      </c>
      <c r="AJ333" s="31">
        <f t="shared" si="509"/>
        <v>-5766.94</v>
      </c>
      <c r="AK333" s="31">
        <f t="shared" si="510"/>
        <v>0</v>
      </c>
      <c r="AL333" s="31">
        <f t="shared" si="511"/>
        <v>-2462.9299999999998</v>
      </c>
      <c r="AM333" s="31">
        <f t="shared" si="512"/>
        <v>0</v>
      </c>
      <c r="AN333" s="32">
        <f t="shared" si="513"/>
        <v>0</v>
      </c>
      <c r="AO333" s="27">
        <f t="shared" si="514"/>
        <v>-2462.9299999999998</v>
      </c>
      <c r="AP333" s="27">
        <f t="shared" si="515"/>
        <v>-5766.94</v>
      </c>
      <c r="AQ333" s="27">
        <f t="shared" si="516"/>
        <v>-1233</v>
      </c>
      <c r="AR333" s="27">
        <f t="shared" si="517"/>
        <v>-1532.9299999999998</v>
      </c>
      <c r="AS333" s="33">
        <f t="shared" si="518"/>
        <v>-4833.9399999999996</v>
      </c>
    </row>
    <row r="334" spans="2:45" x14ac:dyDescent="0.25">
      <c r="B334" s="34">
        <f t="shared" si="519"/>
        <v>250</v>
      </c>
      <c r="C334" s="26">
        <f t="shared" si="519"/>
        <v>20</v>
      </c>
      <c r="D334" s="26">
        <f t="shared" si="519"/>
        <v>0</v>
      </c>
      <c r="E334" s="26">
        <f t="shared" si="519"/>
        <v>0</v>
      </c>
      <c r="F334" s="26">
        <f t="shared" si="519"/>
        <v>-1630</v>
      </c>
      <c r="G334" s="24">
        <v>1551</v>
      </c>
      <c r="H334" s="24">
        <v>3324</v>
      </c>
      <c r="I334" s="24">
        <v>-404</v>
      </c>
      <c r="J334" s="24">
        <v>-4763</v>
      </c>
      <c r="K334" s="24">
        <v>1265</v>
      </c>
      <c r="L334" s="24">
        <v>-1166</v>
      </c>
      <c r="M334" s="44" t="str">
        <f t="shared" si="479"/>
        <v>36(SUS)</v>
      </c>
      <c r="N334" s="26">
        <f t="shared" si="489"/>
        <v>-1630</v>
      </c>
      <c r="O334" s="26">
        <f t="shared" si="490"/>
        <v>0</v>
      </c>
      <c r="P334" s="26">
        <f t="shared" si="491"/>
        <v>0</v>
      </c>
      <c r="Q334" s="26">
        <f t="shared" si="492"/>
        <v>-404</v>
      </c>
      <c r="R334" s="26">
        <f t="shared" si="493"/>
        <v>3324</v>
      </c>
      <c r="S334" s="26">
        <f t="shared" si="494"/>
        <v>-1551</v>
      </c>
      <c r="T334" s="26">
        <f t="shared" si="495"/>
        <v>-1166</v>
      </c>
      <c r="U334" s="26">
        <f t="shared" si="496"/>
        <v>1265</v>
      </c>
      <c r="V334" s="26">
        <f t="shared" si="497"/>
        <v>4763</v>
      </c>
      <c r="W334" s="27">
        <f t="shared" si="498"/>
        <v>3690.2293966635734</v>
      </c>
      <c r="X334" s="27">
        <f t="shared" si="499"/>
        <v>5064.1830535635263</v>
      </c>
      <c r="Y334" s="28">
        <f t="shared" si="500"/>
        <v>12</v>
      </c>
      <c r="Z334" s="27">
        <f t="shared" si="501"/>
        <v>829.59309020514468</v>
      </c>
      <c r="AA334" s="27">
        <f t="shared" si="502"/>
        <v>3735.1489813524217</v>
      </c>
      <c r="AB334" s="27">
        <f t="shared" si="503"/>
        <v>6223.9282519678563</v>
      </c>
      <c r="AC334" s="27">
        <f t="shared" si="504"/>
        <v>129000</v>
      </c>
      <c r="AD334" s="29">
        <f t="shared" si="505"/>
        <v>4.824750582920819</v>
      </c>
      <c r="AE334" s="30" t="str">
        <f t="shared" si="506"/>
        <v>PASS</v>
      </c>
      <c r="AG334" s="4"/>
      <c r="AH334" s="31">
        <f t="shared" si="507"/>
        <v>0</v>
      </c>
      <c r="AI334" s="31">
        <f t="shared" si="508"/>
        <v>0</v>
      </c>
      <c r="AJ334" s="31">
        <f t="shared" si="509"/>
        <v>-5418.12</v>
      </c>
      <c r="AK334" s="31">
        <f t="shared" si="510"/>
        <v>0</v>
      </c>
      <c r="AL334" s="31">
        <f t="shared" si="511"/>
        <v>-2528.13</v>
      </c>
      <c r="AM334" s="31">
        <f t="shared" si="512"/>
        <v>0</v>
      </c>
      <c r="AN334" s="32">
        <f t="shared" si="513"/>
        <v>0</v>
      </c>
      <c r="AO334" s="27">
        <f t="shared" si="514"/>
        <v>-2528.13</v>
      </c>
      <c r="AP334" s="27">
        <f t="shared" si="515"/>
        <v>-5418.12</v>
      </c>
      <c r="AQ334" s="27">
        <f t="shared" si="516"/>
        <v>-1166</v>
      </c>
      <c r="AR334" s="27">
        <f t="shared" si="517"/>
        <v>-1263.1300000000001</v>
      </c>
      <c r="AS334" s="33">
        <f t="shared" si="518"/>
        <v>-655.11999999999989</v>
      </c>
    </row>
    <row r="335" spans="2:45" x14ac:dyDescent="0.25">
      <c r="B335" s="34">
        <f t="shared" si="519"/>
        <v>250</v>
      </c>
      <c r="C335" s="26">
        <f t="shared" si="519"/>
        <v>20</v>
      </c>
      <c r="D335" s="26">
        <f t="shared" si="519"/>
        <v>0</v>
      </c>
      <c r="E335" s="26">
        <f t="shared" si="519"/>
        <v>0</v>
      </c>
      <c r="F335" s="26">
        <f t="shared" si="519"/>
        <v>-1630</v>
      </c>
      <c r="G335" s="24">
        <v>1531</v>
      </c>
      <c r="H335" s="24">
        <v>3475</v>
      </c>
      <c r="I335" s="24">
        <v>-405</v>
      </c>
      <c r="J335" s="24">
        <v>-4703</v>
      </c>
      <c r="K335" s="24">
        <v>1254</v>
      </c>
      <c r="L335" s="24">
        <v>-1154</v>
      </c>
      <c r="M335" s="44" t="str">
        <f t="shared" si="479"/>
        <v>37(SUS)</v>
      </c>
      <c r="N335" s="26">
        <f t="shared" si="489"/>
        <v>-1630</v>
      </c>
      <c r="O335" s="26">
        <f t="shared" si="490"/>
        <v>0</v>
      </c>
      <c r="P335" s="26">
        <f t="shared" si="491"/>
        <v>0</v>
      </c>
      <c r="Q335" s="26">
        <f t="shared" si="492"/>
        <v>-405</v>
      </c>
      <c r="R335" s="26">
        <f t="shared" si="493"/>
        <v>3475</v>
      </c>
      <c r="S335" s="26">
        <f t="shared" si="494"/>
        <v>-1531</v>
      </c>
      <c r="T335" s="26">
        <f t="shared" si="495"/>
        <v>-1154</v>
      </c>
      <c r="U335" s="26">
        <f t="shared" si="496"/>
        <v>1254</v>
      </c>
      <c r="V335" s="26">
        <f t="shared" si="497"/>
        <v>4703</v>
      </c>
      <c r="W335" s="27">
        <f t="shared" si="498"/>
        <v>3818.8494340573316</v>
      </c>
      <c r="X335" s="27">
        <f t="shared" si="499"/>
        <v>5002.243596627417</v>
      </c>
      <c r="Y335" s="28">
        <f t="shared" si="500"/>
        <v>12</v>
      </c>
      <c r="Z335" s="27">
        <f t="shared" si="501"/>
        <v>858.50790357156063</v>
      </c>
      <c r="AA335" s="27">
        <f t="shared" si="502"/>
        <v>3689.464791615711</v>
      </c>
      <c r="AB335" s="27">
        <f t="shared" si="503"/>
        <v>6264.9885023303923</v>
      </c>
      <c r="AC335" s="27">
        <f t="shared" si="504"/>
        <v>129000</v>
      </c>
      <c r="AD335" s="29">
        <f t="shared" si="505"/>
        <v>4.8565802343646451</v>
      </c>
      <c r="AE335" s="30" t="str">
        <f t="shared" si="506"/>
        <v>PASS</v>
      </c>
      <c r="AG335" s="4"/>
      <c r="AH335" s="31">
        <f t="shared" si="507"/>
        <v>0</v>
      </c>
      <c r="AI335" s="31">
        <f t="shared" si="508"/>
        <v>0</v>
      </c>
      <c r="AJ335" s="31">
        <f t="shared" si="509"/>
        <v>-5664.25</v>
      </c>
      <c r="AK335" s="31">
        <f t="shared" si="510"/>
        <v>0</v>
      </c>
      <c r="AL335" s="31">
        <f t="shared" si="511"/>
        <v>-2495.5300000000002</v>
      </c>
      <c r="AM335" s="31">
        <f t="shared" si="512"/>
        <v>0</v>
      </c>
      <c r="AN335" s="32">
        <f t="shared" si="513"/>
        <v>0</v>
      </c>
      <c r="AO335" s="27">
        <f t="shared" si="514"/>
        <v>-2495.5300000000002</v>
      </c>
      <c r="AP335" s="27">
        <f t="shared" si="515"/>
        <v>-5664.25</v>
      </c>
      <c r="AQ335" s="27">
        <f t="shared" si="516"/>
        <v>-1154</v>
      </c>
      <c r="AR335" s="27">
        <f t="shared" si="517"/>
        <v>-1241.5300000000002</v>
      </c>
      <c r="AS335" s="33">
        <f t="shared" si="518"/>
        <v>-961.25</v>
      </c>
    </row>
    <row r="336" spans="2:45" x14ac:dyDescent="0.25">
      <c r="B336" s="34">
        <f t="shared" si="519"/>
        <v>250</v>
      </c>
      <c r="C336" s="26">
        <f t="shared" si="519"/>
        <v>20</v>
      </c>
      <c r="D336" s="26">
        <f t="shared" si="519"/>
        <v>0</v>
      </c>
      <c r="E336" s="26">
        <f t="shared" si="519"/>
        <v>0</v>
      </c>
      <c r="F336" s="26">
        <f t="shared" si="519"/>
        <v>-1630</v>
      </c>
      <c r="G336" s="24">
        <v>6534</v>
      </c>
      <c r="H336" s="24">
        <v>-2043</v>
      </c>
      <c r="I336" s="24">
        <v>-1163</v>
      </c>
      <c r="J336" s="24">
        <v>-4905</v>
      </c>
      <c r="K336" s="24">
        <v>-4725</v>
      </c>
      <c r="L336" s="24">
        <v>-6442</v>
      </c>
      <c r="M336" s="44" t="str">
        <f t="shared" si="479"/>
        <v>24(OPE)</v>
      </c>
      <c r="N336" s="26">
        <f t="shared" si="489"/>
        <v>-1630</v>
      </c>
      <c r="O336" s="26">
        <f t="shared" si="490"/>
        <v>0</v>
      </c>
      <c r="P336" s="26">
        <f t="shared" si="491"/>
        <v>0</v>
      </c>
      <c r="Q336" s="26">
        <f t="shared" si="492"/>
        <v>-1163</v>
      </c>
      <c r="R336" s="26">
        <f t="shared" si="493"/>
        <v>-2043</v>
      </c>
      <c r="S336" s="26">
        <f t="shared" si="494"/>
        <v>-6534</v>
      </c>
      <c r="T336" s="26">
        <f t="shared" si="495"/>
        <v>-6442</v>
      </c>
      <c r="U336" s="26">
        <f t="shared" si="496"/>
        <v>-4725</v>
      </c>
      <c r="V336" s="26">
        <f t="shared" si="497"/>
        <v>4905</v>
      </c>
      <c r="W336" s="27">
        <f t="shared" si="498"/>
        <v>6944.0315379468148</v>
      </c>
      <c r="X336" s="27">
        <f t="shared" si="499"/>
        <v>9374.6474067028248</v>
      </c>
      <c r="Y336" s="28">
        <f t="shared" si="500"/>
        <v>12</v>
      </c>
      <c r="Z336" s="27">
        <f t="shared" si="501"/>
        <v>1561.0738419827476</v>
      </c>
      <c r="AA336" s="27">
        <f t="shared" si="502"/>
        <v>6914.3836905825492</v>
      </c>
      <c r="AB336" s="27">
        <f t="shared" si="503"/>
        <v>11597.605216530792</v>
      </c>
      <c r="AC336" s="27">
        <f t="shared" si="504"/>
        <v>129000</v>
      </c>
      <c r="AD336" s="29">
        <f t="shared" si="505"/>
        <v>8.9903916407215441</v>
      </c>
      <c r="AE336" s="30" t="str">
        <f t="shared" si="506"/>
        <v>PASS</v>
      </c>
      <c r="AG336" s="4"/>
      <c r="AH336" s="31">
        <f t="shared" si="507"/>
        <v>0</v>
      </c>
      <c r="AI336" s="31">
        <f t="shared" si="508"/>
        <v>0</v>
      </c>
      <c r="AJ336" s="31">
        <f t="shared" si="509"/>
        <v>3330.09</v>
      </c>
      <c r="AK336" s="31">
        <f t="shared" si="510"/>
        <v>0</v>
      </c>
      <c r="AL336" s="31">
        <f t="shared" si="511"/>
        <v>-10650.42</v>
      </c>
      <c r="AM336" s="31">
        <f t="shared" si="512"/>
        <v>0</v>
      </c>
      <c r="AN336" s="32">
        <f t="shared" si="513"/>
        <v>0</v>
      </c>
      <c r="AO336" s="27">
        <f t="shared" si="514"/>
        <v>-10650.42</v>
      </c>
      <c r="AP336" s="27">
        <f t="shared" si="515"/>
        <v>3330.09</v>
      </c>
      <c r="AQ336" s="27">
        <f t="shared" si="516"/>
        <v>-6442</v>
      </c>
      <c r="AR336" s="27">
        <f t="shared" si="517"/>
        <v>-15375.42</v>
      </c>
      <c r="AS336" s="33">
        <f t="shared" si="518"/>
        <v>8235.09</v>
      </c>
    </row>
    <row r="337" spans="2:45" x14ac:dyDescent="0.25">
      <c r="B337" s="34">
        <f t="shared" si="519"/>
        <v>250</v>
      </c>
      <c r="C337" s="26">
        <f t="shared" si="519"/>
        <v>20</v>
      </c>
      <c r="D337" s="26">
        <f t="shared" si="519"/>
        <v>0</v>
      </c>
      <c r="E337" s="26">
        <f t="shared" si="519"/>
        <v>0</v>
      </c>
      <c r="F337" s="26">
        <f t="shared" si="519"/>
        <v>-1630</v>
      </c>
      <c r="G337" s="24">
        <v>5108</v>
      </c>
      <c r="H337" s="24">
        <v>-1639</v>
      </c>
      <c r="I337" s="24">
        <v>-1303</v>
      </c>
      <c r="J337" s="24">
        <v>-1080</v>
      </c>
      <c r="K337" s="24">
        <v>-4667</v>
      </c>
      <c r="L337" s="24">
        <v>-4738</v>
      </c>
      <c r="M337" s="44" t="str">
        <f t="shared" si="479"/>
        <v>25(OPE)</v>
      </c>
      <c r="N337" s="26">
        <f t="shared" si="489"/>
        <v>-1630</v>
      </c>
      <c r="O337" s="26">
        <f t="shared" si="490"/>
        <v>0</v>
      </c>
      <c r="P337" s="26">
        <f t="shared" si="491"/>
        <v>0</v>
      </c>
      <c r="Q337" s="26">
        <f t="shared" si="492"/>
        <v>-1303</v>
      </c>
      <c r="R337" s="26">
        <f t="shared" si="493"/>
        <v>-1639</v>
      </c>
      <c r="S337" s="26">
        <f t="shared" si="494"/>
        <v>-5108</v>
      </c>
      <c r="T337" s="26">
        <f t="shared" si="495"/>
        <v>-4738</v>
      </c>
      <c r="U337" s="26">
        <f t="shared" si="496"/>
        <v>-4667</v>
      </c>
      <c r="V337" s="26">
        <f t="shared" si="497"/>
        <v>1080</v>
      </c>
      <c r="W337" s="27">
        <f t="shared" si="498"/>
        <v>5520.4885653354995</v>
      </c>
      <c r="X337" s="27">
        <f t="shared" si="499"/>
        <v>6737.6504064844448</v>
      </c>
      <c r="Y337" s="28">
        <f t="shared" si="500"/>
        <v>12</v>
      </c>
      <c r="Z337" s="27">
        <f t="shared" si="501"/>
        <v>1241.0499933959429</v>
      </c>
      <c r="AA337" s="27">
        <f t="shared" si="502"/>
        <v>4969.4349091074801</v>
      </c>
      <c r="AB337" s="27">
        <f t="shared" si="503"/>
        <v>8692.584889295309</v>
      </c>
      <c r="AC337" s="27">
        <f t="shared" si="504"/>
        <v>129000</v>
      </c>
      <c r="AD337" s="29">
        <f t="shared" si="505"/>
        <v>6.7384378986785345</v>
      </c>
      <c r="AE337" s="30" t="str">
        <f t="shared" si="506"/>
        <v>PASS</v>
      </c>
      <c r="AG337" s="4"/>
      <c r="AH337" s="31">
        <f t="shared" si="507"/>
        <v>0</v>
      </c>
      <c r="AI337" s="31">
        <f t="shared" si="508"/>
        <v>0</v>
      </c>
      <c r="AJ337" s="31">
        <f t="shared" si="509"/>
        <v>2671.57</v>
      </c>
      <c r="AK337" s="31">
        <f t="shared" si="510"/>
        <v>0</v>
      </c>
      <c r="AL337" s="31">
        <f t="shared" si="511"/>
        <v>-8326.0400000000009</v>
      </c>
      <c r="AM337" s="31">
        <f t="shared" si="512"/>
        <v>0</v>
      </c>
      <c r="AN337" s="32">
        <f t="shared" si="513"/>
        <v>0</v>
      </c>
      <c r="AO337" s="27">
        <f t="shared" si="514"/>
        <v>-8326.0400000000009</v>
      </c>
      <c r="AP337" s="27">
        <f t="shared" si="515"/>
        <v>2671.57</v>
      </c>
      <c r="AQ337" s="27">
        <f t="shared" si="516"/>
        <v>-4738</v>
      </c>
      <c r="AR337" s="27">
        <f t="shared" si="517"/>
        <v>-12993.04</v>
      </c>
      <c r="AS337" s="33">
        <f t="shared" si="518"/>
        <v>3751.57</v>
      </c>
    </row>
    <row r="338" spans="2:45" x14ac:dyDescent="0.25">
      <c r="B338" s="34">
        <f t="shared" si="519"/>
        <v>250</v>
      </c>
      <c r="C338" s="26">
        <f t="shared" si="519"/>
        <v>20</v>
      </c>
      <c r="D338" s="26">
        <f t="shared" si="519"/>
        <v>0</v>
      </c>
      <c r="E338" s="26">
        <f t="shared" si="519"/>
        <v>0</v>
      </c>
      <c r="F338" s="26">
        <f t="shared" si="519"/>
        <v>-1630</v>
      </c>
      <c r="G338" s="24">
        <v>6534</v>
      </c>
      <c r="H338" s="24">
        <v>-2043</v>
      </c>
      <c r="I338" s="24">
        <v>-1163</v>
      </c>
      <c r="J338" s="24">
        <v>-4905</v>
      </c>
      <c r="K338" s="24">
        <v>-4725</v>
      </c>
      <c r="L338" s="24">
        <v>-6442</v>
      </c>
      <c r="M338" s="44" t="str">
        <f t="shared" si="479"/>
        <v>26(OPE)</v>
      </c>
      <c r="N338" s="26">
        <f t="shared" si="489"/>
        <v>-1630</v>
      </c>
      <c r="O338" s="26">
        <f t="shared" si="490"/>
        <v>0</v>
      </c>
      <c r="P338" s="26">
        <f t="shared" si="491"/>
        <v>0</v>
      </c>
      <c r="Q338" s="26">
        <f t="shared" si="492"/>
        <v>-1163</v>
      </c>
      <c r="R338" s="26">
        <f t="shared" si="493"/>
        <v>-2043</v>
      </c>
      <c r="S338" s="26">
        <f t="shared" si="494"/>
        <v>-6534</v>
      </c>
      <c r="T338" s="26">
        <f t="shared" si="495"/>
        <v>-6442</v>
      </c>
      <c r="U338" s="26">
        <f t="shared" si="496"/>
        <v>-4725</v>
      </c>
      <c r="V338" s="26">
        <f t="shared" si="497"/>
        <v>4905</v>
      </c>
      <c r="W338" s="27">
        <f t="shared" si="498"/>
        <v>6944.0315379468148</v>
      </c>
      <c r="X338" s="27">
        <f t="shared" si="499"/>
        <v>9374.6474067028248</v>
      </c>
      <c r="Y338" s="28">
        <f t="shared" si="500"/>
        <v>12</v>
      </c>
      <c r="Z338" s="27">
        <f t="shared" si="501"/>
        <v>1561.0738419827476</v>
      </c>
      <c r="AA338" s="27">
        <f t="shared" si="502"/>
        <v>6914.3836905825492</v>
      </c>
      <c r="AB338" s="27">
        <f t="shared" si="503"/>
        <v>11597.605216530792</v>
      </c>
      <c r="AC338" s="27">
        <f t="shared" si="504"/>
        <v>129000</v>
      </c>
      <c r="AD338" s="29">
        <f t="shared" si="505"/>
        <v>8.9903916407215441</v>
      </c>
      <c r="AE338" s="30" t="str">
        <f t="shared" si="506"/>
        <v>PASS</v>
      </c>
      <c r="AG338" s="4"/>
      <c r="AH338" s="31">
        <f t="shared" si="507"/>
        <v>0</v>
      </c>
      <c r="AI338" s="31">
        <f t="shared" si="508"/>
        <v>0</v>
      </c>
      <c r="AJ338" s="31">
        <f t="shared" si="509"/>
        <v>3330.09</v>
      </c>
      <c r="AK338" s="31">
        <f t="shared" si="510"/>
        <v>0</v>
      </c>
      <c r="AL338" s="31">
        <f t="shared" si="511"/>
        <v>-10650.42</v>
      </c>
      <c r="AM338" s="31">
        <f t="shared" si="512"/>
        <v>0</v>
      </c>
      <c r="AN338" s="32">
        <f t="shared" si="513"/>
        <v>0</v>
      </c>
      <c r="AO338" s="27">
        <f t="shared" si="514"/>
        <v>-10650.42</v>
      </c>
      <c r="AP338" s="27">
        <f t="shared" si="515"/>
        <v>3330.09</v>
      </c>
      <c r="AQ338" s="27">
        <f t="shared" si="516"/>
        <v>-6442</v>
      </c>
      <c r="AR338" s="27">
        <f t="shared" si="517"/>
        <v>-15375.42</v>
      </c>
      <c r="AS338" s="33">
        <f t="shared" si="518"/>
        <v>8235.09</v>
      </c>
    </row>
    <row r="339" spans="2:45" x14ac:dyDescent="0.25">
      <c r="B339" s="34">
        <f t="shared" si="519"/>
        <v>250</v>
      </c>
      <c r="C339" s="26">
        <f t="shared" si="519"/>
        <v>20</v>
      </c>
      <c r="D339" s="26">
        <f t="shared" si="519"/>
        <v>0</v>
      </c>
      <c r="E339" s="26">
        <f t="shared" si="519"/>
        <v>0</v>
      </c>
      <c r="F339" s="26">
        <f t="shared" si="519"/>
        <v>-1630</v>
      </c>
      <c r="G339" s="24">
        <v>5108</v>
      </c>
      <c r="H339" s="24">
        <v>-1639</v>
      </c>
      <c r="I339" s="24">
        <v>-1303</v>
      </c>
      <c r="J339" s="24">
        <v>-1080</v>
      </c>
      <c r="K339" s="24">
        <v>-4667</v>
      </c>
      <c r="L339" s="24">
        <v>-4738</v>
      </c>
      <c r="M339" s="44" t="str">
        <f t="shared" si="479"/>
        <v>27(OPE)</v>
      </c>
      <c r="N339" s="26">
        <f t="shared" si="489"/>
        <v>-1630</v>
      </c>
      <c r="O339" s="26">
        <f t="shared" si="490"/>
        <v>0</v>
      </c>
      <c r="P339" s="26">
        <f t="shared" si="491"/>
        <v>0</v>
      </c>
      <c r="Q339" s="26">
        <f t="shared" si="492"/>
        <v>-1303</v>
      </c>
      <c r="R339" s="26">
        <f t="shared" si="493"/>
        <v>-1639</v>
      </c>
      <c r="S339" s="26">
        <f t="shared" si="494"/>
        <v>-5108</v>
      </c>
      <c r="T339" s="26">
        <f t="shared" si="495"/>
        <v>-4738</v>
      </c>
      <c r="U339" s="26">
        <f t="shared" si="496"/>
        <v>-4667</v>
      </c>
      <c r="V339" s="26">
        <f t="shared" si="497"/>
        <v>1080</v>
      </c>
      <c r="W339" s="27">
        <f t="shared" si="498"/>
        <v>5520.4885653354995</v>
      </c>
      <c r="X339" s="27">
        <f t="shared" si="499"/>
        <v>6737.6504064844448</v>
      </c>
      <c r="Y339" s="28">
        <f t="shared" si="500"/>
        <v>12</v>
      </c>
      <c r="Z339" s="27">
        <f t="shared" si="501"/>
        <v>1241.0499933959429</v>
      </c>
      <c r="AA339" s="27">
        <f t="shared" si="502"/>
        <v>4969.4349091074801</v>
      </c>
      <c r="AB339" s="27">
        <f t="shared" si="503"/>
        <v>8692.584889295309</v>
      </c>
      <c r="AC339" s="27">
        <f t="shared" si="504"/>
        <v>129000</v>
      </c>
      <c r="AD339" s="29">
        <f t="shared" si="505"/>
        <v>6.7384378986785345</v>
      </c>
      <c r="AE339" s="30" t="str">
        <f t="shared" si="506"/>
        <v>PASS</v>
      </c>
      <c r="AG339" s="4"/>
      <c r="AH339" s="31">
        <f t="shared" si="507"/>
        <v>0</v>
      </c>
      <c r="AI339" s="31">
        <f t="shared" si="508"/>
        <v>0</v>
      </c>
      <c r="AJ339" s="31">
        <f t="shared" si="509"/>
        <v>2671.57</v>
      </c>
      <c r="AK339" s="31">
        <f t="shared" si="510"/>
        <v>0</v>
      </c>
      <c r="AL339" s="31">
        <f t="shared" si="511"/>
        <v>-8326.0400000000009</v>
      </c>
      <c r="AM339" s="31">
        <f t="shared" si="512"/>
        <v>0</v>
      </c>
      <c r="AN339" s="32">
        <f t="shared" si="513"/>
        <v>0</v>
      </c>
      <c r="AO339" s="27">
        <f t="shared" si="514"/>
        <v>-8326.0400000000009</v>
      </c>
      <c r="AP339" s="27">
        <f t="shared" si="515"/>
        <v>2671.57</v>
      </c>
      <c r="AQ339" s="27">
        <f t="shared" si="516"/>
        <v>-4738</v>
      </c>
      <c r="AR339" s="27">
        <f t="shared" si="517"/>
        <v>-12993.04</v>
      </c>
      <c r="AS339" s="33">
        <f t="shared" si="518"/>
        <v>3751.57</v>
      </c>
    </row>
    <row r="340" spans="2:45" x14ac:dyDescent="0.25">
      <c r="B340" s="34">
        <f>IF(B339="","",B339)</f>
        <v>250</v>
      </c>
      <c r="C340" s="26">
        <f t="shared" ref="C340:F340" si="520">IF(C339="","",C339)</f>
        <v>20</v>
      </c>
      <c r="D340" s="26">
        <f t="shared" si="520"/>
        <v>0</v>
      </c>
      <c r="E340" s="26">
        <f t="shared" si="520"/>
        <v>0</v>
      </c>
      <c r="F340" s="26">
        <f t="shared" si="520"/>
        <v>-1630</v>
      </c>
      <c r="G340" s="24">
        <v>6718</v>
      </c>
      <c r="H340" s="24">
        <v>-1800</v>
      </c>
      <c r="I340" s="24">
        <v>569</v>
      </c>
      <c r="J340" s="24">
        <v>4219</v>
      </c>
      <c r="K340" s="24">
        <v>-5360</v>
      </c>
      <c r="L340" s="24">
        <v>-5619</v>
      </c>
      <c r="M340" s="44" t="str">
        <f t="shared" si="479"/>
        <v>28(OPE)</v>
      </c>
      <c r="N340" s="26">
        <f t="shared" si="489"/>
        <v>-1630</v>
      </c>
      <c r="O340" s="26">
        <f t="shared" si="490"/>
        <v>0</v>
      </c>
      <c r="P340" s="26">
        <f t="shared" si="491"/>
        <v>0</v>
      </c>
      <c r="Q340" s="26">
        <f t="shared" si="492"/>
        <v>569</v>
      </c>
      <c r="R340" s="26">
        <f t="shared" si="493"/>
        <v>-1800</v>
      </c>
      <c r="S340" s="26">
        <f t="shared" si="494"/>
        <v>-6718</v>
      </c>
      <c r="T340" s="26">
        <f t="shared" si="495"/>
        <v>-5619</v>
      </c>
      <c r="U340" s="26">
        <f t="shared" si="496"/>
        <v>-5360</v>
      </c>
      <c r="V340" s="26">
        <f t="shared" si="497"/>
        <v>-4219</v>
      </c>
      <c r="W340" s="27">
        <f t="shared" si="498"/>
        <v>6978.2006993207069</v>
      </c>
      <c r="X340" s="27">
        <f t="shared" si="499"/>
        <v>8837.5744409877534</v>
      </c>
      <c r="Y340" s="28">
        <f t="shared" si="500"/>
        <v>12</v>
      </c>
      <c r="Z340" s="27">
        <f t="shared" si="501"/>
        <v>1568.7553428128895</v>
      </c>
      <c r="AA340" s="27">
        <f t="shared" si="502"/>
        <v>6518.2590798438096</v>
      </c>
      <c r="AB340" s="27">
        <f t="shared" si="503"/>
        <v>11224.525108282478</v>
      </c>
      <c r="AC340" s="27">
        <f t="shared" si="504"/>
        <v>129000</v>
      </c>
      <c r="AD340" s="29">
        <f t="shared" si="505"/>
        <v>8.701182254482541</v>
      </c>
      <c r="AE340" s="30" t="str">
        <f t="shared" si="506"/>
        <v>PASS</v>
      </c>
      <c r="AG340" s="4"/>
      <c r="AH340" s="31">
        <f t="shared" si="507"/>
        <v>0</v>
      </c>
      <c r="AI340" s="31">
        <f t="shared" si="508"/>
        <v>0</v>
      </c>
      <c r="AJ340" s="31">
        <f t="shared" si="509"/>
        <v>2934</v>
      </c>
      <c r="AK340" s="31">
        <f t="shared" si="510"/>
        <v>0</v>
      </c>
      <c r="AL340" s="31">
        <f t="shared" si="511"/>
        <v>-10950.34</v>
      </c>
      <c r="AM340" s="31">
        <f t="shared" si="512"/>
        <v>0</v>
      </c>
      <c r="AN340" s="32">
        <f t="shared" si="513"/>
        <v>0</v>
      </c>
      <c r="AO340" s="27">
        <f t="shared" si="514"/>
        <v>-10950.34</v>
      </c>
      <c r="AP340" s="27">
        <f t="shared" si="515"/>
        <v>2934</v>
      </c>
      <c r="AQ340" s="27">
        <f t="shared" si="516"/>
        <v>-5619</v>
      </c>
      <c r="AR340" s="27">
        <f t="shared" si="517"/>
        <v>-16310.34</v>
      </c>
      <c r="AS340" s="33">
        <f t="shared" si="518"/>
        <v>-1285</v>
      </c>
    </row>
    <row r="341" spans="2:45" x14ac:dyDescent="0.25">
      <c r="B341" s="34">
        <f t="shared" ref="B341:F341" si="521">IF(B340="","",B340)</f>
        <v>250</v>
      </c>
      <c r="C341" s="26">
        <f t="shared" si="521"/>
        <v>20</v>
      </c>
      <c r="D341" s="26">
        <f t="shared" si="521"/>
        <v>0</v>
      </c>
      <c r="E341" s="26">
        <f t="shared" si="521"/>
        <v>0</v>
      </c>
      <c r="F341" s="26">
        <f t="shared" si="521"/>
        <v>-1630</v>
      </c>
      <c r="G341" s="24">
        <v>3364</v>
      </c>
      <c r="H341" s="24">
        <v>-683</v>
      </c>
      <c r="I341" s="24">
        <v>3301</v>
      </c>
      <c r="J341" s="24">
        <v>14015</v>
      </c>
      <c r="K341" s="24">
        <v>-5466</v>
      </c>
      <c r="L341" s="24">
        <v>-880</v>
      </c>
      <c r="M341" s="44" t="str">
        <f t="shared" si="479"/>
        <v>29(OPE)</v>
      </c>
      <c r="N341" s="26">
        <f t="shared" si="489"/>
        <v>-1630</v>
      </c>
      <c r="O341" s="26">
        <f t="shared" si="490"/>
        <v>0</v>
      </c>
      <c r="P341" s="26">
        <f t="shared" si="491"/>
        <v>0</v>
      </c>
      <c r="Q341" s="26">
        <f t="shared" si="492"/>
        <v>3301</v>
      </c>
      <c r="R341" s="26">
        <f t="shared" si="493"/>
        <v>-683</v>
      </c>
      <c r="S341" s="26">
        <f t="shared" si="494"/>
        <v>-3364</v>
      </c>
      <c r="T341" s="26">
        <f t="shared" si="495"/>
        <v>-880</v>
      </c>
      <c r="U341" s="26">
        <f t="shared" si="496"/>
        <v>-5466</v>
      </c>
      <c r="V341" s="26">
        <f t="shared" si="497"/>
        <v>-14015</v>
      </c>
      <c r="W341" s="27">
        <f t="shared" si="498"/>
        <v>4762.3088938035089</v>
      </c>
      <c r="X341" s="27">
        <f t="shared" si="499"/>
        <v>15068.901121183322</v>
      </c>
      <c r="Y341" s="28">
        <f t="shared" si="500"/>
        <v>12</v>
      </c>
      <c r="Z341" s="27">
        <f t="shared" si="501"/>
        <v>1070.6051377981792</v>
      </c>
      <c r="AA341" s="27">
        <f t="shared" si="502"/>
        <v>11114.248848742214</v>
      </c>
      <c r="AB341" s="27">
        <f t="shared" si="503"/>
        <v>14326.064262136751</v>
      </c>
      <c r="AC341" s="27">
        <f t="shared" si="504"/>
        <v>129000</v>
      </c>
      <c r="AD341" s="29">
        <f t="shared" si="505"/>
        <v>11.105476172199031</v>
      </c>
      <c r="AE341" s="30" t="str">
        <f t="shared" si="506"/>
        <v>PASS</v>
      </c>
      <c r="AG341" s="4"/>
      <c r="AH341" s="31">
        <f t="shared" si="507"/>
        <v>0</v>
      </c>
      <c r="AI341" s="31">
        <f t="shared" si="508"/>
        <v>0</v>
      </c>
      <c r="AJ341" s="31">
        <f t="shared" si="509"/>
        <v>1113.29</v>
      </c>
      <c r="AK341" s="31">
        <f t="shared" si="510"/>
        <v>0</v>
      </c>
      <c r="AL341" s="31">
        <f t="shared" si="511"/>
        <v>-5483.32</v>
      </c>
      <c r="AM341" s="31">
        <f t="shared" si="512"/>
        <v>0</v>
      </c>
      <c r="AN341" s="32">
        <f t="shared" si="513"/>
        <v>0</v>
      </c>
      <c r="AO341" s="27">
        <f t="shared" si="514"/>
        <v>-5483.32</v>
      </c>
      <c r="AP341" s="27">
        <f t="shared" si="515"/>
        <v>1113.29</v>
      </c>
      <c r="AQ341" s="27">
        <f t="shared" si="516"/>
        <v>-880</v>
      </c>
      <c r="AR341" s="27">
        <f t="shared" si="517"/>
        <v>-10949.32</v>
      </c>
      <c r="AS341" s="33">
        <f t="shared" si="518"/>
        <v>-12901.71</v>
      </c>
    </row>
    <row r="342" spans="2:45" x14ac:dyDescent="0.25">
      <c r="B342" s="34">
        <f t="shared" ref="B342:F342" si="522">IF(B341="","",B341)</f>
        <v>250</v>
      </c>
      <c r="C342" s="26">
        <f t="shared" si="522"/>
        <v>20</v>
      </c>
      <c r="D342" s="26">
        <f t="shared" si="522"/>
        <v>0</v>
      </c>
      <c r="E342" s="26">
        <f t="shared" si="522"/>
        <v>0</v>
      </c>
      <c r="F342" s="26">
        <f t="shared" si="522"/>
        <v>-1630</v>
      </c>
      <c r="G342" s="24">
        <v>4754</v>
      </c>
      <c r="H342" s="24">
        <v>977</v>
      </c>
      <c r="I342" s="24">
        <v>1927</v>
      </c>
      <c r="J342" s="24">
        <v>9968</v>
      </c>
      <c r="K342" s="24">
        <v>-5606</v>
      </c>
      <c r="L342" s="24">
        <v>-3121</v>
      </c>
      <c r="M342" s="44" t="str">
        <f t="shared" si="479"/>
        <v>30(OPE)</v>
      </c>
      <c r="N342" s="26">
        <f t="shared" si="489"/>
        <v>-1630</v>
      </c>
      <c r="O342" s="26">
        <f t="shared" si="490"/>
        <v>0</v>
      </c>
      <c r="P342" s="26">
        <f t="shared" si="491"/>
        <v>0</v>
      </c>
      <c r="Q342" s="26">
        <f t="shared" si="492"/>
        <v>1927</v>
      </c>
      <c r="R342" s="26">
        <f t="shared" si="493"/>
        <v>977</v>
      </c>
      <c r="S342" s="26">
        <f t="shared" si="494"/>
        <v>-4754</v>
      </c>
      <c r="T342" s="26">
        <f t="shared" si="495"/>
        <v>-3121</v>
      </c>
      <c r="U342" s="26">
        <f t="shared" si="496"/>
        <v>-5606</v>
      </c>
      <c r="V342" s="26">
        <f t="shared" si="497"/>
        <v>-9968</v>
      </c>
      <c r="W342" s="27">
        <f t="shared" si="498"/>
        <v>5221.9128679057831</v>
      </c>
      <c r="X342" s="27">
        <f t="shared" si="499"/>
        <v>11854.488643547642</v>
      </c>
      <c r="Y342" s="28">
        <f t="shared" si="500"/>
        <v>12</v>
      </c>
      <c r="Z342" s="27">
        <f t="shared" si="501"/>
        <v>1173.9277880081634</v>
      </c>
      <c r="AA342" s="27">
        <f t="shared" si="502"/>
        <v>8743.420352912286</v>
      </c>
      <c r="AB342" s="27">
        <f t="shared" si="503"/>
        <v>12265.203716936776</v>
      </c>
      <c r="AC342" s="27">
        <f t="shared" si="504"/>
        <v>129000</v>
      </c>
      <c r="AD342" s="29">
        <f t="shared" si="505"/>
        <v>9.5079098580905246</v>
      </c>
      <c r="AE342" s="30" t="str">
        <f t="shared" si="506"/>
        <v>PASS</v>
      </c>
      <c r="AG342" s="4"/>
      <c r="AH342" s="31">
        <f t="shared" si="507"/>
        <v>0</v>
      </c>
      <c r="AI342" s="31">
        <f t="shared" si="508"/>
        <v>0</v>
      </c>
      <c r="AJ342" s="31">
        <f t="shared" si="509"/>
        <v>-1592.51</v>
      </c>
      <c r="AK342" s="31">
        <f t="shared" si="510"/>
        <v>0</v>
      </c>
      <c r="AL342" s="31">
        <f t="shared" si="511"/>
        <v>-7749.02</v>
      </c>
      <c r="AM342" s="31">
        <f t="shared" si="512"/>
        <v>0</v>
      </c>
      <c r="AN342" s="32">
        <f t="shared" si="513"/>
        <v>0</v>
      </c>
      <c r="AO342" s="27">
        <f t="shared" si="514"/>
        <v>-7749.02</v>
      </c>
      <c r="AP342" s="27">
        <f t="shared" si="515"/>
        <v>-1592.51</v>
      </c>
      <c r="AQ342" s="27">
        <f t="shared" si="516"/>
        <v>-3121</v>
      </c>
      <c r="AR342" s="27">
        <f t="shared" si="517"/>
        <v>-13355.02</v>
      </c>
      <c r="AS342" s="33">
        <f t="shared" si="518"/>
        <v>-11560.51</v>
      </c>
    </row>
    <row r="343" spans="2:45" x14ac:dyDescent="0.25">
      <c r="B343" s="34">
        <f t="shared" ref="B343:F343" si="523">IF(B342="","",B342)</f>
        <v>250</v>
      </c>
      <c r="C343" s="26">
        <f t="shared" si="523"/>
        <v>20</v>
      </c>
      <c r="D343" s="26">
        <f t="shared" si="523"/>
        <v>0</v>
      </c>
      <c r="E343" s="26">
        <f t="shared" si="523"/>
        <v>0</v>
      </c>
      <c r="F343" s="26">
        <f t="shared" si="523"/>
        <v>-1630</v>
      </c>
      <c r="G343" s="24">
        <v>5328</v>
      </c>
      <c r="H343" s="24">
        <v>-3467</v>
      </c>
      <c r="I343" s="24">
        <v>1947</v>
      </c>
      <c r="J343" s="24">
        <v>8272</v>
      </c>
      <c r="K343" s="24">
        <v>-5255</v>
      </c>
      <c r="L343" s="24">
        <v>-3365</v>
      </c>
      <c r="M343" s="44" t="str">
        <f t="shared" si="479"/>
        <v>31(OPE)</v>
      </c>
      <c r="N343" s="26">
        <f t="shared" si="489"/>
        <v>-1630</v>
      </c>
      <c r="O343" s="26">
        <f t="shared" si="490"/>
        <v>0</v>
      </c>
      <c r="P343" s="26">
        <f t="shared" si="491"/>
        <v>0</v>
      </c>
      <c r="Q343" s="26">
        <f t="shared" si="492"/>
        <v>1947</v>
      </c>
      <c r="R343" s="26">
        <f t="shared" si="493"/>
        <v>-3467</v>
      </c>
      <c r="S343" s="26">
        <f t="shared" si="494"/>
        <v>-5328</v>
      </c>
      <c r="T343" s="26">
        <f t="shared" si="495"/>
        <v>-3365</v>
      </c>
      <c r="U343" s="26">
        <f t="shared" si="496"/>
        <v>-5255</v>
      </c>
      <c r="V343" s="26">
        <f t="shared" si="497"/>
        <v>-8272</v>
      </c>
      <c r="W343" s="27">
        <f t="shared" si="498"/>
        <v>6648.1938900727018</v>
      </c>
      <c r="X343" s="27">
        <f t="shared" si="499"/>
        <v>10361.671390272902</v>
      </c>
      <c r="Y343" s="28">
        <f t="shared" si="500"/>
        <v>12</v>
      </c>
      <c r="Z343" s="27">
        <f t="shared" si="501"/>
        <v>1494.5671720394639</v>
      </c>
      <c r="AA343" s="27">
        <f t="shared" si="502"/>
        <v>7642.375073952463</v>
      </c>
      <c r="AB343" s="27">
        <f t="shared" si="503"/>
        <v>12126.076590070854</v>
      </c>
      <c r="AC343" s="27">
        <f t="shared" si="504"/>
        <v>129000</v>
      </c>
      <c r="AD343" s="29">
        <f t="shared" si="505"/>
        <v>9.4000593721479486</v>
      </c>
      <c r="AE343" s="30" t="str">
        <f t="shared" si="506"/>
        <v>PASS</v>
      </c>
      <c r="AG343" s="4"/>
      <c r="AH343" s="31">
        <f t="shared" si="507"/>
        <v>0</v>
      </c>
      <c r="AI343" s="31">
        <f t="shared" si="508"/>
        <v>0</v>
      </c>
      <c r="AJ343" s="31">
        <f t="shared" si="509"/>
        <v>5651.21</v>
      </c>
      <c r="AK343" s="31">
        <f t="shared" si="510"/>
        <v>0</v>
      </c>
      <c r="AL343" s="31">
        <f t="shared" si="511"/>
        <v>-8684.64</v>
      </c>
      <c r="AM343" s="31">
        <f t="shared" si="512"/>
        <v>0</v>
      </c>
      <c r="AN343" s="32">
        <f t="shared" si="513"/>
        <v>0</v>
      </c>
      <c r="AO343" s="27">
        <f t="shared" si="514"/>
        <v>-8684.64</v>
      </c>
      <c r="AP343" s="27">
        <f t="shared" si="515"/>
        <v>5651.21</v>
      </c>
      <c r="AQ343" s="27">
        <f t="shared" si="516"/>
        <v>-3365</v>
      </c>
      <c r="AR343" s="27">
        <f t="shared" si="517"/>
        <v>-13939.64</v>
      </c>
      <c r="AS343" s="33">
        <f t="shared" si="518"/>
        <v>-2620.79</v>
      </c>
    </row>
    <row r="344" spans="2:45" x14ac:dyDescent="0.25">
      <c r="B344" s="34">
        <f t="shared" ref="B344:F344" si="524">IF(B343="","",B343)</f>
        <v>250</v>
      </c>
      <c r="C344" s="26">
        <f t="shared" si="524"/>
        <v>20</v>
      </c>
      <c r="D344" s="26">
        <f t="shared" si="524"/>
        <v>0</v>
      </c>
      <c r="E344" s="26">
        <f t="shared" si="524"/>
        <v>0</v>
      </c>
      <c r="F344" s="26">
        <f t="shared" si="524"/>
        <v>-1630</v>
      </c>
      <c r="G344" s="24">
        <v>4931</v>
      </c>
      <c r="H344" s="24">
        <v>-1300</v>
      </c>
      <c r="I344" s="24">
        <v>-1966</v>
      </c>
      <c r="J344" s="24">
        <v>-10620</v>
      </c>
      <c r="K344" s="24">
        <v>-4166</v>
      </c>
      <c r="L344" s="24">
        <v>-2434</v>
      </c>
      <c r="M344" s="44" t="str">
        <f t="shared" si="479"/>
        <v>32(OPE)</v>
      </c>
      <c r="N344" s="26">
        <f t="shared" si="489"/>
        <v>-1630</v>
      </c>
      <c r="O344" s="26">
        <f t="shared" si="490"/>
        <v>0</v>
      </c>
      <c r="P344" s="26">
        <f t="shared" si="491"/>
        <v>0</v>
      </c>
      <c r="Q344" s="26">
        <f t="shared" si="492"/>
        <v>-1966</v>
      </c>
      <c r="R344" s="26">
        <f t="shared" si="493"/>
        <v>-1300</v>
      </c>
      <c r="S344" s="26">
        <f t="shared" si="494"/>
        <v>-4931</v>
      </c>
      <c r="T344" s="26">
        <f t="shared" si="495"/>
        <v>-2434</v>
      </c>
      <c r="U344" s="26">
        <f t="shared" si="496"/>
        <v>-4166</v>
      </c>
      <c r="V344" s="26">
        <f t="shared" si="497"/>
        <v>10620</v>
      </c>
      <c r="W344" s="27">
        <f t="shared" si="498"/>
        <v>5465.3377754718877</v>
      </c>
      <c r="X344" s="27">
        <f t="shared" si="499"/>
        <v>11664.660818043532</v>
      </c>
      <c r="Y344" s="28">
        <f t="shared" si="500"/>
        <v>12</v>
      </c>
      <c r="Z344" s="27">
        <f t="shared" si="501"/>
        <v>1228.6516546282842</v>
      </c>
      <c r="AA344" s="27">
        <f t="shared" si="502"/>
        <v>8603.4105622778243</v>
      </c>
      <c r="AB344" s="27">
        <f t="shared" si="503"/>
        <v>12289.365526162677</v>
      </c>
      <c r="AC344" s="27">
        <f t="shared" si="504"/>
        <v>129000</v>
      </c>
      <c r="AD344" s="29">
        <f t="shared" si="505"/>
        <v>9.526639942761765</v>
      </c>
      <c r="AE344" s="30" t="str">
        <f t="shared" si="506"/>
        <v>PASS</v>
      </c>
      <c r="AG344" s="4"/>
      <c r="AH344" s="31">
        <f t="shared" si="507"/>
        <v>0</v>
      </c>
      <c r="AI344" s="31">
        <f t="shared" si="508"/>
        <v>0</v>
      </c>
      <c r="AJ344" s="31">
        <f t="shared" si="509"/>
        <v>2119</v>
      </c>
      <c r="AK344" s="31">
        <f t="shared" si="510"/>
        <v>0</v>
      </c>
      <c r="AL344" s="31">
        <f t="shared" si="511"/>
        <v>-8037.53</v>
      </c>
      <c r="AM344" s="31">
        <f t="shared" si="512"/>
        <v>0</v>
      </c>
      <c r="AN344" s="32">
        <f t="shared" si="513"/>
        <v>0</v>
      </c>
      <c r="AO344" s="27">
        <f t="shared" si="514"/>
        <v>-8037.53</v>
      </c>
      <c r="AP344" s="27">
        <f t="shared" si="515"/>
        <v>2119</v>
      </c>
      <c r="AQ344" s="27">
        <f t="shared" si="516"/>
        <v>-2434</v>
      </c>
      <c r="AR344" s="27">
        <f t="shared" si="517"/>
        <v>-12203.529999999999</v>
      </c>
      <c r="AS344" s="33">
        <f t="shared" si="518"/>
        <v>12739</v>
      </c>
    </row>
    <row r="345" spans="2:45" x14ac:dyDescent="0.25">
      <c r="B345" s="34">
        <f t="shared" ref="B345:F345" si="525">IF(B344="","",B344)</f>
        <v>250</v>
      </c>
      <c r="C345" s="26">
        <f t="shared" si="525"/>
        <v>20</v>
      </c>
      <c r="D345" s="26">
        <f t="shared" si="525"/>
        <v>0</v>
      </c>
      <c r="E345" s="26">
        <f t="shared" si="525"/>
        <v>0</v>
      </c>
      <c r="F345" s="26">
        <f t="shared" si="525"/>
        <v>-1630</v>
      </c>
      <c r="G345" s="24">
        <v>5374</v>
      </c>
      <c r="H345" s="24">
        <v>-1501</v>
      </c>
      <c r="I345" s="24">
        <v>-684</v>
      </c>
      <c r="J345" s="24">
        <v>3001</v>
      </c>
      <c r="K345" s="24">
        <v>-4115</v>
      </c>
      <c r="L345" s="24">
        <v>-3849</v>
      </c>
      <c r="M345" s="44" t="str">
        <f t="shared" si="479"/>
        <v>33(OPE)</v>
      </c>
      <c r="N345" s="26">
        <f t="shared" si="489"/>
        <v>-1630</v>
      </c>
      <c r="O345" s="26">
        <f t="shared" si="490"/>
        <v>0</v>
      </c>
      <c r="P345" s="26">
        <f t="shared" si="491"/>
        <v>0</v>
      </c>
      <c r="Q345" s="26">
        <f t="shared" si="492"/>
        <v>-684</v>
      </c>
      <c r="R345" s="26">
        <f t="shared" si="493"/>
        <v>-1501</v>
      </c>
      <c r="S345" s="26">
        <f t="shared" si="494"/>
        <v>-5374</v>
      </c>
      <c r="T345" s="26">
        <f t="shared" si="495"/>
        <v>-3849</v>
      </c>
      <c r="U345" s="26">
        <f t="shared" si="496"/>
        <v>-4115</v>
      </c>
      <c r="V345" s="26">
        <f t="shared" si="497"/>
        <v>-3001</v>
      </c>
      <c r="W345" s="27">
        <f t="shared" si="498"/>
        <v>5621.4529260681356</v>
      </c>
      <c r="X345" s="27">
        <f t="shared" si="499"/>
        <v>6383.8880785928568</v>
      </c>
      <c r="Y345" s="28">
        <f t="shared" si="500"/>
        <v>12</v>
      </c>
      <c r="Z345" s="27">
        <f t="shared" si="501"/>
        <v>1263.7475894035256</v>
      </c>
      <c r="AA345" s="27">
        <f t="shared" si="502"/>
        <v>4708.5132590231051</v>
      </c>
      <c r="AB345" s="27">
        <f t="shared" si="503"/>
        <v>8499.7560272336814</v>
      </c>
      <c r="AC345" s="27">
        <f t="shared" si="504"/>
        <v>129000</v>
      </c>
      <c r="AD345" s="29">
        <f t="shared" si="505"/>
        <v>6.588958160646265</v>
      </c>
      <c r="AE345" s="30" t="str">
        <f t="shared" si="506"/>
        <v>PASS</v>
      </c>
      <c r="AG345" s="4"/>
      <c r="AH345" s="31">
        <f t="shared" si="507"/>
        <v>0</v>
      </c>
      <c r="AI345" s="31">
        <f t="shared" si="508"/>
        <v>0</v>
      </c>
      <c r="AJ345" s="31">
        <f t="shared" si="509"/>
        <v>2446.63</v>
      </c>
      <c r="AK345" s="31">
        <f t="shared" si="510"/>
        <v>0</v>
      </c>
      <c r="AL345" s="31">
        <f t="shared" si="511"/>
        <v>-8759.6200000000008</v>
      </c>
      <c r="AM345" s="31">
        <f t="shared" si="512"/>
        <v>0</v>
      </c>
      <c r="AN345" s="32">
        <f t="shared" si="513"/>
        <v>0</v>
      </c>
      <c r="AO345" s="27">
        <f t="shared" si="514"/>
        <v>-8759.6200000000008</v>
      </c>
      <c r="AP345" s="27">
        <f t="shared" si="515"/>
        <v>2446.63</v>
      </c>
      <c r="AQ345" s="27">
        <f t="shared" si="516"/>
        <v>-3849</v>
      </c>
      <c r="AR345" s="27">
        <f t="shared" si="517"/>
        <v>-12874.62</v>
      </c>
      <c r="AS345" s="33">
        <f t="shared" si="518"/>
        <v>-554.36999999999989</v>
      </c>
    </row>
    <row r="346" spans="2:45" hidden="1" x14ac:dyDescent="0.25">
      <c r="B346" s="34">
        <f t="shared" ref="B346:F346" si="526">IF(B345="","",B345)</f>
        <v>250</v>
      </c>
      <c r="C346" s="26">
        <f t="shared" si="526"/>
        <v>20</v>
      </c>
      <c r="D346" s="26">
        <f t="shared" si="526"/>
        <v>0</v>
      </c>
      <c r="E346" s="26">
        <f t="shared" si="526"/>
        <v>0</v>
      </c>
      <c r="F346" s="26">
        <f t="shared" si="526"/>
        <v>-1630</v>
      </c>
      <c r="G346" s="24"/>
      <c r="H346" s="24"/>
      <c r="I346" s="24"/>
      <c r="J346" s="24"/>
      <c r="K346" s="24"/>
      <c r="L346" s="24"/>
      <c r="M346" s="44" t="str">
        <f t="shared" si="479"/>
        <v/>
      </c>
      <c r="N346" s="26" t="str">
        <f t="shared" si="489"/>
        <v/>
      </c>
      <c r="O346" s="26" t="str">
        <f t="shared" si="490"/>
        <v/>
      </c>
      <c r="P346" s="26" t="str">
        <f t="shared" si="491"/>
        <v/>
      </c>
      <c r="Q346" s="26">
        <f t="shared" si="492"/>
        <v>0</v>
      </c>
      <c r="R346" s="26">
        <f t="shared" si="493"/>
        <v>0</v>
      </c>
      <c r="S346" s="26">
        <f t="shared" si="494"/>
        <v>0</v>
      </c>
      <c r="T346" s="26" t="str">
        <f t="shared" si="495"/>
        <v/>
      </c>
      <c r="U346" s="26" t="str">
        <f t="shared" si="496"/>
        <v/>
      </c>
      <c r="V346" s="26" t="str">
        <f t="shared" si="497"/>
        <v/>
      </c>
      <c r="W346" s="27" t="str">
        <f t="shared" si="498"/>
        <v/>
      </c>
      <c r="X346" s="27" t="str">
        <f t="shared" si="499"/>
        <v/>
      </c>
      <c r="Y346" s="28" t="str">
        <f t="shared" si="500"/>
        <v/>
      </c>
      <c r="Z346" s="27" t="str">
        <f t="shared" si="501"/>
        <v/>
      </c>
      <c r="AA346" s="27" t="str">
        <f t="shared" si="502"/>
        <v/>
      </c>
      <c r="AB346" s="27" t="str">
        <f t="shared" si="503"/>
        <v/>
      </c>
      <c r="AC346" s="27" t="str">
        <f t="shared" si="504"/>
        <v/>
      </c>
      <c r="AD346" s="29" t="str">
        <f t="shared" si="505"/>
        <v/>
      </c>
      <c r="AE346" s="30" t="str">
        <f t="shared" si="506"/>
        <v/>
      </c>
      <c r="AG346" s="4"/>
      <c r="AH346" s="31" t="e">
        <f t="shared" si="507"/>
        <v>#VALUE!</v>
      </c>
      <c r="AI346" s="31" t="e">
        <f t="shared" si="508"/>
        <v>#VALUE!</v>
      </c>
      <c r="AJ346" s="31" t="e">
        <f t="shared" si="509"/>
        <v>#VALUE!</v>
      </c>
      <c r="AK346" s="31" t="e">
        <f t="shared" si="510"/>
        <v>#VALUE!</v>
      </c>
      <c r="AL346" s="31" t="e">
        <f t="shared" si="511"/>
        <v>#VALUE!</v>
      </c>
      <c r="AM346" s="31" t="e">
        <f t="shared" si="512"/>
        <v>#VALUE!</v>
      </c>
      <c r="AN346" s="32" t="str">
        <f t="shared" si="513"/>
        <v/>
      </c>
      <c r="AO346" s="27" t="str">
        <f t="shared" si="514"/>
        <v/>
      </c>
      <c r="AP346" s="27" t="str">
        <f t="shared" si="515"/>
        <v/>
      </c>
      <c r="AQ346" s="27">
        <f t="shared" si="516"/>
        <v>0</v>
      </c>
      <c r="AR346" s="27">
        <f t="shared" si="517"/>
        <v>0</v>
      </c>
      <c r="AS346" s="33">
        <f t="shared" si="518"/>
        <v>0</v>
      </c>
    </row>
    <row r="347" spans="2:45" hidden="1" x14ac:dyDescent="0.25">
      <c r="B347" s="34">
        <f t="shared" ref="B347:F347" si="527">IF(B346="","",B346)</f>
        <v>250</v>
      </c>
      <c r="C347" s="26">
        <f t="shared" si="527"/>
        <v>20</v>
      </c>
      <c r="D347" s="26">
        <f t="shared" si="527"/>
        <v>0</v>
      </c>
      <c r="E347" s="26">
        <f t="shared" si="527"/>
        <v>0</v>
      </c>
      <c r="F347" s="26">
        <f t="shared" si="527"/>
        <v>-1630</v>
      </c>
      <c r="G347" s="24"/>
      <c r="H347" s="24"/>
      <c r="I347" s="24"/>
      <c r="J347" s="24"/>
      <c r="K347" s="24"/>
      <c r="L347" s="24"/>
      <c r="M347" s="44" t="str">
        <f t="shared" si="479"/>
        <v/>
      </c>
      <c r="N347" s="26" t="str">
        <f t="shared" si="489"/>
        <v/>
      </c>
      <c r="O347" s="26" t="str">
        <f t="shared" si="490"/>
        <v/>
      </c>
      <c r="P347" s="26" t="str">
        <f t="shared" si="491"/>
        <v/>
      </c>
      <c r="Q347" s="26">
        <f t="shared" si="492"/>
        <v>0</v>
      </c>
      <c r="R347" s="26">
        <f t="shared" si="493"/>
        <v>0</v>
      </c>
      <c r="S347" s="26">
        <f t="shared" si="494"/>
        <v>0</v>
      </c>
      <c r="T347" s="26" t="str">
        <f t="shared" si="495"/>
        <v/>
      </c>
      <c r="U347" s="26" t="str">
        <f t="shared" si="496"/>
        <v/>
      </c>
      <c r="V347" s="26" t="str">
        <f t="shared" si="497"/>
        <v/>
      </c>
      <c r="W347" s="27" t="str">
        <f t="shared" si="498"/>
        <v/>
      </c>
      <c r="X347" s="27" t="str">
        <f t="shared" si="499"/>
        <v/>
      </c>
      <c r="Y347" s="28" t="str">
        <f t="shared" si="500"/>
        <v/>
      </c>
      <c r="Z347" s="27" t="str">
        <f t="shared" si="501"/>
        <v/>
      </c>
      <c r="AA347" s="27" t="str">
        <f t="shared" si="502"/>
        <v/>
      </c>
      <c r="AB347" s="27" t="str">
        <f t="shared" si="503"/>
        <v/>
      </c>
      <c r="AC347" s="27" t="str">
        <f t="shared" si="504"/>
        <v/>
      </c>
      <c r="AD347" s="29" t="str">
        <f t="shared" si="505"/>
        <v/>
      </c>
      <c r="AE347" s="30" t="str">
        <f t="shared" si="506"/>
        <v/>
      </c>
      <c r="AG347" s="4"/>
      <c r="AH347" s="31" t="e">
        <f t="shared" si="507"/>
        <v>#VALUE!</v>
      </c>
      <c r="AI347" s="31" t="e">
        <f t="shared" si="508"/>
        <v>#VALUE!</v>
      </c>
      <c r="AJ347" s="31" t="e">
        <f t="shared" si="509"/>
        <v>#VALUE!</v>
      </c>
      <c r="AK347" s="31" t="e">
        <f t="shared" si="510"/>
        <v>#VALUE!</v>
      </c>
      <c r="AL347" s="31" t="e">
        <f t="shared" si="511"/>
        <v>#VALUE!</v>
      </c>
      <c r="AM347" s="31" t="e">
        <f t="shared" si="512"/>
        <v>#VALUE!</v>
      </c>
      <c r="AN347" s="32" t="str">
        <f t="shared" si="513"/>
        <v/>
      </c>
      <c r="AO347" s="27" t="str">
        <f t="shared" si="514"/>
        <v/>
      </c>
      <c r="AP347" s="27" t="str">
        <f t="shared" si="515"/>
        <v/>
      </c>
      <c r="AQ347" s="27">
        <f t="shared" si="516"/>
        <v>0</v>
      </c>
      <c r="AR347" s="27">
        <f t="shared" si="517"/>
        <v>0</v>
      </c>
      <c r="AS347" s="33">
        <f t="shared" si="518"/>
        <v>0</v>
      </c>
    </row>
    <row r="348" spans="2:45" hidden="1" x14ac:dyDescent="0.25">
      <c r="B348" s="34">
        <f t="shared" ref="B348:F348" si="528">IF(B347="","",B347)</f>
        <v>250</v>
      </c>
      <c r="C348" s="26">
        <f t="shared" si="528"/>
        <v>20</v>
      </c>
      <c r="D348" s="26">
        <f t="shared" si="528"/>
        <v>0</v>
      </c>
      <c r="E348" s="26">
        <f t="shared" si="528"/>
        <v>0</v>
      </c>
      <c r="F348" s="26">
        <f t="shared" si="528"/>
        <v>-1630</v>
      </c>
      <c r="G348" s="24"/>
      <c r="H348" s="24"/>
      <c r="I348" s="24"/>
      <c r="J348" s="24"/>
      <c r="K348" s="24"/>
      <c r="L348" s="24"/>
      <c r="M348" s="44" t="str">
        <f t="shared" si="479"/>
        <v/>
      </c>
      <c r="N348" s="26" t="str">
        <f t="shared" si="489"/>
        <v/>
      </c>
      <c r="O348" s="26" t="str">
        <f t="shared" si="490"/>
        <v/>
      </c>
      <c r="P348" s="26" t="str">
        <f t="shared" si="491"/>
        <v/>
      </c>
      <c r="Q348" s="26">
        <f t="shared" si="492"/>
        <v>0</v>
      </c>
      <c r="R348" s="26">
        <f t="shared" si="493"/>
        <v>0</v>
      </c>
      <c r="S348" s="26">
        <f t="shared" si="494"/>
        <v>0</v>
      </c>
      <c r="T348" s="26" t="str">
        <f t="shared" si="495"/>
        <v/>
      </c>
      <c r="U348" s="26" t="str">
        <f t="shared" si="496"/>
        <v/>
      </c>
      <c r="V348" s="26" t="str">
        <f t="shared" si="497"/>
        <v/>
      </c>
      <c r="W348" s="27" t="str">
        <f t="shared" si="498"/>
        <v/>
      </c>
      <c r="X348" s="27" t="str">
        <f t="shared" si="499"/>
        <v/>
      </c>
      <c r="Y348" s="28" t="str">
        <f t="shared" si="500"/>
        <v/>
      </c>
      <c r="Z348" s="27" t="str">
        <f t="shared" si="501"/>
        <v/>
      </c>
      <c r="AA348" s="27" t="str">
        <f t="shared" si="502"/>
        <v/>
      </c>
      <c r="AB348" s="27" t="str">
        <f t="shared" si="503"/>
        <v/>
      </c>
      <c r="AC348" s="27" t="str">
        <f t="shared" si="504"/>
        <v/>
      </c>
      <c r="AD348" s="29" t="str">
        <f t="shared" si="505"/>
        <v/>
      </c>
      <c r="AE348" s="30" t="str">
        <f t="shared" si="506"/>
        <v/>
      </c>
      <c r="AG348" s="4"/>
      <c r="AH348" s="31" t="e">
        <f t="shared" si="507"/>
        <v>#VALUE!</v>
      </c>
      <c r="AI348" s="31" t="e">
        <f t="shared" si="508"/>
        <v>#VALUE!</v>
      </c>
      <c r="AJ348" s="31" t="e">
        <f t="shared" si="509"/>
        <v>#VALUE!</v>
      </c>
      <c r="AK348" s="31" t="e">
        <f t="shared" si="510"/>
        <v>#VALUE!</v>
      </c>
      <c r="AL348" s="31" t="e">
        <f t="shared" si="511"/>
        <v>#VALUE!</v>
      </c>
      <c r="AM348" s="31" t="e">
        <f t="shared" si="512"/>
        <v>#VALUE!</v>
      </c>
      <c r="AN348" s="32" t="str">
        <f t="shared" si="513"/>
        <v/>
      </c>
      <c r="AO348" s="27" t="str">
        <f t="shared" si="514"/>
        <v/>
      </c>
      <c r="AP348" s="27" t="str">
        <f t="shared" si="515"/>
        <v/>
      </c>
      <c r="AQ348" s="27">
        <f t="shared" si="516"/>
        <v>0</v>
      </c>
      <c r="AR348" s="27">
        <f t="shared" si="517"/>
        <v>0</v>
      </c>
      <c r="AS348" s="33">
        <f t="shared" si="518"/>
        <v>0</v>
      </c>
    </row>
    <row r="349" spans="2:45" hidden="1" x14ac:dyDescent="0.25">
      <c r="B349" s="34">
        <f t="shared" ref="B349:F349" si="529">IF(B348="","",B348)</f>
        <v>250</v>
      </c>
      <c r="C349" s="26">
        <f t="shared" si="529"/>
        <v>20</v>
      </c>
      <c r="D349" s="26">
        <f t="shared" si="529"/>
        <v>0</v>
      </c>
      <c r="E349" s="26">
        <f t="shared" si="529"/>
        <v>0</v>
      </c>
      <c r="F349" s="26">
        <f t="shared" si="529"/>
        <v>-1630</v>
      </c>
      <c r="G349" s="24"/>
      <c r="H349" s="24"/>
      <c r="I349" s="24"/>
      <c r="J349" s="24"/>
      <c r="K349" s="24"/>
      <c r="L349" s="24"/>
      <c r="M349" s="44" t="str">
        <f t="shared" si="479"/>
        <v/>
      </c>
      <c r="N349" s="26" t="str">
        <f t="shared" si="489"/>
        <v/>
      </c>
      <c r="O349" s="26" t="str">
        <f t="shared" si="490"/>
        <v/>
      </c>
      <c r="P349" s="26" t="str">
        <f t="shared" si="491"/>
        <v/>
      </c>
      <c r="Q349" s="26">
        <f t="shared" si="492"/>
        <v>0</v>
      </c>
      <c r="R349" s="26">
        <f t="shared" si="493"/>
        <v>0</v>
      </c>
      <c r="S349" s="26">
        <f t="shared" si="494"/>
        <v>0</v>
      </c>
      <c r="T349" s="26" t="str">
        <f t="shared" si="495"/>
        <v/>
      </c>
      <c r="U349" s="26" t="str">
        <f t="shared" si="496"/>
        <v/>
      </c>
      <c r="V349" s="26" t="str">
        <f t="shared" si="497"/>
        <v/>
      </c>
      <c r="W349" s="27" t="str">
        <f t="shared" si="498"/>
        <v/>
      </c>
      <c r="X349" s="27" t="str">
        <f t="shared" si="499"/>
        <v/>
      </c>
      <c r="Y349" s="28" t="str">
        <f t="shared" si="500"/>
        <v/>
      </c>
      <c r="Z349" s="27" t="str">
        <f t="shared" si="501"/>
        <v/>
      </c>
      <c r="AA349" s="27" t="str">
        <f t="shared" si="502"/>
        <v/>
      </c>
      <c r="AB349" s="27" t="str">
        <f t="shared" si="503"/>
        <v/>
      </c>
      <c r="AC349" s="27" t="str">
        <f t="shared" si="504"/>
        <v/>
      </c>
      <c r="AD349" s="29" t="str">
        <f t="shared" si="505"/>
        <v/>
      </c>
      <c r="AE349" s="30" t="str">
        <f t="shared" si="506"/>
        <v/>
      </c>
      <c r="AG349" s="4"/>
      <c r="AH349" s="31" t="e">
        <f t="shared" si="507"/>
        <v>#VALUE!</v>
      </c>
      <c r="AI349" s="31" t="e">
        <f t="shared" si="508"/>
        <v>#VALUE!</v>
      </c>
      <c r="AJ349" s="31" t="e">
        <f t="shared" si="509"/>
        <v>#VALUE!</v>
      </c>
      <c r="AK349" s="31" t="e">
        <f t="shared" si="510"/>
        <v>#VALUE!</v>
      </c>
      <c r="AL349" s="31" t="e">
        <f t="shared" si="511"/>
        <v>#VALUE!</v>
      </c>
      <c r="AM349" s="31" t="e">
        <f t="shared" si="512"/>
        <v>#VALUE!</v>
      </c>
      <c r="AN349" s="32" t="str">
        <f t="shared" si="513"/>
        <v/>
      </c>
      <c r="AO349" s="27" t="str">
        <f t="shared" si="514"/>
        <v/>
      </c>
      <c r="AP349" s="27" t="str">
        <f t="shared" si="515"/>
        <v/>
      </c>
      <c r="AQ349" s="27">
        <f t="shared" si="516"/>
        <v>0</v>
      </c>
      <c r="AR349" s="27">
        <f t="shared" si="517"/>
        <v>0</v>
      </c>
      <c r="AS349" s="33">
        <f t="shared" si="518"/>
        <v>0</v>
      </c>
    </row>
    <row r="350" spans="2:45" hidden="1" x14ac:dyDescent="0.25">
      <c r="B350" s="34">
        <f t="shared" ref="B350:F350" si="530">IF(B349="","",B349)</f>
        <v>250</v>
      </c>
      <c r="C350" s="26">
        <f t="shared" si="530"/>
        <v>20</v>
      </c>
      <c r="D350" s="26">
        <f t="shared" si="530"/>
        <v>0</v>
      </c>
      <c r="E350" s="26">
        <f t="shared" si="530"/>
        <v>0</v>
      </c>
      <c r="F350" s="26">
        <f t="shared" si="530"/>
        <v>-1630</v>
      </c>
      <c r="G350" s="24"/>
      <c r="H350" s="24"/>
      <c r="I350" s="24"/>
      <c r="J350" s="24"/>
      <c r="K350" s="24"/>
      <c r="L350" s="24"/>
      <c r="M350" s="44" t="str">
        <f t="shared" si="479"/>
        <v/>
      </c>
      <c r="N350" s="26" t="str">
        <f t="shared" si="489"/>
        <v/>
      </c>
      <c r="O350" s="26" t="str">
        <f t="shared" si="490"/>
        <v/>
      </c>
      <c r="P350" s="26" t="str">
        <f t="shared" si="491"/>
        <v/>
      </c>
      <c r="Q350" s="26">
        <f t="shared" si="492"/>
        <v>0</v>
      </c>
      <c r="R350" s="26">
        <f t="shared" si="493"/>
        <v>0</v>
      </c>
      <c r="S350" s="26">
        <f t="shared" si="494"/>
        <v>0</v>
      </c>
      <c r="T350" s="26" t="str">
        <f t="shared" si="495"/>
        <v/>
      </c>
      <c r="U350" s="26" t="str">
        <f t="shared" si="496"/>
        <v/>
      </c>
      <c r="V350" s="26" t="str">
        <f t="shared" si="497"/>
        <v/>
      </c>
      <c r="W350" s="27" t="str">
        <f t="shared" si="498"/>
        <v/>
      </c>
      <c r="X350" s="27" t="str">
        <f t="shared" si="499"/>
        <v/>
      </c>
      <c r="Y350" s="28" t="str">
        <f t="shared" si="500"/>
        <v/>
      </c>
      <c r="Z350" s="27" t="str">
        <f t="shared" si="501"/>
        <v/>
      </c>
      <c r="AA350" s="27" t="str">
        <f t="shared" si="502"/>
        <v/>
      </c>
      <c r="AB350" s="27" t="str">
        <f t="shared" si="503"/>
        <v/>
      </c>
      <c r="AC350" s="27" t="str">
        <f t="shared" si="504"/>
        <v/>
      </c>
      <c r="AD350" s="29" t="str">
        <f t="shared" si="505"/>
        <v/>
      </c>
      <c r="AE350" s="30" t="str">
        <f t="shared" si="506"/>
        <v/>
      </c>
      <c r="AG350" s="4"/>
      <c r="AH350" s="31" t="e">
        <f t="shared" si="507"/>
        <v>#VALUE!</v>
      </c>
      <c r="AI350" s="31" t="e">
        <f t="shared" si="508"/>
        <v>#VALUE!</v>
      </c>
      <c r="AJ350" s="31" t="e">
        <f t="shared" si="509"/>
        <v>#VALUE!</v>
      </c>
      <c r="AK350" s="31" t="e">
        <f t="shared" si="510"/>
        <v>#VALUE!</v>
      </c>
      <c r="AL350" s="31" t="e">
        <f t="shared" si="511"/>
        <v>#VALUE!</v>
      </c>
      <c r="AM350" s="31" t="e">
        <f t="shared" si="512"/>
        <v>#VALUE!</v>
      </c>
      <c r="AN350" s="32" t="str">
        <f t="shared" si="513"/>
        <v/>
      </c>
      <c r="AO350" s="27" t="str">
        <f t="shared" si="514"/>
        <v/>
      </c>
      <c r="AP350" s="27" t="str">
        <f t="shared" si="515"/>
        <v/>
      </c>
      <c r="AQ350" s="27">
        <f t="shared" si="516"/>
        <v>0</v>
      </c>
      <c r="AR350" s="27">
        <f t="shared" si="517"/>
        <v>0</v>
      </c>
      <c r="AS350" s="33">
        <f t="shared" si="518"/>
        <v>0</v>
      </c>
    </row>
    <row r="351" spans="2:45" hidden="1" x14ac:dyDescent="0.25">
      <c r="B351" s="34">
        <f t="shared" ref="B351:F351" si="531">IF(B350="","",B350)</f>
        <v>250</v>
      </c>
      <c r="C351" s="26">
        <f t="shared" si="531"/>
        <v>20</v>
      </c>
      <c r="D351" s="26">
        <f t="shared" si="531"/>
        <v>0</v>
      </c>
      <c r="E351" s="26">
        <f t="shared" si="531"/>
        <v>0</v>
      </c>
      <c r="F351" s="26">
        <f t="shared" si="531"/>
        <v>-1630</v>
      </c>
      <c r="G351" s="24"/>
      <c r="H351" s="24"/>
      <c r="I351" s="24"/>
      <c r="J351" s="24"/>
      <c r="K351" s="24"/>
      <c r="L351" s="24"/>
      <c r="M351" s="44" t="str">
        <f t="shared" si="479"/>
        <v/>
      </c>
      <c r="N351" s="26" t="str">
        <f t="shared" si="489"/>
        <v/>
      </c>
      <c r="O351" s="26" t="str">
        <f t="shared" si="490"/>
        <v/>
      </c>
      <c r="P351" s="26" t="str">
        <f t="shared" si="491"/>
        <v/>
      </c>
      <c r="Q351" s="26">
        <f t="shared" si="492"/>
        <v>0</v>
      </c>
      <c r="R351" s="26">
        <f t="shared" si="493"/>
        <v>0</v>
      </c>
      <c r="S351" s="26">
        <f t="shared" si="494"/>
        <v>0</v>
      </c>
      <c r="T351" s="26" t="str">
        <f t="shared" si="495"/>
        <v/>
      </c>
      <c r="U351" s="26" t="str">
        <f t="shared" si="496"/>
        <v/>
      </c>
      <c r="V351" s="26" t="str">
        <f t="shared" si="497"/>
        <v/>
      </c>
      <c r="W351" s="27" t="str">
        <f t="shared" si="498"/>
        <v/>
      </c>
      <c r="X351" s="27" t="str">
        <f t="shared" si="499"/>
        <v/>
      </c>
      <c r="Y351" s="28" t="str">
        <f t="shared" si="500"/>
        <v/>
      </c>
      <c r="Z351" s="27" t="str">
        <f t="shared" si="501"/>
        <v/>
      </c>
      <c r="AA351" s="27" t="str">
        <f t="shared" si="502"/>
        <v/>
      </c>
      <c r="AB351" s="27" t="str">
        <f t="shared" si="503"/>
        <v/>
      </c>
      <c r="AC351" s="27" t="str">
        <f t="shared" si="504"/>
        <v/>
      </c>
      <c r="AD351" s="29" t="str">
        <f t="shared" si="505"/>
        <v/>
      </c>
      <c r="AE351" s="30" t="str">
        <f t="shared" si="506"/>
        <v/>
      </c>
      <c r="AG351" s="4"/>
      <c r="AH351" s="31" t="e">
        <f t="shared" si="507"/>
        <v>#VALUE!</v>
      </c>
      <c r="AI351" s="31" t="e">
        <f t="shared" si="508"/>
        <v>#VALUE!</v>
      </c>
      <c r="AJ351" s="31" t="e">
        <f t="shared" si="509"/>
        <v>#VALUE!</v>
      </c>
      <c r="AK351" s="31" t="e">
        <f t="shared" si="510"/>
        <v>#VALUE!</v>
      </c>
      <c r="AL351" s="31" t="e">
        <f t="shared" si="511"/>
        <v>#VALUE!</v>
      </c>
      <c r="AM351" s="31" t="e">
        <f t="shared" si="512"/>
        <v>#VALUE!</v>
      </c>
      <c r="AN351" s="32" t="str">
        <f t="shared" si="513"/>
        <v/>
      </c>
      <c r="AO351" s="27" t="str">
        <f t="shared" si="514"/>
        <v/>
      </c>
      <c r="AP351" s="27" t="str">
        <f t="shared" si="515"/>
        <v/>
      </c>
      <c r="AQ351" s="27">
        <f t="shared" si="516"/>
        <v>0</v>
      </c>
      <c r="AR351" s="27">
        <f t="shared" si="517"/>
        <v>0</v>
      </c>
      <c r="AS351" s="33">
        <f t="shared" si="518"/>
        <v>0</v>
      </c>
    </row>
    <row r="352" spans="2:45" hidden="1" x14ac:dyDescent="0.25">
      <c r="B352" s="34">
        <f t="shared" ref="B352:F352" si="532">IF(B351="","",B351)</f>
        <v>250</v>
      </c>
      <c r="C352" s="26">
        <f t="shared" si="532"/>
        <v>20</v>
      </c>
      <c r="D352" s="26">
        <f t="shared" si="532"/>
        <v>0</v>
      </c>
      <c r="E352" s="26">
        <f t="shared" si="532"/>
        <v>0</v>
      </c>
      <c r="F352" s="26">
        <f t="shared" si="532"/>
        <v>-1630</v>
      </c>
      <c r="G352" s="24"/>
      <c r="H352" s="24"/>
      <c r="I352" s="24"/>
      <c r="J352" s="24"/>
      <c r="K352" s="24"/>
      <c r="L352" s="24"/>
      <c r="M352" s="44" t="str">
        <f t="shared" si="479"/>
        <v/>
      </c>
      <c r="N352" s="26" t="str">
        <f t="shared" si="489"/>
        <v/>
      </c>
      <c r="O352" s="26" t="str">
        <f t="shared" si="490"/>
        <v/>
      </c>
      <c r="P352" s="26" t="str">
        <f t="shared" si="491"/>
        <v/>
      </c>
      <c r="Q352" s="26">
        <f t="shared" si="492"/>
        <v>0</v>
      </c>
      <c r="R352" s="26">
        <f t="shared" si="493"/>
        <v>0</v>
      </c>
      <c r="S352" s="26">
        <f t="shared" si="494"/>
        <v>0</v>
      </c>
      <c r="T352" s="26" t="str">
        <f t="shared" si="495"/>
        <v/>
      </c>
      <c r="U352" s="26" t="str">
        <f t="shared" si="496"/>
        <v/>
      </c>
      <c r="V352" s="26" t="str">
        <f t="shared" si="497"/>
        <v/>
      </c>
      <c r="W352" s="27" t="str">
        <f t="shared" si="498"/>
        <v/>
      </c>
      <c r="X352" s="27" t="str">
        <f t="shared" si="499"/>
        <v/>
      </c>
      <c r="Y352" s="28" t="str">
        <f t="shared" si="500"/>
        <v/>
      </c>
      <c r="Z352" s="27" t="str">
        <f t="shared" si="501"/>
        <v/>
      </c>
      <c r="AA352" s="27" t="str">
        <f t="shared" si="502"/>
        <v/>
      </c>
      <c r="AB352" s="27" t="str">
        <f t="shared" si="503"/>
        <v/>
      </c>
      <c r="AC352" s="27" t="str">
        <f t="shared" si="504"/>
        <v/>
      </c>
      <c r="AD352" s="29" t="str">
        <f t="shared" si="505"/>
        <v/>
      </c>
      <c r="AE352" s="30" t="str">
        <f t="shared" si="506"/>
        <v/>
      </c>
      <c r="AG352" s="4"/>
      <c r="AH352" s="31" t="e">
        <f t="shared" si="507"/>
        <v>#VALUE!</v>
      </c>
      <c r="AI352" s="31" t="e">
        <f t="shared" si="508"/>
        <v>#VALUE!</v>
      </c>
      <c r="AJ352" s="31" t="e">
        <f t="shared" si="509"/>
        <v>#VALUE!</v>
      </c>
      <c r="AK352" s="31" t="e">
        <f t="shared" si="510"/>
        <v>#VALUE!</v>
      </c>
      <c r="AL352" s="31" t="e">
        <f t="shared" si="511"/>
        <v>#VALUE!</v>
      </c>
      <c r="AM352" s="31" t="e">
        <f t="shared" si="512"/>
        <v>#VALUE!</v>
      </c>
      <c r="AN352" s="32" t="str">
        <f t="shared" si="513"/>
        <v/>
      </c>
      <c r="AO352" s="27" t="str">
        <f t="shared" si="514"/>
        <v/>
      </c>
      <c r="AP352" s="27" t="str">
        <f t="shared" si="515"/>
        <v/>
      </c>
      <c r="AQ352" s="27">
        <f t="shared" si="516"/>
        <v>0</v>
      </c>
      <c r="AR352" s="27">
        <f t="shared" si="517"/>
        <v>0</v>
      </c>
      <c r="AS352" s="33">
        <f t="shared" si="518"/>
        <v>0</v>
      </c>
    </row>
    <row r="353" spans="2:45" hidden="1" x14ac:dyDescent="0.25">
      <c r="B353" s="34">
        <f>IF(B352="","",B352)</f>
        <v>250</v>
      </c>
      <c r="C353" s="26">
        <f t="shared" ref="C353:F353" si="533">IF(C352="","",C352)</f>
        <v>20</v>
      </c>
      <c r="D353" s="26">
        <f t="shared" si="533"/>
        <v>0</v>
      </c>
      <c r="E353" s="26">
        <f t="shared" si="533"/>
        <v>0</v>
      </c>
      <c r="F353" s="26">
        <f t="shared" si="533"/>
        <v>-1630</v>
      </c>
      <c r="G353" s="24"/>
      <c r="H353" s="24"/>
      <c r="I353" s="24"/>
      <c r="J353" s="24"/>
      <c r="K353" s="24"/>
      <c r="L353" s="24"/>
      <c r="M353" s="44" t="str">
        <f t="shared" si="479"/>
        <v/>
      </c>
      <c r="N353" s="26" t="str">
        <f t="shared" si="489"/>
        <v/>
      </c>
      <c r="O353" s="26" t="str">
        <f t="shared" si="490"/>
        <v/>
      </c>
      <c r="P353" s="26" t="str">
        <f t="shared" si="491"/>
        <v/>
      </c>
      <c r="Q353" s="26">
        <f t="shared" si="492"/>
        <v>0</v>
      </c>
      <c r="R353" s="26">
        <f t="shared" si="493"/>
        <v>0</v>
      </c>
      <c r="S353" s="26">
        <f t="shared" si="494"/>
        <v>0</v>
      </c>
      <c r="T353" s="26" t="str">
        <f t="shared" si="495"/>
        <v/>
      </c>
      <c r="U353" s="26" t="str">
        <f t="shared" si="496"/>
        <v/>
      </c>
      <c r="V353" s="26" t="str">
        <f t="shared" si="497"/>
        <v/>
      </c>
      <c r="W353" s="27" t="str">
        <f t="shared" si="498"/>
        <v/>
      </c>
      <c r="X353" s="27" t="str">
        <f t="shared" si="499"/>
        <v/>
      </c>
      <c r="Y353" s="28" t="str">
        <f t="shared" si="500"/>
        <v/>
      </c>
      <c r="Z353" s="27" t="str">
        <f t="shared" si="501"/>
        <v/>
      </c>
      <c r="AA353" s="27" t="str">
        <f t="shared" si="502"/>
        <v/>
      </c>
      <c r="AB353" s="27" t="str">
        <f t="shared" si="503"/>
        <v/>
      </c>
      <c r="AC353" s="27" t="str">
        <f t="shared" si="504"/>
        <v/>
      </c>
      <c r="AD353" s="29" t="str">
        <f t="shared" si="505"/>
        <v/>
      </c>
      <c r="AE353" s="30" t="str">
        <f t="shared" si="506"/>
        <v/>
      </c>
      <c r="AG353" s="4"/>
      <c r="AH353" s="31" t="e">
        <f t="shared" si="507"/>
        <v>#VALUE!</v>
      </c>
      <c r="AI353" s="31" t="e">
        <f t="shared" si="508"/>
        <v>#VALUE!</v>
      </c>
      <c r="AJ353" s="31" t="e">
        <f t="shared" si="509"/>
        <v>#VALUE!</v>
      </c>
      <c r="AK353" s="31" t="e">
        <f t="shared" si="510"/>
        <v>#VALUE!</v>
      </c>
      <c r="AL353" s="31" t="e">
        <f t="shared" si="511"/>
        <v>#VALUE!</v>
      </c>
      <c r="AM353" s="31" t="e">
        <f t="shared" si="512"/>
        <v>#VALUE!</v>
      </c>
      <c r="AN353" s="32" t="str">
        <f t="shared" si="513"/>
        <v/>
      </c>
      <c r="AO353" s="27" t="str">
        <f t="shared" si="514"/>
        <v/>
      </c>
      <c r="AP353" s="27" t="str">
        <f t="shared" si="515"/>
        <v/>
      </c>
      <c r="AQ353" s="27">
        <f t="shared" si="516"/>
        <v>0</v>
      </c>
      <c r="AR353" s="27">
        <f t="shared" si="517"/>
        <v>0</v>
      </c>
      <c r="AS353" s="33">
        <f t="shared" si="518"/>
        <v>0</v>
      </c>
    </row>
    <row r="354" spans="2:45" hidden="1" x14ac:dyDescent="0.25">
      <c r="B354" s="34">
        <f t="shared" ref="B354:F354" si="534">IF(B353="","",B353)</f>
        <v>250</v>
      </c>
      <c r="C354" s="26">
        <f t="shared" si="534"/>
        <v>20</v>
      </c>
      <c r="D354" s="26">
        <f t="shared" si="534"/>
        <v>0</v>
      </c>
      <c r="E354" s="26">
        <f t="shared" si="534"/>
        <v>0</v>
      </c>
      <c r="F354" s="26">
        <f t="shared" si="534"/>
        <v>-1630</v>
      </c>
      <c r="G354" s="24"/>
      <c r="H354" s="24"/>
      <c r="I354" s="24"/>
      <c r="J354" s="24"/>
      <c r="K354" s="24"/>
      <c r="L354" s="24"/>
      <c r="M354" s="44" t="str">
        <f t="shared" si="479"/>
        <v/>
      </c>
      <c r="N354" s="26" t="str">
        <f t="shared" si="489"/>
        <v/>
      </c>
      <c r="O354" s="26" t="str">
        <f t="shared" si="490"/>
        <v/>
      </c>
      <c r="P354" s="26" t="str">
        <f t="shared" si="491"/>
        <v/>
      </c>
      <c r="Q354" s="26">
        <f t="shared" si="492"/>
        <v>0</v>
      </c>
      <c r="R354" s="26">
        <f t="shared" si="493"/>
        <v>0</v>
      </c>
      <c r="S354" s="26">
        <f t="shared" si="494"/>
        <v>0</v>
      </c>
      <c r="T354" s="26" t="str">
        <f t="shared" si="495"/>
        <v/>
      </c>
      <c r="U354" s="26" t="str">
        <f t="shared" si="496"/>
        <v/>
      </c>
      <c r="V354" s="26" t="str">
        <f t="shared" si="497"/>
        <v/>
      </c>
      <c r="W354" s="27" t="str">
        <f t="shared" si="498"/>
        <v/>
      </c>
      <c r="X354" s="27" t="str">
        <f t="shared" si="499"/>
        <v/>
      </c>
      <c r="Y354" s="28" t="str">
        <f t="shared" si="500"/>
        <v/>
      </c>
      <c r="Z354" s="27" t="str">
        <f t="shared" si="501"/>
        <v/>
      </c>
      <c r="AA354" s="27" t="str">
        <f t="shared" si="502"/>
        <v/>
      </c>
      <c r="AB354" s="27" t="str">
        <f t="shared" si="503"/>
        <v/>
      </c>
      <c r="AC354" s="27" t="str">
        <f t="shared" si="504"/>
        <v/>
      </c>
      <c r="AD354" s="29" t="str">
        <f t="shared" si="505"/>
        <v/>
      </c>
      <c r="AE354" s="30" t="str">
        <f t="shared" si="506"/>
        <v/>
      </c>
      <c r="AG354" s="4"/>
      <c r="AH354" s="31" t="e">
        <f t="shared" si="507"/>
        <v>#VALUE!</v>
      </c>
      <c r="AI354" s="31" t="e">
        <f t="shared" si="508"/>
        <v>#VALUE!</v>
      </c>
      <c r="AJ354" s="31" t="e">
        <f t="shared" si="509"/>
        <v>#VALUE!</v>
      </c>
      <c r="AK354" s="31" t="e">
        <f t="shared" si="510"/>
        <v>#VALUE!</v>
      </c>
      <c r="AL354" s="31" t="e">
        <f t="shared" si="511"/>
        <v>#VALUE!</v>
      </c>
      <c r="AM354" s="31" t="e">
        <f t="shared" si="512"/>
        <v>#VALUE!</v>
      </c>
      <c r="AN354" s="32" t="str">
        <f t="shared" si="513"/>
        <v/>
      </c>
      <c r="AO354" s="27" t="str">
        <f t="shared" si="514"/>
        <v/>
      </c>
      <c r="AP354" s="27" t="str">
        <f t="shared" si="515"/>
        <v/>
      </c>
      <c r="AQ354" s="27">
        <f t="shared" si="516"/>
        <v>0</v>
      </c>
      <c r="AR354" s="27">
        <f t="shared" si="517"/>
        <v>0</v>
      </c>
      <c r="AS354" s="33">
        <f t="shared" si="518"/>
        <v>0</v>
      </c>
    </row>
    <row r="355" spans="2:45" hidden="1" x14ac:dyDescent="0.25">
      <c r="B355" s="34">
        <f t="shared" ref="B355:F355" si="535">IF(B354="","",B354)</f>
        <v>250</v>
      </c>
      <c r="C355" s="26">
        <f t="shared" si="535"/>
        <v>20</v>
      </c>
      <c r="D355" s="26">
        <f t="shared" si="535"/>
        <v>0</v>
      </c>
      <c r="E355" s="26">
        <f t="shared" si="535"/>
        <v>0</v>
      </c>
      <c r="F355" s="26">
        <f t="shared" si="535"/>
        <v>-1630</v>
      </c>
      <c r="G355" s="24"/>
      <c r="H355" s="24"/>
      <c r="I355" s="24"/>
      <c r="J355" s="24"/>
      <c r="K355" s="24"/>
      <c r="L355" s="24"/>
      <c r="M355" s="44" t="str">
        <f t="shared" si="479"/>
        <v/>
      </c>
      <c r="N355" s="26" t="str">
        <f t="shared" si="489"/>
        <v/>
      </c>
      <c r="O355" s="26" t="str">
        <f t="shared" si="490"/>
        <v/>
      </c>
      <c r="P355" s="26" t="str">
        <f t="shared" si="491"/>
        <v/>
      </c>
      <c r="Q355" s="26">
        <f t="shared" si="492"/>
        <v>0</v>
      </c>
      <c r="R355" s="26">
        <f t="shared" si="493"/>
        <v>0</v>
      </c>
      <c r="S355" s="26">
        <f t="shared" si="494"/>
        <v>0</v>
      </c>
      <c r="T355" s="26" t="str">
        <f t="shared" si="495"/>
        <v/>
      </c>
      <c r="U355" s="26" t="str">
        <f t="shared" si="496"/>
        <v/>
      </c>
      <c r="V355" s="26" t="str">
        <f t="shared" si="497"/>
        <v/>
      </c>
      <c r="W355" s="27" t="str">
        <f t="shared" si="498"/>
        <v/>
      </c>
      <c r="X355" s="27" t="str">
        <f t="shared" si="499"/>
        <v/>
      </c>
      <c r="Y355" s="28" t="str">
        <f t="shared" si="500"/>
        <v/>
      </c>
      <c r="Z355" s="27" t="str">
        <f t="shared" si="501"/>
        <v/>
      </c>
      <c r="AA355" s="27" t="str">
        <f t="shared" si="502"/>
        <v/>
      </c>
      <c r="AB355" s="27" t="str">
        <f t="shared" si="503"/>
        <v/>
      </c>
      <c r="AC355" s="27" t="str">
        <f t="shared" si="504"/>
        <v/>
      </c>
      <c r="AD355" s="29" t="str">
        <f t="shared" si="505"/>
        <v/>
      </c>
      <c r="AE355" s="30" t="str">
        <f t="shared" si="506"/>
        <v/>
      </c>
      <c r="AG355" s="4"/>
      <c r="AH355" s="31" t="e">
        <f t="shared" si="507"/>
        <v>#VALUE!</v>
      </c>
      <c r="AI355" s="31" t="e">
        <f t="shared" si="508"/>
        <v>#VALUE!</v>
      </c>
      <c r="AJ355" s="31" t="e">
        <f t="shared" si="509"/>
        <v>#VALUE!</v>
      </c>
      <c r="AK355" s="31" t="e">
        <f t="shared" si="510"/>
        <v>#VALUE!</v>
      </c>
      <c r="AL355" s="31" t="e">
        <f t="shared" si="511"/>
        <v>#VALUE!</v>
      </c>
      <c r="AM355" s="31" t="e">
        <f t="shared" si="512"/>
        <v>#VALUE!</v>
      </c>
      <c r="AN355" s="32" t="str">
        <f t="shared" si="513"/>
        <v/>
      </c>
      <c r="AO355" s="27" t="str">
        <f t="shared" si="514"/>
        <v/>
      </c>
      <c r="AP355" s="27" t="str">
        <f t="shared" si="515"/>
        <v/>
      </c>
      <c r="AQ355" s="27">
        <f t="shared" si="516"/>
        <v>0</v>
      </c>
      <c r="AR355" s="27">
        <f t="shared" si="517"/>
        <v>0</v>
      </c>
      <c r="AS355" s="33">
        <f t="shared" si="518"/>
        <v>0</v>
      </c>
    </row>
    <row r="356" spans="2:45" hidden="1" x14ac:dyDescent="0.25">
      <c r="B356" s="34">
        <f t="shared" ref="B356:F356" si="536">IF(B355="","",B355)</f>
        <v>250</v>
      </c>
      <c r="C356" s="26">
        <f t="shared" si="536"/>
        <v>20</v>
      </c>
      <c r="D356" s="26">
        <f t="shared" si="536"/>
        <v>0</v>
      </c>
      <c r="E356" s="26">
        <f t="shared" si="536"/>
        <v>0</v>
      </c>
      <c r="F356" s="26">
        <f t="shared" si="536"/>
        <v>-1630</v>
      </c>
      <c r="G356" s="24"/>
      <c r="H356" s="24"/>
      <c r="I356" s="24"/>
      <c r="J356" s="24"/>
      <c r="K356" s="24"/>
      <c r="L356" s="24"/>
      <c r="M356" s="44" t="str">
        <f t="shared" si="479"/>
        <v/>
      </c>
      <c r="N356" s="26" t="str">
        <f t="shared" si="489"/>
        <v/>
      </c>
      <c r="O356" s="26" t="str">
        <f t="shared" si="490"/>
        <v/>
      </c>
      <c r="P356" s="26" t="str">
        <f t="shared" si="491"/>
        <v/>
      </c>
      <c r="Q356" s="26">
        <f t="shared" si="492"/>
        <v>0</v>
      </c>
      <c r="R356" s="26">
        <f t="shared" si="493"/>
        <v>0</v>
      </c>
      <c r="S356" s="26">
        <f t="shared" si="494"/>
        <v>0</v>
      </c>
      <c r="T356" s="26" t="str">
        <f t="shared" si="495"/>
        <v/>
      </c>
      <c r="U356" s="26" t="str">
        <f t="shared" si="496"/>
        <v/>
      </c>
      <c r="V356" s="26" t="str">
        <f t="shared" si="497"/>
        <v/>
      </c>
      <c r="W356" s="27" t="str">
        <f t="shared" si="498"/>
        <v/>
      </c>
      <c r="X356" s="27" t="str">
        <f t="shared" si="499"/>
        <v/>
      </c>
      <c r="Y356" s="28" t="str">
        <f t="shared" si="500"/>
        <v/>
      </c>
      <c r="Z356" s="27" t="str">
        <f t="shared" si="501"/>
        <v/>
      </c>
      <c r="AA356" s="27" t="str">
        <f t="shared" si="502"/>
        <v/>
      </c>
      <c r="AB356" s="27" t="str">
        <f t="shared" si="503"/>
        <v/>
      </c>
      <c r="AC356" s="27" t="str">
        <f t="shared" si="504"/>
        <v/>
      </c>
      <c r="AD356" s="29" t="str">
        <f t="shared" si="505"/>
        <v/>
      </c>
      <c r="AE356" s="30" t="str">
        <f t="shared" si="506"/>
        <v/>
      </c>
      <c r="AG356" s="4"/>
      <c r="AH356" s="31" t="e">
        <f t="shared" si="507"/>
        <v>#VALUE!</v>
      </c>
      <c r="AI356" s="31" t="e">
        <f t="shared" si="508"/>
        <v>#VALUE!</v>
      </c>
      <c r="AJ356" s="31" t="e">
        <f t="shared" si="509"/>
        <v>#VALUE!</v>
      </c>
      <c r="AK356" s="31" t="e">
        <f t="shared" si="510"/>
        <v>#VALUE!</v>
      </c>
      <c r="AL356" s="31" t="e">
        <f t="shared" si="511"/>
        <v>#VALUE!</v>
      </c>
      <c r="AM356" s="31" t="e">
        <f t="shared" si="512"/>
        <v>#VALUE!</v>
      </c>
      <c r="AN356" s="32" t="str">
        <f t="shared" si="513"/>
        <v/>
      </c>
      <c r="AO356" s="27" t="str">
        <f t="shared" si="514"/>
        <v/>
      </c>
      <c r="AP356" s="27" t="str">
        <f t="shared" si="515"/>
        <v/>
      </c>
      <c r="AQ356" s="27">
        <f t="shared" si="516"/>
        <v>0</v>
      </c>
      <c r="AR356" s="27">
        <f t="shared" si="517"/>
        <v>0</v>
      </c>
      <c r="AS356" s="33">
        <f t="shared" si="518"/>
        <v>0</v>
      </c>
    </row>
    <row r="357" spans="2:45" hidden="1" x14ac:dyDescent="0.25">
      <c r="B357" s="34">
        <f t="shared" ref="B357:F357" si="537">IF(B356="","",B356)</f>
        <v>250</v>
      </c>
      <c r="C357" s="26">
        <f t="shared" si="537"/>
        <v>20</v>
      </c>
      <c r="D357" s="26">
        <f t="shared" si="537"/>
        <v>0</v>
      </c>
      <c r="E357" s="26">
        <f t="shared" si="537"/>
        <v>0</v>
      </c>
      <c r="F357" s="26">
        <f t="shared" si="537"/>
        <v>-1630</v>
      </c>
      <c r="G357" s="24"/>
      <c r="H357" s="24"/>
      <c r="I357" s="24"/>
      <c r="J357" s="24"/>
      <c r="K357" s="24"/>
      <c r="L357" s="24"/>
      <c r="M357" s="44" t="str">
        <f t="shared" si="479"/>
        <v/>
      </c>
      <c r="N357" s="26" t="str">
        <f t="shared" si="489"/>
        <v/>
      </c>
      <c r="O357" s="26" t="str">
        <f t="shared" si="490"/>
        <v/>
      </c>
      <c r="P357" s="26" t="str">
        <f t="shared" si="491"/>
        <v/>
      </c>
      <c r="Q357" s="26">
        <f t="shared" si="492"/>
        <v>0</v>
      </c>
      <c r="R357" s="26">
        <f t="shared" si="493"/>
        <v>0</v>
      </c>
      <c r="S357" s="26">
        <f t="shared" si="494"/>
        <v>0</v>
      </c>
      <c r="T357" s="26" t="str">
        <f t="shared" si="495"/>
        <v/>
      </c>
      <c r="U357" s="26" t="str">
        <f t="shared" si="496"/>
        <v/>
      </c>
      <c r="V357" s="26" t="str">
        <f t="shared" si="497"/>
        <v/>
      </c>
      <c r="W357" s="27" t="str">
        <f t="shared" si="498"/>
        <v/>
      </c>
      <c r="X357" s="27" t="str">
        <f t="shared" si="499"/>
        <v/>
      </c>
      <c r="Y357" s="28" t="str">
        <f t="shared" si="500"/>
        <v/>
      </c>
      <c r="Z357" s="27" t="str">
        <f t="shared" si="501"/>
        <v/>
      </c>
      <c r="AA357" s="27" t="str">
        <f t="shared" si="502"/>
        <v/>
      </c>
      <c r="AB357" s="27" t="str">
        <f t="shared" si="503"/>
        <v/>
      </c>
      <c r="AC357" s="27" t="str">
        <f t="shared" si="504"/>
        <v/>
      </c>
      <c r="AD357" s="29" t="str">
        <f t="shared" si="505"/>
        <v/>
      </c>
      <c r="AE357" s="30" t="str">
        <f t="shared" si="506"/>
        <v/>
      </c>
      <c r="AG357" s="4"/>
      <c r="AH357" s="31" t="e">
        <f t="shared" si="507"/>
        <v>#VALUE!</v>
      </c>
      <c r="AI357" s="31" t="e">
        <f t="shared" si="508"/>
        <v>#VALUE!</v>
      </c>
      <c r="AJ357" s="31" t="e">
        <f t="shared" si="509"/>
        <v>#VALUE!</v>
      </c>
      <c r="AK357" s="31" t="e">
        <f t="shared" si="510"/>
        <v>#VALUE!</v>
      </c>
      <c r="AL357" s="31" t="e">
        <f t="shared" si="511"/>
        <v>#VALUE!</v>
      </c>
      <c r="AM357" s="31" t="e">
        <f t="shared" si="512"/>
        <v>#VALUE!</v>
      </c>
      <c r="AN357" s="32" t="str">
        <f t="shared" si="513"/>
        <v/>
      </c>
      <c r="AO357" s="27" t="str">
        <f t="shared" si="514"/>
        <v/>
      </c>
      <c r="AP357" s="27" t="str">
        <f t="shared" si="515"/>
        <v/>
      </c>
      <c r="AQ357" s="27">
        <f t="shared" si="516"/>
        <v>0</v>
      </c>
      <c r="AR357" s="27">
        <f t="shared" si="517"/>
        <v>0</v>
      </c>
      <c r="AS357" s="33">
        <f t="shared" si="518"/>
        <v>0</v>
      </c>
    </row>
    <row r="358" spans="2:45" hidden="1" x14ac:dyDescent="0.25">
      <c r="B358" s="34">
        <f t="shared" ref="B358:F358" si="538">IF(B357="","",B357)</f>
        <v>250</v>
      </c>
      <c r="C358" s="26">
        <f t="shared" si="538"/>
        <v>20</v>
      </c>
      <c r="D358" s="26">
        <f t="shared" si="538"/>
        <v>0</v>
      </c>
      <c r="E358" s="26">
        <f t="shared" si="538"/>
        <v>0</v>
      </c>
      <c r="F358" s="26">
        <f t="shared" si="538"/>
        <v>-1630</v>
      </c>
      <c r="G358" s="24"/>
      <c r="H358" s="24"/>
      <c r="I358" s="24"/>
      <c r="J358" s="24"/>
      <c r="K358" s="24"/>
      <c r="L358" s="24"/>
      <c r="M358" s="44" t="str">
        <f t="shared" ref="M358:M389" si="539">IF(B358="","",IF(M202="","",M202))</f>
        <v/>
      </c>
      <c r="N358" s="26" t="str">
        <f t="shared" si="489"/>
        <v/>
      </c>
      <c r="O358" s="26" t="str">
        <f t="shared" si="490"/>
        <v/>
      </c>
      <c r="P358" s="26" t="str">
        <f t="shared" si="491"/>
        <v/>
      </c>
      <c r="Q358" s="26">
        <f t="shared" si="492"/>
        <v>0</v>
      </c>
      <c r="R358" s="26">
        <f t="shared" si="493"/>
        <v>0</v>
      </c>
      <c r="S358" s="26">
        <f t="shared" si="494"/>
        <v>0</v>
      </c>
      <c r="T358" s="26" t="str">
        <f t="shared" si="495"/>
        <v/>
      </c>
      <c r="U358" s="26" t="str">
        <f t="shared" si="496"/>
        <v/>
      </c>
      <c r="V358" s="26" t="str">
        <f t="shared" si="497"/>
        <v/>
      </c>
      <c r="W358" s="27" t="str">
        <f t="shared" si="498"/>
        <v/>
      </c>
      <c r="X358" s="27" t="str">
        <f t="shared" si="499"/>
        <v/>
      </c>
      <c r="Y358" s="28" t="str">
        <f t="shared" si="500"/>
        <v/>
      </c>
      <c r="Z358" s="27" t="str">
        <f t="shared" si="501"/>
        <v/>
      </c>
      <c r="AA358" s="27" t="str">
        <f t="shared" si="502"/>
        <v/>
      </c>
      <c r="AB358" s="27" t="str">
        <f t="shared" si="503"/>
        <v/>
      </c>
      <c r="AC358" s="27" t="str">
        <f t="shared" si="504"/>
        <v/>
      </c>
      <c r="AD358" s="29" t="str">
        <f t="shared" si="505"/>
        <v/>
      </c>
      <c r="AE358" s="30" t="str">
        <f t="shared" si="506"/>
        <v/>
      </c>
      <c r="AG358" s="4"/>
      <c r="AH358" s="31" t="e">
        <f t="shared" si="507"/>
        <v>#VALUE!</v>
      </c>
      <c r="AI358" s="31" t="e">
        <f t="shared" si="508"/>
        <v>#VALUE!</v>
      </c>
      <c r="AJ358" s="31" t="e">
        <f t="shared" si="509"/>
        <v>#VALUE!</v>
      </c>
      <c r="AK358" s="31" t="e">
        <f t="shared" si="510"/>
        <v>#VALUE!</v>
      </c>
      <c r="AL358" s="31" t="e">
        <f t="shared" si="511"/>
        <v>#VALUE!</v>
      </c>
      <c r="AM358" s="31" t="e">
        <f t="shared" si="512"/>
        <v>#VALUE!</v>
      </c>
      <c r="AN358" s="32" t="str">
        <f t="shared" si="513"/>
        <v/>
      </c>
      <c r="AO358" s="27" t="str">
        <f t="shared" si="514"/>
        <v/>
      </c>
      <c r="AP358" s="27" t="str">
        <f t="shared" si="515"/>
        <v/>
      </c>
      <c r="AQ358" s="27">
        <f t="shared" si="516"/>
        <v>0</v>
      </c>
      <c r="AR358" s="27">
        <f t="shared" si="517"/>
        <v>0</v>
      </c>
      <c r="AS358" s="33">
        <f t="shared" si="518"/>
        <v>0</v>
      </c>
    </row>
    <row r="359" spans="2:45" hidden="1" x14ac:dyDescent="0.25">
      <c r="B359" s="34">
        <f t="shared" ref="B359:F359" si="540">IF(B358="","",B358)</f>
        <v>250</v>
      </c>
      <c r="C359" s="26">
        <f t="shared" si="540"/>
        <v>20</v>
      </c>
      <c r="D359" s="26">
        <f t="shared" si="540"/>
        <v>0</v>
      </c>
      <c r="E359" s="26">
        <f t="shared" si="540"/>
        <v>0</v>
      </c>
      <c r="F359" s="26">
        <f t="shared" si="540"/>
        <v>-1630</v>
      </c>
      <c r="G359" s="24"/>
      <c r="H359" s="24"/>
      <c r="I359" s="24"/>
      <c r="J359" s="24"/>
      <c r="K359" s="24"/>
      <c r="L359" s="24"/>
      <c r="M359" s="44" t="str">
        <f t="shared" si="539"/>
        <v/>
      </c>
      <c r="N359" s="26" t="str">
        <f t="shared" si="489"/>
        <v/>
      </c>
      <c r="O359" s="26" t="str">
        <f t="shared" si="490"/>
        <v/>
      </c>
      <c r="P359" s="26" t="str">
        <f t="shared" si="491"/>
        <v/>
      </c>
      <c r="Q359" s="26">
        <f t="shared" si="492"/>
        <v>0</v>
      </c>
      <c r="R359" s="26">
        <f t="shared" si="493"/>
        <v>0</v>
      </c>
      <c r="S359" s="26">
        <f t="shared" si="494"/>
        <v>0</v>
      </c>
      <c r="T359" s="26" t="str">
        <f t="shared" si="495"/>
        <v/>
      </c>
      <c r="U359" s="26" t="str">
        <f t="shared" si="496"/>
        <v/>
      </c>
      <c r="V359" s="26" t="str">
        <f t="shared" si="497"/>
        <v/>
      </c>
      <c r="W359" s="27" t="str">
        <f t="shared" si="498"/>
        <v/>
      </c>
      <c r="X359" s="27" t="str">
        <f t="shared" si="499"/>
        <v/>
      </c>
      <c r="Y359" s="28" t="str">
        <f t="shared" si="500"/>
        <v/>
      </c>
      <c r="Z359" s="27" t="str">
        <f t="shared" si="501"/>
        <v/>
      </c>
      <c r="AA359" s="27" t="str">
        <f t="shared" si="502"/>
        <v/>
      </c>
      <c r="AB359" s="27" t="str">
        <f t="shared" si="503"/>
        <v/>
      </c>
      <c r="AC359" s="27" t="str">
        <f t="shared" si="504"/>
        <v/>
      </c>
      <c r="AD359" s="29" t="str">
        <f t="shared" si="505"/>
        <v/>
      </c>
      <c r="AE359" s="30" t="str">
        <f t="shared" si="506"/>
        <v/>
      </c>
      <c r="AG359" s="4"/>
      <c r="AH359" s="31" t="e">
        <f t="shared" si="507"/>
        <v>#VALUE!</v>
      </c>
      <c r="AI359" s="31" t="e">
        <f t="shared" si="508"/>
        <v>#VALUE!</v>
      </c>
      <c r="AJ359" s="31" t="e">
        <f t="shared" si="509"/>
        <v>#VALUE!</v>
      </c>
      <c r="AK359" s="31" t="e">
        <f t="shared" si="510"/>
        <v>#VALUE!</v>
      </c>
      <c r="AL359" s="31" t="e">
        <f t="shared" si="511"/>
        <v>#VALUE!</v>
      </c>
      <c r="AM359" s="31" t="e">
        <f t="shared" si="512"/>
        <v>#VALUE!</v>
      </c>
      <c r="AN359" s="32" t="str">
        <f t="shared" si="513"/>
        <v/>
      </c>
      <c r="AO359" s="27" t="str">
        <f t="shared" si="514"/>
        <v/>
      </c>
      <c r="AP359" s="27" t="str">
        <f t="shared" si="515"/>
        <v/>
      </c>
      <c r="AQ359" s="27">
        <f t="shared" si="516"/>
        <v>0</v>
      </c>
      <c r="AR359" s="27">
        <f t="shared" si="517"/>
        <v>0</v>
      </c>
      <c r="AS359" s="33">
        <f t="shared" si="518"/>
        <v>0</v>
      </c>
    </row>
    <row r="360" spans="2:45" hidden="1" x14ac:dyDescent="0.25">
      <c r="B360" s="34">
        <f t="shared" ref="B360:F360" si="541">IF(B359="","",B359)</f>
        <v>250</v>
      </c>
      <c r="C360" s="26">
        <f t="shared" si="541"/>
        <v>20</v>
      </c>
      <c r="D360" s="26">
        <f t="shared" si="541"/>
        <v>0</v>
      </c>
      <c r="E360" s="26">
        <f t="shared" si="541"/>
        <v>0</v>
      </c>
      <c r="F360" s="26">
        <f t="shared" si="541"/>
        <v>-1630</v>
      </c>
      <c r="G360" s="24"/>
      <c r="H360" s="24"/>
      <c r="I360" s="24"/>
      <c r="J360" s="24"/>
      <c r="K360" s="24"/>
      <c r="L360" s="24"/>
      <c r="M360" s="44" t="str">
        <f t="shared" si="539"/>
        <v/>
      </c>
      <c r="N360" s="26" t="str">
        <f t="shared" si="489"/>
        <v/>
      </c>
      <c r="O360" s="26" t="str">
        <f t="shared" si="490"/>
        <v/>
      </c>
      <c r="P360" s="26" t="str">
        <f t="shared" si="491"/>
        <v/>
      </c>
      <c r="Q360" s="26">
        <f t="shared" si="492"/>
        <v>0</v>
      </c>
      <c r="R360" s="26">
        <f t="shared" si="493"/>
        <v>0</v>
      </c>
      <c r="S360" s="26">
        <f t="shared" si="494"/>
        <v>0</v>
      </c>
      <c r="T360" s="26" t="str">
        <f t="shared" si="495"/>
        <v/>
      </c>
      <c r="U360" s="26" t="str">
        <f t="shared" si="496"/>
        <v/>
      </c>
      <c r="V360" s="26" t="str">
        <f t="shared" si="497"/>
        <v/>
      </c>
      <c r="W360" s="27" t="str">
        <f t="shared" si="498"/>
        <v/>
      </c>
      <c r="X360" s="27" t="str">
        <f t="shared" si="499"/>
        <v/>
      </c>
      <c r="Y360" s="28" t="str">
        <f t="shared" si="500"/>
        <v/>
      </c>
      <c r="Z360" s="27" t="str">
        <f t="shared" si="501"/>
        <v/>
      </c>
      <c r="AA360" s="27" t="str">
        <f t="shared" si="502"/>
        <v/>
      </c>
      <c r="AB360" s="27" t="str">
        <f t="shared" si="503"/>
        <v/>
      </c>
      <c r="AC360" s="27" t="str">
        <f t="shared" si="504"/>
        <v/>
      </c>
      <c r="AD360" s="29" t="str">
        <f t="shared" si="505"/>
        <v/>
      </c>
      <c r="AE360" s="30" t="str">
        <f t="shared" si="506"/>
        <v/>
      </c>
      <c r="AG360" s="4"/>
      <c r="AH360" s="31" t="e">
        <f t="shared" si="507"/>
        <v>#VALUE!</v>
      </c>
      <c r="AI360" s="31" t="e">
        <f t="shared" si="508"/>
        <v>#VALUE!</v>
      </c>
      <c r="AJ360" s="31" t="e">
        <f t="shared" si="509"/>
        <v>#VALUE!</v>
      </c>
      <c r="AK360" s="31" t="e">
        <f t="shared" si="510"/>
        <v>#VALUE!</v>
      </c>
      <c r="AL360" s="31" t="e">
        <f t="shared" si="511"/>
        <v>#VALUE!</v>
      </c>
      <c r="AM360" s="31" t="e">
        <f t="shared" si="512"/>
        <v>#VALUE!</v>
      </c>
      <c r="AN360" s="32" t="str">
        <f t="shared" si="513"/>
        <v/>
      </c>
      <c r="AO360" s="27" t="str">
        <f t="shared" si="514"/>
        <v/>
      </c>
      <c r="AP360" s="27" t="str">
        <f t="shared" si="515"/>
        <v/>
      </c>
      <c r="AQ360" s="27">
        <f t="shared" si="516"/>
        <v>0</v>
      </c>
      <c r="AR360" s="27">
        <f t="shared" si="517"/>
        <v>0</v>
      </c>
      <c r="AS360" s="33">
        <f t="shared" si="518"/>
        <v>0</v>
      </c>
    </row>
    <row r="361" spans="2:45" hidden="1" x14ac:dyDescent="0.25">
      <c r="B361" s="34">
        <f t="shared" ref="B361:F361" si="542">IF(B360="","",B360)</f>
        <v>250</v>
      </c>
      <c r="C361" s="26">
        <f t="shared" si="542"/>
        <v>20</v>
      </c>
      <c r="D361" s="26">
        <f t="shared" si="542"/>
        <v>0</v>
      </c>
      <c r="E361" s="26">
        <f t="shared" si="542"/>
        <v>0</v>
      </c>
      <c r="F361" s="26">
        <f t="shared" si="542"/>
        <v>-1630</v>
      </c>
      <c r="G361" s="24"/>
      <c r="H361" s="24"/>
      <c r="I361" s="24"/>
      <c r="J361" s="24"/>
      <c r="K361" s="24"/>
      <c r="L361" s="24"/>
      <c r="M361" s="44" t="str">
        <f t="shared" si="539"/>
        <v/>
      </c>
      <c r="N361" s="26" t="str">
        <f t="shared" si="489"/>
        <v/>
      </c>
      <c r="O361" s="26" t="str">
        <f t="shared" si="490"/>
        <v/>
      </c>
      <c r="P361" s="26" t="str">
        <f t="shared" si="491"/>
        <v/>
      </c>
      <c r="Q361" s="26">
        <f t="shared" si="492"/>
        <v>0</v>
      </c>
      <c r="R361" s="26">
        <f t="shared" si="493"/>
        <v>0</v>
      </c>
      <c r="S361" s="26">
        <f t="shared" si="494"/>
        <v>0</v>
      </c>
      <c r="T361" s="26" t="str">
        <f t="shared" si="495"/>
        <v/>
      </c>
      <c r="U361" s="26" t="str">
        <f t="shared" si="496"/>
        <v/>
      </c>
      <c r="V361" s="26" t="str">
        <f t="shared" si="497"/>
        <v/>
      </c>
      <c r="W361" s="27" t="str">
        <f t="shared" si="498"/>
        <v/>
      </c>
      <c r="X361" s="27" t="str">
        <f t="shared" si="499"/>
        <v/>
      </c>
      <c r="Y361" s="28" t="str">
        <f t="shared" si="500"/>
        <v/>
      </c>
      <c r="Z361" s="27" t="str">
        <f t="shared" si="501"/>
        <v/>
      </c>
      <c r="AA361" s="27" t="str">
        <f t="shared" si="502"/>
        <v/>
      </c>
      <c r="AB361" s="27" t="str">
        <f t="shared" si="503"/>
        <v/>
      </c>
      <c r="AC361" s="27" t="str">
        <f t="shared" si="504"/>
        <v/>
      </c>
      <c r="AD361" s="29" t="str">
        <f t="shared" si="505"/>
        <v/>
      </c>
      <c r="AE361" s="30" t="str">
        <f t="shared" si="506"/>
        <v/>
      </c>
      <c r="AG361" s="4"/>
      <c r="AH361" s="31" t="e">
        <f t="shared" si="507"/>
        <v>#VALUE!</v>
      </c>
      <c r="AI361" s="31" t="e">
        <f t="shared" si="508"/>
        <v>#VALUE!</v>
      </c>
      <c r="AJ361" s="31" t="e">
        <f t="shared" si="509"/>
        <v>#VALUE!</v>
      </c>
      <c r="AK361" s="31" t="e">
        <f t="shared" si="510"/>
        <v>#VALUE!</v>
      </c>
      <c r="AL361" s="31" t="e">
        <f t="shared" si="511"/>
        <v>#VALUE!</v>
      </c>
      <c r="AM361" s="31" t="e">
        <f t="shared" si="512"/>
        <v>#VALUE!</v>
      </c>
      <c r="AN361" s="32" t="str">
        <f t="shared" si="513"/>
        <v/>
      </c>
      <c r="AO361" s="27" t="str">
        <f t="shared" si="514"/>
        <v/>
      </c>
      <c r="AP361" s="27" t="str">
        <f t="shared" si="515"/>
        <v/>
      </c>
      <c r="AQ361" s="27">
        <f t="shared" si="516"/>
        <v>0</v>
      </c>
      <c r="AR361" s="27">
        <f t="shared" si="517"/>
        <v>0</v>
      </c>
      <c r="AS361" s="33">
        <f t="shared" si="518"/>
        <v>0</v>
      </c>
    </row>
    <row r="362" spans="2:45" hidden="1" x14ac:dyDescent="0.25">
      <c r="B362" s="34">
        <f t="shared" ref="B362:F362" si="543">IF(B361="","",B361)</f>
        <v>250</v>
      </c>
      <c r="C362" s="26">
        <f t="shared" si="543"/>
        <v>20</v>
      </c>
      <c r="D362" s="26">
        <f t="shared" si="543"/>
        <v>0</v>
      </c>
      <c r="E362" s="26">
        <f t="shared" si="543"/>
        <v>0</v>
      </c>
      <c r="F362" s="26">
        <f t="shared" si="543"/>
        <v>-1630</v>
      </c>
      <c r="G362" s="24"/>
      <c r="H362" s="24"/>
      <c r="I362" s="24"/>
      <c r="J362" s="24"/>
      <c r="K362" s="24"/>
      <c r="L362" s="24"/>
      <c r="M362" s="44" t="str">
        <f t="shared" si="539"/>
        <v/>
      </c>
      <c r="N362" s="26" t="str">
        <f t="shared" si="489"/>
        <v/>
      </c>
      <c r="O362" s="26" t="str">
        <f t="shared" si="490"/>
        <v/>
      </c>
      <c r="P362" s="26" t="str">
        <f t="shared" si="491"/>
        <v/>
      </c>
      <c r="Q362" s="26">
        <f t="shared" si="492"/>
        <v>0</v>
      </c>
      <c r="R362" s="26">
        <f t="shared" si="493"/>
        <v>0</v>
      </c>
      <c r="S362" s="26">
        <f t="shared" si="494"/>
        <v>0</v>
      </c>
      <c r="T362" s="26" t="str">
        <f t="shared" si="495"/>
        <v/>
      </c>
      <c r="U362" s="26" t="str">
        <f t="shared" si="496"/>
        <v/>
      </c>
      <c r="V362" s="26" t="str">
        <f t="shared" si="497"/>
        <v/>
      </c>
      <c r="W362" s="27" t="str">
        <f t="shared" si="498"/>
        <v/>
      </c>
      <c r="X362" s="27" t="str">
        <f t="shared" si="499"/>
        <v/>
      </c>
      <c r="Y362" s="28" t="str">
        <f t="shared" si="500"/>
        <v/>
      </c>
      <c r="Z362" s="27" t="str">
        <f t="shared" si="501"/>
        <v/>
      </c>
      <c r="AA362" s="27" t="str">
        <f t="shared" si="502"/>
        <v/>
      </c>
      <c r="AB362" s="27" t="str">
        <f t="shared" si="503"/>
        <v/>
      </c>
      <c r="AC362" s="27" t="str">
        <f t="shared" si="504"/>
        <v/>
      </c>
      <c r="AD362" s="29" t="str">
        <f t="shared" si="505"/>
        <v/>
      </c>
      <c r="AE362" s="30" t="str">
        <f t="shared" si="506"/>
        <v/>
      </c>
      <c r="AG362" s="4"/>
      <c r="AH362" s="31" t="e">
        <f t="shared" si="507"/>
        <v>#VALUE!</v>
      </c>
      <c r="AI362" s="31" t="e">
        <f t="shared" si="508"/>
        <v>#VALUE!</v>
      </c>
      <c r="AJ362" s="31" t="e">
        <f t="shared" si="509"/>
        <v>#VALUE!</v>
      </c>
      <c r="AK362" s="31" t="e">
        <f t="shared" si="510"/>
        <v>#VALUE!</v>
      </c>
      <c r="AL362" s="31" t="e">
        <f t="shared" si="511"/>
        <v>#VALUE!</v>
      </c>
      <c r="AM362" s="31" t="e">
        <f t="shared" si="512"/>
        <v>#VALUE!</v>
      </c>
      <c r="AN362" s="32" t="str">
        <f t="shared" si="513"/>
        <v/>
      </c>
      <c r="AO362" s="27" t="str">
        <f t="shared" si="514"/>
        <v/>
      </c>
      <c r="AP362" s="27" t="str">
        <f t="shared" si="515"/>
        <v/>
      </c>
      <c r="AQ362" s="27">
        <f t="shared" si="516"/>
        <v>0</v>
      </c>
      <c r="AR362" s="27">
        <f t="shared" si="517"/>
        <v>0</v>
      </c>
      <c r="AS362" s="33">
        <f t="shared" si="518"/>
        <v>0</v>
      </c>
    </row>
    <row r="363" spans="2:45" hidden="1" x14ac:dyDescent="0.25">
      <c r="B363" s="34">
        <f t="shared" ref="B363:F363" si="544">IF(B362="","",B362)</f>
        <v>250</v>
      </c>
      <c r="C363" s="26">
        <f t="shared" si="544"/>
        <v>20</v>
      </c>
      <c r="D363" s="26">
        <f t="shared" si="544"/>
        <v>0</v>
      </c>
      <c r="E363" s="26">
        <f t="shared" si="544"/>
        <v>0</v>
      </c>
      <c r="F363" s="26">
        <f t="shared" si="544"/>
        <v>-1630</v>
      </c>
      <c r="G363" s="24"/>
      <c r="H363" s="24"/>
      <c r="I363" s="24"/>
      <c r="J363" s="24"/>
      <c r="K363" s="24"/>
      <c r="L363" s="24"/>
      <c r="M363" s="44" t="str">
        <f t="shared" si="539"/>
        <v/>
      </c>
      <c r="N363" s="26" t="str">
        <f t="shared" si="489"/>
        <v/>
      </c>
      <c r="O363" s="26" t="str">
        <f t="shared" si="490"/>
        <v/>
      </c>
      <c r="P363" s="26" t="str">
        <f t="shared" si="491"/>
        <v/>
      </c>
      <c r="Q363" s="26">
        <f t="shared" si="492"/>
        <v>0</v>
      </c>
      <c r="R363" s="26">
        <f t="shared" si="493"/>
        <v>0</v>
      </c>
      <c r="S363" s="26">
        <f t="shared" si="494"/>
        <v>0</v>
      </c>
      <c r="T363" s="26" t="str">
        <f t="shared" si="495"/>
        <v/>
      </c>
      <c r="U363" s="26" t="str">
        <f t="shared" si="496"/>
        <v/>
      </c>
      <c r="V363" s="26" t="str">
        <f t="shared" si="497"/>
        <v/>
      </c>
      <c r="W363" s="27" t="str">
        <f t="shared" si="498"/>
        <v/>
      </c>
      <c r="X363" s="27" t="str">
        <f t="shared" si="499"/>
        <v/>
      </c>
      <c r="Y363" s="28" t="str">
        <f t="shared" si="500"/>
        <v/>
      </c>
      <c r="Z363" s="27" t="str">
        <f t="shared" si="501"/>
        <v/>
      </c>
      <c r="AA363" s="27" t="str">
        <f t="shared" si="502"/>
        <v/>
      </c>
      <c r="AB363" s="27" t="str">
        <f t="shared" si="503"/>
        <v/>
      </c>
      <c r="AC363" s="27" t="str">
        <f t="shared" si="504"/>
        <v/>
      </c>
      <c r="AD363" s="29" t="str">
        <f t="shared" si="505"/>
        <v/>
      </c>
      <c r="AE363" s="30" t="str">
        <f t="shared" si="506"/>
        <v/>
      </c>
      <c r="AG363" s="4"/>
      <c r="AH363" s="31" t="e">
        <f t="shared" si="507"/>
        <v>#VALUE!</v>
      </c>
      <c r="AI363" s="31" t="e">
        <f t="shared" si="508"/>
        <v>#VALUE!</v>
      </c>
      <c r="AJ363" s="31" t="e">
        <f t="shared" si="509"/>
        <v>#VALUE!</v>
      </c>
      <c r="AK363" s="31" t="e">
        <f t="shared" si="510"/>
        <v>#VALUE!</v>
      </c>
      <c r="AL363" s="31" t="e">
        <f t="shared" si="511"/>
        <v>#VALUE!</v>
      </c>
      <c r="AM363" s="31" t="e">
        <f t="shared" si="512"/>
        <v>#VALUE!</v>
      </c>
      <c r="AN363" s="32" t="str">
        <f t="shared" si="513"/>
        <v/>
      </c>
      <c r="AO363" s="27" t="str">
        <f t="shared" si="514"/>
        <v/>
      </c>
      <c r="AP363" s="27" t="str">
        <f t="shared" si="515"/>
        <v/>
      </c>
      <c r="AQ363" s="27">
        <f t="shared" si="516"/>
        <v>0</v>
      </c>
      <c r="AR363" s="27">
        <f t="shared" si="517"/>
        <v>0</v>
      </c>
      <c r="AS363" s="33">
        <f t="shared" si="518"/>
        <v>0</v>
      </c>
    </row>
    <row r="364" spans="2:45" hidden="1" x14ac:dyDescent="0.25">
      <c r="B364" s="34">
        <f t="shared" ref="B364:F364" si="545">IF(B363="","",B363)</f>
        <v>250</v>
      </c>
      <c r="C364" s="26">
        <f t="shared" si="545"/>
        <v>20</v>
      </c>
      <c r="D364" s="26">
        <f t="shared" si="545"/>
        <v>0</v>
      </c>
      <c r="E364" s="26">
        <f t="shared" si="545"/>
        <v>0</v>
      </c>
      <c r="F364" s="26">
        <f t="shared" si="545"/>
        <v>-1630</v>
      </c>
      <c r="G364" s="24"/>
      <c r="H364" s="24"/>
      <c r="I364" s="24"/>
      <c r="J364" s="24"/>
      <c r="K364" s="24"/>
      <c r="L364" s="24"/>
      <c r="M364" s="44" t="str">
        <f t="shared" si="539"/>
        <v/>
      </c>
      <c r="N364" s="26" t="str">
        <f t="shared" si="489"/>
        <v/>
      </c>
      <c r="O364" s="26" t="str">
        <f t="shared" si="490"/>
        <v/>
      </c>
      <c r="P364" s="26" t="str">
        <f t="shared" si="491"/>
        <v/>
      </c>
      <c r="Q364" s="26">
        <f t="shared" si="492"/>
        <v>0</v>
      </c>
      <c r="R364" s="26">
        <f t="shared" si="493"/>
        <v>0</v>
      </c>
      <c r="S364" s="26">
        <f t="shared" si="494"/>
        <v>0</v>
      </c>
      <c r="T364" s="26" t="str">
        <f t="shared" si="495"/>
        <v/>
      </c>
      <c r="U364" s="26" t="str">
        <f t="shared" si="496"/>
        <v/>
      </c>
      <c r="V364" s="26" t="str">
        <f t="shared" si="497"/>
        <v/>
      </c>
      <c r="W364" s="27" t="str">
        <f t="shared" si="498"/>
        <v/>
      </c>
      <c r="X364" s="27" t="str">
        <f t="shared" si="499"/>
        <v/>
      </c>
      <c r="Y364" s="28" t="str">
        <f t="shared" si="500"/>
        <v/>
      </c>
      <c r="Z364" s="27" t="str">
        <f t="shared" si="501"/>
        <v/>
      </c>
      <c r="AA364" s="27" t="str">
        <f t="shared" si="502"/>
        <v/>
      </c>
      <c r="AB364" s="27" t="str">
        <f t="shared" si="503"/>
        <v/>
      </c>
      <c r="AC364" s="27" t="str">
        <f t="shared" si="504"/>
        <v/>
      </c>
      <c r="AD364" s="29" t="str">
        <f t="shared" si="505"/>
        <v/>
      </c>
      <c r="AE364" s="30" t="str">
        <f t="shared" si="506"/>
        <v/>
      </c>
      <c r="AG364" s="4"/>
      <c r="AH364" s="31" t="e">
        <f t="shared" si="507"/>
        <v>#VALUE!</v>
      </c>
      <c r="AI364" s="31" t="e">
        <f t="shared" si="508"/>
        <v>#VALUE!</v>
      </c>
      <c r="AJ364" s="31" t="e">
        <f t="shared" si="509"/>
        <v>#VALUE!</v>
      </c>
      <c r="AK364" s="31" t="e">
        <f t="shared" si="510"/>
        <v>#VALUE!</v>
      </c>
      <c r="AL364" s="31" t="e">
        <f t="shared" si="511"/>
        <v>#VALUE!</v>
      </c>
      <c r="AM364" s="31" t="e">
        <f t="shared" si="512"/>
        <v>#VALUE!</v>
      </c>
      <c r="AN364" s="32" t="str">
        <f t="shared" si="513"/>
        <v/>
      </c>
      <c r="AO364" s="27" t="str">
        <f t="shared" si="514"/>
        <v/>
      </c>
      <c r="AP364" s="27" t="str">
        <f t="shared" si="515"/>
        <v/>
      </c>
      <c r="AQ364" s="27">
        <f t="shared" si="516"/>
        <v>0</v>
      </c>
      <c r="AR364" s="27">
        <f t="shared" si="517"/>
        <v>0</v>
      </c>
      <c r="AS364" s="33">
        <f t="shared" si="518"/>
        <v>0</v>
      </c>
    </row>
    <row r="365" spans="2:45" hidden="1" x14ac:dyDescent="0.25">
      <c r="B365" s="34">
        <f t="shared" ref="B365:F365" si="546">IF(B364="","",B364)</f>
        <v>250</v>
      </c>
      <c r="C365" s="26">
        <f t="shared" si="546"/>
        <v>20</v>
      </c>
      <c r="D365" s="26">
        <f t="shared" si="546"/>
        <v>0</v>
      </c>
      <c r="E365" s="26">
        <f t="shared" si="546"/>
        <v>0</v>
      </c>
      <c r="F365" s="26">
        <f t="shared" si="546"/>
        <v>-1630</v>
      </c>
      <c r="G365" s="24"/>
      <c r="H365" s="24"/>
      <c r="I365" s="24"/>
      <c r="J365" s="24"/>
      <c r="K365" s="24"/>
      <c r="L365" s="24"/>
      <c r="M365" s="44" t="str">
        <f t="shared" si="539"/>
        <v/>
      </c>
      <c r="N365" s="26" t="str">
        <f t="shared" si="489"/>
        <v/>
      </c>
      <c r="O365" s="26" t="str">
        <f t="shared" si="490"/>
        <v/>
      </c>
      <c r="P365" s="26" t="str">
        <f t="shared" si="491"/>
        <v/>
      </c>
      <c r="Q365" s="26">
        <f t="shared" si="492"/>
        <v>0</v>
      </c>
      <c r="R365" s="26">
        <f t="shared" si="493"/>
        <v>0</v>
      </c>
      <c r="S365" s="26">
        <f t="shared" si="494"/>
        <v>0</v>
      </c>
      <c r="T365" s="26" t="str">
        <f t="shared" si="495"/>
        <v/>
      </c>
      <c r="U365" s="26" t="str">
        <f t="shared" si="496"/>
        <v/>
      </c>
      <c r="V365" s="26" t="str">
        <f t="shared" si="497"/>
        <v/>
      </c>
      <c r="W365" s="27" t="str">
        <f t="shared" si="498"/>
        <v/>
      </c>
      <c r="X365" s="27" t="str">
        <f t="shared" si="499"/>
        <v/>
      </c>
      <c r="Y365" s="28" t="str">
        <f t="shared" si="500"/>
        <v/>
      </c>
      <c r="Z365" s="27" t="str">
        <f t="shared" si="501"/>
        <v/>
      </c>
      <c r="AA365" s="27" t="str">
        <f t="shared" si="502"/>
        <v/>
      </c>
      <c r="AB365" s="27" t="str">
        <f t="shared" si="503"/>
        <v/>
      </c>
      <c r="AC365" s="27" t="str">
        <f t="shared" si="504"/>
        <v/>
      </c>
      <c r="AD365" s="29" t="str">
        <f t="shared" si="505"/>
        <v/>
      </c>
      <c r="AE365" s="30" t="str">
        <f t="shared" si="506"/>
        <v/>
      </c>
      <c r="AG365" s="4"/>
      <c r="AH365" s="31" t="e">
        <f t="shared" si="507"/>
        <v>#VALUE!</v>
      </c>
      <c r="AI365" s="31" t="e">
        <f t="shared" si="508"/>
        <v>#VALUE!</v>
      </c>
      <c r="AJ365" s="31" t="e">
        <f t="shared" si="509"/>
        <v>#VALUE!</v>
      </c>
      <c r="AK365" s="31" t="e">
        <f t="shared" si="510"/>
        <v>#VALUE!</v>
      </c>
      <c r="AL365" s="31" t="e">
        <f t="shared" si="511"/>
        <v>#VALUE!</v>
      </c>
      <c r="AM365" s="31" t="e">
        <f t="shared" si="512"/>
        <v>#VALUE!</v>
      </c>
      <c r="AN365" s="32" t="str">
        <f t="shared" si="513"/>
        <v/>
      </c>
      <c r="AO365" s="27" t="str">
        <f t="shared" si="514"/>
        <v/>
      </c>
      <c r="AP365" s="27" t="str">
        <f t="shared" si="515"/>
        <v/>
      </c>
      <c r="AQ365" s="27">
        <f t="shared" si="516"/>
        <v>0</v>
      </c>
      <c r="AR365" s="27">
        <f t="shared" si="517"/>
        <v>0</v>
      </c>
      <c r="AS365" s="33">
        <f t="shared" si="518"/>
        <v>0</v>
      </c>
    </row>
    <row r="366" spans="2:45" hidden="1" x14ac:dyDescent="0.25">
      <c r="B366" s="34">
        <f>IF(B365="","",B365)</f>
        <v>250</v>
      </c>
      <c r="C366" s="26">
        <f t="shared" ref="C366:F366" si="547">IF(C365="","",C365)</f>
        <v>20</v>
      </c>
      <c r="D366" s="26">
        <f t="shared" si="547"/>
        <v>0</v>
      </c>
      <c r="E366" s="26">
        <f t="shared" si="547"/>
        <v>0</v>
      </c>
      <c r="F366" s="26">
        <f t="shared" si="547"/>
        <v>-1630</v>
      </c>
      <c r="G366" s="24"/>
      <c r="H366" s="24"/>
      <c r="I366" s="24"/>
      <c r="J366" s="24"/>
      <c r="K366" s="24"/>
      <c r="L366" s="24"/>
      <c r="M366" s="44" t="str">
        <f t="shared" si="539"/>
        <v/>
      </c>
      <c r="N366" s="26" t="str">
        <f t="shared" si="489"/>
        <v/>
      </c>
      <c r="O366" s="26" t="str">
        <f t="shared" si="490"/>
        <v/>
      </c>
      <c r="P366" s="26" t="str">
        <f t="shared" si="491"/>
        <v/>
      </c>
      <c r="Q366" s="26">
        <f t="shared" si="492"/>
        <v>0</v>
      </c>
      <c r="R366" s="26">
        <f t="shared" si="493"/>
        <v>0</v>
      </c>
      <c r="S366" s="26">
        <f t="shared" si="494"/>
        <v>0</v>
      </c>
      <c r="T366" s="26" t="str">
        <f t="shared" si="495"/>
        <v/>
      </c>
      <c r="U366" s="26" t="str">
        <f t="shared" si="496"/>
        <v/>
      </c>
      <c r="V366" s="26" t="str">
        <f t="shared" si="497"/>
        <v/>
      </c>
      <c r="W366" s="27" t="str">
        <f t="shared" si="498"/>
        <v/>
      </c>
      <c r="X366" s="27" t="str">
        <f t="shared" si="499"/>
        <v/>
      </c>
      <c r="Y366" s="28" t="str">
        <f t="shared" si="500"/>
        <v/>
      </c>
      <c r="Z366" s="27" t="str">
        <f t="shared" si="501"/>
        <v/>
      </c>
      <c r="AA366" s="27" t="str">
        <f t="shared" si="502"/>
        <v/>
      </c>
      <c r="AB366" s="27" t="str">
        <f t="shared" si="503"/>
        <v/>
      </c>
      <c r="AC366" s="27" t="str">
        <f t="shared" si="504"/>
        <v/>
      </c>
      <c r="AD366" s="29" t="str">
        <f t="shared" si="505"/>
        <v/>
      </c>
      <c r="AE366" s="30" t="str">
        <f t="shared" si="506"/>
        <v/>
      </c>
      <c r="AG366" s="4"/>
      <c r="AH366" s="31" t="e">
        <f t="shared" si="507"/>
        <v>#VALUE!</v>
      </c>
      <c r="AI366" s="31" t="e">
        <f t="shared" si="508"/>
        <v>#VALUE!</v>
      </c>
      <c r="AJ366" s="31" t="e">
        <f t="shared" si="509"/>
        <v>#VALUE!</v>
      </c>
      <c r="AK366" s="31" t="e">
        <f t="shared" si="510"/>
        <v>#VALUE!</v>
      </c>
      <c r="AL366" s="31" t="e">
        <f t="shared" si="511"/>
        <v>#VALUE!</v>
      </c>
      <c r="AM366" s="31" t="e">
        <f t="shared" si="512"/>
        <v>#VALUE!</v>
      </c>
      <c r="AN366" s="32" t="str">
        <f t="shared" si="513"/>
        <v/>
      </c>
      <c r="AO366" s="27" t="str">
        <f t="shared" si="514"/>
        <v/>
      </c>
      <c r="AP366" s="27" t="str">
        <f t="shared" si="515"/>
        <v/>
      </c>
      <c r="AQ366" s="27">
        <f t="shared" si="516"/>
        <v>0</v>
      </c>
      <c r="AR366" s="27">
        <f t="shared" si="517"/>
        <v>0</v>
      </c>
      <c r="AS366" s="33">
        <f t="shared" si="518"/>
        <v>0</v>
      </c>
    </row>
    <row r="367" spans="2:45" hidden="1" x14ac:dyDescent="0.25">
      <c r="B367" s="34">
        <f t="shared" ref="B367:F367" si="548">IF(B366="","",B366)</f>
        <v>250</v>
      </c>
      <c r="C367" s="26">
        <f t="shared" si="548"/>
        <v>20</v>
      </c>
      <c r="D367" s="26">
        <f t="shared" si="548"/>
        <v>0</v>
      </c>
      <c r="E367" s="26">
        <f t="shared" si="548"/>
        <v>0</v>
      </c>
      <c r="F367" s="26">
        <f t="shared" si="548"/>
        <v>-1630</v>
      </c>
      <c r="G367" s="24"/>
      <c r="H367" s="24"/>
      <c r="I367" s="24"/>
      <c r="J367" s="24"/>
      <c r="K367" s="24"/>
      <c r="L367" s="24"/>
      <c r="M367" s="44" t="str">
        <f t="shared" si="539"/>
        <v/>
      </c>
      <c r="N367" s="26" t="str">
        <f t="shared" si="489"/>
        <v/>
      </c>
      <c r="O367" s="26" t="str">
        <f t="shared" si="490"/>
        <v/>
      </c>
      <c r="P367" s="26" t="str">
        <f t="shared" si="491"/>
        <v/>
      </c>
      <c r="Q367" s="26">
        <f t="shared" si="492"/>
        <v>0</v>
      </c>
      <c r="R367" s="26">
        <f t="shared" si="493"/>
        <v>0</v>
      </c>
      <c r="S367" s="26">
        <f t="shared" si="494"/>
        <v>0</v>
      </c>
      <c r="T367" s="26" t="str">
        <f t="shared" si="495"/>
        <v/>
      </c>
      <c r="U367" s="26" t="str">
        <f t="shared" si="496"/>
        <v/>
      </c>
      <c r="V367" s="26" t="str">
        <f t="shared" si="497"/>
        <v/>
      </c>
      <c r="W367" s="27" t="str">
        <f t="shared" si="498"/>
        <v/>
      </c>
      <c r="X367" s="27" t="str">
        <f t="shared" si="499"/>
        <v/>
      </c>
      <c r="Y367" s="28" t="str">
        <f t="shared" si="500"/>
        <v/>
      </c>
      <c r="Z367" s="27" t="str">
        <f t="shared" si="501"/>
        <v/>
      </c>
      <c r="AA367" s="27" t="str">
        <f t="shared" si="502"/>
        <v/>
      </c>
      <c r="AB367" s="27" t="str">
        <f t="shared" si="503"/>
        <v/>
      </c>
      <c r="AC367" s="27" t="str">
        <f t="shared" si="504"/>
        <v/>
      </c>
      <c r="AD367" s="29" t="str">
        <f t="shared" si="505"/>
        <v/>
      </c>
      <c r="AE367" s="30" t="str">
        <f t="shared" si="506"/>
        <v/>
      </c>
      <c r="AG367" s="4"/>
      <c r="AH367" s="31" t="e">
        <f t="shared" si="507"/>
        <v>#VALUE!</v>
      </c>
      <c r="AI367" s="31" t="e">
        <f t="shared" si="508"/>
        <v>#VALUE!</v>
      </c>
      <c r="AJ367" s="31" t="e">
        <f t="shared" si="509"/>
        <v>#VALUE!</v>
      </c>
      <c r="AK367" s="31" t="e">
        <f t="shared" si="510"/>
        <v>#VALUE!</v>
      </c>
      <c r="AL367" s="31" t="e">
        <f t="shared" si="511"/>
        <v>#VALUE!</v>
      </c>
      <c r="AM367" s="31" t="e">
        <f t="shared" si="512"/>
        <v>#VALUE!</v>
      </c>
      <c r="AN367" s="32" t="str">
        <f t="shared" si="513"/>
        <v/>
      </c>
      <c r="AO367" s="27" t="str">
        <f t="shared" si="514"/>
        <v/>
      </c>
      <c r="AP367" s="27" t="str">
        <f t="shared" si="515"/>
        <v/>
      </c>
      <c r="AQ367" s="27">
        <f t="shared" si="516"/>
        <v>0</v>
      </c>
      <c r="AR367" s="27">
        <f t="shared" si="517"/>
        <v>0</v>
      </c>
      <c r="AS367" s="33">
        <f t="shared" si="518"/>
        <v>0</v>
      </c>
    </row>
    <row r="368" spans="2:45" hidden="1" x14ac:dyDescent="0.25">
      <c r="B368" s="34">
        <f t="shared" ref="B368:F368" si="549">IF(B367="","",B367)</f>
        <v>250</v>
      </c>
      <c r="C368" s="26">
        <f t="shared" si="549"/>
        <v>20</v>
      </c>
      <c r="D368" s="26">
        <f t="shared" si="549"/>
        <v>0</v>
      </c>
      <c r="E368" s="26">
        <f t="shared" si="549"/>
        <v>0</v>
      </c>
      <c r="F368" s="26">
        <f t="shared" si="549"/>
        <v>-1630</v>
      </c>
      <c r="G368" s="24"/>
      <c r="H368" s="24"/>
      <c r="I368" s="24"/>
      <c r="J368" s="24"/>
      <c r="K368" s="24"/>
      <c r="L368" s="24"/>
      <c r="M368" s="44" t="str">
        <f t="shared" si="539"/>
        <v/>
      </c>
      <c r="N368" s="26" t="str">
        <f t="shared" si="489"/>
        <v/>
      </c>
      <c r="O368" s="26" t="str">
        <f t="shared" si="490"/>
        <v/>
      </c>
      <c r="P368" s="26" t="str">
        <f t="shared" si="491"/>
        <v/>
      </c>
      <c r="Q368" s="26">
        <f t="shared" si="492"/>
        <v>0</v>
      </c>
      <c r="R368" s="26">
        <f t="shared" si="493"/>
        <v>0</v>
      </c>
      <c r="S368" s="26">
        <f t="shared" si="494"/>
        <v>0</v>
      </c>
      <c r="T368" s="26" t="str">
        <f t="shared" si="495"/>
        <v/>
      </c>
      <c r="U368" s="26" t="str">
        <f t="shared" si="496"/>
        <v/>
      </c>
      <c r="V368" s="26" t="str">
        <f t="shared" si="497"/>
        <v/>
      </c>
      <c r="W368" s="27" t="str">
        <f t="shared" si="498"/>
        <v/>
      </c>
      <c r="X368" s="27" t="str">
        <f t="shared" si="499"/>
        <v/>
      </c>
      <c r="Y368" s="28" t="str">
        <f t="shared" si="500"/>
        <v/>
      </c>
      <c r="Z368" s="27" t="str">
        <f t="shared" si="501"/>
        <v/>
      </c>
      <c r="AA368" s="27" t="str">
        <f t="shared" si="502"/>
        <v/>
      </c>
      <c r="AB368" s="27" t="str">
        <f t="shared" si="503"/>
        <v/>
      </c>
      <c r="AC368" s="27" t="str">
        <f t="shared" si="504"/>
        <v/>
      </c>
      <c r="AD368" s="29" t="str">
        <f t="shared" si="505"/>
        <v/>
      </c>
      <c r="AE368" s="30" t="str">
        <f t="shared" si="506"/>
        <v/>
      </c>
      <c r="AG368" s="4"/>
      <c r="AH368" s="31" t="e">
        <f t="shared" si="507"/>
        <v>#VALUE!</v>
      </c>
      <c r="AI368" s="31" t="e">
        <f t="shared" si="508"/>
        <v>#VALUE!</v>
      </c>
      <c r="AJ368" s="31" t="e">
        <f t="shared" si="509"/>
        <v>#VALUE!</v>
      </c>
      <c r="AK368" s="31" t="e">
        <f t="shared" si="510"/>
        <v>#VALUE!</v>
      </c>
      <c r="AL368" s="31" t="e">
        <f t="shared" si="511"/>
        <v>#VALUE!</v>
      </c>
      <c r="AM368" s="31" t="e">
        <f t="shared" si="512"/>
        <v>#VALUE!</v>
      </c>
      <c r="AN368" s="32" t="str">
        <f t="shared" si="513"/>
        <v/>
      </c>
      <c r="AO368" s="27" t="str">
        <f t="shared" si="514"/>
        <v/>
      </c>
      <c r="AP368" s="27" t="str">
        <f t="shared" si="515"/>
        <v/>
      </c>
      <c r="AQ368" s="27">
        <f t="shared" si="516"/>
        <v>0</v>
      </c>
      <c r="AR368" s="27">
        <f t="shared" si="517"/>
        <v>0</v>
      </c>
      <c r="AS368" s="33">
        <f t="shared" si="518"/>
        <v>0</v>
      </c>
    </row>
    <row r="369" spans="2:45" hidden="1" x14ac:dyDescent="0.25">
      <c r="B369" s="34">
        <f t="shared" ref="B369:F369" si="550">IF(B368="","",B368)</f>
        <v>250</v>
      </c>
      <c r="C369" s="26">
        <f t="shared" si="550"/>
        <v>20</v>
      </c>
      <c r="D369" s="26">
        <f t="shared" si="550"/>
        <v>0</v>
      </c>
      <c r="E369" s="26">
        <f t="shared" si="550"/>
        <v>0</v>
      </c>
      <c r="F369" s="26">
        <f t="shared" si="550"/>
        <v>-1630</v>
      </c>
      <c r="G369" s="24"/>
      <c r="H369" s="24"/>
      <c r="I369" s="24"/>
      <c r="J369" s="24"/>
      <c r="K369" s="24"/>
      <c r="L369" s="24"/>
      <c r="M369" s="44" t="str">
        <f t="shared" si="539"/>
        <v/>
      </c>
      <c r="N369" s="26" t="str">
        <f t="shared" si="489"/>
        <v/>
      </c>
      <c r="O369" s="26" t="str">
        <f t="shared" si="490"/>
        <v/>
      </c>
      <c r="P369" s="26" t="str">
        <f t="shared" si="491"/>
        <v/>
      </c>
      <c r="Q369" s="26">
        <f t="shared" si="492"/>
        <v>0</v>
      </c>
      <c r="R369" s="26">
        <f t="shared" si="493"/>
        <v>0</v>
      </c>
      <c r="S369" s="26">
        <f t="shared" si="494"/>
        <v>0</v>
      </c>
      <c r="T369" s="26" t="str">
        <f t="shared" si="495"/>
        <v/>
      </c>
      <c r="U369" s="26" t="str">
        <f t="shared" si="496"/>
        <v/>
      </c>
      <c r="V369" s="26" t="str">
        <f t="shared" si="497"/>
        <v/>
      </c>
      <c r="W369" s="27" t="str">
        <f t="shared" si="498"/>
        <v/>
      </c>
      <c r="X369" s="27" t="str">
        <f t="shared" si="499"/>
        <v/>
      </c>
      <c r="Y369" s="28" t="str">
        <f t="shared" si="500"/>
        <v/>
      </c>
      <c r="Z369" s="27" t="str">
        <f t="shared" si="501"/>
        <v/>
      </c>
      <c r="AA369" s="27" t="str">
        <f t="shared" si="502"/>
        <v/>
      </c>
      <c r="AB369" s="27" t="str">
        <f t="shared" si="503"/>
        <v/>
      </c>
      <c r="AC369" s="27" t="str">
        <f t="shared" si="504"/>
        <v/>
      </c>
      <c r="AD369" s="29" t="str">
        <f t="shared" si="505"/>
        <v/>
      </c>
      <c r="AE369" s="30" t="str">
        <f t="shared" si="506"/>
        <v/>
      </c>
      <c r="AG369" s="4"/>
      <c r="AH369" s="31" t="e">
        <f t="shared" si="507"/>
        <v>#VALUE!</v>
      </c>
      <c r="AI369" s="31" t="e">
        <f t="shared" si="508"/>
        <v>#VALUE!</v>
      </c>
      <c r="AJ369" s="31" t="e">
        <f t="shared" si="509"/>
        <v>#VALUE!</v>
      </c>
      <c r="AK369" s="31" t="e">
        <f t="shared" si="510"/>
        <v>#VALUE!</v>
      </c>
      <c r="AL369" s="31" t="e">
        <f t="shared" si="511"/>
        <v>#VALUE!</v>
      </c>
      <c r="AM369" s="31" t="e">
        <f t="shared" si="512"/>
        <v>#VALUE!</v>
      </c>
      <c r="AN369" s="32" t="str">
        <f t="shared" si="513"/>
        <v/>
      </c>
      <c r="AO369" s="27" t="str">
        <f t="shared" si="514"/>
        <v/>
      </c>
      <c r="AP369" s="27" t="str">
        <f t="shared" si="515"/>
        <v/>
      </c>
      <c r="AQ369" s="27">
        <f t="shared" si="516"/>
        <v>0</v>
      </c>
      <c r="AR369" s="27">
        <f t="shared" si="517"/>
        <v>0</v>
      </c>
      <c r="AS369" s="33">
        <f t="shared" si="518"/>
        <v>0</v>
      </c>
    </row>
    <row r="370" spans="2:45" hidden="1" x14ac:dyDescent="0.25">
      <c r="B370" s="34">
        <f t="shared" ref="B370:F370" si="551">IF(B369="","",B369)</f>
        <v>250</v>
      </c>
      <c r="C370" s="26">
        <f t="shared" si="551"/>
        <v>20</v>
      </c>
      <c r="D370" s="26">
        <f t="shared" si="551"/>
        <v>0</v>
      </c>
      <c r="E370" s="26">
        <f t="shared" si="551"/>
        <v>0</v>
      </c>
      <c r="F370" s="26">
        <f t="shared" si="551"/>
        <v>-1630</v>
      </c>
      <c r="G370" s="24"/>
      <c r="H370" s="24"/>
      <c r="I370" s="24"/>
      <c r="J370" s="24"/>
      <c r="K370" s="24"/>
      <c r="L370" s="24"/>
      <c r="M370" s="44" t="str">
        <f t="shared" si="539"/>
        <v/>
      </c>
      <c r="N370" s="26" t="str">
        <f t="shared" si="489"/>
        <v/>
      </c>
      <c r="O370" s="26" t="str">
        <f t="shared" si="490"/>
        <v/>
      </c>
      <c r="P370" s="26" t="str">
        <f t="shared" si="491"/>
        <v/>
      </c>
      <c r="Q370" s="26">
        <f t="shared" si="492"/>
        <v>0</v>
      </c>
      <c r="R370" s="26">
        <f t="shared" si="493"/>
        <v>0</v>
      </c>
      <c r="S370" s="26">
        <f t="shared" si="494"/>
        <v>0</v>
      </c>
      <c r="T370" s="26" t="str">
        <f t="shared" si="495"/>
        <v/>
      </c>
      <c r="U370" s="26" t="str">
        <f t="shared" si="496"/>
        <v/>
      </c>
      <c r="V370" s="26" t="str">
        <f t="shared" si="497"/>
        <v/>
      </c>
      <c r="W370" s="27" t="str">
        <f t="shared" si="498"/>
        <v/>
      </c>
      <c r="X370" s="27" t="str">
        <f t="shared" si="499"/>
        <v/>
      </c>
      <c r="Y370" s="28" t="str">
        <f t="shared" si="500"/>
        <v/>
      </c>
      <c r="Z370" s="27" t="str">
        <f t="shared" si="501"/>
        <v/>
      </c>
      <c r="AA370" s="27" t="str">
        <f t="shared" si="502"/>
        <v/>
      </c>
      <c r="AB370" s="27" t="str">
        <f t="shared" si="503"/>
        <v/>
      </c>
      <c r="AC370" s="27" t="str">
        <f t="shared" si="504"/>
        <v/>
      </c>
      <c r="AD370" s="29" t="str">
        <f t="shared" si="505"/>
        <v/>
      </c>
      <c r="AE370" s="30" t="str">
        <f t="shared" si="506"/>
        <v/>
      </c>
      <c r="AG370" s="4"/>
      <c r="AH370" s="31" t="e">
        <f t="shared" si="507"/>
        <v>#VALUE!</v>
      </c>
      <c r="AI370" s="31" t="e">
        <f t="shared" si="508"/>
        <v>#VALUE!</v>
      </c>
      <c r="AJ370" s="31" t="e">
        <f t="shared" si="509"/>
        <v>#VALUE!</v>
      </c>
      <c r="AK370" s="31" t="e">
        <f t="shared" si="510"/>
        <v>#VALUE!</v>
      </c>
      <c r="AL370" s="31" t="e">
        <f t="shared" si="511"/>
        <v>#VALUE!</v>
      </c>
      <c r="AM370" s="31" t="e">
        <f t="shared" si="512"/>
        <v>#VALUE!</v>
      </c>
      <c r="AN370" s="32" t="str">
        <f t="shared" si="513"/>
        <v/>
      </c>
      <c r="AO370" s="27" t="str">
        <f t="shared" si="514"/>
        <v/>
      </c>
      <c r="AP370" s="27" t="str">
        <f t="shared" si="515"/>
        <v/>
      </c>
      <c r="AQ370" s="27">
        <f t="shared" si="516"/>
        <v>0</v>
      </c>
      <c r="AR370" s="27">
        <f t="shared" si="517"/>
        <v>0</v>
      </c>
      <c r="AS370" s="33">
        <f t="shared" si="518"/>
        <v>0</v>
      </c>
    </row>
    <row r="371" spans="2:45" hidden="1" x14ac:dyDescent="0.25">
      <c r="B371" s="34">
        <f t="shared" ref="B371:F371" si="552">IF(B370="","",B370)</f>
        <v>250</v>
      </c>
      <c r="C371" s="26">
        <f t="shared" si="552"/>
        <v>20</v>
      </c>
      <c r="D371" s="26">
        <f t="shared" si="552"/>
        <v>0</v>
      </c>
      <c r="E371" s="26">
        <f t="shared" si="552"/>
        <v>0</v>
      </c>
      <c r="F371" s="26">
        <f t="shared" si="552"/>
        <v>-1630</v>
      </c>
      <c r="G371" s="24"/>
      <c r="H371" s="24"/>
      <c r="I371" s="24"/>
      <c r="J371" s="24"/>
      <c r="K371" s="24"/>
      <c r="L371" s="24"/>
      <c r="M371" s="44" t="str">
        <f t="shared" si="539"/>
        <v/>
      </c>
      <c r="N371" s="26" t="str">
        <f t="shared" si="489"/>
        <v/>
      </c>
      <c r="O371" s="26" t="str">
        <f t="shared" si="490"/>
        <v/>
      </c>
      <c r="P371" s="26" t="str">
        <f t="shared" si="491"/>
        <v/>
      </c>
      <c r="Q371" s="26">
        <f t="shared" si="492"/>
        <v>0</v>
      </c>
      <c r="R371" s="26">
        <f t="shared" si="493"/>
        <v>0</v>
      </c>
      <c r="S371" s="26">
        <f t="shared" si="494"/>
        <v>0</v>
      </c>
      <c r="T371" s="26" t="str">
        <f t="shared" si="495"/>
        <v/>
      </c>
      <c r="U371" s="26" t="str">
        <f t="shared" si="496"/>
        <v/>
      </c>
      <c r="V371" s="26" t="str">
        <f t="shared" si="497"/>
        <v/>
      </c>
      <c r="W371" s="27" t="str">
        <f t="shared" si="498"/>
        <v/>
      </c>
      <c r="X371" s="27" t="str">
        <f t="shared" si="499"/>
        <v/>
      </c>
      <c r="Y371" s="28" t="str">
        <f t="shared" si="500"/>
        <v/>
      </c>
      <c r="Z371" s="27" t="str">
        <f t="shared" si="501"/>
        <v/>
      </c>
      <c r="AA371" s="27" t="str">
        <f t="shared" si="502"/>
        <v/>
      </c>
      <c r="AB371" s="27" t="str">
        <f t="shared" si="503"/>
        <v/>
      </c>
      <c r="AC371" s="27" t="str">
        <f t="shared" si="504"/>
        <v/>
      </c>
      <c r="AD371" s="29" t="str">
        <f t="shared" si="505"/>
        <v/>
      </c>
      <c r="AE371" s="30" t="str">
        <f t="shared" si="506"/>
        <v/>
      </c>
      <c r="AG371" s="4"/>
      <c r="AH371" s="31" t="e">
        <f t="shared" si="507"/>
        <v>#VALUE!</v>
      </c>
      <c r="AI371" s="31" t="e">
        <f t="shared" si="508"/>
        <v>#VALUE!</v>
      </c>
      <c r="AJ371" s="31" t="e">
        <f t="shared" si="509"/>
        <v>#VALUE!</v>
      </c>
      <c r="AK371" s="31" t="e">
        <f t="shared" si="510"/>
        <v>#VALUE!</v>
      </c>
      <c r="AL371" s="31" t="e">
        <f t="shared" si="511"/>
        <v>#VALUE!</v>
      </c>
      <c r="AM371" s="31" t="e">
        <f t="shared" si="512"/>
        <v>#VALUE!</v>
      </c>
      <c r="AN371" s="32" t="str">
        <f t="shared" si="513"/>
        <v/>
      </c>
      <c r="AO371" s="27" t="str">
        <f t="shared" si="514"/>
        <v/>
      </c>
      <c r="AP371" s="27" t="str">
        <f t="shared" si="515"/>
        <v/>
      </c>
      <c r="AQ371" s="27">
        <f t="shared" si="516"/>
        <v>0</v>
      </c>
      <c r="AR371" s="27">
        <f t="shared" si="517"/>
        <v>0</v>
      </c>
      <c r="AS371" s="33">
        <f t="shared" si="518"/>
        <v>0</v>
      </c>
    </row>
    <row r="372" spans="2:45" hidden="1" x14ac:dyDescent="0.25">
      <c r="B372" s="34">
        <f t="shared" ref="B372:F372" si="553">IF(B371="","",B371)</f>
        <v>250</v>
      </c>
      <c r="C372" s="26">
        <f t="shared" si="553"/>
        <v>20</v>
      </c>
      <c r="D372" s="26">
        <f t="shared" si="553"/>
        <v>0</v>
      </c>
      <c r="E372" s="26">
        <f t="shared" si="553"/>
        <v>0</v>
      </c>
      <c r="F372" s="26">
        <f t="shared" si="553"/>
        <v>-1630</v>
      </c>
      <c r="G372" s="24"/>
      <c r="H372" s="24"/>
      <c r="I372" s="24"/>
      <c r="J372" s="24"/>
      <c r="K372" s="24"/>
      <c r="L372" s="24"/>
      <c r="M372" s="44" t="str">
        <f t="shared" si="539"/>
        <v/>
      </c>
      <c r="N372" s="26" t="str">
        <f t="shared" si="489"/>
        <v/>
      </c>
      <c r="O372" s="26" t="str">
        <f t="shared" si="490"/>
        <v/>
      </c>
      <c r="P372" s="26" t="str">
        <f t="shared" si="491"/>
        <v/>
      </c>
      <c r="Q372" s="26">
        <f t="shared" si="492"/>
        <v>0</v>
      </c>
      <c r="R372" s="26">
        <f t="shared" si="493"/>
        <v>0</v>
      </c>
      <c r="S372" s="26">
        <f t="shared" si="494"/>
        <v>0</v>
      </c>
      <c r="T372" s="26" t="str">
        <f t="shared" si="495"/>
        <v/>
      </c>
      <c r="U372" s="26" t="str">
        <f t="shared" si="496"/>
        <v/>
      </c>
      <c r="V372" s="26" t="str">
        <f t="shared" si="497"/>
        <v/>
      </c>
      <c r="W372" s="27" t="str">
        <f t="shared" si="498"/>
        <v/>
      </c>
      <c r="X372" s="27" t="str">
        <f t="shared" si="499"/>
        <v/>
      </c>
      <c r="Y372" s="28" t="str">
        <f t="shared" si="500"/>
        <v/>
      </c>
      <c r="Z372" s="27" t="str">
        <f t="shared" si="501"/>
        <v/>
      </c>
      <c r="AA372" s="27" t="str">
        <f t="shared" si="502"/>
        <v/>
      </c>
      <c r="AB372" s="27" t="str">
        <f t="shared" si="503"/>
        <v/>
      </c>
      <c r="AC372" s="27" t="str">
        <f t="shared" si="504"/>
        <v/>
      </c>
      <c r="AD372" s="29" t="str">
        <f t="shared" si="505"/>
        <v/>
      </c>
      <c r="AE372" s="30" t="str">
        <f t="shared" si="506"/>
        <v/>
      </c>
      <c r="AG372" s="4"/>
      <c r="AH372" s="31" t="e">
        <f t="shared" si="507"/>
        <v>#VALUE!</v>
      </c>
      <c r="AI372" s="31" t="e">
        <f t="shared" si="508"/>
        <v>#VALUE!</v>
      </c>
      <c r="AJ372" s="31" t="e">
        <f t="shared" si="509"/>
        <v>#VALUE!</v>
      </c>
      <c r="AK372" s="31" t="e">
        <f t="shared" si="510"/>
        <v>#VALUE!</v>
      </c>
      <c r="AL372" s="31" t="e">
        <f t="shared" si="511"/>
        <v>#VALUE!</v>
      </c>
      <c r="AM372" s="31" t="e">
        <f t="shared" si="512"/>
        <v>#VALUE!</v>
      </c>
      <c r="AN372" s="32" t="str">
        <f t="shared" si="513"/>
        <v/>
      </c>
      <c r="AO372" s="27" t="str">
        <f t="shared" si="514"/>
        <v/>
      </c>
      <c r="AP372" s="27" t="str">
        <f t="shared" si="515"/>
        <v/>
      </c>
      <c r="AQ372" s="27">
        <f t="shared" si="516"/>
        <v>0</v>
      </c>
      <c r="AR372" s="27">
        <f t="shared" si="517"/>
        <v>0</v>
      </c>
      <c r="AS372" s="33">
        <f t="shared" si="518"/>
        <v>0</v>
      </c>
    </row>
    <row r="373" spans="2:45" hidden="1" x14ac:dyDescent="0.25">
      <c r="B373" s="34">
        <f t="shared" ref="B373:F373" si="554">IF(B372="","",B372)</f>
        <v>250</v>
      </c>
      <c r="C373" s="26">
        <f t="shared" si="554"/>
        <v>20</v>
      </c>
      <c r="D373" s="26">
        <f t="shared" si="554"/>
        <v>0</v>
      </c>
      <c r="E373" s="26">
        <f t="shared" si="554"/>
        <v>0</v>
      </c>
      <c r="F373" s="26">
        <f t="shared" si="554"/>
        <v>-1630</v>
      </c>
      <c r="G373" s="24"/>
      <c r="H373" s="24"/>
      <c r="I373" s="24"/>
      <c r="J373" s="24"/>
      <c r="K373" s="24"/>
      <c r="L373" s="24"/>
      <c r="M373" s="44" t="str">
        <f t="shared" si="539"/>
        <v/>
      </c>
      <c r="N373" s="26" t="str">
        <f t="shared" si="489"/>
        <v/>
      </c>
      <c r="O373" s="26" t="str">
        <f t="shared" si="490"/>
        <v/>
      </c>
      <c r="P373" s="26" t="str">
        <f t="shared" si="491"/>
        <v/>
      </c>
      <c r="Q373" s="26">
        <f t="shared" si="492"/>
        <v>0</v>
      </c>
      <c r="R373" s="26">
        <f t="shared" si="493"/>
        <v>0</v>
      </c>
      <c r="S373" s="26">
        <f t="shared" si="494"/>
        <v>0</v>
      </c>
      <c r="T373" s="26" t="str">
        <f t="shared" si="495"/>
        <v/>
      </c>
      <c r="U373" s="26" t="str">
        <f t="shared" si="496"/>
        <v/>
      </c>
      <c r="V373" s="26" t="str">
        <f t="shared" si="497"/>
        <v/>
      </c>
      <c r="W373" s="27" t="str">
        <f t="shared" si="498"/>
        <v/>
      </c>
      <c r="X373" s="27" t="str">
        <f t="shared" si="499"/>
        <v/>
      </c>
      <c r="Y373" s="28" t="str">
        <f t="shared" si="500"/>
        <v/>
      </c>
      <c r="Z373" s="27" t="str">
        <f t="shared" si="501"/>
        <v/>
      </c>
      <c r="AA373" s="27" t="str">
        <f t="shared" si="502"/>
        <v/>
      </c>
      <c r="AB373" s="27" t="str">
        <f t="shared" si="503"/>
        <v/>
      </c>
      <c r="AC373" s="27" t="str">
        <f t="shared" si="504"/>
        <v/>
      </c>
      <c r="AD373" s="29" t="str">
        <f t="shared" si="505"/>
        <v/>
      </c>
      <c r="AE373" s="30" t="str">
        <f t="shared" si="506"/>
        <v/>
      </c>
      <c r="AG373" s="4"/>
      <c r="AH373" s="31" t="e">
        <f t="shared" si="507"/>
        <v>#VALUE!</v>
      </c>
      <c r="AI373" s="31" t="e">
        <f t="shared" si="508"/>
        <v>#VALUE!</v>
      </c>
      <c r="AJ373" s="31" t="e">
        <f t="shared" si="509"/>
        <v>#VALUE!</v>
      </c>
      <c r="AK373" s="31" t="e">
        <f t="shared" si="510"/>
        <v>#VALUE!</v>
      </c>
      <c r="AL373" s="31" t="e">
        <f t="shared" si="511"/>
        <v>#VALUE!</v>
      </c>
      <c r="AM373" s="31" t="e">
        <f t="shared" si="512"/>
        <v>#VALUE!</v>
      </c>
      <c r="AN373" s="32" t="str">
        <f t="shared" si="513"/>
        <v/>
      </c>
      <c r="AO373" s="27" t="str">
        <f t="shared" si="514"/>
        <v/>
      </c>
      <c r="AP373" s="27" t="str">
        <f t="shared" si="515"/>
        <v/>
      </c>
      <c r="AQ373" s="27">
        <f t="shared" si="516"/>
        <v>0</v>
      </c>
      <c r="AR373" s="27">
        <f t="shared" si="517"/>
        <v>0</v>
      </c>
      <c r="AS373" s="33">
        <f t="shared" si="518"/>
        <v>0</v>
      </c>
    </row>
    <row r="374" spans="2:45" hidden="1" x14ac:dyDescent="0.25">
      <c r="B374" s="34">
        <f t="shared" ref="B374:F374" si="555">IF(B373="","",B373)</f>
        <v>250</v>
      </c>
      <c r="C374" s="26">
        <f t="shared" si="555"/>
        <v>20</v>
      </c>
      <c r="D374" s="26">
        <f t="shared" si="555"/>
        <v>0</v>
      </c>
      <c r="E374" s="26">
        <f t="shared" si="555"/>
        <v>0</v>
      </c>
      <c r="F374" s="26">
        <f t="shared" si="555"/>
        <v>-1630</v>
      </c>
      <c r="G374" s="24"/>
      <c r="H374" s="24"/>
      <c r="I374" s="24"/>
      <c r="J374" s="24"/>
      <c r="K374" s="24"/>
      <c r="L374" s="24"/>
      <c r="M374" s="44" t="str">
        <f t="shared" si="539"/>
        <v/>
      </c>
      <c r="N374" s="26" t="str">
        <f t="shared" si="489"/>
        <v/>
      </c>
      <c r="O374" s="26" t="str">
        <f t="shared" si="490"/>
        <v/>
      </c>
      <c r="P374" s="26" t="str">
        <f t="shared" si="491"/>
        <v/>
      </c>
      <c r="Q374" s="26">
        <f t="shared" si="492"/>
        <v>0</v>
      </c>
      <c r="R374" s="26">
        <f t="shared" si="493"/>
        <v>0</v>
      </c>
      <c r="S374" s="26">
        <f t="shared" si="494"/>
        <v>0</v>
      </c>
      <c r="T374" s="26" t="str">
        <f t="shared" si="495"/>
        <v/>
      </c>
      <c r="U374" s="26" t="str">
        <f t="shared" si="496"/>
        <v/>
      </c>
      <c r="V374" s="26" t="str">
        <f t="shared" si="497"/>
        <v/>
      </c>
      <c r="W374" s="27" t="str">
        <f t="shared" si="498"/>
        <v/>
      </c>
      <c r="X374" s="27" t="str">
        <f t="shared" si="499"/>
        <v/>
      </c>
      <c r="Y374" s="28" t="str">
        <f t="shared" si="500"/>
        <v/>
      </c>
      <c r="Z374" s="27" t="str">
        <f t="shared" si="501"/>
        <v/>
      </c>
      <c r="AA374" s="27" t="str">
        <f t="shared" si="502"/>
        <v/>
      </c>
      <c r="AB374" s="27" t="str">
        <f t="shared" si="503"/>
        <v/>
      </c>
      <c r="AC374" s="27" t="str">
        <f t="shared" si="504"/>
        <v/>
      </c>
      <c r="AD374" s="29" t="str">
        <f t="shared" si="505"/>
        <v/>
      </c>
      <c r="AE374" s="30" t="str">
        <f t="shared" si="506"/>
        <v/>
      </c>
      <c r="AG374" s="4"/>
      <c r="AH374" s="31" t="e">
        <f t="shared" si="507"/>
        <v>#VALUE!</v>
      </c>
      <c r="AI374" s="31" t="e">
        <f t="shared" si="508"/>
        <v>#VALUE!</v>
      </c>
      <c r="AJ374" s="31" t="e">
        <f t="shared" si="509"/>
        <v>#VALUE!</v>
      </c>
      <c r="AK374" s="31" t="e">
        <f t="shared" si="510"/>
        <v>#VALUE!</v>
      </c>
      <c r="AL374" s="31" t="e">
        <f t="shared" si="511"/>
        <v>#VALUE!</v>
      </c>
      <c r="AM374" s="31" t="e">
        <f t="shared" si="512"/>
        <v>#VALUE!</v>
      </c>
      <c r="AN374" s="32" t="str">
        <f t="shared" si="513"/>
        <v/>
      </c>
      <c r="AO374" s="27" t="str">
        <f t="shared" si="514"/>
        <v/>
      </c>
      <c r="AP374" s="27" t="str">
        <f t="shared" si="515"/>
        <v/>
      </c>
      <c r="AQ374" s="27">
        <f t="shared" si="516"/>
        <v>0</v>
      </c>
      <c r="AR374" s="27">
        <f t="shared" si="517"/>
        <v>0</v>
      </c>
      <c r="AS374" s="33">
        <f t="shared" si="518"/>
        <v>0</v>
      </c>
    </row>
    <row r="375" spans="2:45" hidden="1" x14ac:dyDescent="0.25">
      <c r="B375" s="34">
        <f t="shared" ref="B375:F375" si="556">IF(B374="","",B374)</f>
        <v>250</v>
      </c>
      <c r="C375" s="26">
        <f t="shared" si="556"/>
        <v>20</v>
      </c>
      <c r="D375" s="26">
        <f t="shared" si="556"/>
        <v>0</v>
      </c>
      <c r="E375" s="26">
        <f t="shared" si="556"/>
        <v>0</v>
      </c>
      <c r="F375" s="26">
        <f t="shared" si="556"/>
        <v>-1630</v>
      </c>
      <c r="G375" s="24"/>
      <c r="H375" s="24"/>
      <c r="I375" s="24"/>
      <c r="J375" s="24"/>
      <c r="K375" s="24"/>
      <c r="L375" s="24"/>
      <c r="M375" s="44" t="str">
        <f t="shared" si="539"/>
        <v/>
      </c>
      <c r="N375" s="26" t="str">
        <f t="shared" si="489"/>
        <v/>
      </c>
      <c r="O375" s="26" t="str">
        <f t="shared" si="490"/>
        <v/>
      </c>
      <c r="P375" s="26" t="str">
        <f t="shared" si="491"/>
        <v/>
      </c>
      <c r="Q375" s="26">
        <f t="shared" si="492"/>
        <v>0</v>
      </c>
      <c r="R375" s="26">
        <f t="shared" si="493"/>
        <v>0</v>
      </c>
      <c r="S375" s="26">
        <f t="shared" si="494"/>
        <v>0</v>
      </c>
      <c r="T375" s="26" t="str">
        <f t="shared" si="495"/>
        <v/>
      </c>
      <c r="U375" s="26" t="str">
        <f t="shared" si="496"/>
        <v/>
      </c>
      <c r="V375" s="26" t="str">
        <f t="shared" si="497"/>
        <v/>
      </c>
      <c r="W375" s="27" t="str">
        <f t="shared" si="498"/>
        <v/>
      </c>
      <c r="X375" s="27" t="str">
        <f t="shared" si="499"/>
        <v/>
      </c>
      <c r="Y375" s="28" t="str">
        <f t="shared" si="500"/>
        <v/>
      </c>
      <c r="Z375" s="27" t="str">
        <f t="shared" si="501"/>
        <v/>
      </c>
      <c r="AA375" s="27" t="str">
        <f t="shared" si="502"/>
        <v/>
      </c>
      <c r="AB375" s="27" t="str">
        <f t="shared" si="503"/>
        <v/>
      </c>
      <c r="AC375" s="27" t="str">
        <f t="shared" si="504"/>
        <v/>
      </c>
      <c r="AD375" s="29" t="str">
        <f t="shared" si="505"/>
        <v/>
      </c>
      <c r="AE375" s="30" t="str">
        <f t="shared" si="506"/>
        <v/>
      </c>
      <c r="AG375" s="4"/>
      <c r="AH375" s="31" t="e">
        <f t="shared" si="507"/>
        <v>#VALUE!</v>
      </c>
      <c r="AI375" s="31" t="e">
        <f t="shared" si="508"/>
        <v>#VALUE!</v>
      </c>
      <c r="AJ375" s="31" t="e">
        <f t="shared" si="509"/>
        <v>#VALUE!</v>
      </c>
      <c r="AK375" s="31" t="e">
        <f t="shared" si="510"/>
        <v>#VALUE!</v>
      </c>
      <c r="AL375" s="31" t="e">
        <f t="shared" si="511"/>
        <v>#VALUE!</v>
      </c>
      <c r="AM375" s="31" t="e">
        <f t="shared" si="512"/>
        <v>#VALUE!</v>
      </c>
      <c r="AN375" s="32" t="str">
        <f t="shared" si="513"/>
        <v/>
      </c>
      <c r="AO375" s="27" t="str">
        <f t="shared" si="514"/>
        <v/>
      </c>
      <c r="AP375" s="27" t="str">
        <f t="shared" si="515"/>
        <v/>
      </c>
      <c r="AQ375" s="27">
        <f t="shared" si="516"/>
        <v>0</v>
      </c>
      <c r="AR375" s="27">
        <f t="shared" si="517"/>
        <v>0</v>
      </c>
      <c r="AS375" s="33">
        <f t="shared" si="518"/>
        <v>0</v>
      </c>
    </row>
    <row r="376" spans="2:45" hidden="1" x14ac:dyDescent="0.25">
      <c r="B376" s="34">
        <f t="shared" ref="B376:F376" si="557">IF(B375="","",B375)</f>
        <v>250</v>
      </c>
      <c r="C376" s="26">
        <f t="shared" si="557"/>
        <v>20</v>
      </c>
      <c r="D376" s="26">
        <f t="shared" si="557"/>
        <v>0</v>
      </c>
      <c r="E376" s="26">
        <f t="shared" si="557"/>
        <v>0</v>
      </c>
      <c r="F376" s="26">
        <f t="shared" si="557"/>
        <v>-1630</v>
      </c>
      <c r="G376" s="24"/>
      <c r="H376" s="24"/>
      <c r="I376" s="24"/>
      <c r="J376" s="24"/>
      <c r="K376" s="24"/>
      <c r="L376" s="24"/>
      <c r="M376" s="44" t="str">
        <f t="shared" si="539"/>
        <v/>
      </c>
      <c r="N376" s="26" t="str">
        <f t="shared" si="489"/>
        <v/>
      </c>
      <c r="O376" s="26" t="str">
        <f t="shared" si="490"/>
        <v/>
      </c>
      <c r="P376" s="26" t="str">
        <f t="shared" si="491"/>
        <v/>
      </c>
      <c r="Q376" s="26">
        <f t="shared" si="492"/>
        <v>0</v>
      </c>
      <c r="R376" s="26">
        <f t="shared" si="493"/>
        <v>0</v>
      </c>
      <c r="S376" s="26">
        <f t="shared" si="494"/>
        <v>0</v>
      </c>
      <c r="T376" s="26" t="str">
        <f t="shared" si="495"/>
        <v/>
      </c>
      <c r="U376" s="26" t="str">
        <f t="shared" si="496"/>
        <v/>
      </c>
      <c r="V376" s="26" t="str">
        <f t="shared" si="497"/>
        <v/>
      </c>
      <c r="W376" s="27" t="str">
        <f t="shared" si="498"/>
        <v/>
      </c>
      <c r="X376" s="27" t="str">
        <f t="shared" si="499"/>
        <v/>
      </c>
      <c r="Y376" s="28" t="str">
        <f t="shared" si="500"/>
        <v/>
      </c>
      <c r="Z376" s="27" t="str">
        <f t="shared" si="501"/>
        <v/>
      </c>
      <c r="AA376" s="27" t="str">
        <f t="shared" si="502"/>
        <v/>
      </c>
      <c r="AB376" s="27" t="str">
        <f t="shared" si="503"/>
        <v/>
      </c>
      <c r="AC376" s="27" t="str">
        <f t="shared" si="504"/>
        <v/>
      </c>
      <c r="AD376" s="29" t="str">
        <f t="shared" si="505"/>
        <v/>
      </c>
      <c r="AE376" s="30" t="str">
        <f t="shared" si="506"/>
        <v/>
      </c>
      <c r="AG376" s="4"/>
      <c r="AH376" s="31" t="e">
        <f t="shared" si="507"/>
        <v>#VALUE!</v>
      </c>
      <c r="AI376" s="31" t="e">
        <f t="shared" si="508"/>
        <v>#VALUE!</v>
      </c>
      <c r="AJ376" s="31" t="e">
        <f t="shared" si="509"/>
        <v>#VALUE!</v>
      </c>
      <c r="AK376" s="31" t="e">
        <f t="shared" si="510"/>
        <v>#VALUE!</v>
      </c>
      <c r="AL376" s="31" t="e">
        <f t="shared" si="511"/>
        <v>#VALUE!</v>
      </c>
      <c r="AM376" s="31" t="e">
        <f t="shared" si="512"/>
        <v>#VALUE!</v>
      </c>
      <c r="AN376" s="32" t="str">
        <f t="shared" si="513"/>
        <v/>
      </c>
      <c r="AO376" s="27" t="str">
        <f t="shared" si="514"/>
        <v/>
      </c>
      <c r="AP376" s="27" t="str">
        <f t="shared" si="515"/>
        <v/>
      </c>
      <c r="AQ376" s="27">
        <f t="shared" si="516"/>
        <v>0</v>
      </c>
      <c r="AR376" s="27">
        <f t="shared" si="517"/>
        <v>0</v>
      </c>
      <c r="AS376" s="33">
        <f t="shared" si="518"/>
        <v>0</v>
      </c>
    </row>
    <row r="377" spans="2:45" hidden="1" x14ac:dyDescent="0.25">
      <c r="B377" s="34">
        <f t="shared" ref="B377:F377" si="558">IF(B376="","",B376)</f>
        <v>250</v>
      </c>
      <c r="C377" s="26">
        <f t="shared" si="558"/>
        <v>20</v>
      </c>
      <c r="D377" s="26">
        <f t="shared" si="558"/>
        <v>0</v>
      </c>
      <c r="E377" s="26">
        <f t="shared" si="558"/>
        <v>0</v>
      </c>
      <c r="F377" s="26">
        <f t="shared" si="558"/>
        <v>-1630</v>
      </c>
      <c r="G377" s="24"/>
      <c r="H377" s="24"/>
      <c r="I377" s="24"/>
      <c r="J377" s="24"/>
      <c r="K377" s="24"/>
      <c r="L377" s="24"/>
      <c r="M377" s="44" t="str">
        <f t="shared" si="539"/>
        <v/>
      </c>
      <c r="N377" s="26" t="str">
        <f t="shared" si="489"/>
        <v/>
      </c>
      <c r="O377" s="26" t="str">
        <f t="shared" si="490"/>
        <v/>
      </c>
      <c r="P377" s="26" t="str">
        <f t="shared" si="491"/>
        <v/>
      </c>
      <c r="Q377" s="26">
        <f t="shared" si="492"/>
        <v>0</v>
      </c>
      <c r="R377" s="26">
        <f t="shared" si="493"/>
        <v>0</v>
      </c>
      <c r="S377" s="26">
        <f t="shared" si="494"/>
        <v>0</v>
      </c>
      <c r="T377" s="26" t="str">
        <f t="shared" si="495"/>
        <v/>
      </c>
      <c r="U377" s="26" t="str">
        <f t="shared" si="496"/>
        <v/>
      </c>
      <c r="V377" s="26" t="str">
        <f t="shared" si="497"/>
        <v/>
      </c>
      <c r="W377" s="27" t="str">
        <f t="shared" si="498"/>
        <v/>
      </c>
      <c r="X377" s="27" t="str">
        <f t="shared" si="499"/>
        <v/>
      </c>
      <c r="Y377" s="28" t="str">
        <f t="shared" si="500"/>
        <v/>
      </c>
      <c r="Z377" s="27" t="str">
        <f t="shared" si="501"/>
        <v/>
      </c>
      <c r="AA377" s="27" t="str">
        <f t="shared" si="502"/>
        <v/>
      </c>
      <c r="AB377" s="27" t="str">
        <f t="shared" si="503"/>
        <v/>
      </c>
      <c r="AC377" s="27" t="str">
        <f t="shared" si="504"/>
        <v/>
      </c>
      <c r="AD377" s="29" t="str">
        <f t="shared" si="505"/>
        <v/>
      </c>
      <c r="AE377" s="30" t="str">
        <f t="shared" si="506"/>
        <v/>
      </c>
      <c r="AG377" s="4"/>
      <c r="AH377" s="31" t="e">
        <f t="shared" si="507"/>
        <v>#VALUE!</v>
      </c>
      <c r="AI377" s="31" t="e">
        <f t="shared" si="508"/>
        <v>#VALUE!</v>
      </c>
      <c r="AJ377" s="31" t="e">
        <f t="shared" si="509"/>
        <v>#VALUE!</v>
      </c>
      <c r="AK377" s="31" t="e">
        <f t="shared" si="510"/>
        <v>#VALUE!</v>
      </c>
      <c r="AL377" s="31" t="e">
        <f t="shared" si="511"/>
        <v>#VALUE!</v>
      </c>
      <c r="AM377" s="31" t="e">
        <f t="shared" si="512"/>
        <v>#VALUE!</v>
      </c>
      <c r="AN377" s="32" t="str">
        <f t="shared" si="513"/>
        <v/>
      </c>
      <c r="AO377" s="27" t="str">
        <f t="shared" si="514"/>
        <v/>
      </c>
      <c r="AP377" s="27" t="str">
        <f t="shared" si="515"/>
        <v/>
      </c>
      <c r="AQ377" s="27">
        <f t="shared" si="516"/>
        <v>0</v>
      </c>
      <c r="AR377" s="27">
        <f t="shared" si="517"/>
        <v>0</v>
      </c>
      <c r="AS377" s="33">
        <f t="shared" si="518"/>
        <v>0</v>
      </c>
    </row>
    <row r="378" spans="2:45" hidden="1" x14ac:dyDescent="0.25">
      <c r="B378" s="34">
        <f t="shared" ref="B378:F378" si="559">IF(B377="","",B377)</f>
        <v>250</v>
      </c>
      <c r="C378" s="26">
        <f t="shared" si="559"/>
        <v>20</v>
      </c>
      <c r="D378" s="26">
        <f t="shared" si="559"/>
        <v>0</v>
      </c>
      <c r="E378" s="26">
        <f t="shared" si="559"/>
        <v>0</v>
      </c>
      <c r="F378" s="26">
        <f t="shared" si="559"/>
        <v>-1630</v>
      </c>
      <c r="G378" s="24"/>
      <c r="H378" s="24"/>
      <c r="I378" s="24"/>
      <c r="J378" s="24"/>
      <c r="K378" s="24"/>
      <c r="L378" s="24"/>
      <c r="M378" s="44" t="str">
        <f t="shared" si="539"/>
        <v/>
      </c>
      <c r="N378" s="26" t="str">
        <f t="shared" si="489"/>
        <v/>
      </c>
      <c r="O378" s="26" t="str">
        <f t="shared" si="490"/>
        <v/>
      </c>
      <c r="P378" s="26" t="str">
        <f t="shared" si="491"/>
        <v/>
      </c>
      <c r="Q378" s="26">
        <f t="shared" si="492"/>
        <v>0</v>
      </c>
      <c r="R378" s="26">
        <f t="shared" si="493"/>
        <v>0</v>
      </c>
      <c r="S378" s="26">
        <f t="shared" si="494"/>
        <v>0</v>
      </c>
      <c r="T378" s="26" t="str">
        <f t="shared" si="495"/>
        <v/>
      </c>
      <c r="U378" s="26" t="str">
        <f t="shared" si="496"/>
        <v/>
      </c>
      <c r="V378" s="26" t="str">
        <f t="shared" si="497"/>
        <v/>
      </c>
      <c r="W378" s="27" t="str">
        <f t="shared" si="498"/>
        <v/>
      </c>
      <c r="X378" s="27" t="str">
        <f t="shared" si="499"/>
        <v/>
      </c>
      <c r="Y378" s="28" t="str">
        <f t="shared" si="500"/>
        <v/>
      </c>
      <c r="Z378" s="27" t="str">
        <f t="shared" si="501"/>
        <v/>
      </c>
      <c r="AA378" s="27" t="str">
        <f t="shared" si="502"/>
        <v/>
      </c>
      <c r="AB378" s="27" t="str">
        <f t="shared" si="503"/>
        <v/>
      </c>
      <c r="AC378" s="27" t="str">
        <f t="shared" si="504"/>
        <v/>
      </c>
      <c r="AD378" s="29" t="str">
        <f t="shared" si="505"/>
        <v/>
      </c>
      <c r="AE378" s="30" t="str">
        <f t="shared" si="506"/>
        <v/>
      </c>
      <c r="AG378" s="4"/>
      <c r="AH378" s="31" t="e">
        <f t="shared" si="507"/>
        <v>#VALUE!</v>
      </c>
      <c r="AI378" s="31" t="e">
        <f t="shared" si="508"/>
        <v>#VALUE!</v>
      </c>
      <c r="AJ378" s="31" t="e">
        <f t="shared" si="509"/>
        <v>#VALUE!</v>
      </c>
      <c r="AK378" s="31" t="e">
        <f t="shared" si="510"/>
        <v>#VALUE!</v>
      </c>
      <c r="AL378" s="31" t="e">
        <f t="shared" si="511"/>
        <v>#VALUE!</v>
      </c>
      <c r="AM378" s="31" t="e">
        <f t="shared" si="512"/>
        <v>#VALUE!</v>
      </c>
      <c r="AN378" s="32" t="str">
        <f t="shared" si="513"/>
        <v/>
      </c>
      <c r="AO378" s="27" t="str">
        <f t="shared" si="514"/>
        <v/>
      </c>
      <c r="AP378" s="27" t="str">
        <f t="shared" si="515"/>
        <v/>
      </c>
      <c r="AQ378" s="27">
        <f t="shared" si="516"/>
        <v>0</v>
      </c>
      <c r="AR378" s="27">
        <f t="shared" si="517"/>
        <v>0</v>
      </c>
      <c r="AS378" s="33">
        <f t="shared" si="518"/>
        <v>0</v>
      </c>
    </row>
    <row r="379" spans="2:45" hidden="1" x14ac:dyDescent="0.25">
      <c r="B379" s="34">
        <f>IF(B378="","",B378)</f>
        <v>250</v>
      </c>
      <c r="C379" s="26">
        <f t="shared" ref="C379:F379" si="560">IF(C378="","",C378)</f>
        <v>20</v>
      </c>
      <c r="D379" s="26">
        <f t="shared" si="560"/>
        <v>0</v>
      </c>
      <c r="E379" s="26">
        <f t="shared" si="560"/>
        <v>0</v>
      </c>
      <c r="F379" s="26">
        <f t="shared" si="560"/>
        <v>-1630</v>
      </c>
      <c r="G379" s="24"/>
      <c r="H379" s="24"/>
      <c r="I379" s="24"/>
      <c r="J379" s="24"/>
      <c r="K379" s="24"/>
      <c r="L379" s="24"/>
      <c r="M379" s="44" t="str">
        <f t="shared" si="539"/>
        <v/>
      </c>
      <c r="N379" s="26" t="str">
        <f t="shared" si="489"/>
        <v/>
      </c>
      <c r="O379" s="26" t="str">
        <f t="shared" si="490"/>
        <v/>
      </c>
      <c r="P379" s="26" t="str">
        <f t="shared" si="491"/>
        <v/>
      </c>
      <c r="Q379" s="26">
        <f t="shared" si="492"/>
        <v>0</v>
      </c>
      <c r="R379" s="26">
        <f t="shared" si="493"/>
        <v>0</v>
      </c>
      <c r="S379" s="26">
        <f t="shared" si="494"/>
        <v>0</v>
      </c>
      <c r="T379" s="26" t="str">
        <f t="shared" si="495"/>
        <v/>
      </c>
      <c r="U379" s="26" t="str">
        <f t="shared" si="496"/>
        <v/>
      </c>
      <c r="V379" s="26" t="str">
        <f t="shared" si="497"/>
        <v/>
      </c>
      <c r="W379" s="27" t="str">
        <f t="shared" si="498"/>
        <v/>
      </c>
      <c r="X379" s="27" t="str">
        <f t="shared" si="499"/>
        <v/>
      </c>
      <c r="Y379" s="28" t="str">
        <f t="shared" si="500"/>
        <v/>
      </c>
      <c r="Z379" s="27" t="str">
        <f t="shared" si="501"/>
        <v/>
      </c>
      <c r="AA379" s="27" t="str">
        <f t="shared" si="502"/>
        <v/>
      </c>
      <c r="AB379" s="27" t="str">
        <f t="shared" si="503"/>
        <v/>
      </c>
      <c r="AC379" s="27" t="str">
        <f t="shared" si="504"/>
        <v/>
      </c>
      <c r="AD379" s="29" t="str">
        <f t="shared" si="505"/>
        <v/>
      </c>
      <c r="AE379" s="30" t="str">
        <f t="shared" si="506"/>
        <v/>
      </c>
      <c r="AG379" s="4"/>
      <c r="AH379" s="31" t="e">
        <f t="shared" si="507"/>
        <v>#VALUE!</v>
      </c>
      <c r="AI379" s="31" t="e">
        <f t="shared" si="508"/>
        <v>#VALUE!</v>
      </c>
      <c r="AJ379" s="31" t="e">
        <f t="shared" si="509"/>
        <v>#VALUE!</v>
      </c>
      <c r="AK379" s="31" t="e">
        <f t="shared" si="510"/>
        <v>#VALUE!</v>
      </c>
      <c r="AL379" s="31" t="e">
        <f t="shared" si="511"/>
        <v>#VALUE!</v>
      </c>
      <c r="AM379" s="31" t="e">
        <f t="shared" si="512"/>
        <v>#VALUE!</v>
      </c>
      <c r="AN379" s="32" t="str">
        <f t="shared" si="513"/>
        <v/>
      </c>
      <c r="AO379" s="27" t="str">
        <f t="shared" si="514"/>
        <v/>
      </c>
      <c r="AP379" s="27" t="str">
        <f t="shared" si="515"/>
        <v/>
      </c>
      <c r="AQ379" s="27">
        <f t="shared" si="516"/>
        <v>0</v>
      </c>
      <c r="AR379" s="27">
        <f t="shared" si="517"/>
        <v>0</v>
      </c>
      <c r="AS379" s="33">
        <f t="shared" si="518"/>
        <v>0</v>
      </c>
    </row>
    <row r="380" spans="2:45" hidden="1" x14ac:dyDescent="0.25">
      <c r="B380" s="34">
        <f t="shared" ref="B380:F380" si="561">IF(B379="","",B379)</f>
        <v>250</v>
      </c>
      <c r="C380" s="26">
        <f t="shared" si="561"/>
        <v>20</v>
      </c>
      <c r="D380" s="26">
        <f t="shared" si="561"/>
        <v>0</v>
      </c>
      <c r="E380" s="26">
        <f t="shared" si="561"/>
        <v>0</v>
      </c>
      <c r="F380" s="26">
        <f t="shared" si="561"/>
        <v>-1630</v>
      </c>
      <c r="G380" s="24"/>
      <c r="H380" s="24"/>
      <c r="I380" s="24"/>
      <c r="J380" s="24"/>
      <c r="K380" s="24"/>
      <c r="L380" s="24"/>
      <c r="M380" s="44" t="str">
        <f t="shared" si="539"/>
        <v/>
      </c>
      <c r="N380" s="26" t="str">
        <f t="shared" si="489"/>
        <v/>
      </c>
      <c r="O380" s="26" t="str">
        <f t="shared" si="490"/>
        <v/>
      </c>
      <c r="P380" s="26" t="str">
        <f t="shared" si="491"/>
        <v/>
      </c>
      <c r="Q380" s="26">
        <f t="shared" si="492"/>
        <v>0</v>
      </c>
      <c r="R380" s="26">
        <f t="shared" si="493"/>
        <v>0</v>
      </c>
      <c r="S380" s="26">
        <f t="shared" si="494"/>
        <v>0</v>
      </c>
      <c r="T380" s="26" t="str">
        <f t="shared" si="495"/>
        <v/>
      </c>
      <c r="U380" s="26" t="str">
        <f t="shared" si="496"/>
        <v/>
      </c>
      <c r="V380" s="26" t="str">
        <f t="shared" si="497"/>
        <v/>
      </c>
      <c r="W380" s="27" t="str">
        <f t="shared" si="498"/>
        <v/>
      </c>
      <c r="X380" s="27" t="str">
        <f t="shared" si="499"/>
        <v/>
      </c>
      <c r="Y380" s="28" t="str">
        <f t="shared" si="500"/>
        <v/>
      </c>
      <c r="Z380" s="27" t="str">
        <f t="shared" si="501"/>
        <v/>
      </c>
      <c r="AA380" s="27" t="str">
        <f t="shared" si="502"/>
        <v/>
      </c>
      <c r="AB380" s="27" t="str">
        <f t="shared" si="503"/>
        <v/>
      </c>
      <c r="AC380" s="27" t="str">
        <f t="shared" si="504"/>
        <v/>
      </c>
      <c r="AD380" s="29" t="str">
        <f t="shared" si="505"/>
        <v/>
      </c>
      <c r="AE380" s="30" t="str">
        <f t="shared" si="506"/>
        <v/>
      </c>
      <c r="AG380" s="4"/>
      <c r="AH380" s="31" t="e">
        <f t="shared" si="507"/>
        <v>#VALUE!</v>
      </c>
      <c r="AI380" s="31" t="e">
        <f t="shared" si="508"/>
        <v>#VALUE!</v>
      </c>
      <c r="AJ380" s="31" t="e">
        <f t="shared" si="509"/>
        <v>#VALUE!</v>
      </c>
      <c r="AK380" s="31" t="e">
        <f t="shared" si="510"/>
        <v>#VALUE!</v>
      </c>
      <c r="AL380" s="31" t="e">
        <f t="shared" si="511"/>
        <v>#VALUE!</v>
      </c>
      <c r="AM380" s="31" t="e">
        <f t="shared" si="512"/>
        <v>#VALUE!</v>
      </c>
      <c r="AN380" s="32" t="str">
        <f t="shared" si="513"/>
        <v/>
      </c>
      <c r="AO380" s="27" t="str">
        <f t="shared" si="514"/>
        <v/>
      </c>
      <c r="AP380" s="27" t="str">
        <f t="shared" si="515"/>
        <v/>
      </c>
      <c r="AQ380" s="27">
        <f t="shared" si="516"/>
        <v>0</v>
      </c>
      <c r="AR380" s="27">
        <f t="shared" si="517"/>
        <v>0</v>
      </c>
      <c r="AS380" s="33">
        <f t="shared" si="518"/>
        <v>0</v>
      </c>
    </row>
    <row r="381" spans="2:45" hidden="1" x14ac:dyDescent="0.25">
      <c r="B381" s="34">
        <f t="shared" ref="B381:F381" si="562">IF(B380="","",B380)</f>
        <v>250</v>
      </c>
      <c r="C381" s="26">
        <f t="shared" si="562"/>
        <v>20</v>
      </c>
      <c r="D381" s="26">
        <f t="shared" si="562"/>
        <v>0</v>
      </c>
      <c r="E381" s="26">
        <f t="shared" si="562"/>
        <v>0</v>
      </c>
      <c r="F381" s="26">
        <f t="shared" si="562"/>
        <v>-1630</v>
      </c>
      <c r="G381" s="24"/>
      <c r="H381" s="24"/>
      <c r="I381" s="24"/>
      <c r="J381" s="24"/>
      <c r="K381" s="24"/>
      <c r="L381" s="24"/>
      <c r="M381" s="44" t="str">
        <f t="shared" si="539"/>
        <v/>
      </c>
      <c r="N381" s="26" t="str">
        <f t="shared" si="489"/>
        <v/>
      </c>
      <c r="O381" s="26" t="str">
        <f t="shared" si="490"/>
        <v/>
      </c>
      <c r="P381" s="26" t="str">
        <f t="shared" si="491"/>
        <v/>
      </c>
      <c r="Q381" s="26">
        <f t="shared" si="492"/>
        <v>0</v>
      </c>
      <c r="R381" s="26">
        <f t="shared" si="493"/>
        <v>0</v>
      </c>
      <c r="S381" s="26">
        <f t="shared" si="494"/>
        <v>0</v>
      </c>
      <c r="T381" s="26" t="str">
        <f t="shared" si="495"/>
        <v/>
      </c>
      <c r="U381" s="26" t="str">
        <f t="shared" si="496"/>
        <v/>
      </c>
      <c r="V381" s="26" t="str">
        <f t="shared" si="497"/>
        <v/>
      </c>
      <c r="W381" s="27" t="str">
        <f t="shared" si="498"/>
        <v/>
      </c>
      <c r="X381" s="27" t="str">
        <f t="shared" si="499"/>
        <v/>
      </c>
      <c r="Y381" s="28" t="str">
        <f t="shared" si="500"/>
        <v/>
      </c>
      <c r="Z381" s="27" t="str">
        <f t="shared" si="501"/>
        <v/>
      </c>
      <c r="AA381" s="27" t="str">
        <f t="shared" si="502"/>
        <v/>
      </c>
      <c r="AB381" s="27" t="str">
        <f t="shared" si="503"/>
        <v/>
      </c>
      <c r="AC381" s="27" t="str">
        <f t="shared" si="504"/>
        <v/>
      </c>
      <c r="AD381" s="29" t="str">
        <f t="shared" si="505"/>
        <v/>
      </c>
      <c r="AE381" s="30" t="str">
        <f t="shared" si="506"/>
        <v/>
      </c>
      <c r="AG381" s="4"/>
      <c r="AH381" s="31" t="e">
        <f t="shared" si="507"/>
        <v>#VALUE!</v>
      </c>
      <c r="AI381" s="31" t="e">
        <f t="shared" si="508"/>
        <v>#VALUE!</v>
      </c>
      <c r="AJ381" s="31" t="e">
        <f t="shared" si="509"/>
        <v>#VALUE!</v>
      </c>
      <c r="AK381" s="31" t="e">
        <f t="shared" si="510"/>
        <v>#VALUE!</v>
      </c>
      <c r="AL381" s="31" t="e">
        <f t="shared" si="511"/>
        <v>#VALUE!</v>
      </c>
      <c r="AM381" s="31" t="e">
        <f t="shared" si="512"/>
        <v>#VALUE!</v>
      </c>
      <c r="AN381" s="32" t="str">
        <f t="shared" si="513"/>
        <v/>
      </c>
      <c r="AO381" s="27" t="str">
        <f t="shared" si="514"/>
        <v/>
      </c>
      <c r="AP381" s="27" t="str">
        <f t="shared" si="515"/>
        <v/>
      </c>
      <c r="AQ381" s="27">
        <f t="shared" si="516"/>
        <v>0</v>
      </c>
      <c r="AR381" s="27">
        <f t="shared" si="517"/>
        <v>0</v>
      </c>
      <c r="AS381" s="33">
        <f t="shared" si="518"/>
        <v>0</v>
      </c>
    </row>
    <row r="382" spans="2:45" hidden="1" x14ac:dyDescent="0.25">
      <c r="B382" s="34">
        <f t="shared" ref="B382:F382" si="563">IF(B381="","",B381)</f>
        <v>250</v>
      </c>
      <c r="C382" s="26">
        <f t="shared" si="563"/>
        <v>20</v>
      </c>
      <c r="D382" s="26">
        <f t="shared" si="563"/>
        <v>0</v>
      </c>
      <c r="E382" s="26">
        <f t="shared" si="563"/>
        <v>0</v>
      </c>
      <c r="F382" s="26">
        <f t="shared" si="563"/>
        <v>-1630</v>
      </c>
      <c r="G382" s="24"/>
      <c r="H382" s="24"/>
      <c r="I382" s="24"/>
      <c r="J382" s="24"/>
      <c r="K382" s="24"/>
      <c r="L382" s="24"/>
      <c r="M382" s="44" t="str">
        <f t="shared" si="539"/>
        <v/>
      </c>
      <c r="N382" s="26" t="str">
        <f t="shared" si="489"/>
        <v/>
      </c>
      <c r="O382" s="26" t="str">
        <f t="shared" si="490"/>
        <v/>
      </c>
      <c r="P382" s="26" t="str">
        <f t="shared" si="491"/>
        <v/>
      </c>
      <c r="Q382" s="26">
        <f t="shared" si="492"/>
        <v>0</v>
      </c>
      <c r="R382" s="26">
        <f t="shared" si="493"/>
        <v>0</v>
      </c>
      <c r="S382" s="26">
        <f t="shared" si="494"/>
        <v>0</v>
      </c>
      <c r="T382" s="26" t="str">
        <f t="shared" si="495"/>
        <v/>
      </c>
      <c r="U382" s="26" t="str">
        <f t="shared" si="496"/>
        <v/>
      </c>
      <c r="V382" s="26" t="str">
        <f t="shared" si="497"/>
        <v/>
      </c>
      <c r="W382" s="27" t="str">
        <f t="shared" si="498"/>
        <v/>
      </c>
      <c r="X382" s="27" t="str">
        <f t="shared" si="499"/>
        <v/>
      </c>
      <c r="Y382" s="28" t="str">
        <f t="shared" si="500"/>
        <v/>
      </c>
      <c r="Z382" s="27" t="str">
        <f t="shared" si="501"/>
        <v/>
      </c>
      <c r="AA382" s="27" t="str">
        <f t="shared" si="502"/>
        <v/>
      </c>
      <c r="AB382" s="27" t="str">
        <f t="shared" si="503"/>
        <v/>
      </c>
      <c r="AC382" s="27" t="str">
        <f t="shared" si="504"/>
        <v/>
      </c>
      <c r="AD382" s="29" t="str">
        <f t="shared" si="505"/>
        <v/>
      </c>
      <c r="AE382" s="30" t="str">
        <f t="shared" si="506"/>
        <v/>
      </c>
      <c r="AG382" s="4"/>
      <c r="AH382" s="31" t="e">
        <f t="shared" si="507"/>
        <v>#VALUE!</v>
      </c>
      <c r="AI382" s="31" t="e">
        <f t="shared" si="508"/>
        <v>#VALUE!</v>
      </c>
      <c r="AJ382" s="31" t="e">
        <f t="shared" si="509"/>
        <v>#VALUE!</v>
      </c>
      <c r="AK382" s="31" t="e">
        <f t="shared" si="510"/>
        <v>#VALUE!</v>
      </c>
      <c r="AL382" s="31" t="e">
        <f t="shared" si="511"/>
        <v>#VALUE!</v>
      </c>
      <c r="AM382" s="31" t="e">
        <f t="shared" si="512"/>
        <v>#VALUE!</v>
      </c>
      <c r="AN382" s="32" t="str">
        <f t="shared" si="513"/>
        <v/>
      </c>
      <c r="AO382" s="27" t="str">
        <f t="shared" si="514"/>
        <v/>
      </c>
      <c r="AP382" s="27" t="str">
        <f t="shared" si="515"/>
        <v/>
      </c>
      <c r="AQ382" s="27">
        <f t="shared" si="516"/>
        <v>0</v>
      </c>
      <c r="AR382" s="27">
        <f t="shared" si="517"/>
        <v>0</v>
      </c>
      <c r="AS382" s="33">
        <f t="shared" si="518"/>
        <v>0</v>
      </c>
    </row>
    <row r="383" spans="2:45" hidden="1" x14ac:dyDescent="0.25">
      <c r="B383" s="34">
        <f t="shared" ref="B383:F383" si="564">IF(B382="","",B382)</f>
        <v>250</v>
      </c>
      <c r="C383" s="26">
        <f t="shared" si="564"/>
        <v>20</v>
      </c>
      <c r="D383" s="26">
        <f t="shared" si="564"/>
        <v>0</v>
      </c>
      <c r="E383" s="26">
        <f t="shared" si="564"/>
        <v>0</v>
      </c>
      <c r="F383" s="26">
        <f t="shared" si="564"/>
        <v>-1630</v>
      </c>
      <c r="G383" s="24"/>
      <c r="H383" s="24"/>
      <c r="I383" s="24"/>
      <c r="J383" s="24"/>
      <c r="K383" s="24"/>
      <c r="L383" s="24"/>
      <c r="M383" s="44" t="str">
        <f t="shared" si="539"/>
        <v/>
      </c>
      <c r="N383" s="26" t="str">
        <f t="shared" si="489"/>
        <v/>
      </c>
      <c r="O383" s="26" t="str">
        <f t="shared" si="490"/>
        <v/>
      </c>
      <c r="P383" s="26" t="str">
        <f t="shared" si="491"/>
        <v/>
      </c>
      <c r="Q383" s="26">
        <f t="shared" si="492"/>
        <v>0</v>
      </c>
      <c r="R383" s="26">
        <f t="shared" si="493"/>
        <v>0</v>
      </c>
      <c r="S383" s="26">
        <f t="shared" si="494"/>
        <v>0</v>
      </c>
      <c r="T383" s="26" t="str">
        <f t="shared" si="495"/>
        <v/>
      </c>
      <c r="U383" s="26" t="str">
        <f t="shared" si="496"/>
        <v/>
      </c>
      <c r="V383" s="26" t="str">
        <f t="shared" si="497"/>
        <v/>
      </c>
      <c r="W383" s="27" t="str">
        <f t="shared" si="498"/>
        <v/>
      </c>
      <c r="X383" s="27" t="str">
        <f t="shared" si="499"/>
        <v/>
      </c>
      <c r="Y383" s="28" t="str">
        <f t="shared" si="500"/>
        <v/>
      </c>
      <c r="Z383" s="27" t="str">
        <f t="shared" si="501"/>
        <v/>
      </c>
      <c r="AA383" s="27" t="str">
        <f t="shared" si="502"/>
        <v/>
      </c>
      <c r="AB383" s="27" t="str">
        <f t="shared" si="503"/>
        <v/>
      </c>
      <c r="AC383" s="27" t="str">
        <f t="shared" si="504"/>
        <v/>
      </c>
      <c r="AD383" s="29" t="str">
        <f t="shared" si="505"/>
        <v/>
      </c>
      <c r="AE383" s="30" t="str">
        <f t="shared" si="506"/>
        <v/>
      </c>
      <c r="AG383" s="4"/>
      <c r="AH383" s="31" t="e">
        <f t="shared" si="507"/>
        <v>#VALUE!</v>
      </c>
      <c r="AI383" s="31" t="e">
        <f t="shared" si="508"/>
        <v>#VALUE!</v>
      </c>
      <c r="AJ383" s="31" t="e">
        <f t="shared" si="509"/>
        <v>#VALUE!</v>
      </c>
      <c r="AK383" s="31" t="e">
        <f t="shared" si="510"/>
        <v>#VALUE!</v>
      </c>
      <c r="AL383" s="31" t="e">
        <f t="shared" si="511"/>
        <v>#VALUE!</v>
      </c>
      <c r="AM383" s="31" t="e">
        <f t="shared" si="512"/>
        <v>#VALUE!</v>
      </c>
      <c r="AN383" s="32" t="str">
        <f t="shared" si="513"/>
        <v/>
      </c>
      <c r="AO383" s="27" t="str">
        <f t="shared" si="514"/>
        <v/>
      </c>
      <c r="AP383" s="27" t="str">
        <f t="shared" si="515"/>
        <v/>
      </c>
      <c r="AQ383" s="27">
        <f t="shared" si="516"/>
        <v>0</v>
      </c>
      <c r="AR383" s="27">
        <f t="shared" si="517"/>
        <v>0</v>
      </c>
      <c r="AS383" s="33">
        <f t="shared" si="518"/>
        <v>0</v>
      </c>
    </row>
    <row r="384" spans="2:45" hidden="1" x14ac:dyDescent="0.25">
      <c r="B384" s="34">
        <f t="shared" ref="B384:F384" si="565">IF(B383="","",B383)</f>
        <v>250</v>
      </c>
      <c r="C384" s="26">
        <f t="shared" si="565"/>
        <v>20</v>
      </c>
      <c r="D384" s="26">
        <f t="shared" si="565"/>
        <v>0</v>
      </c>
      <c r="E384" s="26">
        <f t="shared" si="565"/>
        <v>0</v>
      </c>
      <c r="F384" s="26">
        <f t="shared" si="565"/>
        <v>-1630</v>
      </c>
      <c r="G384" s="24"/>
      <c r="H384" s="24"/>
      <c r="I384" s="24"/>
      <c r="J384" s="24"/>
      <c r="K384" s="24"/>
      <c r="L384" s="24"/>
      <c r="M384" s="44" t="str">
        <f t="shared" si="539"/>
        <v/>
      </c>
      <c r="N384" s="26" t="str">
        <f t="shared" si="489"/>
        <v/>
      </c>
      <c r="O384" s="26" t="str">
        <f t="shared" si="490"/>
        <v/>
      </c>
      <c r="P384" s="26" t="str">
        <f t="shared" si="491"/>
        <v/>
      </c>
      <c r="Q384" s="26">
        <f t="shared" si="492"/>
        <v>0</v>
      </c>
      <c r="R384" s="26">
        <f t="shared" si="493"/>
        <v>0</v>
      </c>
      <c r="S384" s="26">
        <f t="shared" si="494"/>
        <v>0</v>
      </c>
      <c r="T384" s="26" t="str">
        <f t="shared" si="495"/>
        <v/>
      </c>
      <c r="U384" s="26" t="str">
        <f t="shared" si="496"/>
        <v/>
      </c>
      <c r="V384" s="26" t="str">
        <f t="shared" si="497"/>
        <v/>
      </c>
      <c r="W384" s="27" t="str">
        <f t="shared" si="498"/>
        <v/>
      </c>
      <c r="X384" s="27" t="str">
        <f t="shared" si="499"/>
        <v/>
      </c>
      <c r="Y384" s="28" t="str">
        <f t="shared" si="500"/>
        <v/>
      </c>
      <c r="Z384" s="27" t="str">
        <f t="shared" si="501"/>
        <v/>
      </c>
      <c r="AA384" s="27" t="str">
        <f t="shared" si="502"/>
        <v/>
      </c>
      <c r="AB384" s="27" t="str">
        <f t="shared" si="503"/>
        <v/>
      </c>
      <c r="AC384" s="27" t="str">
        <f t="shared" si="504"/>
        <v/>
      </c>
      <c r="AD384" s="29" t="str">
        <f t="shared" si="505"/>
        <v/>
      </c>
      <c r="AE384" s="30" t="str">
        <f t="shared" si="506"/>
        <v/>
      </c>
      <c r="AG384" s="4"/>
      <c r="AH384" s="31" t="e">
        <f t="shared" si="507"/>
        <v>#VALUE!</v>
      </c>
      <c r="AI384" s="31" t="e">
        <f t="shared" si="508"/>
        <v>#VALUE!</v>
      </c>
      <c r="AJ384" s="31" t="e">
        <f t="shared" si="509"/>
        <v>#VALUE!</v>
      </c>
      <c r="AK384" s="31" t="e">
        <f t="shared" si="510"/>
        <v>#VALUE!</v>
      </c>
      <c r="AL384" s="31" t="e">
        <f t="shared" si="511"/>
        <v>#VALUE!</v>
      </c>
      <c r="AM384" s="31" t="e">
        <f t="shared" si="512"/>
        <v>#VALUE!</v>
      </c>
      <c r="AN384" s="32" t="str">
        <f t="shared" si="513"/>
        <v/>
      </c>
      <c r="AO384" s="27" t="str">
        <f t="shared" si="514"/>
        <v/>
      </c>
      <c r="AP384" s="27" t="str">
        <f t="shared" si="515"/>
        <v/>
      </c>
      <c r="AQ384" s="27">
        <f t="shared" si="516"/>
        <v>0</v>
      </c>
      <c r="AR384" s="27">
        <f t="shared" si="517"/>
        <v>0</v>
      </c>
      <c r="AS384" s="33">
        <f t="shared" si="518"/>
        <v>0</v>
      </c>
    </row>
    <row r="385" spans="2:45" hidden="1" x14ac:dyDescent="0.25">
      <c r="B385" s="34">
        <f t="shared" ref="B385:F385" si="566">IF(B384="","",B384)</f>
        <v>250</v>
      </c>
      <c r="C385" s="26">
        <f t="shared" si="566"/>
        <v>20</v>
      </c>
      <c r="D385" s="26">
        <f t="shared" si="566"/>
        <v>0</v>
      </c>
      <c r="E385" s="26">
        <f t="shared" si="566"/>
        <v>0</v>
      </c>
      <c r="F385" s="26">
        <f t="shared" si="566"/>
        <v>-1630</v>
      </c>
      <c r="G385" s="24"/>
      <c r="H385" s="24"/>
      <c r="I385" s="24"/>
      <c r="J385" s="24"/>
      <c r="K385" s="24"/>
      <c r="L385" s="24"/>
      <c r="M385" s="44" t="str">
        <f t="shared" si="539"/>
        <v/>
      </c>
      <c r="N385" s="26" t="str">
        <f t="shared" si="489"/>
        <v/>
      </c>
      <c r="O385" s="26" t="str">
        <f t="shared" si="490"/>
        <v/>
      </c>
      <c r="P385" s="26" t="str">
        <f t="shared" si="491"/>
        <v/>
      </c>
      <c r="Q385" s="26">
        <f t="shared" si="492"/>
        <v>0</v>
      </c>
      <c r="R385" s="26">
        <f t="shared" si="493"/>
        <v>0</v>
      </c>
      <c r="S385" s="26">
        <f t="shared" si="494"/>
        <v>0</v>
      </c>
      <c r="T385" s="26" t="str">
        <f t="shared" si="495"/>
        <v/>
      </c>
      <c r="U385" s="26" t="str">
        <f t="shared" si="496"/>
        <v/>
      </c>
      <c r="V385" s="26" t="str">
        <f t="shared" si="497"/>
        <v/>
      </c>
      <c r="W385" s="27" t="str">
        <f t="shared" si="498"/>
        <v/>
      </c>
      <c r="X385" s="27" t="str">
        <f t="shared" si="499"/>
        <v/>
      </c>
      <c r="Y385" s="28" t="str">
        <f t="shared" si="500"/>
        <v/>
      </c>
      <c r="Z385" s="27" t="str">
        <f t="shared" si="501"/>
        <v/>
      </c>
      <c r="AA385" s="27" t="str">
        <f t="shared" si="502"/>
        <v/>
      </c>
      <c r="AB385" s="27" t="str">
        <f t="shared" si="503"/>
        <v/>
      </c>
      <c r="AC385" s="27" t="str">
        <f t="shared" si="504"/>
        <v/>
      </c>
      <c r="AD385" s="29" t="str">
        <f t="shared" si="505"/>
        <v/>
      </c>
      <c r="AE385" s="30" t="str">
        <f t="shared" si="506"/>
        <v/>
      </c>
      <c r="AG385" s="4"/>
      <c r="AH385" s="31" t="e">
        <f t="shared" si="507"/>
        <v>#VALUE!</v>
      </c>
      <c r="AI385" s="31" t="e">
        <f t="shared" si="508"/>
        <v>#VALUE!</v>
      </c>
      <c r="AJ385" s="31" t="e">
        <f t="shared" si="509"/>
        <v>#VALUE!</v>
      </c>
      <c r="AK385" s="31" t="e">
        <f t="shared" si="510"/>
        <v>#VALUE!</v>
      </c>
      <c r="AL385" s="31" t="e">
        <f t="shared" si="511"/>
        <v>#VALUE!</v>
      </c>
      <c r="AM385" s="31" t="e">
        <f t="shared" si="512"/>
        <v>#VALUE!</v>
      </c>
      <c r="AN385" s="32" t="str">
        <f t="shared" si="513"/>
        <v/>
      </c>
      <c r="AO385" s="27" t="str">
        <f t="shared" si="514"/>
        <v/>
      </c>
      <c r="AP385" s="27" t="str">
        <f t="shared" si="515"/>
        <v/>
      </c>
      <c r="AQ385" s="27">
        <f t="shared" si="516"/>
        <v>0</v>
      </c>
      <c r="AR385" s="27">
        <f t="shared" si="517"/>
        <v>0</v>
      </c>
      <c r="AS385" s="33">
        <f t="shared" si="518"/>
        <v>0</v>
      </c>
    </row>
    <row r="386" spans="2:45" hidden="1" x14ac:dyDescent="0.25">
      <c r="B386" s="34">
        <f t="shared" ref="B386:F386" si="567">IF(B385="","",B385)</f>
        <v>250</v>
      </c>
      <c r="C386" s="26">
        <f t="shared" si="567"/>
        <v>20</v>
      </c>
      <c r="D386" s="26">
        <f t="shared" si="567"/>
        <v>0</v>
      </c>
      <c r="E386" s="26">
        <f t="shared" si="567"/>
        <v>0</v>
      </c>
      <c r="F386" s="26">
        <f t="shared" si="567"/>
        <v>-1630</v>
      </c>
      <c r="G386" s="24"/>
      <c r="H386" s="24"/>
      <c r="I386" s="24"/>
      <c r="J386" s="24"/>
      <c r="K386" s="24"/>
      <c r="L386" s="24"/>
      <c r="M386" s="44" t="str">
        <f t="shared" si="539"/>
        <v/>
      </c>
      <c r="N386" s="26" t="str">
        <f t="shared" si="489"/>
        <v/>
      </c>
      <c r="O386" s="26" t="str">
        <f t="shared" si="490"/>
        <v/>
      </c>
      <c r="P386" s="26" t="str">
        <f t="shared" si="491"/>
        <v/>
      </c>
      <c r="Q386" s="26">
        <f t="shared" si="492"/>
        <v>0</v>
      </c>
      <c r="R386" s="26">
        <f t="shared" si="493"/>
        <v>0</v>
      </c>
      <c r="S386" s="26">
        <f t="shared" si="494"/>
        <v>0</v>
      </c>
      <c r="T386" s="26" t="str">
        <f t="shared" si="495"/>
        <v/>
      </c>
      <c r="U386" s="26" t="str">
        <f t="shared" si="496"/>
        <v/>
      </c>
      <c r="V386" s="26" t="str">
        <f t="shared" si="497"/>
        <v/>
      </c>
      <c r="W386" s="27" t="str">
        <f t="shared" si="498"/>
        <v/>
      </c>
      <c r="X386" s="27" t="str">
        <f t="shared" si="499"/>
        <v/>
      </c>
      <c r="Y386" s="28" t="str">
        <f t="shared" si="500"/>
        <v/>
      </c>
      <c r="Z386" s="27" t="str">
        <f t="shared" si="501"/>
        <v/>
      </c>
      <c r="AA386" s="27" t="str">
        <f t="shared" si="502"/>
        <v/>
      </c>
      <c r="AB386" s="27" t="str">
        <f t="shared" si="503"/>
        <v/>
      </c>
      <c r="AC386" s="27" t="str">
        <f t="shared" si="504"/>
        <v/>
      </c>
      <c r="AD386" s="29" t="str">
        <f t="shared" si="505"/>
        <v/>
      </c>
      <c r="AE386" s="30" t="str">
        <f t="shared" si="506"/>
        <v/>
      </c>
      <c r="AG386" s="4"/>
      <c r="AH386" s="31" t="e">
        <f t="shared" si="507"/>
        <v>#VALUE!</v>
      </c>
      <c r="AI386" s="31" t="e">
        <f t="shared" si="508"/>
        <v>#VALUE!</v>
      </c>
      <c r="AJ386" s="31" t="e">
        <f t="shared" si="509"/>
        <v>#VALUE!</v>
      </c>
      <c r="AK386" s="31" t="e">
        <f t="shared" si="510"/>
        <v>#VALUE!</v>
      </c>
      <c r="AL386" s="31" t="e">
        <f t="shared" si="511"/>
        <v>#VALUE!</v>
      </c>
      <c r="AM386" s="31" t="e">
        <f t="shared" si="512"/>
        <v>#VALUE!</v>
      </c>
      <c r="AN386" s="32" t="str">
        <f t="shared" si="513"/>
        <v/>
      </c>
      <c r="AO386" s="27" t="str">
        <f t="shared" si="514"/>
        <v/>
      </c>
      <c r="AP386" s="27" t="str">
        <f t="shared" si="515"/>
        <v/>
      </c>
      <c r="AQ386" s="27">
        <f t="shared" si="516"/>
        <v>0</v>
      </c>
      <c r="AR386" s="27">
        <f t="shared" si="517"/>
        <v>0</v>
      </c>
      <c r="AS386" s="33">
        <f t="shared" si="518"/>
        <v>0</v>
      </c>
    </row>
    <row r="387" spans="2:45" hidden="1" x14ac:dyDescent="0.25">
      <c r="B387" s="34">
        <f t="shared" ref="B387:F387" si="568">IF(B386="","",B386)</f>
        <v>250</v>
      </c>
      <c r="C387" s="26">
        <f t="shared" si="568"/>
        <v>20</v>
      </c>
      <c r="D387" s="26">
        <f t="shared" si="568"/>
        <v>0</v>
      </c>
      <c r="E387" s="26">
        <f t="shared" si="568"/>
        <v>0</v>
      </c>
      <c r="F387" s="26">
        <f t="shared" si="568"/>
        <v>-1630</v>
      </c>
      <c r="G387" s="24"/>
      <c r="H387" s="24"/>
      <c r="I387" s="24"/>
      <c r="J387" s="24"/>
      <c r="K387" s="24"/>
      <c r="L387" s="24"/>
      <c r="M387" s="44" t="str">
        <f t="shared" si="539"/>
        <v/>
      </c>
      <c r="N387" s="26" t="str">
        <f t="shared" si="489"/>
        <v/>
      </c>
      <c r="O387" s="26" t="str">
        <f t="shared" si="490"/>
        <v/>
      </c>
      <c r="P387" s="26" t="str">
        <f t="shared" si="491"/>
        <v/>
      </c>
      <c r="Q387" s="26">
        <f t="shared" si="492"/>
        <v>0</v>
      </c>
      <c r="R387" s="26">
        <f t="shared" si="493"/>
        <v>0</v>
      </c>
      <c r="S387" s="26">
        <f t="shared" si="494"/>
        <v>0</v>
      </c>
      <c r="T387" s="26" t="str">
        <f t="shared" si="495"/>
        <v/>
      </c>
      <c r="U387" s="26" t="str">
        <f t="shared" si="496"/>
        <v/>
      </c>
      <c r="V387" s="26" t="str">
        <f t="shared" si="497"/>
        <v/>
      </c>
      <c r="W387" s="27" t="str">
        <f t="shared" si="498"/>
        <v/>
      </c>
      <c r="X387" s="27" t="str">
        <f t="shared" si="499"/>
        <v/>
      </c>
      <c r="Y387" s="28" t="str">
        <f t="shared" si="500"/>
        <v/>
      </c>
      <c r="Z387" s="27" t="str">
        <f t="shared" si="501"/>
        <v/>
      </c>
      <c r="AA387" s="27" t="str">
        <f t="shared" si="502"/>
        <v/>
      </c>
      <c r="AB387" s="27" t="str">
        <f t="shared" si="503"/>
        <v/>
      </c>
      <c r="AC387" s="27" t="str">
        <f t="shared" si="504"/>
        <v/>
      </c>
      <c r="AD387" s="29" t="str">
        <f t="shared" si="505"/>
        <v/>
      </c>
      <c r="AE387" s="30" t="str">
        <f t="shared" si="506"/>
        <v/>
      </c>
      <c r="AG387" s="4"/>
      <c r="AH387" s="31" t="e">
        <f t="shared" si="507"/>
        <v>#VALUE!</v>
      </c>
      <c r="AI387" s="31" t="e">
        <f t="shared" si="508"/>
        <v>#VALUE!</v>
      </c>
      <c r="AJ387" s="31" t="e">
        <f t="shared" si="509"/>
        <v>#VALUE!</v>
      </c>
      <c r="AK387" s="31" t="e">
        <f t="shared" si="510"/>
        <v>#VALUE!</v>
      </c>
      <c r="AL387" s="31" t="e">
        <f t="shared" si="511"/>
        <v>#VALUE!</v>
      </c>
      <c r="AM387" s="31" t="e">
        <f t="shared" si="512"/>
        <v>#VALUE!</v>
      </c>
      <c r="AN387" s="32" t="str">
        <f t="shared" si="513"/>
        <v/>
      </c>
      <c r="AO387" s="27" t="str">
        <f t="shared" si="514"/>
        <v/>
      </c>
      <c r="AP387" s="27" t="str">
        <f t="shared" si="515"/>
        <v/>
      </c>
      <c r="AQ387" s="27">
        <f t="shared" si="516"/>
        <v>0</v>
      </c>
      <c r="AR387" s="27">
        <f t="shared" si="517"/>
        <v>0</v>
      </c>
      <c r="AS387" s="33">
        <f t="shared" si="518"/>
        <v>0</v>
      </c>
    </row>
    <row r="388" spans="2:45" hidden="1" x14ac:dyDescent="0.25">
      <c r="B388" s="34">
        <f t="shared" ref="B388:F388" si="569">IF(B387="","",B387)</f>
        <v>250</v>
      </c>
      <c r="C388" s="26">
        <f t="shared" si="569"/>
        <v>20</v>
      </c>
      <c r="D388" s="26">
        <f t="shared" si="569"/>
        <v>0</v>
      </c>
      <c r="E388" s="26">
        <f t="shared" si="569"/>
        <v>0</v>
      </c>
      <c r="F388" s="26">
        <f t="shared" si="569"/>
        <v>-1630</v>
      </c>
      <c r="G388" s="24"/>
      <c r="H388" s="24"/>
      <c r="I388" s="24"/>
      <c r="J388" s="24"/>
      <c r="K388" s="24"/>
      <c r="L388" s="24"/>
      <c r="M388" s="44" t="str">
        <f t="shared" si="539"/>
        <v/>
      </c>
      <c r="N388" s="26" t="str">
        <f t="shared" si="489"/>
        <v/>
      </c>
      <c r="O388" s="26" t="str">
        <f t="shared" si="490"/>
        <v/>
      </c>
      <c r="P388" s="26" t="str">
        <f t="shared" si="491"/>
        <v/>
      </c>
      <c r="Q388" s="26">
        <f t="shared" si="492"/>
        <v>0</v>
      </c>
      <c r="R388" s="26">
        <f t="shared" si="493"/>
        <v>0</v>
      </c>
      <c r="S388" s="26">
        <f t="shared" si="494"/>
        <v>0</v>
      </c>
      <c r="T388" s="26" t="str">
        <f t="shared" si="495"/>
        <v/>
      </c>
      <c r="U388" s="26" t="str">
        <f t="shared" si="496"/>
        <v/>
      </c>
      <c r="V388" s="26" t="str">
        <f t="shared" si="497"/>
        <v/>
      </c>
      <c r="W388" s="27" t="str">
        <f t="shared" si="498"/>
        <v/>
      </c>
      <c r="X388" s="27" t="str">
        <f t="shared" si="499"/>
        <v/>
      </c>
      <c r="Y388" s="28" t="str">
        <f t="shared" si="500"/>
        <v/>
      </c>
      <c r="Z388" s="27" t="str">
        <f t="shared" si="501"/>
        <v/>
      </c>
      <c r="AA388" s="27" t="str">
        <f t="shared" si="502"/>
        <v/>
      </c>
      <c r="AB388" s="27" t="str">
        <f t="shared" si="503"/>
        <v/>
      </c>
      <c r="AC388" s="27" t="str">
        <f t="shared" si="504"/>
        <v/>
      </c>
      <c r="AD388" s="29" t="str">
        <f t="shared" si="505"/>
        <v/>
      </c>
      <c r="AE388" s="30" t="str">
        <f t="shared" si="506"/>
        <v/>
      </c>
      <c r="AG388" s="4"/>
      <c r="AH388" s="31" t="e">
        <f t="shared" si="507"/>
        <v>#VALUE!</v>
      </c>
      <c r="AI388" s="31" t="e">
        <f t="shared" si="508"/>
        <v>#VALUE!</v>
      </c>
      <c r="AJ388" s="31" t="e">
        <f t="shared" si="509"/>
        <v>#VALUE!</v>
      </c>
      <c r="AK388" s="31" t="e">
        <f t="shared" si="510"/>
        <v>#VALUE!</v>
      </c>
      <c r="AL388" s="31" t="e">
        <f t="shared" si="511"/>
        <v>#VALUE!</v>
      </c>
      <c r="AM388" s="31" t="e">
        <f t="shared" si="512"/>
        <v>#VALUE!</v>
      </c>
      <c r="AN388" s="32" t="str">
        <f t="shared" si="513"/>
        <v/>
      </c>
      <c r="AO388" s="27" t="str">
        <f t="shared" si="514"/>
        <v/>
      </c>
      <c r="AP388" s="27" t="str">
        <f t="shared" si="515"/>
        <v/>
      </c>
      <c r="AQ388" s="27">
        <f t="shared" si="516"/>
        <v>0</v>
      </c>
      <c r="AR388" s="27">
        <f t="shared" si="517"/>
        <v>0</v>
      </c>
      <c r="AS388" s="33">
        <f t="shared" si="518"/>
        <v>0</v>
      </c>
    </row>
    <row r="389" spans="2:45" hidden="1" x14ac:dyDescent="0.25">
      <c r="B389" s="34">
        <f t="shared" ref="B389:F389" si="570">IF(B388="","",B388)</f>
        <v>250</v>
      </c>
      <c r="C389" s="26">
        <f t="shared" si="570"/>
        <v>20</v>
      </c>
      <c r="D389" s="26">
        <f t="shared" si="570"/>
        <v>0</v>
      </c>
      <c r="E389" s="26">
        <f t="shared" si="570"/>
        <v>0</v>
      </c>
      <c r="F389" s="26">
        <f t="shared" si="570"/>
        <v>-1630</v>
      </c>
      <c r="G389" s="24"/>
      <c r="H389" s="24"/>
      <c r="I389" s="24"/>
      <c r="J389" s="24"/>
      <c r="K389" s="24"/>
      <c r="L389" s="24"/>
      <c r="M389" s="44" t="str">
        <f t="shared" si="539"/>
        <v/>
      </c>
      <c r="N389" s="26" t="str">
        <f t="shared" si="489"/>
        <v/>
      </c>
      <c r="O389" s="26" t="str">
        <f t="shared" si="490"/>
        <v/>
      </c>
      <c r="P389" s="26" t="str">
        <f t="shared" si="491"/>
        <v/>
      </c>
      <c r="Q389" s="26">
        <f t="shared" si="492"/>
        <v>0</v>
      </c>
      <c r="R389" s="26">
        <f t="shared" si="493"/>
        <v>0</v>
      </c>
      <c r="S389" s="26">
        <f t="shared" si="494"/>
        <v>0</v>
      </c>
      <c r="T389" s="26" t="str">
        <f t="shared" si="495"/>
        <v/>
      </c>
      <c r="U389" s="26" t="str">
        <f t="shared" si="496"/>
        <v/>
      </c>
      <c r="V389" s="26" t="str">
        <f t="shared" si="497"/>
        <v/>
      </c>
      <c r="W389" s="27" t="str">
        <f t="shared" si="498"/>
        <v/>
      </c>
      <c r="X389" s="27" t="str">
        <f t="shared" si="499"/>
        <v/>
      </c>
      <c r="Y389" s="28" t="str">
        <f t="shared" si="500"/>
        <v/>
      </c>
      <c r="Z389" s="27" t="str">
        <f t="shared" si="501"/>
        <v/>
      </c>
      <c r="AA389" s="27" t="str">
        <f t="shared" si="502"/>
        <v/>
      </c>
      <c r="AB389" s="27" t="str">
        <f t="shared" si="503"/>
        <v/>
      </c>
      <c r="AC389" s="27" t="str">
        <f t="shared" si="504"/>
        <v/>
      </c>
      <c r="AD389" s="29" t="str">
        <f t="shared" si="505"/>
        <v/>
      </c>
      <c r="AE389" s="30" t="str">
        <f t="shared" si="506"/>
        <v/>
      </c>
      <c r="AG389" s="4"/>
      <c r="AH389" s="31" t="e">
        <f t="shared" si="507"/>
        <v>#VALUE!</v>
      </c>
      <c r="AI389" s="31" t="e">
        <f t="shared" si="508"/>
        <v>#VALUE!</v>
      </c>
      <c r="AJ389" s="31" t="e">
        <f t="shared" si="509"/>
        <v>#VALUE!</v>
      </c>
      <c r="AK389" s="31" t="e">
        <f t="shared" si="510"/>
        <v>#VALUE!</v>
      </c>
      <c r="AL389" s="31" t="e">
        <f t="shared" si="511"/>
        <v>#VALUE!</v>
      </c>
      <c r="AM389" s="31" t="e">
        <f t="shared" si="512"/>
        <v>#VALUE!</v>
      </c>
      <c r="AN389" s="32" t="str">
        <f t="shared" si="513"/>
        <v/>
      </c>
      <c r="AO389" s="27" t="str">
        <f t="shared" si="514"/>
        <v/>
      </c>
      <c r="AP389" s="27" t="str">
        <f t="shared" si="515"/>
        <v/>
      </c>
      <c r="AQ389" s="27">
        <f t="shared" si="516"/>
        <v>0</v>
      </c>
      <c r="AR389" s="27">
        <f t="shared" si="517"/>
        <v>0</v>
      </c>
      <c r="AS389" s="33">
        <f t="shared" si="518"/>
        <v>0</v>
      </c>
    </row>
    <row r="390" spans="2:45" hidden="1" x14ac:dyDescent="0.25">
      <c r="B390" s="34">
        <f t="shared" ref="B390:F390" si="571">IF(B389="","",B389)</f>
        <v>250</v>
      </c>
      <c r="C390" s="26">
        <f t="shared" si="571"/>
        <v>20</v>
      </c>
      <c r="D390" s="26">
        <f t="shared" si="571"/>
        <v>0</v>
      </c>
      <c r="E390" s="26">
        <f t="shared" si="571"/>
        <v>0</v>
      </c>
      <c r="F390" s="26">
        <f t="shared" si="571"/>
        <v>-1630</v>
      </c>
      <c r="G390" s="24"/>
      <c r="H390" s="24"/>
      <c r="I390" s="24"/>
      <c r="J390" s="24"/>
      <c r="K390" s="24"/>
      <c r="L390" s="24"/>
      <c r="M390" s="44" t="str">
        <f t="shared" ref="M390:M421" si="572">IF(B390="","",IF(M234="","",M234))</f>
        <v/>
      </c>
      <c r="N390" s="26" t="str">
        <f t="shared" si="489"/>
        <v/>
      </c>
      <c r="O390" s="26" t="str">
        <f t="shared" si="490"/>
        <v/>
      </c>
      <c r="P390" s="26" t="str">
        <f t="shared" si="491"/>
        <v/>
      </c>
      <c r="Q390" s="26">
        <f t="shared" si="492"/>
        <v>0</v>
      </c>
      <c r="R390" s="26">
        <f t="shared" si="493"/>
        <v>0</v>
      </c>
      <c r="S390" s="26">
        <f t="shared" si="494"/>
        <v>0</v>
      </c>
      <c r="T390" s="26" t="str">
        <f t="shared" si="495"/>
        <v/>
      </c>
      <c r="U390" s="26" t="str">
        <f t="shared" si="496"/>
        <v/>
      </c>
      <c r="V390" s="26" t="str">
        <f t="shared" si="497"/>
        <v/>
      </c>
      <c r="W390" s="27" t="str">
        <f t="shared" si="498"/>
        <v/>
      </c>
      <c r="X390" s="27" t="str">
        <f t="shared" si="499"/>
        <v/>
      </c>
      <c r="Y390" s="28" t="str">
        <f t="shared" si="500"/>
        <v/>
      </c>
      <c r="Z390" s="27" t="str">
        <f t="shared" si="501"/>
        <v/>
      </c>
      <c r="AA390" s="27" t="str">
        <f t="shared" si="502"/>
        <v/>
      </c>
      <c r="AB390" s="27" t="str">
        <f t="shared" si="503"/>
        <v/>
      </c>
      <c r="AC390" s="27" t="str">
        <f t="shared" si="504"/>
        <v/>
      </c>
      <c r="AD390" s="29" t="str">
        <f t="shared" si="505"/>
        <v/>
      </c>
      <c r="AE390" s="30" t="str">
        <f t="shared" si="506"/>
        <v/>
      </c>
      <c r="AG390" s="4"/>
      <c r="AH390" s="31" t="e">
        <f t="shared" si="507"/>
        <v>#VALUE!</v>
      </c>
      <c r="AI390" s="31" t="e">
        <f t="shared" si="508"/>
        <v>#VALUE!</v>
      </c>
      <c r="AJ390" s="31" t="e">
        <f t="shared" si="509"/>
        <v>#VALUE!</v>
      </c>
      <c r="AK390" s="31" t="e">
        <f t="shared" si="510"/>
        <v>#VALUE!</v>
      </c>
      <c r="AL390" s="31" t="e">
        <f t="shared" si="511"/>
        <v>#VALUE!</v>
      </c>
      <c r="AM390" s="31" t="e">
        <f t="shared" si="512"/>
        <v>#VALUE!</v>
      </c>
      <c r="AN390" s="32" t="str">
        <f t="shared" si="513"/>
        <v/>
      </c>
      <c r="AO390" s="27" t="str">
        <f t="shared" si="514"/>
        <v/>
      </c>
      <c r="AP390" s="27" t="str">
        <f t="shared" si="515"/>
        <v/>
      </c>
      <c r="AQ390" s="27">
        <f t="shared" si="516"/>
        <v>0</v>
      </c>
      <c r="AR390" s="27">
        <f t="shared" si="517"/>
        <v>0</v>
      </c>
      <c r="AS390" s="33">
        <f t="shared" si="518"/>
        <v>0</v>
      </c>
    </row>
    <row r="391" spans="2:45" hidden="1" x14ac:dyDescent="0.25">
      <c r="B391" s="34">
        <f t="shared" ref="B391:F391" si="573">IF(B390="","",B390)</f>
        <v>250</v>
      </c>
      <c r="C391" s="26">
        <f t="shared" si="573"/>
        <v>20</v>
      </c>
      <c r="D391" s="26">
        <f t="shared" si="573"/>
        <v>0</v>
      </c>
      <c r="E391" s="26">
        <f t="shared" si="573"/>
        <v>0</v>
      </c>
      <c r="F391" s="26">
        <f t="shared" si="573"/>
        <v>-1630</v>
      </c>
      <c r="G391" s="24"/>
      <c r="H391" s="24"/>
      <c r="I391" s="24"/>
      <c r="J391" s="24"/>
      <c r="K391" s="24"/>
      <c r="L391" s="24"/>
      <c r="M391" s="44" t="str">
        <f t="shared" si="572"/>
        <v/>
      </c>
      <c r="N391" s="26" t="str">
        <f t="shared" ref="N391:N454" si="574">IF($J$7="NO",IF(M391="","",IF($E$7="+X",D391,IF($E$7="-X",-D391,IF($E$7="+Z",F391,IF($E$7="-Z",-F391))))),IF(M391="","",IF($E$7="+X",D391,IF($E$7="-X",-D391,IF($E$7="+Y",E391,IF($E$7="-Y",-E391))))))</f>
        <v/>
      </c>
      <c r="O391" s="26" t="str">
        <f t="shared" ref="O391:O454" si="575">IF($J$7="NO",IF(M391="","",E391),IF(M391="","",F391))</f>
        <v/>
      </c>
      <c r="P391" s="26" t="str">
        <f t="shared" ref="P391:P454" si="576">IF($J$7="NO",IF(M391="","",IF($E$7="+X",F391,IF($E$7="-X",-F391,IF($E$7="+Z",-D391,IF($E$7="-Z",D391))))),IF(M391="","",IF($E$7="+X",-E391,IF($E$7="-X",E391,IF($E$7="+Y",D391,IF($E$7="-Y",-D391))))))</f>
        <v/>
      </c>
      <c r="Q391" s="26">
        <f t="shared" ref="Q391:Q454" si="577">IF($J$7="NO",IF(M391="",0,IF($E$7="+X",G391,IF($E$7="-X",-G391,IF($E$7="+Z",I391,IF($E$7="-Z",-I391))))),IF(M391="",0,IF($E$7="+X",G391,IF($E$7="-X",-G391,IF($E$7="+Y",H391,IF($E$7="-Y",-H391))))))</f>
        <v>0</v>
      </c>
      <c r="R391" s="26">
        <f t="shared" ref="R391:R454" si="578">IF($J$7="NO",IF(M391="",0,H391),IF(M391="",0,I391))</f>
        <v>0</v>
      </c>
      <c r="S391" s="26">
        <f t="shared" ref="S391:S454" si="579">IF($J$7="NO",IF(M391="",0,IF($E$7="+X",I391,IF($E$7="-X",-I391,IF($E$7="+Z",-G391,IF($E$7="-Z",G391))))),IF(M391="",0,IF($E$7="+X",-H391,IF($E$7="-X",H391,IF($E$7="+Y",G391,IF($E$7="-Y",-G391))))))</f>
        <v>0</v>
      </c>
      <c r="T391" s="26" t="str">
        <f t="shared" ref="T391:T454" si="580">IF($J$7="NO",IF(M391="","",IF($E$7="+X",J391,IF($E$7="-X",-J391,IF($E$7="+Z",L391,IF($E$7="-Z",-L391))))),IF(M391="","",IF($E$7="+X",J391,IF($E$7="-X",-J391,IF($E$7="+Y",K391,IF($E$7="-Y",-K391))))))</f>
        <v/>
      </c>
      <c r="U391" s="26" t="str">
        <f t="shared" ref="U391:U454" si="581">IF($J$7="NO",IF(M391="","",K391),IF(M391="","",L391))</f>
        <v/>
      </c>
      <c r="V391" s="26" t="str">
        <f t="shared" ref="V391:V454" si="582">IF($J$7="NO",IF(M391="","",IF($E$7="+X",L391,IF($E$7="-X",-L391,IF($E$7="+Z",-J391,IF($E$7="-Z",J391))))),IF(M391="","",IF($E$7="+X",-K391,IF($E$7="-X",K391,IF($E$7="+Y",J391,IF($E$7="-Y",-J391))))))</f>
        <v/>
      </c>
      <c r="W391" s="27" t="str">
        <f t="shared" ref="W391:W454" si="583">IF(M391="","",SQRT(Q391^2+R391^2+S391^2))</f>
        <v/>
      </c>
      <c r="X391" s="27" t="str">
        <f t="shared" ref="X391:X454" si="584">IF(M391="","",SQRT(T391^2+U391^2+V391^2))</f>
        <v/>
      </c>
      <c r="Y391" s="28" t="str">
        <f t="shared" ref="Y391:Y454" si="585">IF(M391="","",IF($C391&lt;=8,$C391,(16+$C391)/3))</f>
        <v/>
      </c>
      <c r="Z391" s="27" t="str">
        <f t="shared" ref="Z391:Z454" si="586">IF(M391="","",W391*0.224808)</f>
        <v/>
      </c>
      <c r="AA391" s="27" t="str">
        <f t="shared" ref="AA391:AA454" si="587">IF(M391="","",X391*0.737562)</f>
        <v/>
      </c>
      <c r="AB391" s="27" t="str">
        <f t="shared" ref="AB391:AB454" si="588">IF(M391="","",3*Z391+AA391)</f>
        <v/>
      </c>
      <c r="AC391" s="27" t="str">
        <f t="shared" ref="AC391:AC454" si="589">IF(M391="","",IF(M391="","",500*Y391*$O$7))</f>
        <v/>
      </c>
      <c r="AD391" s="29" t="str">
        <f t="shared" ref="AD391:AD454" si="590">IF(M391="","",IF(M391="","",AB391/AC391)*100)</f>
        <v/>
      </c>
      <c r="AE391" s="30" t="str">
        <f t="shared" ref="AE391:AE454" si="591">IF(M391="","",IF(AD391&lt;=100, "PASS","FAIL"))</f>
        <v/>
      </c>
      <c r="AG391" s="4"/>
      <c r="AH391" s="31" t="e">
        <f t="shared" ref="AH391:AH454" si="592">Q391*O391/1000*VLOOKUP(_xlfn.CONCAT($AH$13,IF(Q391&gt;0,"+","-"),IF(O391&gt;0,"+","-")),$AV:$BA,6,0)</f>
        <v>#VALUE!</v>
      </c>
      <c r="AI391" s="31" t="e">
        <f t="shared" ref="AI391:AI454" si="593">Q391*P391/1000*VLOOKUP(_xlfn.CONCAT($AI$13,IF(Q391&gt;0,"+","-"),IF(P391&gt;0,"+","-")),$AV:$BA,6,0)</f>
        <v>#VALUE!</v>
      </c>
      <c r="AJ391" s="31" t="e">
        <f t="shared" ref="AJ391:AJ454" si="594">R391*N391/1000*VLOOKUP(_xlfn.CONCAT($AJ$13,IF(R391&gt;0,"+","-"),IF(N391&gt;0,"+","-")),$AV:$BA,6,0)</f>
        <v>#VALUE!</v>
      </c>
      <c r="AK391" s="31" t="e">
        <f t="shared" ref="AK391:AK454" si="595">R391*P391/1000*VLOOKUP(_xlfn.CONCAT($AK$13,IF(R391&gt;0,"+","-"),IF(P391&gt;0,"+","-")),$AV:$BA,6,0)</f>
        <v>#VALUE!</v>
      </c>
      <c r="AL391" s="31" t="e">
        <f t="shared" ref="AL391:AL454" si="596">S391*N391/1000*VLOOKUP(_xlfn.CONCAT($AL$13,IF(S391&gt;0,"+","-"),IF(N391&gt;0,"+","-")),$AV:$BA,6,0)</f>
        <v>#VALUE!</v>
      </c>
      <c r="AM391" s="31" t="e">
        <f t="shared" ref="AM391:AM454" si="597">S391*O391/1000*VLOOKUP(_xlfn.CONCAT($AM$13,IF(S391&gt;0,"+","-"),IF(O391&gt;0,"+","-")),$AV:$BA,6,0)</f>
        <v>#VALUE!</v>
      </c>
      <c r="AN391" s="32" t="str">
        <f t="shared" ref="AN391:AN454" si="598">IF($M391="","",AK391+AM391)</f>
        <v/>
      </c>
      <c r="AO391" s="27" t="str">
        <f t="shared" ref="AO391:AO454" si="599">IF($M391="","",AI391+AL391)</f>
        <v/>
      </c>
      <c r="AP391" s="27" t="str">
        <f t="shared" ref="AP391:AP454" si="600">IF($M391="","",AH391+AJ391)</f>
        <v/>
      </c>
      <c r="AQ391" s="27">
        <f t="shared" ref="AQ391:AQ454" si="601">IF(M391="",0,AN391+T391)</f>
        <v>0</v>
      </c>
      <c r="AR391" s="27">
        <f t="shared" ref="AR391:AR454" si="602">IF(M391="",0,AO391+U391)</f>
        <v>0</v>
      </c>
      <c r="AS391" s="33">
        <f t="shared" ref="AS391:AS454" si="603">IF(M391="",0,AP391+V391)</f>
        <v>0</v>
      </c>
    </row>
    <row r="392" spans="2:45" hidden="1" x14ac:dyDescent="0.25">
      <c r="B392" s="34">
        <f>IF(B391="","",B391)</f>
        <v>250</v>
      </c>
      <c r="C392" s="26">
        <f t="shared" ref="C392:F392" si="604">IF(C391="","",C391)</f>
        <v>20</v>
      </c>
      <c r="D392" s="26">
        <f t="shared" si="604"/>
        <v>0</v>
      </c>
      <c r="E392" s="26">
        <f t="shared" si="604"/>
        <v>0</v>
      </c>
      <c r="F392" s="26">
        <f t="shared" si="604"/>
        <v>-1630</v>
      </c>
      <c r="G392" s="24"/>
      <c r="H392" s="24"/>
      <c r="I392" s="24"/>
      <c r="J392" s="24"/>
      <c r="K392" s="24"/>
      <c r="L392" s="24"/>
      <c r="M392" s="44" t="str">
        <f t="shared" si="572"/>
        <v/>
      </c>
      <c r="N392" s="26" t="str">
        <f t="shared" si="574"/>
        <v/>
      </c>
      <c r="O392" s="26" t="str">
        <f t="shared" si="575"/>
        <v/>
      </c>
      <c r="P392" s="26" t="str">
        <f t="shared" si="576"/>
        <v/>
      </c>
      <c r="Q392" s="26">
        <f t="shared" si="577"/>
        <v>0</v>
      </c>
      <c r="R392" s="26">
        <f t="shared" si="578"/>
        <v>0</v>
      </c>
      <c r="S392" s="26">
        <f t="shared" si="579"/>
        <v>0</v>
      </c>
      <c r="T392" s="26" t="str">
        <f t="shared" si="580"/>
        <v/>
      </c>
      <c r="U392" s="26" t="str">
        <f t="shared" si="581"/>
        <v/>
      </c>
      <c r="V392" s="26" t="str">
        <f t="shared" si="582"/>
        <v/>
      </c>
      <c r="W392" s="27" t="str">
        <f t="shared" si="583"/>
        <v/>
      </c>
      <c r="X392" s="27" t="str">
        <f t="shared" si="584"/>
        <v/>
      </c>
      <c r="Y392" s="28" t="str">
        <f t="shared" si="585"/>
        <v/>
      </c>
      <c r="Z392" s="27" t="str">
        <f t="shared" si="586"/>
        <v/>
      </c>
      <c r="AA392" s="27" t="str">
        <f t="shared" si="587"/>
        <v/>
      </c>
      <c r="AB392" s="27" t="str">
        <f t="shared" si="588"/>
        <v/>
      </c>
      <c r="AC392" s="27" t="str">
        <f t="shared" si="589"/>
        <v/>
      </c>
      <c r="AD392" s="29" t="str">
        <f t="shared" si="590"/>
        <v/>
      </c>
      <c r="AE392" s="30" t="str">
        <f t="shared" si="591"/>
        <v/>
      </c>
      <c r="AG392" s="4"/>
      <c r="AH392" s="31" t="e">
        <f t="shared" si="592"/>
        <v>#VALUE!</v>
      </c>
      <c r="AI392" s="31" t="e">
        <f t="shared" si="593"/>
        <v>#VALUE!</v>
      </c>
      <c r="AJ392" s="31" t="e">
        <f t="shared" si="594"/>
        <v>#VALUE!</v>
      </c>
      <c r="AK392" s="31" t="e">
        <f t="shared" si="595"/>
        <v>#VALUE!</v>
      </c>
      <c r="AL392" s="31" t="e">
        <f t="shared" si="596"/>
        <v>#VALUE!</v>
      </c>
      <c r="AM392" s="31" t="e">
        <f t="shared" si="597"/>
        <v>#VALUE!</v>
      </c>
      <c r="AN392" s="32" t="str">
        <f t="shared" si="598"/>
        <v/>
      </c>
      <c r="AO392" s="27" t="str">
        <f t="shared" si="599"/>
        <v/>
      </c>
      <c r="AP392" s="27" t="str">
        <f t="shared" si="600"/>
        <v/>
      </c>
      <c r="AQ392" s="27">
        <f t="shared" si="601"/>
        <v>0</v>
      </c>
      <c r="AR392" s="27">
        <f t="shared" si="602"/>
        <v>0</v>
      </c>
      <c r="AS392" s="33">
        <f t="shared" si="603"/>
        <v>0</v>
      </c>
    </row>
    <row r="393" spans="2:45" hidden="1" x14ac:dyDescent="0.25">
      <c r="B393" s="34">
        <f t="shared" ref="B393:F393" si="605">IF(B392="","",B392)</f>
        <v>250</v>
      </c>
      <c r="C393" s="26">
        <f t="shared" si="605"/>
        <v>20</v>
      </c>
      <c r="D393" s="26">
        <f t="shared" si="605"/>
        <v>0</v>
      </c>
      <c r="E393" s="26">
        <f t="shared" si="605"/>
        <v>0</v>
      </c>
      <c r="F393" s="26">
        <f t="shared" si="605"/>
        <v>-1630</v>
      </c>
      <c r="G393" s="24"/>
      <c r="H393" s="24"/>
      <c r="I393" s="24"/>
      <c r="J393" s="24"/>
      <c r="K393" s="24"/>
      <c r="L393" s="24"/>
      <c r="M393" s="44" t="str">
        <f t="shared" si="572"/>
        <v/>
      </c>
      <c r="N393" s="26" t="str">
        <f t="shared" si="574"/>
        <v/>
      </c>
      <c r="O393" s="26" t="str">
        <f t="shared" si="575"/>
        <v/>
      </c>
      <c r="P393" s="26" t="str">
        <f t="shared" si="576"/>
        <v/>
      </c>
      <c r="Q393" s="26">
        <f t="shared" si="577"/>
        <v>0</v>
      </c>
      <c r="R393" s="26">
        <f t="shared" si="578"/>
        <v>0</v>
      </c>
      <c r="S393" s="26">
        <f t="shared" si="579"/>
        <v>0</v>
      </c>
      <c r="T393" s="26" t="str">
        <f t="shared" si="580"/>
        <v/>
      </c>
      <c r="U393" s="26" t="str">
        <f t="shared" si="581"/>
        <v/>
      </c>
      <c r="V393" s="26" t="str">
        <f t="shared" si="582"/>
        <v/>
      </c>
      <c r="W393" s="27" t="str">
        <f t="shared" si="583"/>
        <v/>
      </c>
      <c r="X393" s="27" t="str">
        <f t="shared" si="584"/>
        <v/>
      </c>
      <c r="Y393" s="28" t="str">
        <f t="shared" si="585"/>
        <v/>
      </c>
      <c r="Z393" s="27" t="str">
        <f t="shared" si="586"/>
        <v/>
      </c>
      <c r="AA393" s="27" t="str">
        <f t="shared" si="587"/>
        <v/>
      </c>
      <c r="AB393" s="27" t="str">
        <f t="shared" si="588"/>
        <v/>
      </c>
      <c r="AC393" s="27" t="str">
        <f t="shared" si="589"/>
        <v/>
      </c>
      <c r="AD393" s="29" t="str">
        <f t="shared" si="590"/>
        <v/>
      </c>
      <c r="AE393" s="30" t="str">
        <f t="shared" si="591"/>
        <v/>
      </c>
      <c r="AG393" s="4"/>
      <c r="AH393" s="31" t="e">
        <f t="shared" si="592"/>
        <v>#VALUE!</v>
      </c>
      <c r="AI393" s="31" t="e">
        <f t="shared" si="593"/>
        <v>#VALUE!</v>
      </c>
      <c r="AJ393" s="31" t="e">
        <f t="shared" si="594"/>
        <v>#VALUE!</v>
      </c>
      <c r="AK393" s="31" t="e">
        <f t="shared" si="595"/>
        <v>#VALUE!</v>
      </c>
      <c r="AL393" s="31" t="e">
        <f t="shared" si="596"/>
        <v>#VALUE!</v>
      </c>
      <c r="AM393" s="31" t="e">
        <f t="shared" si="597"/>
        <v>#VALUE!</v>
      </c>
      <c r="AN393" s="32" t="str">
        <f t="shared" si="598"/>
        <v/>
      </c>
      <c r="AO393" s="27" t="str">
        <f t="shared" si="599"/>
        <v/>
      </c>
      <c r="AP393" s="27" t="str">
        <f t="shared" si="600"/>
        <v/>
      </c>
      <c r="AQ393" s="27">
        <f t="shared" si="601"/>
        <v>0</v>
      </c>
      <c r="AR393" s="27">
        <f t="shared" si="602"/>
        <v>0</v>
      </c>
      <c r="AS393" s="33">
        <f t="shared" si="603"/>
        <v>0</v>
      </c>
    </row>
    <row r="394" spans="2:45" hidden="1" x14ac:dyDescent="0.25">
      <c r="B394" s="34">
        <f t="shared" ref="B394:F394" si="606">IF(B393="","",B393)</f>
        <v>250</v>
      </c>
      <c r="C394" s="26">
        <f t="shared" si="606"/>
        <v>20</v>
      </c>
      <c r="D394" s="26">
        <f t="shared" si="606"/>
        <v>0</v>
      </c>
      <c r="E394" s="26">
        <f t="shared" si="606"/>
        <v>0</v>
      </c>
      <c r="F394" s="26">
        <f t="shared" si="606"/>
        <v>-1630</v>
      </c>
      <c r="G394" s="24"/>
      <c r="H394" s="24"/>
      <c r="I394" s="24"/>
      <c r="J394" s="24"/>
      <c r="K394" s="24"/>
      <c r="L394" s="24"/>
      <c r="M394" s="44" t="str">
        <f t="shared" si="572"/>
        <v/>
      </c>
      <c r="N394" s="26" t="str">
        <f t="shared" si="574"/>
        <v/>
      </c>
      <c r="O394" s="26" t="str">
        <f t="shared" si="575"/>
        <v/>
      </c>
      <c r="P394" s="26" t="str">
        <f t="shared" si="576"/>
        <v/>
      </c>
      <c r="Q394" s="26">
        <f t="shared" si="577"/>
        <v>0</v>
      </c>
      <c r="R394" s="26">
        <f t="shared" si="578"/>
        <v>0</v>
      </c>
      <c r="S394" s="26">
        <f t="shared" si="579"/>
        <v>0</v>
      </c>
      <c r="T394" s="26" t="str">
        <f t="shared" si="580"/>
        <v/>
      </c>
      <c r="U394" s="26" t="str">
        <f t="shared" si="581"/>
        <v/>
      </c>
      <c r="V394" s="26" t="str">
        <f t="shared" si="582"/>
        <v/>
      </c>
      <c r="W394" s="27" t="str">
        <f t="shared" si="583"/>
        <v/>
      </c>
      <c r="X394" s="27" t="str">
        <f t="shared" si="584"/>
        <v/>
      </c>
      <c r="Y394" s="28" t="str">
        <f t="shared" si="585"/>
        <v/>
      </c>
      <c r="Z394" s="27" t="str">
        <f t="shared" si="586"/>
        <v/>
      </c>
      <c r="AA394" s="27" t="str">
        <f t="shared" si="587"/>
        <v/>
      </c>
      <c r="AB394" s="27" t="str">
        <f t="shared" si="588"/>
        <v/>
      </c>
      <c r="AC394" s="27" t="str">
        <f t="shared" si="589"/>
        <v/>
      </c>
      <c r="AD394" s="29" t="str">
        <f t="shared" si="590"/>
        <v/>
      </c>
      <c r="AE394" s="30" t="str">
        <f t="shared" si="591"/>
        <v/>
      </c>
      <c r="AG394" s="4"/>
      <c r="AH394" s="31" t="e">
        <f t="shared" si="592"/>
        <v>#VALUE!</v>
      </c>
      <c r="AI394" s="31" t="e">
        <f t="shared" si="593"/>
        <v>#VALUE!</v>
      </c>
      <c r="AJ394" s="31" t="e">
        <f t="shared" si="594"/>
        <v>#VALUE!</v>
      </c>
      <c r="AK394" s="31" t="e">
        <f t="shared" si="595"/>
        <v>#VALUE!</v>
      </c>
      <c r="AL394" s="31" t="e">
        <f t="shared" si="596"/>
        <v>#VALUE!</v>
      </c>
      <c r="AM394" s="31" t="e">
        <f t="shared" si="597"/>
        <v>#VALUE!</v>
      </c>
      <c r="AN394" s="32" t="str">
        <f t="shared" si="598"/>
        <v/>
      </c>
      <c r="AO394" s="27" t="str">
        <f t="shared" si="599"/>
        <v/>
      </c>
      <c r="AP394" s="27" t="str">
        <f t="shared" si="600"/>
        <v/>
      </c>
      <c r="AQ394" s="27">
        <f t="shared" si="601"/>
        <v>0</v>
      </c>
      <c r="AR394" s="27">
        <f t="shared" si="602"/>
        <v>0</v>
      </c>
      <c r="AS394" s="33">
        <f t="shared" si="603"/>
        <v>0</v>
      </c>
    </row>
    <row r="395" spans="2:45" hidden="1" x14ac:dyDescent="0.25">
      <c r="B395" s="34">
        <f t="shared" ref="B395:F395" si="607">IF(B394="","",B394)</f>
        <v>250</v>
      </c>
      <c r="C395" s="26">
        <f t="shared" si="607"/>
        <v>20</v>
      </c>
      <c r="D395" s="26">
        <f t="shared" si="607"/>
        <v>0</v>
      </c>
      <c r="E395" s="26">
        <f t="shared" si="607"/>
        <v>0</v>
      </c>
      <c r="F395" s="26">
        <f t="shared" si="607"/>
        <v>-1630</v>
      </c>
      <c r="G395" s="24"/>
      <c r="H395" s="24"/>
      <c r="I395" s="24"/>
      <c r="J395" s="24"/>
      <c r="K395" s="24"/>
      <c r="L395" s="24"/>
      <c r="M395" s="44" t="str">
        <f t="shared" si="572"/>
        <v/>
      </c>
      <c r="N395" s="26" t="str">
        <f t="shared" si="574"/>
        <v/>
      </c>
      <c r="O395" s="26" t="str">
        <f t="shared" si="575"/>
        <v/>
      </c>
      <c r="P395" s="26" t="str">
        <f t="shared" si="576"/>
        <v/>
      </c>
      <c r="Q395" s="26">
        <f t="shared" si="577"/>
        <v>0</v>
      </c>
      <c r="R395" s="26">
        <f t="shared" si="578"/>
        <v>0</v>
      </c>
      <c r="S395" s="26">
        <f t="shared" si="579"/>
        <v>0</v>
      </c>
      <c r="T395" s="26" t="str">
        <f t="shared" si="580"/>
        <v/>
      </c>
      <c r="U395" s="26" t="str">
        <f t="shared" si="581"/>
        <v/>
      </c>
      <c r="V395" s="26" t="str">
        <f t="shared" si="582"/>
        <v/>
      </c>
      <c r="W395" s="27" t="str">
        <f t="shared" si="583"/>
        <v/>
      </c>
      <c r="X395" s="27" t="str">
        <f t="shared" si="584"/>
        <v/>
      </c>
      <c r="Y395" s="28" t="str">
        <f t="shared" si="585"/>
        <v/>
      </c>
      <c r="Z395" s="27" t="str">
        <f t="shared" si="586"/>
        <v/>
      </c>
      <c r="AA395" s="27" t="str">
        <f t="shared" si="587"/>
        <v/>
      </c>
      <c r="AB395" s="27" t="str">
        <f t="shared" si="588"/>
        <v/>
      </c>
      <c r="AC395" s="27" t="str">
        <f t="shared" si="589"/>
        <v/>
      </c>
      <c r="AD395" s="29" t="str">
        <f t="shared" si="590"/>
        <v/>
      </c>
      <c r="AE395" s="30" t="str">
        <f t="shared" si="591"/>
        <v/>
      </c>
      <c r="AG395" s="4"/>
      <c r="AH395" s="31" t="e">
        <f t="shared" si="592"/>
        <v>#VALUE!</v>
      </c>
      <c r="AI395" s="31" t="e">
        <f t="shared" si="593"/>
        <v>#VALUE!</v>
      </c>
      <c r="AJ395" s="31" t="e">
        <f t="shared" si="594"/>
        <v>#VALUE!</v>
      </c>
      <c r="AK395" s="31" t="e">
        <f t="shared" si="595"/>
        <v>#VALUE!</v>
      </c>
      <c r="AL395" s="31" t="e">
        <f t="shared" si="596"/>
        <v>#VALUE!</v>
      </c>
      <c r="AM395" s="31" t="e">
        <f t="shared" si="597"/>
        <v>#VALUE!</v>
      </c>
      <c r="AN395" s="32" t="str">
        <f t="shared" si="598"/>
        <v/>
      </c>
      <c r="AO395" s="27" t="str">
        <f t="shared" si="599"/>
        <v/>
      </c>
      <c r="AP395" s="27" t="str">
        <f t="shared" si="600"/>
        <v/>
      </c>
      <c r="AQ395" s="27">
        <f t="shared" si="601"/>
        <v>0</v>
      </c>
      <c r="AR395" s="27">
        <f t="shared" si="602"/>
        <v>0</v>
      </c>
      <c r="AS395" s="33">
        <f t="shared" si="603"/>
        <v>0</v>
      </c>
    </row>
    <row r="396" spans="2:45" hidden="1" x14ac:dyDescent="0.25">
      <c r="B396" s="34">
        <f t="shared" ref="B396:F396" si="608">IF(B395="","",B395)</f>
        <v>250</v>
      </c>
      <c r="C396" s="26">
        <f t="shared" si="608"/>
        <v>20</v>
      </c>
      <c r="D396" s="26">
        <f t="shared" si="608"/>
        <v>0</v>
      </c>
      <c r="E396" s="26">
        <f t="shared" si="608"/>
        <v>0</v>
      </c>
      <c r="F396" s="26">
        <f t="shared" si="608"/>
        <v>-1630</v>
      </c>
      <c r="G396" s="24"/>
      <c r="H396" s="24"/>
      <c r="I396" s="24"/>
      <c r="J396" s="24"/>
      <c r="K396" s="24"/>
      <c r="L396" s="24"/>
      <c r="M396" s="44" t="str">
        <f t="shared" si="572"/>
        <v/>
      </c>
      <c r="N396" s="26" t="str">
        <f t="shared" si="574"/>
        <v/>
      </c>
      <c r="O396" s="26" t="str">
        <f t="shared" si="575"/>
        <v/>
      </c>
      <c r="P396" s="26" t="str">
        <f t="shared" si="576"/>
        <v/>
      </c>
      <c r="Q396" s="26">
        <f t="shared" si="577"/>
        <v>0</v>
      </c>
      <c r="R396" s="26">
        <f t="shared" si="578"/>
        <v>0</v>
      </c>
      <c r="S396" s="26">
        <f t="shared" si="579"/>
        <v>0</v>
      </c>
      <c r="T396" s="26" t="str">
        <f t="shared" si="580"/>
        <v/>
      </c>
      <c r="U396" s="26" t="str">
        <f t="shared" si="581"/>
        <v/>
      </c>
      <c r="V396" s="26" t="str">
        <f t="shared" si="582"/>
        <v/>
      </c>
      <c r="W396" s="27" t="str">
        <f t="shared" si="583"/>
        <v/>
      </c>
      <c r="X396" s="27" t="str">
        <f t="shared" si="584"/>
        <v/>
      </c>
      <c r="Y396" s="28" t="str">
        <f t="shared" si="585"/>
        <v/>
      </c>
      <c r="Z396" s="27" t="str">
        <f t="shared" si="586"/>
        <v/>
      </c>
      <c r="AA396" s="27" t="str">
        <f t="shared" si="587"/>
        <v/>
      </c>
      <c r="AB396" s="27" t="str">
        <f t="shared" si="588"/>
        <v/>
      </c>
      <c r="AC396" s="27" t="str">
        <f t="shared" si="589"/>
        <v/>
      </c>
      <c r="AD396" s="29" t="str">
        <f t="shared" si="590"/>
        <v/>
      </c>
      <c r="AE396" s="30" t="str">
        <f t="shared" si="591"/>
        <v/>
      </c>
      <c r="AG396" s="4"/>
      <c r="AH396" s="31" t="e">
        <f t="shared" si="592"/>
        <v>#VALUE!</v>
      </c>
      <c r="AI396" s="31" t="e">
        <f t="shared" si="593"/>
        <v>#VALUE!</v>
      </c>
      <c r="AJ396" s="31" t="e">
        <f t="shared" si="594"/>
        <v>#VALUE!</v>
      </c>
      <c r="AK396" s="31" t="e">
        <f t="shared" si="595"/>
        <v>#VALUE!</v>
      </c>
      <c r="AL396" s="31" t="e">
        <f t="shared" si="596"/>
        <v>#VALUE!</v>
      </c>
      <c r="AM396" s="31" t="e">
        <f t="shared" si="597"/>
        <v>#VALUE!</v>
      </c>
      <c r="AN396" s="32" t="str">
        <f t="shared" si="598"/>
        <v/>
      </c>
      <c r="AO396" s="27" t="str">
        <f t="shared" si="599"/>
        <v/>
      </c>
      <c r="AP396" s="27" t="str">
        <f t="shared" si="600"/>
        <v/>
      </c>
      <c r="AQ396" s="27">
        <f t="shared" si="601"/>
        <v>0</v>
      </c>
      <c r="AR396" s="27">
        <f t="shared" si="602"/>
        <v>0</v>
      </c>
      <c r="AS396" s="33">
        <f t="shared" si="603"/>
        <v>0</v>
      </c>
    </row>
    <row r="397" spans="2:45" hidden="1" x14ac:dyDescent="0.25">
      <c r="B397" s="34">
        <f t="shared" ref="B397:F397" si="609">IF(B396="","",B396)</f>
        <v>250</v>
      </c>
      <c r="C397" s="26">
        <f t="shared" si="609"/>
        <v>20</v>
      </c>
      <c r="D397" s="26">
        <f t="shared" si="609"/>
        <v>0</v>
      </c>
      <c r="E397" s="26">
        <f t="shared" si="609"/>
        <v>0</v>
      </c>
      <c r="F397" s="26">
        <f t="shared" si="609"/>
        <v>-1630</v>
      </c>
      <c r="G397" s="24"/>
      <c r="H397" s="24"/>
      <c r="I397" s="24"/>
      <c r="J397" s="24"/>
      <c r="K397" s="24"/>
      <c r="L397" s="24"/>
      <c r="M397" s="44" t="str">
        <f t="shared" si="572"/>
        <v/>
      </c>
      <c r="N397" s="26" t="str">
        <f t="shared" si="574"/>
        <v/>
      </c>
      <c r="O397" s="26" t="str">
        <f t="shared" si="575"/>
        <v/>
      </c>
      <c r="P397" s="26" t="str">
        <f t="shared" si="576"/>
        <v/>
      </c>
      <c r="Q397" s="26">
        <f t="shared" si="577"/>
        <v>0</v>
      </c>
      <c r="R397" s="26">
        <f t="shared" si="578"/>
        <v>0</v>
      </c>
      <c r="S397" s="26">
        <f t="shared" si="579"/>
        <v>0</v>
      </c>
      <c r="T397" s="26" t="str">
        <f t="shared" si="580"/>
        <v/>
      </c>
      <c r="U397" s="26" t="str">
        <f t="shared" si="581"/>
        <v/>
      </c>
      <c r="V397" s="26" t="str">
        <f t="shared" si="582"/>
        <v/>
      </c>
      <c r="W397" s="27" t="str">
        <f t="shared" si="583"/>
        <v/>
      </c>
      <c r="X397" s="27" t="str">
        <f t="shared" si="584"/>
        <v/>
      </c>
      <c r="Y397" s="28" t="str">
        <f t="shared" si="585"/>
        <v/>
      </c>
      <c r="Z397" s="27" t="str">
        <f t="shared" si="586"/>
        <v/>
      </c>
      <c r="AA397" s="27" t="str">
        <f t="shared" si="587"/>
        <v/>
      </c>
      <c r="AB397" s="27" t="str">
        <f t="shared" si="588"/>
        <v/>
      </c>
      <c r="AC397" s="27" t="str">
        <f t="shared" si="589"/>
        <v/>
      </c>
      <c r="AD397" s="29" t="str">
        <f t="shared" si="590"/>
        <v/>
      </c>
      <c r="AE397" s="30" t="str">
        <f t="shared" si="591"/>
        <v/>
      </c>
      <c r="AG397" s="4"/>
      <c r="AH397" s="31" t="e">
        <f t="shared" si="592"/>
        <v>#VALUE!</v>
      </c>
      <c r="AI397" s="31" t="e">
        <f t="shared" si="593"/>
        <v>#VALUE!</v>
      </c>
      <c r="AJ397" s="31" t="e">
        <f t="shared" si="594"/>
        <v>#VALUE!</v>
      </c>
      <c r="AK397" s="31" t="e">
        <f t="shared" si="595"/>
        <v>#VALUE!</v>
      </c>
      <c r="AL397" s="31" t="e">
        <f t="shared" si="596"/>
        <v>#VALUE!</v>
      </c>
      <c r="AM397" s="31" t="e">
        <f t="shared" si="597"/>
        <v>#VALUE!</v>
      </c>
      <c r="AN397" s="32" t="str">
        <f t="shared" si="598"/>
        <v/>
      </c>
      <c r="AO397" s="27" t="str">
        <f t="shared" si="599"/>
        <v/>
      </c>
      <c r="AP397" s="27" t="str">
        <f t="shared" si="600"/>
        <v/>
      </c>
      <c r="AQ397" s="27">
        <f t="shared" si="601"/>
        <v>0</v>
      </c>
      <c r="AR397" s="27">
        <f t="shared" si="602"/>
        <v>0</v>
      </c>
      <c r="AS397" s="33">
        <f t="shared" si="603"/>
        <v>0</v>
      </c>
    </row>
    <row r="398" spans="2:45" hidden="1" x14ac:dyDescent="0.25">
      <c r="B398" s="34">
        <f t="shared" ref="B398:F398" si="610">IF(B397="","",B397)</f>
        <v>250</v>
      </c>
      <c r="C398" s="26">
        <f t="shared" si="610"/>
        <v>20</v>
      </c>
      <c r="D398" s="26">
        <f t="shared" si="610"/>
        <v>0</v>
      </c>
      <c r="E398" s="26">
        <f t="shared" si="610"/>
        <v>0</v>
      </c>
      <c r="F398" s="26">
        <f t="shared" si="610"/>
        <v>-1630</v>
      </c>
      <c r="G398" s="24"/>
      <c r="H398" s="24"/>
      <c r="I398" s="24"/>
      <c r="J398" s="24"/>
      <c r="K398" s="24"/>
      <c r="L398" s="24"/>
      <c r="M398" s="44" t="str">
        <f t="shared" si="572"/>
        <v/>
      </c>
      <c r="N398" s="26" t="str">
        <f t="shared" si="574"/>
        <v/>
      </c>
      <c r="O398" s="26" t="str">
        <f t="shared" si="575"/>
        <v/>
      </c>
      <c r="P398" s="26" t="str">
        <f t="shared" si="576"/>
        <v/>
      </c>
      <c r="Q398" s="26">
        <f t="shared" si="577"/>
        <v>0</v>
      </c>
      <c r="R398" s="26">
        <f t="shared" si="578"/>
        <v>0</v>
      </c>
      <c r="S398" s="26">
        <f t="shared" si="579"/>
        <v>0</v>
      </c>
      <c r="T398" s="26" t="str">
        <f t="shared" si="580"/>
        <v/>
      </c>
      <c r="U398" s="26" t="str">
        <f t="shared" si="581"/>
        <v/>
      </c>
      <c r="V398" s="26" t="str">
        <f t="shared" si="582"/>
        <v/>
      </c>
      <c r="W398" s="27" t="str">
        <f t="shared" si="583"/>
        <v/>
      </c>
      <c r="X398" s="27" t="str">
        <f t="shared" si="584"/>
        <v/>
      </c>
      <c r="Y398" s="28" t="str">
        <f t="shared" si="585"/>
        <v/>
      </c>
      <c r="Z398" s="27" t="str">
        <f t="shared" si="586"/>
        <v/>
      </c>
      <c r="AA398" s="27" t="str">
        <f t="shared" si="587"/>
        <v/>
      </c>
      <c r="AB398" s="27" t="str">
        <f t="shared" si="588"/>
        <v/>
      </c>
      <c r="AC398" s="27" t="str">
        <f t="shared" si="589"/>
        <v/>
      </c>
      <c r="AD398" s="29" t="str">
        <f t="shared" si="590"/>
        <v/>
      </c>
      <c r="AE398" s="30" t="str">
        <f t="shared" si="591"/>
        <v/>
      </c>
      <c r="AG398" s="4"/>
      <c r="AH398" s="31" t="e">
        <f t="shared" si="592"/>
        <v>#VALUE!</v>
      </c>
      <c r="AI398" s="31" t="e">
        <f t="shared" si="593"/>
        <v>#VALUE!</v>
      </c>
      <c r="AJ398" s="31" t="e">
        <f t="shared" si="594"/>
        <v>#VALUE!</v>
      </c>
      <c r="AK398" s="31" t="e">
        <f t="shared" si="595"/>
        <v>#VALUE!</v>
      </c>
      <c r="AL398" s="31" t="e">
        <f t="shared" si="596"/>
        <v>#VALUE!</v>
      </c>
      <c r="AM398" s="31" t="e">
        <f t="shared" si="597"/>
        <v>#VALUE!</v>
      </c>
      <c r="AN398" s="32" t="str">
        <f t="shared" si="598"/>
        <v/>
      </c>
      <c r="AO398" s="27" t="str">
        <f t="shared" si="599"/>
        <v/>
      </c>
      <c r="AP398" s="27" t="str">
        <f t="shared" si="600"/>
        <v/>
      </c>
      <c r="AQ398" s="27">
        <f t="shared" si="601"/>
        <v>0</v>
      </c>
      <c r="AR398" s="27">
        <f t="shared" si="602"/>
        <v>0</v>
      </c>
      <c r="AS398" s="33">
        <f t="shared" si="603"/>
        <v>0</v>
      </c>
    </row>
    <row r="399" spans="2:45" hidden="1" x14ac:dyDescent="0.25">
      <c r="B399" s="34">
        <f t="shared" ref="B399:F399" si="611">IF(B398="","",B398)</f>
        <v>250</v>
      </c>
      <c r="C399" s="26">
        <f t="shared" si="611"/>
        <v>20</v>
      </c>
      <c r="D399" s="26">
        <f t="shared" si="611"/>
        <v>0</v>
      </c>
      <c r="E399" s="26">
        <f t="shared" si="611"/>
        <v>0</v>
      </c>
      <c r="F399" s="26">
        <f t="shared" si="611"/>
        <v>-1630</v>
      </c>
      <c r="G399" s="24"/>
      <c r="H399" s="24"/>
      <c r="I399" s="24"/>
      <c r="J399" s="24"/>
      <c r="K399" s="24"/>
      <c r="L399" s="24"/>
      <c r="M399" s="44" t="str">
        <f t="shared" si="572"/>
        <v/>
      </c>
      <c r="N399" s="26" t="str">
        <f t="shared" si="574"/>
        <v/>
      </c>
      <c r="O399" s="26" t="str">
        <f t="shared" si="575"/>
        <v/>
      </c>
      <c r="P399" s="26" t="str">
        <f t="shared" si="576"/>
        <v/>
      </c>
      <c r="Q399" s="26">
        <f t="shared" si="577"/>
        <v>0</v>
      </c>
      <c r="R399" s="26">
        <f t="shared" si="578"/>
        <v>0</v>
      </c>
      <c r="S399" s="26">
        <f t="shared" si="579"/>
        <v>0</v>
      </c>
      <c r="T399" s="26" t="str">
        <f t="shared" si="580"/>
        <v/>
      </c>
      <c r="U399" s="26" t="str">
        <f t="shared" si="581"/>
        <v/>
      </c>
      <c r="V399" s="26" t="str">
        <f t="shared" si="582"/>
        <v/>
      </c>
      <c r="W399" s="27" t="str">
        <f t="shared" si="583"/>
        <v/>
      </c>
      <c r="X399" s="27" t="str">
        <f t="shared" si="584"/>
        <v/>
      </c>
      <c r="Y399" s="28" t="str">
        <f t="shared" si="585"/>
        <v/>
      </c>
      <c r="Z399" s="27" t="str">
        <f t="shared" si="586"/>
        <v/>
      </c>
      <c r="AA399" s="27" t="str">
        <f t="shared" si="587"/>
        <v/>
      </c>
      <c r="AB399" s="27" t="str">
        <f t="shared" si="588"/>
        <v/>
      </c>
      <c r="AC399" s="27" t="str">
        <f t="shared" si="589"/>
        <v/>
      </c>
      <c r="AD399" s="29" t="str">
        <f t="shared" si="590"/>
        <v/>
      </c>
      <c r="AE399" s="30" t="str">
        <f t="shared" si="591"/>
        <v/>
      </c>
      <c r="AG399" s="4"/>
      <c r="AH399" s="31" t="e">
        <f t="shared" si="592"/>
        <v>#VALUE!</v>
      </c>
      <c r="AI399" s="31" t="e">
        <f t="shared" si="593"/>
        <v>#VALUE!</v>
      </c>
      <c r="AJ399" s="31" t="e">
        <f t="shared" si="594"/>
        <v>#VALUE!</v>
      </c>
      <c r="AK399" s="31" t="e">
        <f t="shared" si="595"/>
        <v>#VALUE!</v>
      </c>
      <c r="AL399" s="31" t="e">
        <f t="shared" si="596"/>
        <v>#VALUE!</v>
      </c>
      <c r="AM399" s="31" t="e">
        <f t="shared" si="597"/>
        <v>#VALUE!</v>
      </c>
      <c r="AN399" s="32" t="str">
        <f t="shared" si="598"/>
        <v/>
      </c>
      <c r="AO399" s="27" t="str">
        <f t="shared" si="599"/>
        <v/>
      </c>
      <c r="AP399" s="27" t="str">
        <f t="shared" si="600"/>
        <v/>
      </c>
      <c r="AQ399" s="27">
        <f t="shared" si="601"/>
        <v>0</v>
      </c>
      <c r="AR399" s="27">
        <f t="shared" si="602"/>
        <v>0</v>
      </c>
      <c r="AS399" s="33">
        <f t="shared" si="603"/>
        <v>0</v>
      </c>
    </row>
    <row r="400" spans="2:45" hidden="1" x14ac:dyDescent="0.25">
      <c r="B400" s="34">
        <f t="shared" ref="B400:F400" si="612">IF(B399="","",B399)</f>
        <v>250</v>
      </c>
      <c r="C400" s="26">
        <f t="shared" si="612"/>
        <v>20</v>
      </c>
      <c r="D400" s="26">
        <f t="shared" si="612"/>
        <v>0</v>
      </c>
      <c r="E400" s="26">
        <f t="shared" si="612"/>
        <v>0</v>
      </c>
      <c r="F400" s="26">
        <f t="shared" si="612"/>
        <v>-1630</v>
      </c>
      <c r="G400" s="24"/>
      <c r="H400" s="24"/>
      <c r="I400" s="24"/>
      <c r="J400" s="24"/>
      <c r="K400" s="24"/>
      <c r="L400" s="24"/>
      <c r="M400" s="44" t="str">
        <f t="shared" si="572"/>
        <v/>
      </c>
      <c r="N400" s="26" t="str">
        <f t="shared" si="574"/>
        <v/>
      </c>
      <c r="O400" s="26" t="str">
        <f t="shared" si="575"/>
        <v/>
      </c>
      <c r="P400" s="26" t="str">
        <f t="shared" si="576"/>
        <v/>
      </c>
      <c r="Q400" s="26">
        <f t="shared" si="577"/>
        <v>0</v>
      </c>
      <c r="R400" s="26">
        <f t="shared" si="578"/>
        <v>0</v>
      </c>
      <c r="S400" s="26">
        <f t="shared" si="579"/>
        <v>0</v>
      </c>
      <c r="T400" s="26" t="str">
        <f t="shared" si="580"/>
        <v/>
      </c>
      <c r="U400" s="26" t="str">
        <f t="shared" si="581"/>
        <v/>
      </c>
      <c r="V400" s="26" t="str">
        <f t="shared" si="582"/>
        <v/>
      </c>
      <c r="W400" s="27" t="str">
        <f t="shared" si="583"/>
        <v/>
      </c>
      <c r="X400" s="27" t="str">
        <f t="shared" si="584"/>
        <v/>
      </c>
      <c r="Y400" s="28" t="str">
        <f t="shared" si="585"/>
        <v/>
      </c>
      <c r="Z400" s="27" t="str">
        <f t="shared" si="586"/>
        <v/>
      </c>
      <c r="AA400" s="27" t="str">
        <f t="shared" si="587"/>
        <v/>
      </c>
      <c r="AB400" s="27" t="str">
        <f t="shared" si="588"/>
        <v/>
      </c>
      <c r="AC400" s="27" t="str">
        <f t="shared" si="589"/>
        <v/>
      </c>
      <c r="AD400" s="29" t="str">
        <f t="shared" si="590"/>
        <v/>
      </c>
      <c r="AE400" s="30" t="str">
        <f t="shared" si="591"/>
        <v/>
      </c>
      <c r="AG400" s="4"/>
      <c r="AH400" s="31" t="e">
        <f t="shared" si="592"/>
        <v>#VALUE!</v>
      </c>
      <c r="AI400" s="31" t="e">
        <f t="shared" si="593"/>
        <v>#VALUE!</v>
      </c>
      <c r="AJ400" s="31" t="e">
        <f t="shared" si="594"/>
        <v>#VALUE!</v>
      </c>
      <c r="AK400" s="31" t="e">
        <f t="shared" si="595"/>
        <v>#VALUE!</v>
      </c>
      <c r="AL400" s="31" t="e">
        <f t="shared" si="596"/>
        <v>#VALUE!</v>
      </c>
      <c r="AM400" s="31" t="e">
        <f t="shared" si="597"/>
        <v>#VALUE!</v>
      </c>
      <c r="AN400" s="32" t="str">
        <f t="shared" si="598"/>
        <v/>
      </c>
      <c r="AO400" s="27" t="str">
        <f t="shared" si="599"/>
        <v/>
      </c>
      <c r="AP400" s="27" t="str">
        <f t="shared" si="600"/>
        <v/>
      </c>
      <c r="AQ400" s="27">
        <f t="shared" si="601"/>
        <v>0</v>
      </c>
      <c r="AR400" s="27">
        <f t="shared" si="602"/>
        <v>0</v>
      </c>
      <c r="AS400" s="33">
        <f t="shared" si="603"/>
        <v>0</v>
      </c>
    </row>
    <row r="401" spans="2:45" hidden="1" x14ac:dyDescent="0.25">
      <c r="B401" s="34">
        <f t="shared" ref="B401:F401" si="613">IF(B400="","",B400)</f>
        <v>250</v>
      </c>
      <c r="C401" s="26">
        <f t="shared" si="613"/>
        <v>20</v>
      </c>
      <c r="D401" s="26">
        <f t="shared" si="613"/>
        <v>0</v>
      </c>
      <c r="E401" s="26">
        <f t="shared" si="613"/>
        <v>0</v>
      </c>
      <c r="F401" s="26">
        <f t="shared" si="613"/>
        <v>-1630</v>
      </c>
      <c r="G401" s="24"/>
      <c r="H401" s="24"/>
      <c r="I401" s="24"/>
      <c r="J401" s="24"/>
      <c r="K401" s="24"/>
      <c r="L401" s="24"/>
      <c r="M401" s="44" t="str">
        <f t="shared" si="572"/>
        <v/>
      </c>
      <c r="N401" s="26" t="str">
        <f t="shared" si="574"/>
        <v/>
      </c>
      <c r="O401" s="26" t="str">
        <f t="shared" si="575"/>
        <v/>
      </c>
      <c r="P401" s="26" t="str">
        <f t="shared" si="576"/>
        <v/>
      </c>
      <c r="Q401" s="26">
        <f t="shared" si="577"/>
        <v>0</v>
      </c>
      <c r="R401" s="26">
        <f t="shared" si="578"/>
        <v>0</v>
      </c>
      <c r="S401" s="26">
        <f t="shared" si="579"/>
        <v>0</v>
      </c>
      <c r="T401" s="26" t="str">
        <f t="shared" si="580"/>
        <v/>
      </c>
      <c r="U401" s="26" t="str">
        <f t="shared" si="581"/>
        <v/>
      </c>
      <c r="V401" s="26" t="str">
        <f t="shared" si="582"/>
        <v/>
      </c>
      <c r="W401" s="27" t="str">
        <f t="shared" si="583"/>
        <v/>
      </c>
      <c r="X401" s="27" t="str">
        <f t="shared" si="584"/>
        <v/>
      </c>
      <c r="Y401" s="28" t="str">
        <f t="shared" si="585"/>
        <v/>
      </c>
      <c r="Z401" s="27" t="str">
        <f t="shared" si="586"/>
        <v/>
      </c>
      <c r="AA401" s="27" t="str">
        <f t="shared" si="587"/>
        <v/>
      </c>
      <c r="AB401" s="27" t="str">
        <f t="shared" si="588"/>
        <v/>
      </c>
      <c r="AC401" s="27" t="str">
        <f t="shared" si="589"/>
        <v/>
      </c>
      <c r="AD401" s="29" t="str">
        <f t="shared" si="590"/>
        <v/>
      </c>
      <c r="AE401" s="30" t="str">
        <f t="shared" si="591"/>
        <v/>
      </c>
      <c r="AG401" s="4"/>
      <c r="AH401" s="31" t="e">
        <f t="shared" si="592"/>
        <v>#VALUE!</v>
      </c>
      <c r="AI401" s="31" t="e">
        <f t="shared" si="593"/>
        <v>#VALUE!</v>
      </c>
      <c r="AJ401" s="31" t="e">
        <f t="shared" si="594"/>
        <v>#VALUE!</v>
      </c>
      <c r="AK401" s="31" t="e">
        <f t="shared" si="595"/>
        <v>#VALUE!</v>
      </c>
      <c r="AL401" s="31" t="e">
        <f t="shared" si="596"/>
        <v>#VALUE!</v>
      </c>
      <c r="AM401" s="31" t="e">
        <f t="shared" si="597"/>
        <v>#VALUE!</v>
      </c>
      <c r="AN401" s="32" t="str">
        <f t="shared" si="598"/>
        <v/>
      </c>
      <c r="AO401" s="27" t="str">
        <f t="shared" si="599"/>
        <v/>
      </c>
      <c r="AP401" s="27" t="str">
        <f t="shared" si="600"/>
        <v/>
      </c>
      <c r="AQ401" s="27">
        <f t="shared" si="601"/>
        <v>0</v>
      </c>
      <c r="AR401" s="27">
        <f t="shared" si="602"/>
        <v>0</v>
      </c>
      <c r="AS401" s="33">
        <f t="shared" si="603"/>
        <v>0</v>
      </c>
    </row>
    <row r="402" spans="2:45" hidden="1" x14ac:dyDescent="0.25">
      <c r="B402" s="34">
        <f t="shared" ref="B402:F402" si="614">IF(B401="","",B401)</f>
        <v>250</v>
      </c>
      <c r="C402" s="26">
        <f t="shared" si="614"/>
        <v>20</v>
      </c>
      <c r="D402" s="26">
        <f t="shared" si="614"/>
        <v>0</v>
      </c>
      <c r="E402" s="26">
        <f t="shared" si="614"/>
        <v>0</v>
      </c>
      <c r="F402" s="26">
        <f t="shared" si="614"/>
        <v>-1630</v>
      </c>
      <c r="G402" s="24"/>
      <c r="H402" s="24"/>
      <c r="I402" s="24"/>
      <c r="J402" s="24"/>
      <c r="K402" s="24"/>
      <c r="L402" s="24"/>
      <c r="M402" s="44" t="str">
        <f t="shared" si="572"/>
        <v/>
      </c>
      <c r="N402" s="26" t="str">
        <f t="shared" si="574"/>
        <v/>
      </c>
      <c r="O402" s="26" t="str">
        <f t="shared" si="575"/>
        <v/>
      </c>
      <c r="P402" s="26" t="str">
        <f t="shared" si="576"/>
        <v/>
      </c>
      <c r="Q402" s="26">
        <f t="shared" si="577"/>
        <v>0</v>
      </c>
      <c r="R402" s="26">
        <f t="shared" si="578"/>
        <v>0</v>
      </c>
      <c r="S402" s="26">
        <f t="shared" si="579"/>
        <v>0</v>
      </c>
      <c r="T402" s="26" t="str">
        <f t="shared" si="580"/>
        <v/>
      </c>
      <c r="U402" s="26" t="str">
        <f t="shared" si="581"/>
        <v/>
      </c>
      <c r="V402" s="26" t="str">
        <f t="shared" si="582"/>
        <v/>
      </c>
      <c r="W402" s="27" t="str">
        <f t="shared" si="583"/>
        <v/>
      </c>
      <c r="X402" s="27" t="str">
        <f t="shared" si="584"/>
        <v/>
      </c>
      <c r="Y402" s="28" t="str">
        <f t="shared" si="585"/>
        <v/>
      </c>
      <c r="Z402" s="27" t="str">
        <f t="shared" si="586"/>
        <v/>
      </c>
      <c r="AA402" s="27" t="str">
        <f t="shared" si="587"/>
        <v/>
      </c>
      <c r="AB402" s="27" t="str">
        <f t="shared" si="588"/>
        <v/>
      </c>
      <c r="AC402" s="27" t="str">
        <f t="shared" si="589"/>
        <v/>
      </c>
      <c r="AD402" s="29" t="str">
        <f t="shared" si="590"/>
        <v/>
      </c>
      <c r="AE402" s="30" t="str">
        <f t="shared" si="591"/>
        <v/>
      </c>
      <c r="AG402" s="4"/>
      <c r="AH402" s="31" t="e">
        <f t="shared" si="592"/>
        <v>#VALUE!</v>
      </c>
      <c r="AI402" s="31" t="e">
        <f t="shared" si="593"/>
        <v>#VALUE!</v>
      </c>
      <c r="AJ402" s="31" t="e">
        <f t="shared" si="594"/>
        <v>#VALUE!</v>
      </c>
      <c r="AK402" s="31" t="e">
        <f t="shared" si="595"/>
        <v>#VALUE!</v>
      </c>
      <c r="AL402" s="31" t="e">
        <f t="shared" si="596"/>
        <v>#VALUE!</v>
      </c>
      <c r="AM402" s="31" t="e">
        <f t="shared" si="597"/>
        <v>#VALUE!</v>
      </c>
      <c r="AN402" s="32" t="str">
        <f t="shared" si="598"/>
        <v/>
      </c>
      <c r="AO402" s="27" t="str">
        <f t="shared" si="599"/>
        <v/>
      </c>
      <c r="AP402" s="27" t="str">
        <f t="shared" si="600"/>
        <v/>
      </c>
      <c r="AQ402" s="27">
        <f t="shared" si="601"/>
        <v>0</v>
      </c>
      <c r="AR402" s="27">
        <f t="shared" si="602"/>
        <v>0</v>
      </c>
      <c r="AS402" s="33">
        <f t="shared" si="603"/>
        <v>0</v>
      </c>
    </row>
    <row r="403" spans="2:45" hidden="1" x14ac:dyDescent="0.25">
      <c r="B403" s="34">
        <f t="shared" ref="B403:F403" si="615">IF(B402="","",B402)</f>
        <v>250</v>
      </c>
      <c r="C403" s="26">
        <f t="shared" si="615"/>
        <v>20</v>
      </c>
      <c r="D403" s="26">
        <f t="shared" si="615"/>
        <v>0</v>
      </c>
      <c r="E403" s="26">
        <f t="shared" si="615"/>
        <v>0</v>
      </c>
      <c r="F403" s="26">
        <f t="shared" si="615"/>
        <v>-1630</v>
      </c>
      <c r="G403" s="24"/>
      <c r="H403" s="24"/>
      <c r="I403" s="24"/>
      <c r="J403" s="24"/>
      <c r="K403" s="24"/>
      <c r="L403" s="24"/>
      <c r="M403" s="44" t="str">
        <f t="shared" si="572"/>
        <v/>
      </c>
      <c r="N403" s="26" t="str">
        <f t="shared" si="574"/>
        <v/>
      </c>
      <c r="O403" s="26" t="str">
        <f t="shared" si="575"/>
        <v/>
      </c>
      <c r="P403" s="26" t="str">
        <f t="shared" si="576"/>
        <v/>
      </c>
      <c r="Q403" s="26">
        <f t="shared" si="577"/>
        <v>0</v>
      </c>
      <c r="R403" s="26">
        <f t="shared" si="578"/>
        <v>0</v>
      </c>
      <c r="S403" s="26">
        <f t="shared" si="579"/>
        <v>0</v>
      </c>
      <c r="T403" s="26" t="str">
        <f t="shared" si="580"/>
        <v/>
      </c>
      <c r="U403" s="26" t="str">
        <f t="shared" si="581"/>
        <v/>
      </c>
      <c r="V403" s="26" t="str">
        <f t="shared" si="582"/>
        <v/>
      </c>
      <c r="W403" s="27" t="str">
        <f t="shared" si="583"/>
        <v/>
      </c>
      <c r="X403" s="27" t="str">
        <f t="shared" si="584"/>
        <v/>
      </c>
      <c r="Y403" s="28" t="str">
        <f t="shared" si="585"/>
        <v/>
      </c>
      <c r="Z403" s="27" t="str">
        <f t="shared" si="586"/>
        <v/>
      </c>
      <c r="AA403" s="27" t="str">
        <f t="shared" si="587"/>
        <v/>
      </c>
      <c r="AB403" s="27" t="str">
        <f t="shared" si="588"/>
        <v/>
      </c>
      <c r="AC403" s="27" t="str">
        <f t="shared" si="589"/>
        <v/>
      </c>
      <c r="AD403" s="29" t="str">
        <f t="shared" si="590"/>
        <v/>
      </c>
      <c r="AE403" s="30" t="str">
        <f t="shared" si="591"/>
        <v/>
      </c>
      <c r="AG403" s="4"/>
      <c r="AH403" s="31" t="e">
        <f t="shared" si="592"/>
        <v>#VALUE!</v>
      </c>
      <c r="AI403" s="31" t="e">
        <f t="shared" si="593"/>
        <v>#VALUE!</v>
      </c>
      <c r="AJ403" s="31" t="e">
        <f t="shared" si="594"/>
        <v>#VALUE!</v>
      </c>
      <c r="AK403" s="31" t="e">
        <f t="shared" si="595"/>
        <v>#VALUE!</v>
      </c>
      <c r="AL403" s="31" t="e">
        <f t="shared" si="596"/>
        <v>#VALUE!</v>
      </c>
      <c r="AM403" s="31" t="e">
        <f t="shared" si="597"/>
        <v>#VALUE!</v>
      </c>
      <c r="AN403" s="32" t="str">
        <f t="shared" si="598"/>
        <v/>
      </c>
      <c r="AO403" s="27" t="str">
        <f t="shared" si="599"/>
        <v/>
      </c>
      <c r="AP403" s="27" t="str">
        <f t="shared" si="600"/>
        <v/>
      </c>
      <c r="AQ403" s="27">
        <f t="shared" si="601"/>
        <v>0</v>
      </c>
      <c r="AR403" s="27">
        <f t="shared" si="602"/>
        <v>0</v>
      </c>
      <c r="AS403" s="33">
        <f t="shared" si="603"/>
        <v>0</v>
      </c>
    </row>
    <row r="404" spans="2:45" hidden="1" x14ac:dyDescent="0.25">
      <c r="B404" s="34">
        <f t="shared" ref="B404:F404" si="616">IF(B403="","",B403)</f>
        <v>250</v>
      </c>
      <c r="C404" s="26">
        <f t="shared" si="616"/>
        <v>20</v>
      </c>
      <c r="D404" s="26">
        <f t="shared" si="616"/>
        <v>0</v>
      </c>
      <c r="E404" s="26">
        <f t="shared" si="616"/>
        <v>0</v>
      </c>
      <c r="F404" s="26">
        <f t="shared" si="616"/>
        <v>-1630</v>
      </c>
      <c r="G404" s="24"/>
      <c r="H404" s="24"/>
      <c r="I404" s="24"/>
      <c r="J404" s="24"/>
      <c r="K404" s="24"/>
      <c r="L404" s="24"/>
      <c r="M404" s="44" t="str">
        <f t="shared" si="572"/>
        <v/>
      </c>
      <c r="N404" s="26" t="str">
        <f t="shared" si="574"/>
        <v/>
      </c>
      <c r="O404" s="26" t="str">
        <f t="shared" si="575"/>
        <v/>
      </c>
      <c r="P404" s="26" t="str">
        <f t="shared" si="576"/>
        <v/>
      </c>
      <c r="Q404" s="26">
        <f t="shared" si="577"/>
        <v>0</v>
      </c>
      <c r="R404" s="26">
        <f t="shared" si="578"/>
        <v>0</v>
      </c>
      <c r="S404" s="26">
        <f t="shared" si="579"/>
        <v>0</v>
      </c>
      <c r="T404" s="26" t="str">
        <f t="shared" si="580"/>
        <v/>
      </c>
      <c r="U404" s="26" t="str">
        <f t="shared" si="581"/>
        <v/>
      </c>
      <c r="V404" s="26" t="str">
        <f t="shared" si="582"/>
        <v/>
      </c>
      <c r="W404" s="27" t="str">
        <f t="shared" si="583"/>
        <v/>
      </c>
      <c r="X404" s="27" t="str">
        <f t="shared" si="584"/>
        <v/>
      </c>
      <c r="Y404" s="28" t="str">
        <f t="shared" si="585"/>
        <v/>
      </c>
      <c r="Z404" s="27" t="str">
        <f t="shared" si="586"/>
        <v/>
      </c>
      <c r="AA404" s="27" t="str">
        <f t="shared" si="587"/>
        <v/>
      </c>
      <c r="AB404" s="27" t="str">
        <f t="shared" si="588"/>
        <v/>
      </c>
      <c r="AC404" s="27" t="str">
        <f t="shared" si="589"/>
        <v/>
      </c>
      <c r="AD404" s="29" t="str">
        <f t="shared" si="590"/>
        <v/>
      </c>
      <c r="AE404" s="30" t="str">
        <f t="shared" si="591"/>
        <v/>
      </c>
      <c r="AG404" s="4"/>
      <c r="AH404" s="31" t="e">
        <f t="shared" si="592"/>
        <v>#VALUE!</v>
      </c>
      <c r="AI404" s="31" t="e">
        <f t="shared" si="593"/>
        <v>#VALUE!</v>
      </c>
      <c r="AJ404" s="31" t="e">
        <f t="shared" si="594"/>
        <v>#VALUE!</v>
      </c>
      <c r="AK404" s="31" t="e">
        <f t="shared" si="595"/>
        <v>#VALUE!</v>
      </c>
      <c r="AL404" s="31" t="e">
        <f t="shared" si="596"/>
        <v>#VALUE!</v>
      </c>
      <c r="AM404" s="31" t="e">
        <f t="shared" si="597"/>
        <v>#VALUE!</v>
      </c>
      <c r="AN404" s="32" t="str">
        <f t="shared" si="598"/>
        <v/>
      </c>
      <c r="AO404" s="27" t="str">
        <f t="shared" si="599"/>
        <v/>
      </c>
      <c r="AP404" s="27" t="str">
        <f t="shared" si="600"/>
        <v/>
      </c>
      <c r="AQ404" s="27">
        <f t="shared" si="601"/>
        <v>0</v>
      </c>
      <c r="AR404" s="27">
        <f t="shared" si="602"/>
        <v>0</v>
      </c>
      <c r="AS404" s="33">
        <f t="shared" si="603"/>
        <v>0</v>
      </c>
    </row>
    <row r="405" spans="2:45" hidden="1" x14ac:dyDescent="0.25">
      <c r="B405" s="34">
        <f>IF(B404="","",B404)</f>
        <v>250</v>
      </c>
      <c r="C405" s="26">
        <f t="shared" ref="C405:F405" si="617">IF(C404="","",C404)</f>
        <v>20</v>
      </c>
      <c r="D405" s="26">
        <f t="shared" si="617"/>
        <v>0</v>
      </c>
      <c r="E405" s="26">
        <f t="shared" si="617"/>
        <v>0</v>
      </c>
      <c r="F405" s="26">
        <f t="shared" si="617"/>
        <v>-1630</v>
      </c>
      <c r="G405" s="24"/>
      <c r="H405" s="24"/>
      <c r="I405" s="24"/>
      <c r="J405" s="24"/>
      <c r="K405" s="24"/>
      <c r="L405" s="24"/>
      <c r="M405" s="44" t="str">
        <f t="shared" si="572"/>
        <v/>
      </c>
      <c r="N405" s="26" t="str">
        <f t="shared" si="574"/>
        <v/>
      </c>
      <c r="O405" s="26" t="str">
        <f t="shared" si="575"/>
        <v/>
      </c>
      <c r="P405" s="26" t="str">
        <f t="shared" si="576"/>
        <v/>
      </c>
      <c r="Q405" s="26">
        <f t="shared" si="577"/>
        <v>0</v>
      </c>
      <c r="R405" s="26">
        <f t="shared" si="578"/>
        <v>0</v>
      </c>
      <c r="S405" s="26">
        <f t="shared" si="579"/>
        <v>0</v>
      </c>
      <c r="T405" s="26" t="str">
        <f t="shared" si="580"/>
        <v/>
      </c>
      <c r="U405" s="26" t="str">
        <f t="shared" si="581"/>
        <v/>
      </c>
      <c r="V405" s="26" t="str">
        <f t="shared" si="582"/>
        <v/>
      </c>
      <c r="W405" s="27" t="str">
        <f t="shared" si="583"/>
        <v/>
      </c>
      <c r="X405" s="27" t="str">
        <f t="shared" si="584"/>
        <v/>
      </c>
      <c r="Y405" s="28" t="str">
        <f t="shared" si="585"/>
        <v/>
      </c>
      <c r="Z405" s="27" t="str">
        <f t="shared" si="586"/>
        <v/>
      </c>
      <c r="AA405" s="27" t="str">
        <f t="shared" si="587"/>
        <v/>
      </c>
      <c r="AB405" s="27" t="str">
        <f t="shared" si="588"/>
        <v/>
      </c>
      <c r="AC405" s="27" t="str">
        <f t="shared" si="589"/>
        <v/>
      </c>
      <c r="AD405" s="29" t="str">
        <f t="shared" si="590"/>
        <v/>
      </c>
      <c r="AE405" s="30" t="str">
        <f t="shared" si="591"/>
        <v/>
      </c>
      <c r="AG405" s="4"/>
      <c r="AH405" s="31" t="e">
        <f t="shared" si="592"/>
        <v>#VALUE!</v>
      </c>
      <c r="AI405" s="31" t="e">
        <f t="shared" si="593"/>
        <v>#VALUE!</v>
      </c>
      <c r="AJ405" s="31" t="e">
        <f t="shared" si="594"/>
        <v>#VALUE!</v>
      </c>
      <c r="AK405" s="31" t="e">
        <f t="shared" si="595"/>
        <v>#VALUE!</v>
      </c>
      <c r="AL405" s="31" t="e">
        <f t="shared" si="596"/>
        <v>#VALUE!</v>
      </c>
      <c r="AM405" s="31" t="e">
        <f t="shared" si="597"/>
        <v>#VALUE!</v>
      </c>
      <c r="AN405" s="32" t="str">
        <f t="shared" si="598"/>
        <v/>
      </c>
      <c r="AO405" s="27" t="str">
        <f t="shared" si="599"/>
        <v/>
      </c>
      <c r="AP405" s="27" t="str">
        <f t="shared" si="600"/>
        <v/>
      </c>
      <c r="AQ405" s="27">
        <f t="shared" si="601"/>
        <v>0</v>
      </c>
      <c r="AR405" s="27">
        <f t="shared" si="602"/>
        <v>0</v>
      </c>
      <c r="AS405" s="33">
        <f t="shared" si="603"/>
        <v>0</v>
      </c>
    </row>
    <row r="406" spans="2:45" hidden="1" x14ac:dyDescent="0.25">
      <c r="B406" s="34">
        <f t="shared" ref="B406:F406" si="618">IF(B405="","",B405)</f>
        <v>250</v>
      </c>
      <c r="C406" s="26">
        <f t="shared" si="618"/>
        <v>20</v>
      </c>
      <c r="D406" s="26">
        <f t="shared" si="618"/>
        <v>0</v>
      </c>
      <c r="E406" s="26">
        <f t="shared" si="618"/>
        <v>0</v>
      </c>
      <c r="F406" s="26">
        <f t="shared" si="618"/>
        <v>-1630</v>
      </c>
      <c r="G406" s="24"/>
      <c r="H406" s="24"/>
      <c r="I406" s="24"/>
      <c r="J406" s="24"/>
      <c r="K406" s="24"/>
      <c r="L406" s="24"/>
      <c r="M406" s="44" t="str">
        <f t="shared" si="572"/>
        <v/>
      </c>
      <c r="N406" s="26" t="str">
        <f t="shared" si="574"/>
        <v/>
      </c>
      <c r="O406" s="26" t="str">
        <f t="shared" si="575"/>
        <v/>
      </c>
      <c r="P406" s="26" t="str">
        <f t="shared" si="576"/>
        <v/>
      </c>
      <c r="Q406" s="26">
        <f t="shared" si="577"/>
        <v>0</v>
      </c>
      <c r="R406" s="26">
        <f t="shared" si="578"/>
        <v>0</v>
      </c>
      <c r="S406" s="26">
        <f t="shared" si="579"/>
        <v>0</v>
      </c>
      <c r="T406" s="26" t="str">
        <f t="shared" si="580"/>
        <v/>
      </c>
      <c r="U406" s="26" t="str">
        <f t="shared" si="581"/>
        <v/>
      </c>
      <c r="V406" s="26" t="str">
        <f t="shared" si="582"/>
        <v/>
      </c>
      <c r="W406" s="27" t="str">
        <f t="shared" si="583"/>
        <v/>
      </c>
      <c r="X406" s="27" t="str">
        <f t="shared" si="584"/>
        <v/>
      </c>
      <c r="Y406" s="28" t="str">
        <f t="shared" si="585"/>
        <v/>
      </c>
      <c r="Z406" s="27" t="str">
        <f t="shared" si="586"/>
        <v/>
      </c>
      <c r="AA406" s="27" t="str">
        <f t="shared" si="587"/>
        <v/>
      </c>
      <c r="AB406" s="27" t="str">
        <f t="shared" si="588"/>
        <v/>
      </c>
      <c r="AC406" s="27" t="str">
        <f t="shared" si="589"/>
        <v/>
      </c>
      <c r="AD406" s="29" t="str">
        <f t="shared" si="590"/>
        <v/>
      </c>
      <c r="AE406" s="30" t="str">
        <f t="shared" si="591"/>
        <v/>
      </c>
      <c r="AG406" s="4"/>
      <c r="AH406" s="31" t="e">
        <f t="shared" si="592"/>
        <v>#VALUE!</v>
      </c>
      <c r="AI406" s="31" t="e">
        <f t="shared" si="593"/>
        <v>#VALUE!</v>
      </c>
      <c r="AJ406" s="31" t="e">
        <f t="shared" si="594"/>
        <v>#VALUE!</v>
      </c>
      <c r="AK406" s="31" t="e">
        <f t="shared" si="595"/>
        <v>#VALUE!</v>
      </c>
      <c r="AL406" s="31" t="e">
        <f t="shared" si="596"/>
        <v>#VALUE!</v>
      </c>
      <c r="AM406" s="31" t="e">
        <f t="shared" si="597"/>
        <v>#VALUE!</v>
      </c>
      <c r="AN406" s="32" t="str">
        <f t="shared" si="598"/>
        <v/>
      </c>
      <c r="AO406" s="27" t="str">
        <f t="shared" si="599"/>
        <v/>
      </c>
      <c r="AP406" s="27" t="str">
        <f t="shared" si="600"/>
        <v/>
      </c>
      <c r="AQ406" s="27">
        <f t="shared" si="601"/>
        <v>0</v>
      </c>
      <c r="AR406" s="27">
        <f t="shared" si="602"/>
        <v>0</v>
      </c>
      <c r="AS406" s="33">
        <f t="shared" si="603"/>
        <v>0</v>
      </c>
    </row>
    <row r="407" spans="2:45" hidden="1" x14ac:dyDescent="0.25">
      <c r="B407" s="34">
        <f t="shared" ref="B407:F407" si="619">IF(B406="","",B406)</f>
        <v>250</v>
      </c>
      <c r="C407" s="26">
        <f t="shared" si="619"/>
        <v>20</v>
      </c>
      <c r="D407" s="26">
        <f t="shared" si="619"/>
        <v>0</v>
      </c>
      <c r="E407" s="26">
        <f t="shared" si="619"/>
        <v>0</v>
      </c>
      <c r="F407" s="26">
        <f t="shared" si="619"/>
        <v>-1630</v>
      </c>
      <c r="G407" s="24"/>
      <c r="H407" s="24"/>
      <c r="I407" s="24"/>
      <c r="J407" s="24"/>
      <c r="K407" s="24"/>
      <c r="L407" s="24"/>
      <c r="M407" s="44" t="str">
        <f t="shared" si="572"/>
        <v/>
      </c>
      <c r="N407" s="26" t="str">
        <f t="shared" si="574"/>
        <v/>
      </c>
      <c r="O407" s="26" t="str">
        <f t="shared" si="575"/>
        <v/>
      </c>
      <c r="P407" s="26" t="str">
        <f t="shared" si="576"/>
        <v/>
      </c>
      <c r="Q407" s="26">
        <f t="shared" si="577"/>
        <v>0</v>
      </c>
      <c r="R407" s="26">
        <f t="shared" si="578"/>
        <v>0</v>
      </c>
      <c r="S407" s="26">
        <f t="shared" si="579"/>
        <v>0</v>
      </c>
      <c r="T407" s="26" t="str">
        <f t="shared" si="580"/>
        <v/>
      </c>
      <c r="U407" s="26" t="str">
        <f t="shared" si="581"/>
        <v/>
      </c>
      <c r="V407" s="26" t="str">
        <f t="shared" si="582"/>
        <v/>
      </c>
      <c r="W407" s="27" t="str">
        <f t="shared" si="583"/>
        <v/>
      </c>
      <c r="X407" s="27" t="str">
        <f t="shared" si="584"/>
        <v/>
      </c>
      <c r="Y407" s="28" t="str">
        <f t="shared" si="585"/>
        <v/>
      </c>
      <c r="Z407" s="27" t="str">
        <f t="shared" si="586"/>
        <v/>
      </c>
      <c r="AA407" s="27" t="str">
        <f t="shared" si="587"/>
        <v/>
      </c>
      <c r="AB407" s="27" t="str">
        <f t="shared" si="588"/>
        <v/>
      </c>
      <c r="AC407" s="27" t="str">
        <f t="shared" si="589"/>
        <v/>
      </c>
      <c r="AD407" s="29" t="str">
        <f t="shared" si="590"/>
        <v/>
      </c>
      <c r="AE407" s="30" t="str">
        <f t="shared" si="591"/>
        <v/>
      </c>
      <c r="AG407" s="4"/>
      <c r="AH407" s="31" t="e">
        <f t="shared" si="592"/>
        <v>#VALUE!</v>
      </c>
      <c r="AI407" s="31" t="e">
        <f t="shared" si="593"/>
        <v>#VALUE!</v>
      </c>
      <c r="AJ407" s="31" t="e">
        <f t="shared" si="594"/>
        <v>#VALUE!</v>
      </c>
      <c r="AK407" s="31" t="e">
        <f t="shared" si="595"/>
        <v>#VALUE!</v>
      </c>
      <c r="AL407" s="31" t="e">
        <f t="shared" si="596"/>
        <v>#VALUE!</v>
      </c>
      <c r="AM407" s="31" t="e">
        <f t="shared" si="597"/>
        <v>#VALUE!</v>
      </c>
      <c r="AN407" s="32" t="str">
        <f t="shared" si="598"/>
        <v/>
      </c>
      <c r="AO407" s="27" t="str">
        <f t="shared" si="599"/>
        <v/>
      </c>
      <c r="AP407" s="27" t="str">
        <f t="shared" si="600"/>
        <v/>
      </c>
      <c r="AQ407" s="27">
        <f t="shared" si="601"/>
        <v>0</v>
      </c>
      <c r="AR407" s="27">
        <f t="shared" si="602"/>
        <v>0</v>
      </c>
      <c r="AS407" s="33">
        <f t="shared" si="603"/>
        <v>0</v>
      </c>
    </row>
    <row r="408" spans="2:45" hidden="1" x14ac:dyDescent="0.25">
      <c r="B408" s="34">
        <f t="shared" ref="B408:F408" si="620">IF(B407="","",B407)</f>
        <v>250</v>
      </c>
      <c r="C408" s="26">
        <f t="shared" si="620"/>
        <v>20</v>
      </c>
      <c r="D408" s="26">
        <f t="shared" si="620"/>
        <v>0</v>
      </c>
      <c r="E408" s="26">
        <f t="shared" si="620"/>
        <v>0</v>
      </c>
      <c r="F408" s="26">
        <f t="shared" si="620"/>
        <v>-1630</v>
      </c>
      <c r="G408" s="24"/>
      <c r="H408" s="24"/>
      <c r="I408" s="24"/>
      <c r="J408" s="24"/>
      <c r="K408" s="24"/>
      <c r="L408" s="24"/>
      <c r="M408" s="44" t="str">
        <f t="shared" si="572"/>
        <v/>
      </c>
      <c r="N408" s="26" t="str">
        <f t="shared" si="574"/>
        <v/>
      </c>
      <c r="O408" s="26" t="str">
        <f t="shared" si="575"/>
        <v/>
      </c>
      <c r="P408" s="26" t="str">
        <f t="shared" si="576"/>
        <v/>
      </c>
      <c r="Q408" s="26">
        <f t="shared" si="577"/>
        <v>0</v>
      </c>
      <c r="R408" s="26">
        <f t="shared" si="578"/>
        <v>0</v>
      </c>
      <c r="S408" s="26">
        <f t="shared" si="579"/>
        <v>0</v>
      </c>
      <c r="T408" s="26" t="str">
        <f t="shared" si="580"/>
        <v/>
      </c>
      <c r="U408" s="26" t="str">
        <f t="shared" si="581"/>
        <v/>
      </c>
      <c r="V408" s="26" t="str">
        <f t="shared" si="582"/>
        <v/>
      </c>
      <c r="W408" s="27" t="str">
        <f t="shared" si="583"/>
        <v/>
      </c>
      <c r="X408" s="27" t="str">
        <f t="shared" si="584"/>
        <v/>
      </c>
      <c r="Y408" s="28" t="str">
        <f t="shared" si="585"/>
        <v/>
      </c>
      <c r="Z408" s="27" t="str">
        <f t="shared" si="586"/>
        <v/>
      </c>
      <c r="AA408" s="27" t="str">
        <f t="shared" si="587"/>
        <v/>
      </c>
      <c r="AB408" s="27" t="str">
        <f t="shared" si="588"/>
        <v/>
      </c>
      <c r="AC408" s="27" t="str">
        <f t="shared" si="589"/>
        <v/>
      </c>
      <c r="AD408" s="29" t="str">
        <f t="shared" si="590"/>
        <v/>
      </c>
      <c r="AE408" s="30" t="str">
        <f t="shared" si="591"/>
        <v/>
      </c>
      <c r="AG408" s="4"/>
      <c r="AH408" s="31" t="e">
        <f t="shared" si="592"/>
        <v>#VALUE!</v>
      </c>
      <c r="AI408" s="31" t="e">
        <f t="shared" si="593"/>
        <v>#VALUE!</v>
      </c>
      <c r="AJ408" s="31" t="e">
        <f t="shared" si="594"/>
        <v>#VALUE!</v>
      </c>
      <c r="AK408" s="31" t="e">
        <f t="shared" si="595"/>
        <v>#VALUE!</v>
      </c>
      <c r="AL408" s="31" t="e">
        <f t="shared" si="596"/>
        <v>#VALUE!</v>
      </c>
      <c r="AM408" s="31" t="e">
        <f t="shared" si="597"/>
        <v>#VALUE!</v>
      </c>
      <c r="AN408" s="32" t="str">
        <f t="shared" si="598"/>
        <v/>
      </c>
      <c r="AO408" s="27" t="str">
        <f t="shared" si="599"/>
        <v/>
      </c>
      <c r="AP408" s="27" t="str">
        <f t="shared" si="600"/>
        <v/>
      </c>
      <c r="AQ408" s="27">
        <f t="shared" si="601"/>
        <v>0</v>
      </c>
      <c r="AR408" s="27">
        <f t="shared" si="602"/>
        <v>0</v>
      </c>
      <c r="AS408" s="33">
        <f t="shared" si="603"/>
        <v>0</v>
      </c>
    </row>
    <row r="409" spans="2:45" hidden="1" x14ac:dyDescent="0.25">
      <c r="B409" s="34">
        <f t="shared" ref="B409:F409" si="621">IF(B408="","",B408)</f>
        <v>250</v>
      </c>
      <c r="C409" s="26">
        <f t="shared" si="621"/>
        <v>20</v>
      </c>
      <c r="D409" s="26">
        <f t="shared" si="621"/>
        <v>0</v>
      </c>
      <c r="E409" s="26">
        <f t="shared" si="621"/>
        <v>0</v>
      </c>
      <c r="F409" s="26">
        <f t="shared" si="621"/>
        <v>-1630</v>
      </c>
      <c r="G409" s="24"/>
      <c r="H409" s="24"/>
      <c r="I409" s="24"/>
      <c r="J409" s="24"/>
      <c r="K409" s="24"/>
      <c r="L409" s="24"/>
      <c r="M409" s="44" t="str">
        <f t="shared" si="572"/>
        <v/>
      </c>
      <c r="N409" s="26" t="str">
        <f t="shared" si="574"/>
        <v/>
      </c>
      <c r="O409" s="26" t="str">
        <f t="shared" si="575"/>
        <v/>
      </c>
      <c r="P409" s="26" t="str">
        <f t="shared" si="576"/>
        <v/>
      </c>
      <c r="Q409" s="26">
        <f t="shared" si="577"/>
        <v>0</v>
      </c>
      <c r="R409" s="26">
        <f t="shared" si="578"/>
        <v>0</v>
      </c>
      <c r="S409" s="26">
        <f t="shared" si="579"/>
        <v>0</v>
      </c>
      <c r="T409" s="26" t="str">
        <f t="shared" si="580"/>
        <v/>
      </c>
      <c r="U409" s="26" t="str">
        <f t="shared" si="581"/>
        <v/>
      </c>
      <c r="V409" s="26" t="str">
        <f t="shared" si="582"/>
        <v/>
      </c>
      <c r="W409" s="27" t="str">
        <f t="shared" si="583"/>
        <v/>
      </c>
      <c r="X409" s="27" t="str">
        <f t="shared" si="584"/>
        <v/>
      </c>
      <c r="Y409" s="28" t="str">
        <f t="shared" si="585"/>
        <v/>
      </c>
      <c r="Z409" s="27" t="str">
        <f t="shared" si="586"/>
        <v/>
      </c>
      <c r="AA409" s="27" t="str">
        <f t="shared" si="587"/>
        <v/>
      </c>
      <c r="AB409" s="27" t="str">
        <f t="shared" si="588"/>
        <v/>
      </c>
      <c r="AC409" s="27" t="str">
        <f t="shared" si="589"/>
        <v/>
      </c>
      <c r="AD409" s="29" t="str">
        <f t="shared" si="590"/>
        <v/>
      </c>
      <c r="AE409" s="30" t="str">
        <f t="shared" si="591"/>
        <v/>
      </c>
      <c r="AG409" s="4"/>
      <c r="AH409" s="31" t="e">
        <f t="shared" si="592"/>
        <v>#VALUE!</v>
      </c>
      <c r="AI409" s="31" t="e">
        <f t="shared" si="593"/>
        <v>#VALUE!</v>
      </c>
      <c r="AJ409" s="31" t="e">
        <f t="shared" si="594"/>
        <v>#VALUE!</v>
      </c>
      <c r="AK409" s="31" t="e">
        <f t="shared" si="595"/>
        <v>#VALUE!</v>
      </c>
      <c r="AL409" s="31" t="e">
        <f t="shared" si="596"/>
        <v>#VALUE!</v>
      </c>
      <c r="AM409" s="31" t="e">
        <f t="shared" si="597"/>
        <v>#VALUE!</v>
      </c>
      <c r="AN409" s="32" t="str">
        <f t="shared" si="598"/>
        <v/>
      </c>
      <c r="AO409" s="27" t="str">
        <f t="shared" si="599"/>
        <v/>
      </c>
      <c r="AP409" s="27" t="str">
        <f t="shared" si="600"/>
        <v/>
      </c>
      <c r="AQ409" s="27">
        <f t="shared" si="601"/>
        <v>0</v>
      </c>
      <c r="AR409" s="27">
        <f t="shared" si="602"/>
        <v>0</v>
      </c>
      <c r="AS409" s="33">
        <f t="shared" si="603"/>
        <v>0</v>
      </c>
    </row>
    <row r="410" spans="2:45" hidden="1" x14ac:dyDescent="0.25">
      <c r="B410" s="34">
        <f t="shared" ref="B410:F410" si="622">IF(B409="","",B409)</f>
        <v>250</v>
      </c>
      <c r="C410" s="26">
        <f t="shared" si="622"/>
        <v>20</v>
      </c>
      <c r="D410" s="26">
        <f t="shared" si="622"/>
        <v>0</v>
      </c>
      <c r="E410" s="26">
        <f t="shared" si="622"/>
        <v>0</v>
      </c>
      <c r="F410" s="26">
        <f t="shared" si="622"/>
        <v>-1630</v>
      </c>
      <c r="G410" s="24"/>
      <c r="H410" s="24"/>
      <c r="I410" s="24"/>
      <c r="J410" s="24"/>
      <c r="K410" s="24"/>
      <c r="L410" s="24"/>
      <c r="M410" s="44" t="str">
        <f t="shared" si="572"/>
        <v/>
      </c>
      <c r="N410" s="26" t="str">
        <f t="shared" si="574"/>
        <v/>
      </c>
      <c r="O410" s="26" t="str">
        <f t="shared" si="575"/>
        <v/>
      </c>
      <c r="P410" s="26" t="str">
        <f t="shared" si="576"/>
        <v/>
      </c>
      <c r="Q410" s="26">
        <f t="shared" si="577"/>
        <v>0</v>
      </c>
      <c r="R410" s="26">
        <f t="shared" si="578"/>
        <v>0</v>
      </c>
      <c r="S410" s="26">
        <f t="shared" si="579"/>
        <v>0</v>
      </c>
      <c r="T410" s="26" t="str">
        <f t="shared" si="580"/>
        <v/>
      </c>
      <c r="U410" s="26" t="str">
        <f t="shared" si="581"/>
        <v/>
      </c>
      <c r="V410" s="26" t="str">
        <f t="shared" si="582"/>
        <v/>
      </c>
      <c r="W410" s="27" t="str">
        <f t="shared" si="583"/>
        <v/>
      </c>
      <c r="X410" s="27" t="str">
        <f t="shared" si="584"/>
        <v/>
      </c>
      <c r="Y410" s="28" t="str">
        <f t="shared" si="585"/>
        <v/>
      </c>
      <c r="Z410" s="27" t="str">
        <f t="shared" si="586"/>
        <v/>
      </c>
      <c r="AA410" s="27" t="str">
        <f t="shared" si="587"/>
        <v/>
      </c>
      <c r="AB410" s="27" t="str">
        <f t="shared" si="588"/>
        <v/>
      </c>
      <c r="AC410" s="27" t="str">
        <f t="shared" si="589"/>
        <v/>
      </c>
      <c r="AD410" s="29" t="str">
        <f t="shared" si="590"/>
        <v/>
      </c>
      <c r="AE410" s="30" t="str">
        <f t="shared" si="591"/>
        <v/>
      </c>
      <c r="AG410" s="4"/>
      <c r="AH410" s="31" t="e">
        <f t="shared" si="592"/>
        <v>#VALUE!</v>
      </c>
      <c r="AI410" s="31" t="e">
        <f t="shared" si="593"/>
        <v>#VALUE!</v>
      </c>
      <c r="AJ410" s="31" t="e">
        <f t="shared" si="594"/>
        <v>#VALUE!</v>
      </c>
      <c r="AK410" s="31" t="e">
        <f t="shared" si="595"/>
        <v>#VALUE!</v>
      </c>
      <c r="AL410" s="31" t="e">
        <f t="shared" si="596"/>
        <v>#VALUE!</v>
      </c>
      <c r="AM410" s="31" t="e">
        <f t="shared" si="597"/>
        <v>#VALUE!</v>
      </c>
      <c r="AN410" s="32" t="str">
        <f t="shared" si="598"/>
        <v/>
      </c>
      <c r="AO410" s="27" t="str">
        <f t="shared" si="599"/>
        <v/>
      </c>
      <c r="AP410" s="27" t="str">
        <f t="shared" si="600"/>
        <v/>
      </c>
      <c r="AQ410" s="27">
        <f t="shared" si="601"/>
        <v>0</v>
      </c>
      <c r="AR410" s="27">
        <f t="shared" si="602"/>
        <v>0</v>
      </c>
      <c r="AS410" s="33">
        <f t="shared" si="603"/>
        <v>0</v>
      </c>
    </row>
    <row r="411" spans="2:45" hidden="1" x14ac:dyDescent="0.25">
      <c r="B411" s="34">
        <f t="shared" ref="B411:F411" si="623">IF(B410="","",B410)</f>
        <v>250</v>
      </c>
      <c r="C411" s="26">
        <f t="shared" si="623"/>
        <v>20</v>
      </c>
      <c r="D411" s="26">
        <f t="shared" si="623"/>
        <v>0</v>
      </c>
      <c r="E411" s="26">
        <f t="shared" si="623"/>
        <v>0</v>
      </c>
      <c r="F411" s="26">
        <f t="shared" si="623"/>
        <v>-1630</v>
      </c>
      <c r="G411" s="24"/>
      <c r="H411" s="24"/>
      <c r="I411" s="24"/>
      <c r="J411" s="24"/>
      <c r="K411" s="24"/>
      <c r="L411" s="24"/>
      <c r="M411" s="44" t="str">
        <f t="shared" si="572"/>
        <v/>
      </c>
      <c r="N411" s="26" t="str">
        <f t="shared" si="574"/>
        <v/>
      </c>
      <c r="O411" s="26" t="str">
        <f t="shared" si="575"/>
        <v/>
      </c>
      <c r="P411" s="26" t="str">
        <f t="shared" si="576"/>
        <v/>
      </c>
      <c r="Q411" s="26">
        <f t="shared" si="577"/>
        <v>0</v>
      </c>
      <c r="R411" s="26">
        <f t="shared" si="578"/>
        <v>0</v>
      </c>
      <c r="S411" s="26">
        <f t="shared" si="579"/>
        <v>0</v>
      </c>
      <c r="T411" s="26" t="str">
        <f t="shared" si="580"/>
        <v/>
      </c>
      <c r="U411" s="26" t="str">
        <f t="shared" si="581"/>
        <v/>
      </c>
      <c r="V411" s="26" t="str">
        <f t="shared" si="582"/>
        <v/>
      </c>
      <c r="W411" s="27" t="str">
        <f t="shared" si="583"/>
        <v/>
      </c>
      <c r="X411" s="27" t="str">
        <f t="shared" si="584"/>
        <v/>
      </c>
      <c r="Y411" s="28" t="str">
        <f t="shared" si="585"/>
        <v/>
      </c>
      <c r="Z411" s="27" t="str">
        <f t="shared" si="586"/>
        <v/>
      </c>
      <c r="AA411" s="27" t="str">
        <f t="shared" si="587"/>
        <v/>
      </c>
      <c r="AB411" s="27" t="str">
        <f t="shared" si="588"/>
        <v/>
      </c>
      <c r="AC411" s="27" t="str">
        <f t="shared" si="589"/>
        <v/>
      </c>
      <c r="AD411" s="29" t="str">
        <f t="shared" si="590"/>
        <v/>
      </c>
      <c r="AE411" s="30" t="str">
        <f t="shared" si="591"/>
        <v/>
      </c>
      <c r="AG411" s="4"/>
      <c r="AH411" s="31" t="e">
        <f t="shared" si="592"/>
        <v>#VALUE!</v>
      </c>
      <c r="AI411" s="31" t="e">
        <f t="shared" si="593"/>
        <v>#VALUE!</v>
      </c>
      <c r="AJ411" s="31" t="e">
        <f t="shared" si="594"/>
        <v>#VALUE!</v>
      </c>
      <c r="AK411" s="31" t="e">
        <f t="shared" si="595"/>
        <v>#VALUE!</v>
      </c>
      <c r="AL411" s="31" t="e">
        <f t="shared" si="596"/>
        <v>#VALUE!</v>
      </c>
      <c r="AM411" s="31" t="e">
        <f t="shared" si="597"/>
        <v>#VALUE!</v>
      </c>
      <c r="AN411" s="32" t="str">
        <f t="shared" si="598"/>
        <v/>
      </c>
      <c r="AO411" s="27" t="str">
        <f t="shared" si="599"/>
        <v/>
      </c>
      <c r="AP411" s="27" t="str">
        <f t="shared" si="600"/>
        <v/>
      </c>
      <c r="AQ411" s="27">
        <f t="shared" si="601"/>
        <v>0</v>
      </c>
      <c r="AR411" s="27">
        <f t="shared" si="602"/>
        <v>0</v>
      </c>
      <c r="AS411" s="33">
        <f t="shared" si="603"/>
        <v>0</v>
      </c>
    </row>
    <row r="412" spans="2:45" hidden="1" x14ac:dyDescent="0.25">
      <c r="B412" s="34">
        <f t="shared" ref="B412:F412" si="624">IF(B411="","",B411)</f>
        <v>250</v>
      </c>
      <c r="C412" s="26">
        <f t="shared" si="624"/>
        <v>20</v>
      </c>
      <c r="D412" s="26">
        <f t="shared" si="624"/>
        <v>0</v>
      </c>
      <c r="E412" s="26">
        <f t="shared" si="624"/>
        <v>0</v>
      </c>
      <c r="F412" s="26">
        <f t="shared" si="624"/>
        <v>-1630</v>
      </c>
      <c r="G412" s="24"/>
      <c r="H412" s="24"/>
      <c r="I412" s="24"/>
      <c r="J412" s="24"/>
      <c r="K412" s="24"/>
      <c r="L412" s="24"/>
      <c r="M412" s="44" t="str">
        <f t="shared" si="572"/>
        <v/>
      </c>
      <c r="N412" s="26" t="str">
        <f t="shared" si="574"/>
        <v/>
      </c>
      <c r="O412" s="26" t="str">
        <f t="shared" si="575"/>
        <v/>
      </c>
      <c r="P412" s="26" t="str">
        <f t="shared" si="576"/>
        <v/>
      </c>
      <c r="Q412" s="26">
        <f t="shared" si="577"/>
        <v>0</v>
      </c>
      <c r="R412" s="26">
        <f t="shared" si="578"/>
        <v>0</v>
      </c>
      <c r="S412" s="26">
        <f t="shared" si="579"/>
        <v>0</v>
      </c>
      <c r="T412" s="26" t="str">
        <f t="shared" si="580"/>
        <v/>
      </c>
      <c r="U412" s="26" t="str">
        <f t="shared" si="581"/>
        <v/>
      </c>
      <c r="V412" s="26" t="str">
        <f t="shared" si="582"/>
        <v/>
      </c>
      <c r="W412" s="27" t="str">
        <f t="shared" si="583"/>
        <v/>
      </c>
      <c r="X412" s="27" t="str">
        <f t="shared" si="584"/>
        <v/>
      </c>
      <c r="Y412" s="28" t="str">
        <f t="shared" si="585"/>
        <v/>
      </c>
      <c r="Z412" s="27" t="str">
        <f t="shared" si="586"/>
        <v/>
      </c>
      <c r="AA412" s="27" t="str">
        <f t="shared" si="587"/>
        <v/>
      </c>
      <c r="AB412" s="27" t="str">
        <f t="shared" si="588"/>
        <v/>
      </c>
      <c r="AC412" s="27" t="str">
        <f t="shared" si="589"/>
        <v/>
      </c>
      <c r="AD412" s="29" t="str">
        <f t="shared" si="590"/>
        <v/>
      </c>
      <c r="AE412" s="30" t="str">
        <f t="shared" si="591"/>
        <v/>
      </c>
      <c r="AG412" s="4"/>
      <c r="AH412" s="31" t="e">
        <f t="shared" si="592"/>
        <v>#VALUE!</v>
      </c>
      <c r="AI412" s="31" t="e">
        <f t="shared" si="593"/>
        <v>#VALUE!</v>
      </c>
      <c r="AJ412" s="31" t="e">
        <f t="shared" si="594"/>
        <v>#VALUE!</v>
      </c>
      <c r="AK412" s="31" t="e">
        <f t="shared" si="595"/>
        <v>#VALUE!</v>
      </c>
      <c r="AL412" s="31" t="e">
        <f t="shared" si="596"/>
        <v>#VALUE!</v>
      </c>
      <c r="AM412" s="31" t="e">
        <f t="shared" si="597"/>
        <v>#VALUE!</v>
      </c>
      <c r="AN412" s="32" t="str">
        <f t="shared" si="598"/>
        <v/>
      </c>
      <c r="AO412" s="27" t="str">
        <f t="shared" si="599"/>
        <v/>
      </c>
      <c r="AP412" s="27" t="str">
        <f t="shared" si="600"/>
        <v/>
      </c>
      <c r="AQ412" s="27">
        <f t="shared" si="601"/>
        <v>0</v>
      </c>
      <c r="AR412" s="27">
        <f t="shared" si="602"/>
        <v>0</v>
      </c>
      <c r="AS412" s="33">
        <f t="shared" si="603"/>
        <v>0</v>
      </c>
    </row>
    <row r="413" spans="2:45" hidden="1" x14ac:dyDescent="0.25">
      <c r="B413" s="34">
        <f t="shared" ref="B413:F413" si="625">IF(B412="","",B412)</f>
        <v>250</v>
      </c>
      <c r="C413" s="26">
        <f t="shared" si="625"/>
        <v>20</v>
      </c>
      <c r="D413" s="26">
        <f t="shared" si="625"/>
        <v>0</v>
      </c>
      <c r="E413" s="26">
        <f t="shared" si="625"/>
        <v>0</v>
      </c>
      <c r="F413" s="26">
        <f t="shared" si="625"/>
        <v>-1630</v>
      </c>
      <c r="G413" s="24"/>
      <c r="H413" s="24"/>
      <c r="I413" s="24"/>
      <c r="J413" s="24"/>
      <c r="K413" s="24"/>
      <c r="L413" s="24"/>
      <c r="M413" s="44" t="str">
        <f t="shared" si="572"/>
        <v/>
      </c>
      <c r="N413" s="26" t="str">
        <f t="shared" si="574"/>
        <v/>
      </c>
      <c r="O413" s="26" t="str">
        <f t="shared" si="575"/>
        <v/>
      </c>
      <c r="P413" s="26" t="str">
        <f t="shared" si="576"/>
        <v/>
      </c>
      <c r="Q413" s="26">
        <f t="shared" si="577"/>
        <v>0</v>
      </c>
      <c r="R413" s="26">
        <f t="shared" si="578"/>
        <v>0</v>
      </c>
      <c r="S413" s="26">
        <f t="shared" si="579"/>
        <v>0</v>
      </c>
      <c r="T413" s="26" t="str">
        <f t="shared" si="580"/>
        <v/>
      </c>
      <c r="U413" s="26" t="str">
        <f t="shared" si="581"/>
        <v/>
      </c>
      <c r="V413" s="26" t="str">
        <f t="shared" si="582"/>
        <v/>
      </c>
      <c r="W413" s="27" t="str">
        <f t="shared" si="583"/>
        <v/>
      </c>
      <c r="X413" s="27" t="str">
        <f t="shared" si="584"/>
        <v/>
      </c>
      <c r="Y413" s="28" t="str">
        <f t="shared" si="585"/>
        <v/>
      </c>
      <c r="Z413" s="27" t="str">
        <f t="shared" si="586"/>
        <v/>
      </c>
      <c r="AA413" s="27" t="str">
        <f t="shared" si="587"/>
        <v/>
      </c>
      <c r="AB413" s="27" t="str">
        <f t="shared" si="588"/>
        <v/>
      </c>
      <c r="AC413" s="27" t="str">
        <f t="shared" si="589"/>
        <v/>
      </c>
      <c r="AD413" s="29" t="str">
        <f t="shared" si="590"/>
        <v/>
      </c>
      <c r="AE413" s="30" t="str">
        <f t="shared" si="591"/>
        <v/>
      </c>
      <c r="AG413" s="4"/>
      <c r="AH413" s="31" t="e">
        <f t="shared" si="592"/>
        <v>#VALUE!</v>
      </c>
      <c r="AI413" s="31" t="e">
        <f t="shared" si="593"/>
        <v>#VALUE!</v>
      </c>
      <c r="AJ413" s="31" t="e">
        <f t="shared" si="594"/>
        <v>#VALUE!</v>
      </c>
      <c r="AK413" s="31" t="e">
        <f t="shared" si="595"/>
        <v>#VALUE!</v>
      </c>
      <c r="AL413" s="31" t="e">
        <f t="shared" si="596"/>
        <v>#VALUE!</v>
      </c>
      <c r="AM413" s="31" t="e">
        <f t="shared" si="597"/>
        <v>#VALUE!</v>
      </c>
      <c r="AN413" s="32" t="str">
        <f t="shared" si="598"/>
        <v/>
      </c>
      <c r="AO413" s="27" t="str">
        <f t="shared" si="599"/>
        <v/>
      </c>
      <c r="AP413" s="27" t="str">
        <f t="shared" si="600"/>
        <v/>
      </c>
      <c r="AQ413" s="27">
        <f t="shared" si="601"/>
        <v>0</v>
      </c>
      <c r="AR413" s="27">
        <f t="shared" si="602"/>
        <v>0</v>
      </c>
      <c r="AS413" s="33">
        <f t="shared" si="603"/>
        <v>0</v>
      </c>
    </row>
    <row r="414" spans="2:45" hidden="1" x14ac:dyDescent="0.25">
      <c r="B414" s="34">
        <f t="shared" ref="B414:F414" si="626">IF(B413="","",B413)</f>
        <v>250</v>
      </c>
      <c r="C414" s="26">
        <f t="shared" si="626"/>
        <v>20</v>
      </c>
      <c r="D414" s="26">
        <f t="shared" si="626"/>
        <v>0</v>
      </c>
      <c r="E414" s="26">
        <f t="shared" si="626"/>
        <v>0</v>
      </c>
      <c r="F414" s="26">
        <f t="shared" si="626"/>
        <v>-1630</v>
      </c>
      <c r="G414" s="24"/>
      <c r="H414" s="24"/>
      <c r="I414" s="24"/>
      <c r="J414" s="24"/>
      <c r="K414" s="24"/>
      <c r="L414" s="24"/>
      <c r="M414" s="44" t="str">
        <f t="shared" si="572"/>
        <v/>
      </c>
      <c r="N414" s="26" t="str">
        <f t="shared" si="574"/>
        <v/>
      </c>
      <c r="O414" s="26" t="str">
        <f t="shared" si="575"/>
        <v/>
      </c>
      <c r="P414" s="26" t="str">
        <f t="shared" si="576"/>
        <v/>
      </c>
      <c r="Q414" s="26">
        <f t="shared" si="577"/>
        <v>0</v>
      </c>
      <c r="R414" s="26">
        <f t="shared" si="578"/>
        <v>0</v>
      </c>
      <c r="S414" s="26">
        <f t="shared" si="579"/>
        <v>0</v>
      </c>
      <c r="T414" s="26" t="str">
        <f t="shared" si="580"/>
        <v/>
      </c>
      <c r="U414" s="26" t="str">
        <f t="shared" si="581"/>
        <v/>
      </c>
      <c r="V414" s="26" t="str">
        <f t="shared" si="582"/>
        <v/>
      </c>
      <c r="W414" s="27" t="str">
        <f t="shared" si="583"/>
        <v/>
      </c>
      <c r="X414" s="27" t="str">
        <f t="shared" si="584"/>
        <v/>
      </c>
      <c r="Y414" s="28" t="str">
        <f t="shared" si="585"/>
        <v/>
      </c>
      <c r="Z414" s="27" t="str">
        <f t="shared" si="586"/>
        <v/>
      </c>
      <c r="AA414" s="27" t="str">
        <f t="shared" si="587"/>
        <v/>
      </c>
      <c r="AB414" s="27" t="str">
        <f t="shared" si="588"/>
        <v/>
      </c>
      <c r="AC414" s="27" t="str">
        <f t="shared" si="589"/>
        <v/>
      </c>
      <c r="AD414" s="29" t="str">
        <f t="shared" si="590"/>
        <v/>
      </c>
      <c r="AE414" s="30" t="str">
        <f t="shared" si="591"/>
        <v/>
      </c>
      <c r="AG414" s="4"/>
      <c r="AH414" s="31" t="e">
        <f t="shared" si="592"/>
        <v>#VALUE!</v>
      </c>
      <c r="AI414" s="31" t="e">
        <f t="shared" si="593"/>
        <v>#VALUE!</v>
      </c>
      <c r="AJ414" s="31" t="e">
        <f t="shared" si="594"/>
        <v>#VALUE!</v>
      </c>
      <c r="AK414" s="31" t="e">
        <f t="shared" si="595"/>
        <v>#VALUE!</v>
      </c>
      <c r="AL414" s="31" t="e">
        <f t="shared" si="596"/>
        <v>#VALUE!</v>
      </c>
      <c r="AM414" s="31" t="e">
        <f t="shared" si="597"/>
        <v>#VALUE!</v>
      </c>
      <c r="AN414" s="32" t="str">
        <f t="shared" si="598"/>
        <v/>
      </c>
      <c r="AO414" s="27" t="str">
        <f t="shared" si="599"/>
        <v/>
      </c>
      <c r="AP414" s="27" t="str">
        <f t="shared" si="600"/>
        <v/>
      </c>
      <c r="AQ414" s="27">
        <f t="shared" si="601"/>
        <v>0</v>
      </c>
      <c r="AR414" s="27">
        <f t="shared" si="602"/>
        <v>0</v>
      </c>
      <c r="AS414" s="33">
        <f t="shared" si="603"/>
        <v>0</v>
      </c>
    </row>
    <row r="415" spans="2:45" hidden="1" x14ac:dyDescent="0.25">
      <c r="B415" s="34">
        <f t="shared" ref="B415:F415" si="627">IF(B414="","",B414)</f>
        <v>250</v>
      </c>
      <c r="C415" s="26">
        <f t="shared" si="627"/>
        <v>20</v>
      </c>
      <c r="D415" s="26">
        <f t="shared" si="627"/>
        <v>0</v>
      </c>
      <c r="E415" s="26">
        <f t="shared" si="627"/>
        <v>0</v>
      </c>
      <c r="F415" s="26">
        <f t="shared" si="627"/>
        <v>-1630</v>
      </c>
      <c r="G415" s="24"/>
      <c r="H415" s="24"/>
      <c r="I415" s="24"/>
      <c r="J415" s="24"/>
      <c r="K415" s="24"/>
      <c r="L415" s="24"/>
      <c r="M415" s="44" t="str">
        <f t="shared" si="572"/>
        <v/>
      </c>
      <c r="N415" s="26" t="str">
        <f t="shared" si="574"/>
        <v/>
      </c>
      <c r="O415" s="26" t="str">
        <f t="shared" si="575"/>
        <v/>
      </c>
      <c r="P415" s="26" t="str">
        <f t="shared" si="576"/>
        <v/>
      </c>
      <c r="Q415" s="26">
        <f t="shared" si="577"/>
        <v>0</v>
      </c>
      <c r="R415" s="26">
        <f t="shared" si="578"/>
        <v>0</v>
      </c>
      <c r="S415" s="26">
        <f t="shared" si="579"/>
        <v>0</v>
      </c>
      <c r="T415" s="26" t="str">
        <f t="shared" si="580"/>
        <v/>
      </c>
      <c r="U415" s="26" t="str">
        <f t="shared" si="581"/>
        <v/>
      </c>
      <c r="V415" s="26" t="str">
        <f t="shared" si="582"/>
        <v/>
      </c>
      <c r="W415" s="27" t="str">
        <f t="shared" si="583"/>
        <v/>
      </c>
      <c r="X415" s="27" t="str">
        <f t="shared" si="584"/>
        <v/>
      </c>
      <c r="Y415" s="28" t="str">
        <f t="shared" si="585"/>
        <v/>
      </c>
      <c r="Z415" s="27" t="str">
        <f t="shared" si="586"/>
        <v/>
      </c>
      <c r="AA415" s="27" t="str">
        <f t="shared" si="587"/>
        <v/>
      </c>
      <c r="AB415" s="27" t="str">
        <f t="shared" si="588"/>
        <v/>
      </c>
      <c r="AC415" s="27" t="str">
        <f t="shared" si="589"/>
        <v/>
      </c>
      <c r="AD415" s="29" t="str">
        <f t="shared" si="590"/>
        <v/>
      </c>
      <c r="AE415" s="30" t="str">
        <f t="shared" si="591"/>
        <v/>
      </c>
      <c r="AG415" s="4"/>
      <c r="AH415" s="31" t="e">
        <f t="shared" si="592"/>
        <v>#VALUE!</v>
      </c>
      <c r="AI415" s="31" t="e">
        <f t="shared" si="593"/>
        <v>#VALUE!</v>
      </c>
      <c r="AJ415" s="31" t="e">
        <f t="shared" si="594"/>
        <v>#VALUE!</v>
      </c>
      <c r="AK415" s="31" t="e">
        <f t="shared" si="595"/>
        <v>#VALUE!</v>
      </c>
      <c r="AL415" s="31" t="e">
        <f t="shared" si="596"/>
        <v>#VALUE!</v>
      </c>
      <c r="AM415" s="31" t="e">
        <f t="shared" si="597"/>
        <v>#VALUE!</v>
      </c>
      <c r="AN415" s="32" t="str">
        <f t="shared" si="598"/>
        <v/>
      </c>
      <c r="AO415" s="27" t="str">
        <f t="shared" si="599"/>
        <v/>
      </c>
      <c r="AP415" s="27" t="str">
        <f t="shared" si="600"/>
        <v/>
      </c>
      <c r="AQ415" s="27">
        <f t="shared" si="601"/>
        <v>0</v>
      </c>
      <c r="AR415" s="27">
        <f t="shared" si="602"/>
        <v>0</v>
      </c>
      <c r="AS415" s="33">
        <f t="shared" si="603"/>
        <v>0</v>
      </c>
    </row>
    <row r="416" spans="2:45" hidden="1" x14ac:dyDescent="0.25">
      <c r="B416" s="34">
        <f t="shared" ref="B416:F416" si="628">IF(B415="","",B415)</f>
        <v>250</v>
      </c>
      <c r="C416" s="26">
        <f t="shared" si="628"/>
        <v>20</v>
      </c>
      <c r="D416" s="26">
        <f t="shared" si="628"/>
        <v>0</v>
      </c>
      <c r="E416" s="26">
        <f t="shared" si="628"/>
        <v>0</v>
      </c>
      <c r="F416" s="26">
        <f t="shared" si="628"/>
        <v>-1630</v>
      </c>
      <c r="G416" s="24"/>
      <c r="H416" s="24"/>
      <c r="I416" s="24"/>
      <c r="J416" s="24"/>
      <c r="K416" s="24"/>
      <c r="L416" s="24"/>
      <c r="M416" s="44" t="str">
        <f t="shared" si="572"/>
        <v/>
      </c>
      <c r="N416" s="26" t="str">
        <f t="shared" si="574"/>
        <v/>
      </c>
      <c r="O416" s="26" t="str">
        <f t="shared" si="575"/>
        <v/>
      </c>
      <c r="P416" s="26" t="str">
        <f t="shared" si="576"/>
        <v/>
      </c>
      <c r="Q416" s="26">
        <f t="shared" si="577"/>
        <v>0</v>
      </c>
      <c r="R416" s="26">
        <f t="shared" si="578"/>
        <v>0</v>
      </c>
      <c r="S416" s="26">
        <f t="shared" si="579"/>
        <v>0</v>
      </c>
      <c r="T416" s="26" t="str">
        <f t="shared" si="580"/>
        <v/>
      </c>
      <c r="U416" s="26" t="str">
        <f t="shared" si="581"/>
        <v/>
      </c>
      <c r="V416" s="26" t="str">
        <f t="shared" si="582"/>
        <v/>
      </c>
      <c r="W416" s="27" t="str">
        <f t="shared" si="583"/>
        <v/>
      </c>
      <c r="X416" s="27" t="str">
        <f t="shared" si="584"/>
        <v/>
      </c>
      <c r="Y416" s="28" t="str">
        <f t="shared" si="585"/>
        <v/>
      </c>
      <c r="Z416" s="27" t="str">
        <f t="shared" si="586"/>
        <v/>
      </c>
      <c r="AA416" s="27" t="str">
        <f t="shared" si="587"/>
        <v/>
      </c>
      <c r="AB416" s="27" t="str">
        <f t="shared" si="588"/>
        <v/>
      </c>
      <c r="AC416" s="27" t="str">
        <f t="shared" si="589"/>
        <v/>
      </c>
      <c r="AD416" s="29" t="str">
        <f t="shared" si="590"/>
        <v/>
      </c>
      <c r="AE416" s="30" t="str">
        <f t="shared" si="591"/>
        <v/>
      </c>
      <c r="AG416" s="4"/>
      <c r="AH416" s="31" t="e">
        <f t="shared" si="592"/>
        <v>#VALUE!</v>
      </c>
      <c r="AI416" s="31" t="e">
        <f t="shared" si="593"/>
        <v>#VALUE!</v>
      </c>
      <c r="AJ416" s="31" t="e">
        <f t="shared" si="594"/>
        <v>#VALUE!</v>
      </c>
      <c r="AK416" s="31" t="e">
        <f t="shared" si="595"/>
        <v>#VALUE!</v>
      </c>
      <c r="AL416" s="31" t="e">
        <f t="shared" si="596"/>
        <v>#VALUE!</v>
      </c>
      <c r="AM416" s="31" t="e">
        <f t="shared" si="597"/>
        <v>#VALUE!</v>
      </c>
      <c r="AN416" s="32" t="str">
        <f t="shared" si="598"/>
        <v/>
      </c>
      <c r="AO416" s="27" t="str">
        <f t="shared" si="599"/>
        <v/>
      </c>
      <c r="AP416" s="27" t="str">
        <f t="shared" si="600"/>
        <v/>
      </c>
      <c r="AQ416" s="27">
        <f t="shared" si="601"/>
        <v>0</v>
      </c>
      <c r="AR416" s="27">
        <f t="shared" si="602"/>
        <v>0</v>
      </c>
      <c r="AS416" s="33">
        <f t="shared" si="603"/>
        <v>0</v>
      </c>
    </row>
    <row r="417" spans="2:45" hidden="1" x14ac:dyDescent="0.25">
      <c r="B417" s="34">
        <f t="shared" ref="B417:F417" si="629">IF(B416="","",B416)</f>
        <v>250</v>
      </c>
      <c r="C417" s="26">
        <f t="shared" si="629"/>
        <v>20</v>
      </c>
      <c r="D417" s="26">
        <f t="shared" si="629"/>
        <v>0</v>
      </c>
      <c r="E417" s="26">
        <f t="shared" si="629"/>
        <v>0</v>
      </c>
      <c r="F417" s="26">
        <f t="shared" si="629"/>
        <v>-1630</v>
      </c>
      <c r="G417" s="24"/>
      <c r="H417" s="24"/>
      <c r="I417" s="24"/>
      <c r="J417" s="24"/>
      <c r="K417" s="24"/>
      <c r="L417" s="24"/>
      <c r="M417" s="44" t="str">
        <f t="shared" si="572"/>
        <v/>
      </c>
      <c r="N417" s="26" t="str">
        <f t="shared" si="574"/>
        <v/>
      </c>
      <c r="O417" s="26" t="str">
        <f t="shared" si="575"/>
        <v/>
      </c>
      <c r="P417" s="26" t="str">
        <f t="shared" si="576"/>
        <v/>
      </c>
      <c r="Q417" s="26">
        <f t="shared" si="577"/>
        <v>0</v>
      </c>
      <c r="R417" s="26">
        <f t="shared" si="578"/>
        <v>0</v>
      </c>
      <c r="S417" s="26">
        <f t="shared" si="579"/>
        <v>0</v>
      </c>
      <c r="T417" s="26" t="str">
        <f t="shared" si="580"/>
        <v/>
      </c>
      <c r="U417" s="26" t="str">
        <f t="shared" si="581"/>
        <v/>
      </c>
      <c r="V417" s="26" t="str">
        <f t="shared" si="582"/>
        <v/>
      </c>
      <c r="W417" s="27" t="str">
        <f t="shared" si="583"/>
        <v/>
      </c>
      <c r="X417" s="27" t="str">
        <f t="shared" si="584"/>
        <v/>
      </c>
      <c r="Y417" s="28" t="str">
        <f t="shared" si="585"/>
        <v/>
      </c>
      <c r="Z417" s="27" t="str">
        <f t="shared" si="586"/>
        <v/>
      </c>
      <c r="AA417" s="27" t="str">
        <f t="shared" si="587"/>
        <v/>
      </c>
      <c r="AB417" s="27" t="str">
        <f t="shared" si="588"/>
        <v/>
      </c>
      <c r="AC417" s="27" t="str">
        <f t="shared" si="589"/>
        <v/>
      </c>
      <c r="AD417" s="29" t="str">
        <f t="shared" si="590"/>
        <v/>
      </c>
      <c r="AE417" s="30" t="str">
        <f t="shared" si="591"/>
        <v/>
      </c>
      <c r="AG417" s="4"/>
      <c r="AH417" s="31" t="e">
        <f t="shared" si="592"/>
        <v>#VALUE!</v>
      </c>
      <c r="AI417" s="31" t="e">
        <f t="shared" si="593"/>
        <v>#VALUE!</v>
      </c>
      <c r="AJ417" s="31" t="e">
        <f t="shared" si="594"/>
        <v>#VALUE!</v>
      </c>
      <c r="AK417" s="31" t="e">
        <f t="shared" si="595"/>
        <v>#VALUE!</v>
      </c>
      <c r="AL417" s="31" t="e">
        <f t="shared" si="596"/>
        <v>#VALUE!</v>
      </c>
      <c r="AM417" s="31" t="e">
        <f t="shared" si="597"/>
        <v>#VALUE!</v>
      </c>
      <c r="AN417" s="32" t="str">
        <f t="shared" si="598"/>
        <v/>
      </c>
      <c r="AO417" s="27" t="str">
        <f t="shared" si="599"/>
        <v/>
      </c>
      <c r="AP417" s="27" t="str">
        <f t="shared" si="600"/>
        <v/>
      </c>
      <c r="AQ417" s="27">
        <f t="shared" si="601"/>
        <v>0</v>
      </c>
      <c r="AR417" s="27">
        <f t="shared" si="602"/>
        <v>0</v>
      </c>
      <c r="AS417" s="33">
        <f t="shared" si="603"/>
        <v>0</v>
      </c>
    </row>
    <row r="418" spans="2:45" hidden="1" x14ac:dyDescent="0.25">
      <c r="B418" s="34">
        <f>IF(B417="","",B417)</f>
        <v>250</v>
      </c>
      <c r="C418" s="26">
        <f t="shared" ref="C418:F418" si="630">IF(C417="","",C417)</f>
        <v>20</v>
      </c>
      <c r="D418" s="26">
        <f t="shared" si="630"/>
        <v>0</v>
      </c>
      <c r="E418" s="26">
        <f t="shared" si="630"/>
        <v>0</v>
      </c>
      <c r="F418" s="26">
        <f t="shared" si="630"/>
        <v>-1630</v>
      </c>
      <c r="G418" s="24"/>
      <c r="H418" s="24"/>
      <c r="I418" s="24"/>
      <c r="J418" s="24"/>
      <c r="K418" s="24"/>
      <c r="L418" s="24"/>
      <c r="M418" s="44" t="str">
        <f t="shared" si="572"/>
        <v/>
      </c>
      <c r="N418" s="26" t="str">
        <f t="shared" si="574"/>
        <v/>
      </c>
      <c r="O418" s="26" t="str">
        <f t="shared" si="575"/>
        <v/>
      </c>
      <c r="P418" s="26" t="str">
        <f t="shared" si="576"/>
        <v/>
      </c>
      <c r="Q418" s="26">
        <f t="shared" si="577"/>
        <v>0</v>
      </c>
      <c r="R418" s="26">
        <f t="shared" si="578"/>
        <v>0</v>
      </c>
      <c r="S418" s="26">
        <f t="shared" si="579"/>
        <v>0</v>
      </c>
      <c r="T418" s="26" t="str">
        <f t="shared" si="580"/>
        <v/>
      </c>
      <c r="U418" s="26" t="str">
        <f t="shared" si="581"/>
        <v/>
      </c>
      <c r="V418" s="26" t="str">
        <f t="shared" si="582"/>
        <v/>
      </c>
      <c r="W418" s="27" t="str">
        <f t="shared" si="583"/>
        <v/>
      </c>
      <c r="X418" s="27" t="str">
        <f t="shared" si="584"/>
        <v/>
      </c>
      <c r="Y418" s="28" t="str">
        <f t="shared" si="585"/>
        <v/>
      </c>
      <c r="Z418" s="27" t="str">
        <f t="shared" si="586"/>
        <v/>
      </c>
      <c r="AA418" s="27" t="str">
        <f t="shared" si="587"/>
        <v/>
      </c>
      <c r="AB418" s="27" t="str">
        <f t="shared" si="588"/>
        <v/>
      </c>
      <c r="AC418" s="27" t="str">
        <f t="shared" si="589"/>
        <v/>
      </c>
      <c r="AD418" s="29" t="str">
        <f t="shared" si="590"/>
        <v/>
      </c>
      <c r="AE418" s="30" t="str">
        <f t="shared" si="591"/>
        <v/>
      </c>
      <c r="AG418" s="4"/>
      <c r="AH418" s="31" t="e">
        <f t="shared" si="592"/>
        <v>#VALUE!</v>
      </c>
      <c r="AI418" s="31" t="e">
        <f t="shared" si="593"/>
        <v>#VALUE!</v>
      </c>
      <c r="AJ418" s="31" t="e">
        <f t="shared" si="594"/>
        <v>#VALUE!</v>
      </c>
      <c r="AK418" s="31" t="e">
        <f t="shared" si="595"/>
        <v>#VALUE!</v>
      </c>
      <c r="AL418" s="31" t="e">
        <f t="shared" si="596"/>
        <v>#VALUE!</v>
      </c>
      <c r="AM418" s="31" t="e">
        <f t="shared" si="597"/>
        <v>#VALUE!</v>
      </c>
      <c r="AN418" s="32" t="str">
        <f t="shared" si="598"/>
        <v/>
      </c>
      <c r="AO418" s="27" t="str">
        <f t="shared" si="599"/>
        <v/>
      </c>
      <c r="AP418" s="27" t="str">
        <f t="shared" si="600"/>
        <v/>
      </c>
      <c r="AQ418" s="27">
        <f t="shared" si="601"/>
        <v>0</v>
      </c>
      <c r="AR418" s="27">
        <f t="shared" si="602"/>
        <v>0</v>
      </c>
      <c r="AS418" s="33">
        <f t="shared" si="603"/>
        <v>0</v>
      </c>
    </row>
    <row r="419" spans="2:45" hidden="1" x14ac:dyDescent="0.25">
      <c r="B419" s="34">
        <f t="shared" ref="B419:F419" si="631">IF(B418="","",B418)</f>
        <v>250</v>
      </c>
      <c r="C419" s="26">
        <f t="shared" si="631"/>
        <v>20</v>
      </c>
      <c r="D419" s="26">
        <f t="shared" si="631"/>
        <v>0</v>
      </c>
      <c r="E419" s="26">
        <f t="shared" si="631"/>
        <v>0</v>
      </c>
      <c r="F419" s="26">
        <f t="shared" si="631"/>
        <v>-1630</v>
      </c>
      <c r="G419" s="24"/>
      <c r="H419" s="24"/>
      <c r="I419" s="24"/>
      <c r="J419" s="24"/>
      <c r="K419" s="24"/>
      <c r="L419" s="24"/>
      <c r="M419" s="44" t="str">
        <f t="shared" si="572"/>
        <v/>
      </c>
      <c r="N419" s="26" t="str">
        <f t="shared" si="574"/>
        <v/>
      </c>
      <c r="O419" s="26" t="str">
        <f t="shared" si="575"/>
        <v/>
      </c>
      <c r="P419" s="26" t="str">
        <f t="shared" si="576"/>
        <v/>
      </c>
      <c r="Q419" s="26">
        <f t="shared" si="577"/>
        <v>0</v>
      </c>
      <c r="R419" s="26">
        <f t="shared" si="578"/>
        <v>0</v>
      </c>
      <c r="S419" s="26">
        <f t="shared" si="579"/>
        <v>0</v>
      </c>
      <c r="T419" s="26" t="str">
        <f t="shared" si="580"/>
        <v/>
      </c>
      <c r="U419" s="26" t="str">
        <f t="shared" si="581"/>
        <v/>
      </c>
      <c r="V419" s="26" t="str">
        <f t="shared" si="582"/>
        <v/>
      </c>
      <c r="W419" s="27" t="str">
        <f t="shared" si="583"/>
        <v/>
      </c>
      <c r="X419" s="27" t="str">
        <f t="shared" si="584"/>
        <v/>
      </c>
      <c r="Y419" s="28" t="str">
        <f t="shared" si="585"/>
        <v/>
      </c>
      <c r="Z419" s="27" t="str">
        <f t="shared" si="586"/>
        <v/>
      </c>
      <c r="AA419" s="27" t="str">
        <f t="shared" si="587"/>
        <v/>
      </c>
      <c r="AB419" s="27" t="str">
        <f t="shared" si="588"/>
        <v/>
      </c>
      <c r="AC419" s="27" t="str">
        <f t="shared" si="589"/>
        <v/>
      </c>
      <c r="AD419" s="29" t="str">
        <f t="shared" si="590"/>
        <v/>
      </c>
      <c r="AE419" s="30" t="str">
        <f t="shared" si="591"/>
        <v/>
      </c>
      <c r="AG419" s="4"/>
      <c r="AH419" s="31" t="e">
        <f t="shared" si="592"/>
        <v>#VALUE!</v>
      </c>
      <c r="AI419" s="31" t="e">
        <f t="shared" si="593"/>
        <v>#VALUE!</v>
      </c>
      <c r="AJ419" s="31" t="e">
        <f t="shared" si="594"/>
        <v>#VALUE!</v>
      </c>
      <c r="AK419" s="31" t="e">
        <f t="shared" si="595"/>
        <v>#VALUE!</v>
      </c>
      <c r="AL419" s="31" t="e">
        <f t="shared" si="596"/>
        <v>#VALUE!</v>
      </c>
      <c r="AM419" s="31" t="e">
        <f t="shared" si="597"/>
        <v>#VALUE!</v>
      </c>
      <c r="AN419" s="32" t="str">
        <f t="shared" si="598"/>
        <v/>
      </c>
      <c r="AO419" s="27" t="str">
        <f t="shared" si="599"/>
        <v/>
      </c>
      <c r="AP419" s="27" t="str">
        <f t="shared" si="600"/>
        <v/>
      </c>
      <c r="AQ419" s="27">
        <f t="shared" si="601"/>
        <v>0</v>
      </c>
      <c r="AR419" s="27">
        <f t="shared" si="602"/>
        <v>0</v>
      </c>
      <c r="AS419" s="33">
        <f t="shared" si="603"/>
        <v>0</v>
      </c>
    </row>
    <row r="420" spans="2:45" hidden="1" x14ac:dyDescent="0.25">
      <c r="B420" s="34">
        <f t="shared" ref="B420:F420" si="632">IF(B419="","",B419)</f>
        <v>250</v>
      </c>
      <c r="C420" s="26">
        <f t="shared" si="632"/>
        <v>20</v>
      </c>
      <c r="D420" s="26">
        <f t="shared" si="632"/>
        <v>0</v>
      </c>
      <c r="E420" s="26">
        <f t="shared" si="632"/>
        <v>0</v>
      </c>
      <c r="F420" s="26">
        <f t="shared" si="632"/>
        <v>-1630</v>
      </c>
      <c r="G420" s="24"/>
      <c r="H420" s="24"/>
      <c r="I420" s="24"/>
      <c r="J420" s="24"/>
      <c r="K420" s="24"/>
      <c r="L420" s="24"/>
      <c r="M420" s="44" t="str">
        <f t="shared" si="572"/>
        <v/>
      </c>
      <c r="N420" s="26" t="str">
        <f t="shared" si="574"/>
        <v/>
      </c>
      <c r="O420" s="26" t="str">
        <f t="shared" si="575"/>
        <v/>
      </c>
      <c r="P420" s="26" t="str">
        <f t="shared" si="576"/>
        <v/>
      </c>
      <c r="Q420" s="26">
        <f t="shared" si="577"/>
        <v>0</v>
      </c>
      <c r="R420" s="26">
        <f t="shared" si="578"/>
        <v>0</v>
      </c>
      <c r="S420" s="26">
        <f t="shared" si="579"/>
        <v>0</v>
      </c>
      <c r="T420" s="26" t="str">
        <f t="shared" si="580"/>
        <v/>
      </c>
      <c r="U420" s="26" t="str">
        <f t="shared" si="581"/>
        <v/>
      </c>
      <c r="V420" s="26" t="str">
        <f t="shared" si="582"/>
        <v/>
      </c>
      <c r="W420" s="27" t="str">
        <f t="shared" si="583"/>
        <v/>
      </c>
      <c r="X420" s="27" t="str">
        <f t="shared" si="584"/>
        <v/>
      </c>
      <c r="Y420" s="28" t="str">
        <f t="shared" si="585"/>
        <v/>
      </c>
      <c r="Z420" s="27" t="str">
        <f t="shared" si="586"/>
        <v/>
      </c>
      <c r="AA420" s="27" t="str">
        <f t="shared" si="587"/>
        <v/>
      </c>
      <c r="AB420" s="27" t="str">
        <f t="shared" si="588"/>
        <v/>
      </c>
      <c r="AC420" s="27" t="str">
        <f t="shared" si="589"/>
        <v/>
      </c>
      <c r="AD420" s="29" t="str">
        <f t="shared" si="590"/>
        <v/>
      </c>
      <c r="AE420" s="30" t="str">
        <f t="shared" si="591"/>
        <v/>
      </c>
      <c r="AG420" s="4"/>
      <c r="AH420" s="31" t="e">
        <f t="shared" si="592"/>
        <v>#VALUE!</v>
      </c>
      <c r="AI420" s="31" t="e">
        <f t="shared" si="593"/>
        <v>#VALUE!</v>
      </c>
      <c r="AJ420" s="31" t="e">
        <f t="shared" si="594"/>
        <v>#VALUE!</v>
      </c>
      <c r="AK420" s="31" t="e">
        <f t="shared" si="595"/>
        <v>#VALUE!</v>
      </c>
      <c r="AL420" s="31" t="e">
        <f t="shared" si="596"/>
        <v>#VALUE!</v>
      </c>
      <c r="AM420" s="31" t="e">
        <f t="shared" si="597"/>
        <v>#VALUE!</v>
      </c>
      <c r="AN420" s="32" t="str">
        <f t="shared" si="598"/>
        <v/>
      </c>
      <c r="AO420" s="27" t="str">
        <f t="shared" si="599"/>
        <v/>
      </c>
      <c r="AP420" s="27" t="str">
        <f t="shared" si="600"/>
        <v/>
      </c>
      <c r="AQ420" s="27">
        <f t="shared" si="601"/>
        <v>0</v>
      </c>
      <c r="AR420" s="27">
        <f t="shared" si="602"/>
        <v>0</v>
      </c>
      <c r="AS420" s="33">
        <f t="shared" si="603"/>
        <v>0</v>
      </c>
    </row>
    <row r="421" spans="2:45" hidden="1" x14ac:dyDescent="0.25">
      <c r="B421" s="34">
        <f t="shared" ref="B421:F421" si="633">IF(B420="","",B420)</f>
        <v>250</v>
      </c>
      <c r="C421" s="26">
        <f t="shared" si="633"/>
        <v>20</v>
      </c>
      <c r="D421" s="26">
        <f t="shared" si="633"/>
        <v>0</v>
      </c>
      <c r="E421" s="26">
        <f t="shared" si="633"/>
        <v>0</v>
      </c>
      <c r="F421" s="26">
        <f t="shared" si="633"/>
        <v>-1630</v>
      </c>
      <c r="G421" s="24"/>
      <c r="H421" s="24"/>
      <c r="I421" s="24"/>
      <c r="J421" s="24"/>
      <c r="K421" s="24"/>
      <c r="L421" s="24"/>
      <c r="M421" s="44" t="str">
        <f t="shared" si="572"/>
        <v/>
      </c>
      <c r="N421" s="26" t="str">
        <f t="shared" si="574"/>
        <v/>
      </c>
      <c r="O421" s="26" t="str">
        <f t="shared" si="575"/>
        <v/>
      </c>
      <c r="P421" s="26" t="str">
        <f t="shared" si="576"/>
        <v/>
      </c>
      <c r="Q421" s="26">
        <f t="shared" si="577"/>
        <v>0</v>
      </c>
      <c r="R421" s="26">
        <f t="shared" si="578"/>
        <v>0</v>
      </c>
      <c r="S421" s="26">
        <f t="shared" si="579"/>
        <v>0</v>
      </c>
      <c r="T421" s="26" t="str">
        <f t="shared" si="580"/>
        <v/>
      </c>
      <c r="U421" s="26" t="str">
        <f t="shared" si="581"/>
        <v/>
      </c>
      <c r="V421" s="26" t="str">
        <f t="shared" si="582"/>
        <v/>
      </c>
      <c r="W421" s="27" t="str">
        <f t="shared" si="583"/>
        <v/>
      </c>
      <c r="X421" s="27" t="str">
        <f t="shared" si="584"/>
        <v/>
      </c>
      <c r="Y421" s="28" t="str">
        <f t="shared" si="585"/>
        <v/>
      </c>
      <c r="Z421" s="27" t="str">
        <f t="shared" si="586"/>
        <v/>
      </c>
      <c r="AA421" s="27" t="str">
        <f t="shared" si="587"/>
        <v/>
      </c>
      <c r="AB421" s="27" t="str">
        <f t="shared" si="588"/>
        <v/>
      </c>
      <c r="AC421" s="27" t="str">
        <f t="shared" si="589"/>
        <v/>
      </c>
      <c r="AD421" s="29" t="str">
        <f t="shared" si="590"/>
        <v/>
      </c>
      <c r="AE421" s="30" t="str">
        <f t="shared" si="591"/>
        <v/>
      </c>
      <c r="AG421" s="4"/>
      <c r="AH421" s="31" t="e">
        <f t="shared" si="592"/>
        <v>#VALUE!</v>
      </c>
      <c r="AI421" s="31" t="e">
        <f t="shared" si="593"/>
        <v>#VALUE!</v>
      </c>
      <c r="AJ421" s="31" t="e">
        <f t="shared" si="594"/>
        <v>#VALUE!</v>
      </c>
      <c r="AK421" s="31" t="e">
        <f t="shared" si="595"/>
        <v>#VALUE!</v>
      </c>
      <c r="AL421" s="31" t="e">
        <f t="shared" si="596"/>
        <v>#VALUE!</v>
      </c>
      <c r="AM421" s="31" t="e">
        <f t="shared" si="597"/>
        <v>#VALUE!</v>
      </c>
      <c r="AN421" s="32" t="str">
        <f t="shared" si="598"/>
        <v/>
      </c>
      <c r="AO421" s="27" t="str">
        <f t="shared" si="599"/>
        <v/>
      </c>
      <c r="AP421" s="27" t="str">
        <f t="shared" si="600"/>
        <v/>
      </c>
      <c r="AQ421" s="27">
        <f t="shared" si="601"/>
        <v>0</v>
      </c>
      <c r="AR421" s="27">
        <f t="shared" si="602"/>
        <v>0</v>
      </c>
      <c r="AS421" s="33">
        <f t="shared" si="603"/>
        <v>0</v>
      </c>
    </row>
    <row r="422" spans="2:45" hidden="1" x14ac:dyDescent="0.25">
      <c r="B422" s="34">
        <f t="shared" ref="B422:F422" si="634">IF(B421="","",B421)</f>
        <v>250</v>
      </c>
      <c r="C422" s="26">
        <f t="shared" si="634"/>
        <v>20</v>
      </c>
      <c r="D422" s="26">
        <f t="shared" si="634"/>
        <v>0</v>
      </c>
      <c r="E422" s="26">
        <f t="shared" si="634"/>
        <v>0</v>
      </c>
      <c r="F422" s="26">
        <f t="shared" si="634"/>
        <v>-1630</v>
      </c>
      <c r="G422" s="24"/>
      <c r="H422" s="24"/>
      <c r="I422" s="24"/>
      <c r="J422" s="24"/>
      <c r="K422" s="24"/>
      <c r="L422" s="24"/>
      <c r="M422" s="44" t="str">
        <f t="shared" ref="M422:M453" si="635">IF(B422="","",IF(M266="","",M266))</f>
        <v/>
      </c>
      <c r="N422" s="26" t="str">
        <f t="shared" si="574"/>
        <v/>
      </c>
      <c r="O422" s="26" t="str">
        <f t="shared" si="575"/>
        <v/>
      </c>
      <c r="P422" s="26" t="str">
        <f t="shared" si="576"/>
        <v/>
      </c>
      <c r="Q422" s="26">
        <f t="shared" si="577"/>
        <v>0</v>
      </c>
      <c r="R422" s="26">
        <f t="shared" si="578"/>
        <v>0</v>
      </c>
      <c r="S422" s="26">
        <f t="shared" si="579"/>
        <v>0</v>
      </c>
      <c r="T422" s="26" t="str">
        <f t="shared" si="580"/>
        <v/>
      </c>
      <c r="U422" s="26" t="str">
        <f t="shared" si="581"/>
        <v/>
      </c>
      <c r="V422" s="26" t="str">
        <f t="shared" si="582"/>
        <v/>
      </c>
      <c r="W422" s="27" t="str">
        <f t="shared" si="583"/>
        <v/>
      </c>
      <c r="X422" s="27" t="str">
        <f t="shared" si="584"/>
        <v/>
      </c>
      <c r="Y422" s="28" t="str">
        <f t="shared" si="585"/>
        <v/>
      </c>
      <c r="Z422" s="27" t="str">
        <f t="shared" si="586"/>
        <v/>
      </c>
      <c r="AA422" s="27" t="str">
        <f t="shared" si="587"/>
        <v/>
      </c>
      <c r="AB422" s="27" t="str">
        <f t="shared" si="588"/>
        <v/>
      </c>
      <c r="AC422" s="27" t="str">
        <f t="shared" si="589"/>
        <v/>
      </c>
      <c r="AD422" s="29" t="str">
        <f t="shared" si="590"/>
        <v/>
      </c>
      <c r="AE422" s="30" t="str">
        <f t="shared" si="591"/>
        <v/>
      </c>
      <c r="AG422" s="4"/>
      <c r="AH422" s="31" t="e">
        <f t="shared" si="592"/>
        <v>#VALUE!</v>
      </c>
      <c r="AI422" s="31" t="e">
        <f t="shared" si="593"/>
        <v>#VALUE!</v>
      </c>
      <c r="AJ422" s="31" t="e">
        <f t="shared" si="594"/>
        <v>#VALUE!</v>
      </c>
      <c r="AK422" s="31" t="e">
        <f t="shared" si="595"/>
        <v>#VALUE!</v>
      </c>
      <c r="AL422" s="31" t="e">
        <f t="shared" si="596"/>
        <v>#VALUE!</v>
      </c>
      <c r="AM422" s="31" t="e">
        <f t="shared" si="597"/>
        <v>#VALUE!</v>
      </c>
      <c r="AN422" s="32" t="str">
        <f t="shared" si="598"/>
        <v/>
      </c>
      <c r="AO422" s="27" t="str">
        <f t="shared" si="599"/>
        <v/>
      </c>
      <c r="AP422" s="27" t="str">
        <f t="shared" si="600"/>
        <v/>
      </c>
      <c r="AQ422" s="27">
        <f t="shared" si="601"/>
        <v>0</v>
      </c>
      <c r="AR422" s="27">
        <f t="shared" si="602"/>
        <v>0</v>
      </c>
      <c r="AS422" s="33">
        <f t="shared" si="603"/>
        <v>0</v>
      </c>
    </row>
    <row r="423" spans="2:45" hidden="1" x14ac:dyDescent="0.25">
      <c r="B423" s="34">
        <f t="shared" ref="B423:F423" si="636">IF(B422="","",B422)</f>
        <v>250</v>
      </c>
      <c r="C423" s="26">
        <f t="shared" si="636"/>
        <v>20</v>
      </c>
      <c r="D423" s="26">
        <f t="shared" si="636"/>
        <v>0</v>
      </c>
      <c r="E423" s="26">
        <f t="shared" si="636"/>
        <v>0</v>
      </c>
      <c r="F423" s="26">
        <f t="shared" si="636"/>
        <v>-1630</v>
      </c>
      <c r="G423" s="24"/>
      <c r="H423" s="24"/>
      <c r="I423" s="24"/>
      <c r="J423" s="24"/>
      <c r="K423" s="24"/>
      <c r="L423" s="24"/>
      <c r="M423" s="44" t="str">
        <f t="shared" si="635"/>
        <v/>
      </c>
      <c r="N423" s="26" t="str">
        <f t="shared" si="574"/>
        <v/>
      </c>
      <c r="O423" s="26" t="str">
        <f t="shared" si="575"/>
        <v/>
      </c>
      <c r="P423" s="26" t="str">
        <f t="shared" si="576"/>
        <v/>
      </c>
      <c r="Q423" s="26">
        <f t="shared" si="577"/>
        <v>0</v>
      </c>
      <c r="R423" s="26">
        <f t="shared" si="578"/>
        <v>0</v>
      </c>
      <c r="S423" s="26">
        <f t="shared" si="579"/>
        <v>0</v>
      </c>
      <c r="T423" s="26" t="str">
        <f t="shared" si="580"/>
        <v/>
      </c>
      <c r="U423" s="26" t="str">
        <f t="shared" si="581"/>
        <v/>
      </c>
      <c r="V423" s="26" t="str">
        <f t="shared" si="582"/>
        <v/>
      </c>
      <c r="W423" s="27" t="str">
        <f t="shared" si="583"/>
        <v/>
      </c>
      <c r="X423" s="27" t="str">
        <f t="shared" si="584"/>
        <v/>
      </c>
      <c r="Y423" s="28" t="str">
        <f t="shared" si="585"/>
        <v/>
      </c>
      <c r="Z423" s="27" t="str">
        <f t="shared" si="586"/>
        <v/>
      </c>
      <c r="AA423" s="27" t="str">
        <f t="shared" si="587"/>
        <v/>
      </c>
      <c r="AB423" s="27" t="str">
        <f t="shared" si="588"/>
        <v/>
      </c>
      <c r="AC423" s="27" t="str">
        <f t="shared" si="589"/>
        <v/>
      </c>
      <c r="AD423" s="29" t="str">
        <f t="shared" si="590"/>
        <v/>
      </c>
      <c r="AE423" s="30" t="str">
        <f t="shared" si="591"/>
        <v/>
      </c>
      <c r="AG423" s="4"/>
      <c r="AH423" s="31" t="e">
        <f t="shared" si="592"/>
        <v>#VALUE!</v>
      </c>
      <c r="AI423" s="31" t="e">
        <f t="shared" si="593"/>
        <v>#VALUE!</v>
      </c>
      <c r="AJ423" s="31" t="e">
        <f t="shared" si="594"/>
        <v>#VALUE!</v>
      </c>
      <c r="AK423" s="31" t="e">
        <f t="shared" si="595"/>
        <v>#VALUE!</v>
      </c>
      <c r="AL423" s="31" t="e">
        <f t="shared" si="596"/>
        <v>#VALUE!</v>
      </c>
      <c r="AM423" s="31" t="e">
        <f t="shared" si="597"/>
        <v>#VALUE!</v>
      </c>
      <c r="AN423" s="32" t="str">
        <f t="shared" si="598"/>
        <v/>
      </c>
      <c r="AO423" s="27" t="str">
        <f t="shared" si="599"/>
        <v/>
      </c>
      <c r="AP423" s="27" t="str">
        <f t="shared" si="600"/>
        <v/>
      </c>
      <c r="AQ423" s="27">
        <f t="shared" si="601"/>
        <v>0</v>
      </c>
      <c r="AR423" s="27">
        <f t="shared" si="602"/>
        <v>0</v>
      </c>
      <c r="AS423" s="33">
        <f t="shared" si="603"/>
        <v>0</v>
      </c>
    </row>
    <row r="424" spans="2:45" hidden="1" x14ac:dyDescent="0.25">
      <c r="B424" s="34">
        <f t="shared" ref="B424:F424" si="637">IF(B423="","",B423)</f>
        <v>250</v>
      </c>
      <c r="C424" s="26">
        <f t="shared" si="637"/>
        <v>20</v>
      </c>
      <c r="D424" s="26">
        <f t="shared" si="637"/>
        <v>0</v>
      </c>
      <c r="E424" s="26">
        <f t="shared" si="637"/>
        <v>0</v>
      </c>
      <c r="F424" s="26">
        <f t="shared" si="637"/>
        <v>-1630</v>
      </c>
      <c r="G424" s="24"/>
      <c r="H424" s="24"/>
      <c r="I424" s="24"/>
      <c r="J424" s="24"/>
      <c r="K424" s="24"/>
      <c r="L424" s="24"/>
      <c r="M424" s="44" t="str">
        <f t="shared" si="635"/>
        <v/>
      </c>
      <c r="N424" s="26" t="str">
        <f t="shared" si="574"/>
        <v/>
      </c>
      <c r="O424" s="26" t="str">
        <f t="shared" si="575"/>
        <v/>
      </c>
      <c r="P424" s="26" t="str">
        <f t="shared" si="576"/>
        <v/>
      </c>
      <c r="Q424" s="26">
        <f t="shared" si="577"/>
        <v>0</v>
      </c>
      <c r="R424" s="26">
        <f t="shared" si="578"/>
        <v>0</v>
      </c>
      <c r="S424" s="26">
        <f t="shared" si="579"/>
        <v>0</v>
      </c>
      <c r="T424" s="26" t="str">
        <f t="shared" si="580"/>
        <v/>
      </c>
      <c r="U424" s="26" t="str">
        <f t="shared" si="581"/>
        <v/>
      </c>
      <c r="V424" s="26" t="str">
        <f t="shared" si="582"/>
        <v/>
      </c>
      <c r="W424" s="27" t="str">
        <f t="shared" si="583"/>
        <v/>
      </c>
      <c r="X424" s="27" t="str">
        <f t="shared" si="584"/>
        <v/>
      </c>
      <c r="Y424" s="28" t="str">
        <f t="shared" si="585"/>
        <v/>
      </c>
      <c r="Z424" s="27" t="str">
        <f t="shared" si="586"/>
        <v/>
      </c>
      <c r="AA424" s="27" t="str">
        <f t="shared" si="587"/>
        <v/>
      </c>
      <c r="AB424" s="27" t="str">
        <f t="shared" si="588"/>
        <v/>
      </c>
      <c r="AC424" s="27" t="str">
        <f t="shared" si="589"/>
        <v/>
      </c>
      <c r="AD424" s="29" t="str">
        <f t="shared" si="590"/>
        <v/>
      </c>
      <c r="AE424" s="30" t="str">
        <f t="shared" si="591"/>
        <v/>
      </c>
      <c r="AG424" s="4"/>
      <c r="AH424" s="31" t="e">
        <f t="shared" si="592"/>
        <v>#VALUE!</v>
      </c>
      <c r="AI424" s="31" t="e">
        <f t="shared" si="593"/>
        <v>#VALUE!</v>
      </c>
      <c r="AJ424" s="31" t="e">
        <f t="shared" si="594"/>
        <v>#VALUE!</v>
      </c>
      <c r="AK424" s="31" t="e">
        <f t="shared" si="595"/>
        <v>#VALUE!</v>
      </c>
      <c r="AL424" s="31" t="e">
        <f t="shared" si="596"/>
        <v>#VALUE!</v>
      </c>
      <c r="AM424" s="31" t="e">
        <f t="shared" si="597"/>
        <v>#VALUE!</v>
      </c>
      <c r="AN424" s="32" t="str">
        <f t="shared" si="598"/>
        <v/>
      </c>
      <c r="AO424" s="27" t="str">
        <f t="shared" si="599"/>
        <v/>
      </c>
      <c r="AP424" s="27" t="str">
        <f t="shared" si="600"/>
        <v/>
      </c>
      <c r="AQ424" s="27">
        <f t="shared" si="601"/>
        <v>0</v>
      </c>
      <c r="AR424" s="27">
        <f t="shared" si="602"/>
        <v>0</v>
      </c>
      <c r="AS424" s="33">
        <f t="shared" si="603"/>
        <v>0</v>
      </c>
    </row>
    <row r="425" spans="2:45" hidden="1" x14ac:dyDescent="0.25">
      <c r="B425" s="34">
        <f t="shared" ref="B425:F425" si="638">IF(B424="","",B424)</f>
        <v>250</v>
      </c>
      <c r="C425" s="26">
        <f t="shared" si="638"/>
        <v>20</v>
      </c>
      <c r="D425" s="26">
        <f t="shared" si="638"/>
        <v>0</v>
      </c>
      <c r="E425" s="26">
        <f t="shared" si="638"/>
        <v>0</v>
      </c>
      <c r="F425" s="26">
        <f t="shared" si="638"/>
        <v>-1630</v>
      </c>
      <c r="G425" s="24"/>
      <c r="H425" s="24"/>
      <c r="I425" s="24"/>
      <c r="J425" s="24"/>
      <c r="K425" s="24"/>
      <c r="L425" s="24"/>
      <c r="M425" s="44" t="str">
        <f t="shared" si="635"/>
        <v/>
      </c>
      <c r="N425" s="26" t="str">
        <f t="shared" si="574"/>
        <v/>
      </c>
      <c r="O425" s="26" t="str">
        <f t="shared" si="575"/>
        <v/>
      </c>
      <c r="P425" s="26" t="str">
        <f t="shared" si="576"/>
        <v/>
      </c>
      <c r="Q425" s="26">
        <f t="shared" si="577"/>
        <v>0</v>
      </c>
      <c r="R425" s="26">
        <f t="shared" si="578"/>
        <v>0</v>
      </c>
      <c r="S425" s="26">
        <f t="shared" si="579"/>
        <v>0</v>
      </c>
      <c r="T425" s="26" t="str">
        <f t="shared" si="580"/>
        <v/>
      </c>
      <c r="U425" s="26" t="str">
        <f t="shared" si="581"/>
        <v/>
      </c>
      <c r="V425" s="26" t="str">
        <f t="shared" si="582"/>
        <v/>
      </c>
      <c r="W425" s="27" t="str">
        <f t="shared" si="583"/>
        <v/>
      </c>
      <c r="X425" s="27" t="str">
        <f t="shared" si="584"/>
        <v/>
      </c>
      <c r="Y425" s="28" t="str">
        <f t="shared" si="585"/>
        <v/>
      </c>
      <c r="Z425" s="27" t="str">
        <f t="shared" si="586"/>
        <v/>
      </c>
      <c r="AA425" s="27" t="str">
        <f t="shared" si="587"/>
        <v/>
      </c>
      <c r="AB425" s="27" t="str">
        <f t="shared" si="588"/>
        <v/>
      </c>
      <c r="AC425" s="27" t="str">
        <f t="shared" si="589"/>
        <v/>
      </c>
      <c r="AD425" s="29" t="str">
        <f t="shared" si="590"/>
        <v/>
      </c>
      <c r="AE425" s="30" t="str">
        <f t="shared" si="591"/>
        <v/>
      </c>
      <c r="AG425" s="4"/>
      <c r="AH425" s="31" t="e">
        <f t="shared" si="592"/>
        <v>#VALUE!</v>
      </c>
      <c r="AI425" s="31" t="e">
        <f t="shared" si="593"/>
        <v>#VALUE!</v>
      </c>
      <c r="AJ425" s="31" t="e">
        <f t="shared" si="594"/>
        <v>#VALUE!</v>
      </c>
      <c r="AK425" s="31" t="e">
        <f t="shared" si="595"/>
        <v>#VALUE!</v>
      </c>
      <c r="AL425" s="31" t="e">
        <f t="shared" si="596"/>
        <v>#VALUE!</v>
      </c>
      <c r="AM425" s="31" t="e">
        <f t="shared" si="597"/>
        <v>#VALUE!</v>
      </c>
      <c r="AN425" s="32" t="str">
        <f t="shared" si="598"/>
        <v/>
      </c>
      <c r="AO425" s="27" t="str">
        <f t="shared" si="599"/>
        <v/>
      </c>
      <c r="AP425" s="27" t="str">
        <f t="shared" si="600"/>
        <v/>
      </c>
      <c r="AQ425" s="27">
        <f t="shared" si="601"/>
        <v>0</v>
      </c>
      <c r="AR425" s="27">
        <f t="shared" si="602"/>
        <v>0</v>
      </c>
      <c r="AS425" s="33">
        <f t="shared" si="603"/>
        <v>0</v>
      </c>
    </row>
    <row r="426" spans="2:45" hidden="1" x14ac:dyDescent="0.25">
      <c r="B426" s="34">
        <f t="shared" ref="B426:F426" si="639">IF(B425="","",B425)</f>
        <v>250</v>
      </c>
      <c r="C426" s="26">
        <f t="shared" si="639"/>
        <v>20</v>
      </c>
      <c r="D426" s="26">
        <f t="shared" si="639"/>
        <v>0</v>
      </c>
      <c r="E426" s="26">
        <f t="shared" si="639"/>
        <v>0</v>
      </c>
      <c r="F426" s="26">
        <f t="shared" si="639"/>
        <v>-1630</v>
      </c>
      <c r="G426" s="24"/>
      <c r="H426" s="24"/>
      <c r="I426" s="24"/>
      <c r="J426" s="24"/>
      <c r="K426" s="24"/>
      <c r="L426" s="24"/>
      <c r="M426" s="44" t="str">
        <f t="shared" si="635"/>
        <v/>
      </c>
      <c r="N426" s="26" t="str">
        <f t="shared" si="574"/>
        <v/>
      </c>
      <c r="O426" s="26" t="str">
        <f t="shared" si="575"/>
        <v/>
      </c>
      <c r="P426" s="26" t="str">
        <f t="shared" si="576"/>
        <v/>
      </c>
      <c r="Q426" s="26">
        <f t="shared" si="577"/>
        <v>0</v>
      </c>
      <c r="R426" s="26">
        <f t="shared" si="578"/>
        <v>0</v>
      </c>
      <c r="S426" s="26">
        <f t="shared" si="579"/>
        <v>0</v>
      </c>
      <c r="T426" s="26" t="str">
        <f t="shared" si="580"/>
        <v/>
      </c>
      <c r="U426" s="26" t="str">
        <f t="shared" si="581"/>
        <v/>
      </c>
      <c r="V426" s="26" t="str">
        <f t="shared" si="582"/>
        <v/>
      </c>
      <c r="W426" s="27" t="str">
        <f t="shared" si="583"/>
        <v/>
      </c>
      <c r="X426" s="27" t="str">
        <f t="shared" si="584"/>
        <v/>
      </c>
      <c r="Y426" s="28" t="str">
        <f t="shared" si="585"/>
        <v/>
      </c>
      <c r="Z426" s="27" t="str">
        <f t="shared" si="586"/>
        <v/>
      </c>
      <c r="AA426" s="27" t="str">
        <f t="shared" si="587"/>
        <v/>
      </c>
      <c r="AB426" s="27" t="str">
        <f t="shared" si="588"/>
        <v/>
      </c>
      <c r="AC426" s="27" t="str">
        <f t="shared" si="589"/>
        <v/>
      </c>
      <c r="AD426" s="29" t="str">
        <f t="shared" si="590"/>
        <v/>
      </c>
      <c r="AE426" s="30" t="str">
        <f t="shared" si="591"/>
        <v/>
      </c>
      <c r="AG426" s="4"/>
      <c r="AH426" s="31" t="e">
        <f t="shared" si="592"/>
        <v>#VALUE!</v>
      </c>
      <c r="AI426" s="31" t="e">
        <f t="shared" si="593"/>
        <v>#VALUE!</v>
      </c>
      <c r="AJ426" s="31" t="e">
        <f t="shared" si="594"/>
        <v>#VALUE!</v>
      </c>
      <c r="AK426" s="31" t="e">
        <f t="shared" si="595"/>
        <v>#VALUE!</v>
      </c>
      <c r="AL426" s="31" t="e">
        <f t="shared" si="596"/>
        <v>#VALUE!</v>
      </c>
      <c r="AM426" s="31" t="e">
        <f t="shared" si="597"/>
        <v>#VALUE!</v>
      </c>
      <c r="AN426" s="32" t="str">
        <f t="shared" si="598"/>
        <v/>
      </c>
      <c r="AO426" s="27" t="str">
        <f t="shared" si="599"/>
        <v/>
      </c>
      <c r="AP426" s="27" t="str">
        <f t="shared" si="600"/>
        <v/>
      </c>
      <c r="AQ426" s="27">
        <f t="shared" si="601"/>
        <v>0</v>
      </c>
      <c r="AR426" s="27">
        <f t="shared" si="602"/>
        <v>0</v>
      </c>
      <c r="AS426" s="33">
        <f t="shared" si="603"/>
        <v>0</v>
      </c>
    </row>
    <row r="427" spans="2:45" hidden="1" x14ac:dyDescent="0.25">
      <c r="B427" s="34">
        <f t="shared" ref="B427:F427" si="640">IF(B426="","",B426)</f>
        <v>250</v>
      </c>
      <c r="C427" s="26">
        <f t="shared" si="640"/>
        <v>20</v>
      </c>
      <c r="D427" s="26">
        <f t="shared" si="640"/>
        <v>0</v>
      </c>
      <c r="E427" s="26">
        <f t="shared" si="640"/>
        <v>0</v>
      </c>
      <c r="F427" s="26">
        <f t="shared" si="640"/>
        <v>-1630</v>
      </c>
      <c r="G427" s="24"/>
      <c r="H427" s="24"/>
      <c r="I427" s="24"/>
      <c r="J427" s="24"/>
      <c r="K427" s="24"/>
      <c r="L427" s="24"/>
      <c r="M427" s="44" t="str">
        <f t="shared" si="635"/>
        <v/>
      </c>
      <c r="N427" s="26" t="str">
        <f t="shared" si="574"/>
        <v/>
      </c>
      <c r="O427" s="26" t="str">
        <f t="shared" si="575"/>
        <v/>
      </c>
      <c r="P427" s="26" t="str">
        <f t="shared" si="576"/>
        <v/>
      </c>
      <c r="Q427" s="26">
        <f t="shared" si="577"/>
        <v>0</v>
      </c>
      <c r="R427" s="26">
        <f t="shared" si="578"/>
        <v>0</v>
      </c>
      <c r="S427" s="26">
        <f t="shared" si="579"/>
        <v>0</v>
      </c>
      <c r="T427" s="26" t="str">
        <f t="shared" si="580"/>
        <v/>
      </c>
      <c r="U427" s="26" t="str">
        <f t="shared" si="581"/>
        <v/>
      </c>
      <c r="V427" s="26" t="str">
        <f t="shared" si="582"/>
        <v/>
      </c>
      <c r="W427" s="27" t="str">
        <f t="shared" si="583"/>
        <v/>
      </c>
      <c r="X427" s="27" t="str">
        <f t="shared" si="584"/>
        <v/>
      </c>
      <c r="Y427" s="28" t="str">
        <f t="shared" si="585"/>
        <v/>
      </c>
      <c r="Z427" s="27" t="str">
        <f t="shared" si="586"/>
        <v/>
      </c>
      <c r="AA427" s="27" t="str">
        <f t="shared" si="587"/>
        <v/>
      </c>
      <c r="AB427" s="27" t="str">
        <f t="shared" si="588"/>
        <v/>
      </c>
      <c r="AC427" s="27" t="str">
        <f t="shared" si="589"/>
        <v/>
      </c>
      <c r="AD427" s="29" t="str">
        <f t="shared" si="590"/>
        <v/>
      </c>
      <c r="AE427" s="30" t="str">
        <f t="shared" si="591"/>
        <v/>
      </c>
      <c r="AG427" s="4"/>
      <c r="AH427" s="31" t="e">
        <f t="shared" si="592"/>
        <v>#VALUE!</v>
      </c>
      <c r="AI427" s="31" t="e">
        <f t="shared" si="593"/>
        <v>#VALUE!</v>
      </c>
      <c r="AJ427" s="31" t="e">
        <f t="shared" si="594"/>
        <v>#VALUE!</v>
      </c>
      <c r="AK427" s="31" t="e">
        <f t="shared" si="595"/>
        <v>#VALUE!</v>
      </c>
      <c r="AL427" s="31" t="e">
        <f t="shared" si="596"/>
        <v>#VALUE!</v>
      </c>
      <c r="AM427" s="31" t="e">
        <f t="shared" si="597"/>
        <v>#VALUE!</v>
      </c>
      <c r="AN427" s="32" t="str">
        <f t="shared" si="598"/>
        <v/>
      </c>
      <c r="AO427" s="27" t="str">
        <f t="shared" si="599"/>
        <v/>
      </c>
      <c r="AP427" s="27" t="str">
        <f t="shared" si="600"/>
        <v/>
      </c>
      <c r="AQ427" s="27">
        <f t="shared" si="601"/>
        <v>0</v>
      </c>
      <c r="AR427" s="27">
        <f t="shared" si="602"/>
        <v>0</v>
      </c>
      <c r="AS427" s="33">
        <f t="shared" si="603"/>
        <v>0</v>
      </c>
    </row>
    <row r="428" spans="2:45" hidden="1" x14ac:dyDescent="0.25">
      <c r="B428" s="34">
        <f t="shared" ref="B428:F428" si="641">IF(B427="","",B427)</f>
        <v>250</v>
      </c>
      <c r="C428" s="26">
        <f t="shared" si="641"/>
        <v>20</v>
      </c>
      <c r="D428" s="26">
        <f t="shared" si="641"/>
        <v>0</v>
      </c>
      <c r="E428" s="26">
        <f t="shared" si="641"/>
        <v>0</v>
      </c>
      <c r="F428" s="26">
        <f t="shared" si="641"/>
        <v>-1630</v>
      </c>
      <c r="G428" s="24"/>
      <c r="H428" s="24"/>
      <c r="I428" s="24"/>
      <c r="J428" s="24"/>
      <c r="K428" s="24"/>
      <c r="L428" s="24"/>
      <c r="M428" s="44" t="str">
        <f t="shared" si="635"/>
        <v/>
      </c>
      <c r="N428" s="26" t="str">
        <f t="shared" si="574"/>
        <v/>
      </c>
      <c r="O428" s="26" t="str">
        <f t="shared" si="575"/>
        <v/>
      </c>
      <c r="P428" s="26" t="str">
        <f t="shared" si="576"/>
        <v/>
      </c>
      <c r="Q428" s="26">
        <f t="shared" si="577"/>
        <v>0</v>
      </c>
      <c r="R428" s="26">
        <f t="shared" si="578"/>
        <v>0</v>
      </c>
      <c r="S428" s="26">
        <f t="shared" si="579"/>
        <v>0</v>
      </c>
      <c r="T428" s="26" t="str">
        <f t="shared" si="580"/>
        <v/>
      </c>
      <c r="U428" s="26" t="str">
        <f t="shared" si="581"/>
        <v/>
      </c>
      <c r="V428" s="26" t="str">
        <f t="shared" si="582"/>
        <v/>
      </c>
      <c r="W428" s="27" t="str">
        <f t="shared" si="583"/>
        <v/>
      </c>
      <c r="X428" s="27" t="str">
        <f t="shared" si="584"/>
        <v/>
      </c>
      <c r="Y428" s="28" t="str">
        <f t="shared" si="585"/>
        <v/>
      </c>
      <c r="Z428" s="27" t="str">
        <f t="shared" si="586"/>
        <v/>
      </c>
      <c r="AA428" s="27" t="str">
        <f t="shared" si="587"/>
        <v/>
      </c>
      <c r="AB428" s="27" t="str">
        <f t="shared" si="588"/>
        <v/>
      </c>
      <c r="AC428" s="27" t="str">
        <f t="shared" si="589"/>
        <v/>
      </c>
      <c r="AD428" s="29" t="str">
        <f t="shared" si="590"/>
        <v/>
      </c>
      <c r="AE428" s="30" t="str">
        <f t="shared" si="591"/>
        <v/>
      </c>
      <c r="AG428" s="4"/>
      <c r="AH428" s="31" t="e">
        <f t="shared" si="592"/>
        <v>#VALUE!</v>
      </c>
      <c r="AI428" s="31" t="e">
        <f t="shared" si="593"/>
        <v>#VALUE!</v>
      </c>
      <c r="AJ428" s="31" t="e">
        <f t="shared" si="594"/>
        <v>#VALUE!</v>
      </c>
      <c r="AK428" s="31" t="e">
        <f t="shared" si="595"/>
        <v>#VALUE!</v>
      </c>
      <c r="AL428" s="31" t="e">
        <f t="shared" si="596"/>
        <v>#VALUE!</v>
      </c>
      <c r="AM428" s="31" t="e">
        <f t="shared" si="597"/>
        <v>#VALUE!</v>
      </c>
      <c r="AN428" s="32" t="str">
        <f t="shared" si="598"/>
        <v/>
      </c>
      <c r="AO428" s="27" t="str">
        <f t="shared" si="599"/>
        <v/>
      </c>
      <c r="AP428" s="27" t="str">
        <f t="shared" si="600"/>
        <v/>
      </c>
      <c r="AQ428" s="27">
        <f t="shared" si="601"/>
        <v>0</v>
      </c>
      <c r="AR428" s="27">
        <f t="shared" si="602"/>
        <v>0</v>
      </c>
      <c r="AS428" s="33">
        <f t="shared" si="603"/>
        <v>0</v>
      </c>
    </row>
    <row r="429" spans="2:45" hidden="1" x14ac:dyDescent="0.25">
      <c r="B429" s="34">
        <f t="shared" ref="B429:F429" si="642">IF(B428="","",B428)</f>
        <v>250</v>
      </c>
      <c r="C429" s="26">
        <f t="shared" si="642"/>
        <v>20</v>
      </c>
      <c r="D429" s="26">
        <f t="shared" si="642"/>
        <v>0</v>
      </c>
      <c r="E429" s="26">
        <f t="shared" si="642"/>
        <v>0</v>
      </c>
      <c r="F429" s="26">
        <f t="shared" si="642"/>
        <v>-1630</v>
      </c>
      <c r="G429" s="24"/>
      <c r="H429" s="24"/>
      <c r="I429" s="24"/>
      <c r="J429" s="24"/>
      <c r="K429" s="24"/>
      <c r="L429" s="24"/>
      <c r="M429" s="44" t="str">
        <f t="shared" si="635"/>
        <v/>
      </c>
      <c r="N429" s="26" t="str">
        <f t="shared" si="574"/>
        <v/>
      </c>
      <c r="O429" s="26" t="str">
        <f t="shared" si="575"/>
        <v/>
      </c>
      <c r="P429" s="26" t="str">
        <f t="shared" si="576"/>
        <v/>
      </c>
      <c r="Q429" s="26">
        <f t="shared" si="577"/>
        <v>0</v>
      </c>
      <c r="R429" s="26">
        <f t="shared" si="578"/>
        <v>0</v>
      </c>
      <c r="S429" s="26">
        <f t="shared" si="579"/>
        <v>0</v>
      </c>
      <c r="T429" s="26" t="str">
        <f t="shared" si="580"/>
        <v/>
      </c>
      <c r="U429" s="26" t="str">
        <f t="shared" si="581"/>
        <v/>
      </c>
      <c r="V429" s="26" t="str">
        <f t="shared" si="582"/>
        <v/>
      </c>
      <c r="W429" s="27" t="str">
        <f t="shared" si="583"/>
        <v/>
      </c>
      <c r="X429" s="27" t="str">
        <f t="shared" si="584"/>
        <v/>
      </c>
      <c r="Y429" s="28" t="str">
        <f t="shared" si="585"/>
        <v/>
      </c>
      <c r="Z429" s="27" t="str">
        <f t="shared" si="586"/>
        <v/>
      </c>
      <c r="AA429" s="27" t="str">
        <f t="shared" si="587"/>
        <v/>
      </c>
      <c r="AB429" s="27" t="str">
        <f t="shared" si="588"/>
        <v/>
      </c>
      <c r="AC429" s="27" t="str">
        <f t="shared" si="589"/>
        <v/>
      </c>
      <c r="AD429" s="29" t="str">
        <f t="shared" si="590"/>
        <v/>
      </c>
      <c r="AE429" s="30" t="str">
        <f t="shared" si="591"/>
        <v/>
      </c>
      <c r="AG429" s="4"/>
      <c r="AH429" s="31" t="e">
        <f t="shared" si="592"/>
        <v>#VALUE!</v>
      </c>
      <c r="AI429" s="31" t="e">
        <f t="shared" si="593"/>
        <v>#VALUE!</v>
      </c>
      <c r="AJ429" s="31" t="e">
        <f t="shared" si="594"/>
        <v>#VALUE!</v>
      </c>
      <c r="AK429" s="31" t="e">
        <f t="shared" si="595"/>
        <v>#VALUE!</v>
      </c>
      <c r="AL429" s="31" t="e">
        <f t="shared" si="596"/>
        <v>#VALUE!</v>
      </c>
      <c r="AM429" s="31" t="e">
        <f t="shared" si="597"/>
        <v>#VALUE!</v>
      </c>
      <c r="AN429" s="32" t="str">
        <f t="shared" si="598"/>
        <v/>
      </c>
      <c r="AO429" s="27" t="str">
        <f t="shared" si="599"/>
        <v/>
      </c>
      <c r="AP429" s="27" t="str">
        <f t="shared" si="600"/>
        <v/>
      </c>
      <c r="AQ429" s="27">
        <f t="shared" si="601"/>
        <v>0</v>
      </c>
      <c r="AR429" s="27">
        <f t="shared" si="602"/>
        <v>0</v>
      </c>
      <c r="AS429" s="33">
        <f t="shared" si="603"/>
        <v>0</v>
      </c>
    </row>
    <row r="430" spans="2:45" hidden="1" x14ac:dyDescent="0.25">
      <c r="B430" s="34">
        <f t="shared" ref="B430:F430" si="643">IF(B429="","",B429)</f>
        <v>250</v>
      </c>
      <c r="C430" s="26">
        <f t="shared" si="643"/>
        <v>20</v>
      </c>
      <c r="D430" s="26">
        <f t="shared" si="643"/>
        <v>0</v>
      </c>
      <c r="E430" s="26">
        <f t="shared" si="643"/>
        <v>0</v>
      </c>
      <c r="F430" s="26">
        <f t="shared" si="643"/>
        <v>-1630</v>
      </c>
      <c r="G430" s="24"/>
      <c r="H430" s="24"/>
      <c r="I430" s="24"/>
      <c r="J430" s="24"/>
      <c r="K430" s="24"/>
      <c r="L430" s="24"/>
      <c r="M430" s="44" t="str">
        <f t="shared" si="635"/>
        <v/>
      </c>
      <c r="N430" s="26" t="str">
        <f t="shared" si="574"/>
        <v/>
      </c>
      <c r="O430" s="26" t="str">
        <f t="shared" si="575"/>
        <v/>
      </c>
      <c r="P430" s="26" t="str">
        <f t="shared" si="576"/>
        <v/>
      </c>
      <c r="Q430" s="26">
        <f t="shared" si="577"/>
        <v>0</v>
      </c>
      <c r="R430" s="26">
        <f t="shared" si="578"/>
        <v>0</v>
      </c>
      <c r="S430" s="26">
        <f t="shared" si="579"/>
        <v>0</v>
      </c>
      <c r="T430" s="26" t="str">
        <f t="shared" si="580"/>
        <v/>
      </c>
      <c r="U430" s="26" t="str">
        <f t="shared" si="581"/>
        <v/>
      </c>
      <c r="V430" s="26" t="str">
        <f t="shared" si="582"/>
        <v/>
      </c>
      <c r="W430" s="27" t="str">
        <f t="shared" si="583"/>
        <v/>
      </c>
      <c r="X430" s="27" t="str">
        <f t="shared" si="584"/>
        <v/>
      </c>
      <c r="Y430" s="28" t="str">
        <f t="shared" si="585"/>
        <v/>
      </c>
      <c r="Z430" s="27" t="str">
        <f t="shared" si="586"/>
        <v/>
      </c>
      <c r="AA430" s="27" t="str">
        <f t="shared" si="587"/>
        <v/>
      </c>
      <c r="AB430" s="27" t="str">
        <f t="shared" si="588"/>
        <v/>
      </c>
      <c r="AC430" s="27" t="str">
        <f t="shared" si="589"/>
        <v/>
      </c>
      <c r="AD430" s="29" t="str">
        <f t="shared" si="590"/>
        <v/>
      </c>
      <c r="AE430" s="30" t="str">
        <f t="shared" si="591"/>
        <v/>
      </c>
      <c r="AG430" s="4"/>
      <c r="AH430" s="31" t="e">
        <f t="shared" si="592"/>
        <v>#VALUE!</v>
      </c>
      <c r="AI430" s="31" t="e">
        <f t="shared" si="593"/>
        <v>#VALUE!</v>
      </c>
      <c r="AJ430" s="31" t="e">
        <f t="shared" si="594"/>
        <v>#VALUE!</v>
      </c>
      <c r="AK430" s="31" t="e">
        <f t="shared" si="595"/>
        <v>#VALUE!</v>
      </c>
      <c r="AL430" s="31" t="e">
        <f t="shared" si="596"/>
        <v>#VALUE!</v>
      </c>
      <c r="AM430" s="31" t="e">
        <f t="shared" si="597"/>
        <v>#VALUE!</v>
      </c>
      <c r="AN430" s="32" t="str">
        <f t="shared" si="598"/>
        <v/>
      </c>
      <c r="AO430" s="27" t="str">
        <f t="shared" si="599"/>
        <v/>
      </c>
      <c r="AP430" s="27" t="str">
        <f t="shared" si="600"/>
        <v/>
      </c>
      <c r="AQ430" s="27">
        <f t="shared" si="601"/>
        <v>0</v>
      </c>
      <c r="AR430" s="27">
        <f t="shared" si="602"/>
        <v>0</v>
      </c>
      <c r="AS430" s="33">
        <f t="shared" si="603"/>
        <v>0</v>
      </c>
    </row>
    <row r="431" spans="2:45" hidden="1" x14ac:dyDescent="0.25">
      <c r="B431" s="34">
        <f>IF(B430="","",B430)</f>
        <v>250</v>
      </c>
      <c r="C431" s="26">
        <f t="shared" ref="C431:F431" si="644">IF(C430="","",C430)</f>
        <v>20</v>
      </c>
      <c r="D431" s="26">
        <f t="shared" si="644"/>
        <v>0</v>
      </c>
      <c r="E431" s="26">
        <f t="shared" si="644"/>
        <v>0</v>
      </c>
      <c r="F431" s="26">
        <f t="shared" si="644"/>
        <v>-1630</v>
      </c>
      <c r="G431" s="24"/>
      <c r="H431" s="24"/>
      <c r="I431" s="24"/>
      <c r="J431" s="24"/>
      <c r="K431" s="24"/>
      <c r="L431" s="24"/>
      <c r="M431" s="44" t="str">
        <f t="shared" si="635"/>
        <v/>
      </c>
      <c r="N431" s="26" t="str">
        <f t="shared" si="574"/>
        <v/>
      </c>
      <c r="O431" s="26" t="str">
        <f t="shared" si="575"/>
        <v/>
      </c>
      <c r="P431" s="26" t="str">
        <f t="shared" si="576"/>
        <v/>
      </c>
      <c r="Q431" s="26">
        <f t="shared" si="577"/>
        <v>0</v>
      </c>
      <c r="R431" s="26">
        <f t="shared" si="578"/>
        <v>0</v>
      </c>
      <c r="S431" s="26">
        <f t="shared" si="579"/>
        <v>0</v>
      </c>
      <c r="T431" s="26" t="str">
        <f t="shared" si="580"/>
        <v/>
      </c>
      <c r="U431" s="26" t="str">
        <f t="shared" si="581"/>
        <v/>
      </c>
      <c r="V431" s="26" t="str">
        <f t="shared" si="582"/>
        <v/>
      </c>
      <c r="W431" s="27" t="str">
        <f t="shared" si="583"/>
        <v/>
      </c>
      <c r="X431" s="27" t="str">
        <f t="shared" si="584"/>
        <v/>
      </c>
      <c r="Y431" s="28" t="str">
        <f t="shared" si="585"/>
        <v/>
      </c>
      <c r="Z431" s="27" t="str">
        <f t="shared" si="586"/>
        <v/>
      </c>
      <c r="AA431" s="27" t="str">
        <f t="shared" si="587"/>
        <v/>
      </c>
      <c r="AB431" s="27" t="str">
        <f t="shared" si="588"/>
        <v/>
      </c>
      <c r="AC431" s="27" t="str">
        <f t="shared" si="589"/>
        <v/>
      </c>
      <c r="AD431" s="29" t="str">
        <f t="shared" si="590"/>
        <v/>
      </c>
      <c r="AE431" s="30" t="str">
        <f t="shared" si="591"/>
        <v/>
      </c>
      <c r="AG431" s="4"/>
      <c r="AH431" s="31" t="e">
        <f t="shared" si="592"/>
        <v>#VALUE!</v>
      </c>
      <c r="AI431" s="31" t="e">
        <f t="shared" si="593"/>
        <v>#VALUE!</v>
      </c>
      <c r="AJ431" s="31" t="e">
        <f t="shared" si="594"/>
        <v>#VALUE!</v>
      </c>
      <c r="AK431" s="31" t="e">
        <f t="shared" si="595"/>
        <v>#VALUE!</v>
      </c>
      <c r="AL431" s="31" t="e">
        <f t="shared" si="596"/>
        <v>#VALUE!</v>
      </c>
      <c r="AM431" s="31" t="e">
        <f t="shared" si="597"/>
        <v>#VALUE!</v>
      </c>
      <c r="AN431" s="32" t="str">
        <f t="shared" si="598"/>
        <v/>
      </c>
      <c r="AO431" s="27" t="str">
        <f t="shared" si="599"/>
        <v/>
      </c>
      <c r="AP431" s="27" t="str">
        <f t="shared" si="600"/>
        <v/>
      </c>
      <c r="AQ431" s="27">
        <f t="shared" si="601"/>
        <v>0</v>
      </c>
      <c r="AR431" s="27">
        <f t="shared" si="602"/>
        <v>0</v>
      </c>
      <c r="AS431" s="33">
        <f t="shared" si="603"/>
        <v>0</v>
      </c>
    </row>
    <row r="432" spans="2:45" hidden="1" x14ac:dyDescent="0.25">
      <c r="B432" s="34">
        <f t="shared" ref="B432:F432" si="645">IF(B431="","",B431)</f>
        <v>250</v>
      </c>
      <c r="C432" s="26">
        <f t="shared" si="645"/>
        <v>20</v>
      </c>
      <c r="D432" s="26">
        <f t="shared" si="645"/>
        <v>0</v>
      </c>
      <c r="E432" s="26">
        <f t="shared" si="645"/>
        <v>0</v>
      </c>
      <c r="F432" s="26">
        <f t="shared" si="645"/>
        <v>-1630</v>
      </c>
      <c r="G432" s="24"/>
      <c r="H432" s="24"/>
      <c r="I432" s="24"/>
      <c r="J432" s="24"/>
      <c r="K432" s="24"/>
      <c r="L432" s="24"/>
      <c r="M432" s="44" t="str">
        <f t="shared" si="635"/>
        <v/>
      </c>
      <c r="N432" s="26" t="str">
        <f t="shared" si="574"/>
        <v/>
      </c>
      <c r="O432" s="26" t="str">
        <f t="shared" si="575"/>
        <v/>
      </c>
      <c r="P432" s="26" t="str">
        <f t="shared" si="576"/>
        <v/>
      </c>
      <c r="Q432" s="26">
        <f t="shared" si="577"/>
        <v>0</v>
      </c>
      <c r="R432" s="26">
        <f t="shared" si="578"/>
        <v>0</v>
      </c>
      <c r="S432" s="26">
        <f t="shared" si="579"/>
        <v>0</v>
      </c>
      <c r="T432" s="26" t="str">
        <f t="shared" si="580"/>
        <v/>
      </c>
      <c r="U432" s="26" t="str">
        <f t="shared" si="581"/>
        <v/>
      </c>
      <c r="V432" s="26" t="str">
        <f t="shared" si="582"/>
        <v/>
      </c>
      <c r="W432" s="27" t="str">
        <f t="shared" si="583"/>
        <v/>
      </c>
      <c r="X432" s="27" t="str">
        <f t="shared" si="584"/>
        <v/>
      </c>
      <c r="Y432" s="28" t="str">
        <f t="shared" si="585"/>
        <v/>
      </c>
      <c r="Z432" s="27" t="str">
        <f t="shared" si="586"/>
        <v/>
      </c>
      <c r="AA432" s="27" t="str">
        <f t="shared" si="587"/>
        <v/>
      </c>
      <c r="AB432" s="27" t="str">
        <f t="shared" si="588"/>
        <v/>
      </c>
      <c r="AC432" s="27" t="str">
        <f t="shared" si="589"/>
        <v/>
      </c>
      <c r="AD432" s="29" t="str">
        <f t="shared" si="590"/>
        <v/>
      </c>
      <c r="AE432" s="30" t="str">
        <f t="shared" si="591"/>
        <v/>
      </c>
      <c r="AG432" s="4"/>
      <c r="AH432" s="31" t="e">
        <f t="shared" si="592"/>
        <v>#VALUE!</v>
      </c>
      <c r="AI432" s="31" t="e">
        <f t="shared" si="593"/>
        <v>#VALUE!</v>
      </c>
      <c r="AJ432" s="31" t="e">
        <f t="shared" si="594"/>
        <v>#VALUE!</v>
      </c>
      <c r="AK432" s="31" t="e">
        <f t="shared" si="595"/>
        <v>#VALUE!</v>
      </c>
      <c r="AL432" s="31" t="e">
        <f t="shared" si="596"/>
        <v>#VALUE!</v>
      </c>
      <c r="AM432" s="31" t="e">
        <f t="shared" si="597"/>
        <v>#VALUE!</v>
      </c>
      <c r="AN432" s="32" t="str">
        <f t="shared" si="598"/>
        <v/>
      </c>
      <c r="AO432" s="27" t="str">
        <f t="shared" si="599"/>
        <v/>
      </c>
      <c r="AP432" s="27" t="str">
        <f t="shared" si="600"/>
        <v/>
      </c>
      <c r="AQ432" s="27">
        <f t="shared" si="601"/>
        <v>0</v>
      </c>
      <c r="AR432" s="27">
        <f t="shared" si="602"/>
        <v>0</v>
      </c>
      <c r="AS432" s="33">
        <f t="shared" si="603"/>
        <v>0</v>
      </c>
    </row>
    <row r="433" spans="2:45" hidden="1" x14ac:dyDescent="0.25">
      <c r="B433" s="34">
        <f t="shared" ref="B433:F433" si="646">IF(B432="","",B432)</f>
        <v>250</v>
      </c>
      <c r="C433" s="26">
        <f t="shared" si="646"/>
        <v>20</v>
      </c>
      <c r="D433" s="26">
        <f t="shared" si="646"/>
        <v>0</v>
      </c>
      <c r="E433" s="26">
        <f t="shared" si="646"/>
        <v>0</v>
      </c>
      <c r="F433" s="26">
        <f t="shared" si="646"/>
        <v>-1630</v>
      </c>
      <c r="G433" s="24"/>
      <c r="H433" s="24"/>
      <c r="I433" s="24"/>
      <c r="J433" s="24"/>
      <c r="K433" s="24"/>
      <c r="L433" s="24"/>
      <c r="M433" s="44" t="str">
        <f t="shared" si="635"/>
        <v/>
      </c>
      <c r="N433" s="26" t="str">
        <f t="shared" si="574"/>
        <v/>
      </c>
      <c r="O433" s="26" t="str">
        <f t="shared" si="575"/>
        <v/>
      </c>
      <c r="P433" s="26" t="str">
        <f t="shared" si="576"/>
        <v/>
      </c>
      <c r="Q433" s="26">
        <f t="shared" si="577"/>
        <v>0</v>
      </c>
      <c r="R433" s="26">
        <f t="shared" si="578"/>
        <v>0</v>
      </c>
      <c r="S433" s="26">
        <f t="shared" si="579"/>
        <v>0</v>
      </c>
      <c r="T433" s="26" t="str">
        <f t="shared" si="580"/>
        <v/>
      </c>
      <c r="U433" s="26" t="str">
        <f t="shared" si="581"/>
        <v/>
      </c>
      <c r="V433" s="26" t="str">
        <f t="shared" si="582"/>
        <v/>
      </c>
      <c r="W433" s="27" t="str">
        <f t="shared" si="583"/>
        <v/>
      </c>
      <c r="X433" s="27" t="str">
        <f t="shared" si="584"/>
        <v/>
      </c>
      <c r="Y433" s="28" t="str">
        <f t="shared" si="585"/>
        <v/>
      </c>
      <c r="Z433" s="27" t="str">
        <f t="shared" si="586"/>
        <v/>
      </c>
      <c r="AA433" s="27" t="str">
        <f t="shared" si="587"/>
        <v/>
      </c>
      <c r="AB433" s="27" t="str">
        <f t="shared" si="588"/>
        <v/>
      </c>
      <c r="AC433" s="27" t="str">
        <f t="shared" si="589"/>
        <v/>
      </c>
      <c r="AD433" s="29" t="str">
        <f t="shared" si="590"/>
        <v/>
      </c>
      <c r="AE433" s="30" t="str">
        <f t="shared" si="591"/>
        <v/>
      </c>
      <c r="AG433" s="4"/>
      <c r="AH433" s="31" t="e">
        <f t="shared" si="592"/>
        <v>#VALUE!</v>
      </c>
      <c r="AI433" s="31" t="e">
        <f t="shared" si="593"/>
        <v>#VALUE!</v>
      </c>
      <c r="AJ433" s="31" t="e">
        <f t="shared" si="594"/>
        <v>#VALUE!</v>
      </c>
      <c r="AK433" s="31" t="e">
        <f t="shared" si="595"/>
        <v>#VALUE!</v>
      </c>
      <c r="AL433" s="31" t="e">
        <f t="shared" si="596"/>
        <v>#VALUE!</v>
      </c>
      <c r="AM433" s="31" t="e">
        <f t="shared" si="597"/>
        <v>#VALUE!</v>
      </c>
      <c r="AN433" s="32" t="str">
        <f t="shared" si="598"/>
        <v/>
      </c>
      <c r="AO433" s="27" t="str">
        <f t="shared" si="599"/>
        <v/>
      </c>
      <c r="AP433" s="27" t="str">
        <f t="shared" si="600"/>
        <v/>
      </c>
      <c r="AQ433" s="27">
        <f t="shared" si="601"/>
        <v>0</v>
      </c>
      <c r="AR433" s="27">
        <f t="shared" si="602"/>
        <v>0</v>
      </c>
      <c r="AS433" s="33">
        <f t="shared" si="603"/>
        <v>0</v>
      </c>
    </row>
    <row r="434" spans="2:45" hidden="1" x14ac:dyDescent="0.25">
      <c r="B434" s="34">
        <f t="shared" ref="B434:F434" si="647">IF(B433="","",B433)</f>
        <v>250</v>
      </c>
      <c r="C434" s="26">
        <f t="shared" si="647"/>
        <v>20</v>
      </c>
      <c r="D434" s="26">
        <f t="shared" si="647"/>
        <v>0</v>
      </c>
      <c r="E434" s="26">
        <f t="shared" si="647"/>
        <v>0</v>
      </c>
      <c r="F434" s="26">
        <f t="shared" si="647"/>
        <v>-1630</v>
      </c>
      <c r="G434" s="24"/>
      <c r="H434" s="24"/>
      <c r="I434" s="24"/>
      <c r="J434" s="24"/>
      <c r="K434" s="24"/>
      <c r="L434" s="24"/>
      <c r="M434" s="44" t="str">
        <f t="shared" si="635"/>
        <v/>
      </c>
      <c r="N434" s="26" t="str">
        <f t="shared" si="574"/>
        <v/>
      </c>
      <c r="O434" s="26" t="str">
        <f t="shared" si="575"/>
        <v/>
      </c>
      <c r="P434" s="26" t="str">
        <f t="shared" si="576"/>
        <v/>
      </c>
      <c r="Q434" s="26">
        <f t="shared" si="577"/>
        <v>0</v>
      </c>
      <c r="R434" s="26">
        <f t="shared" si="578"/>
        <v>0</v>
      </c>
      <c r="S434" s="26">
        <f t="shared" si="579"/>
        <v>0</v>
      </c>
      <c r="T434" s="26" t="str">
        <f t="shared" si="580"/>
        <v/>
      </c>
      <c r="U434" s="26" t="str">
        <f t="shared" si="581"/>
        <v/>
      </c>
      <c r="V434" s="26" t="str">
        <f t="shared" si="582"/>
        <v/>
      </c>
      <c r="W434" s="27" t="str">
        <f t="shared" si="583"/>
        <v/>
      </c>
      <c r="X434" s="27" t="str">
        <f t="shared" si="584"/>
        <v/>
      </c>
      <c r="Y434" s="28" t="str">
        <f t="shared" si="585"/>
        <v/>
      </c>
      <c r="Z434" s="27" t="str">
        <f t="shared" si="586"/>
        <v/>
      </c>
      <c r="AA434" s="27" t="str">
        <f t="shared" si="587"/>
        <v/>
      </c>
      <c r="AB434" s="27" t="str">
        <f t="shared" si="588"/>
        <v/>
      </c>
      <c r="AC434" s="27" t="str">
        <f t="shared" si="589"/>
        <v/>
      </c>
      <c r="AD434" s="29" t="str">
        <f t="shared" si="590"/>
        <v/>
      </c>
      <c r="AE434" s="30" t="str">
        <f t="shared" si="591"/>
        <v/>
      </c>
      <c r="AG434" s="4"/>
      <c r="AH434" s="31" t="e">
        <f t="shared" si="592"/>
        <v>#VALUE!</v>
      </c>
      <c r="AI434" s="31" t="e">
        <f t="shared" si="593"/>
        <v>#VALUE!</v>
      </c>
      <c r="AJ434" s="31" t="e">
        <f t="shared" si="594"/>
        <v>#VALUE!</v>
      </c>
      <c r="AK434" s="31" t="e">
        <f t="shared" si="595"/>
        <v>#VALUE!</v>
      </c>
      <c r="AL434" s="31" t="e">
        <f t="shared" si="596"/>
        <v>#VALUE!</v>
      </c>
      <c r="AM434" s="31" t="e">
        <f t="shared" si="597"/>
        <v>#VALUE!</v>
      </c>
      <c r="AN434" s="32" t="str">
        <f t="shared" si="598"/>
        <v/>
      </c>
      <c r="AO434" s="27" t="str">
        <f t="shared" si="599"/>
        <v/>
      </c>
      <c r="AP434" s="27" t="str">
        <f t="shared" si="600"/>
        <v/>
      </c>
      <c r="AQ434" s="27">
        <f t="shared" si="601"/>
        <v>0</v>
      </c>
      <c r="AR434" s="27">
        <f t="shared" si="602"/>
        <v>0</v>
      </c>
      <c r="AS434" s="33">
        <f t="shared" si="603"/>
        <v>0</v>
      </c>
    </row>
    <row r="435" spans="2:45" hidden="1" x14ac:dyDescent="0.25">
      <c r="B435" s="34">
        <f t="shared" ref="B435:F435" si="648">IF(B434="","",B434)</f>
        <v>250</v>
      </c>
      <c r="C435" s="26">
        <f t="shared" si="648"/>
        <v>20</v>
      </c>
      <c r="D435" s="26">
        <f t="shared" si="648"/>
        <v>0</v>
      </c>
      <c r="E435" s="26">
        <f t="shared" si="648"/>
        <v>0</v>
      </c>
      <c r="F435" s="26">
        <f t="shared" si="648"/>
        <v>-1630</v>
      </c>
      <c r="G435" s="24"/>
      <c r="H435" s="24"/>
      <c r="I435" s="24"/>
      <c r="J435" s="24"/>
      <c r="K435" s="24"/>
      <c r="L435" s="24"/>
      <c r="M435" s="44" t="str">
        <f t="shared" si="635"/>
        <v/>
      </c>
      <c r="N435" s="26" t="str">
        <f t="shared" si="574"/>
        <v/>
      </c>
      <c r="O435" s="26" t="str">
        <f t="shared" si="575"/>
        <v/>
      </c>
      <c r="P435" s="26" t="str">
        <f t="shared" si="576"/>
        <v/>
      </c>
      <c r="Q435" s="26">
        <f t="shared" si="577"/>
        <v>0</v>
      </c>
      <c r="R435" s="26">
        <f t="shared" si="578"/>
        <v>0</v>
      </c>
      <c r="S435" s="26">
        <f t="shared" si="579"/>
        <v>0</v>
      </c>
      <c r="T435" s="26" t="str">
        <f t="shared" si="580"/>
        <v/>
      </c>
      <c r="U435" s="26" t="str">
        <f t="shared" si="581"/>
        <v/>
      </c>
      <c r="V435" s="26" t="str">
        <f t="shared" si="582"/>
        <v/>
      </c>
      <c r="W435" s="27" t="str">
        <f t="shared" si="583"/>
        <v/>
      </c>
      <c r="X435" s="27" t="str">
        <f t="shared" si="584"/>
        <v/>
      </c>
      <c r="Y435" s="28" t="str">
        <f t="shared" si="585"/>
        <v/>
      </c>
      <c r="Z435" s="27" t="str">
        <f t="shared" si="586"/>
        <v/>
      </c>
      <c r="AA435" s="27" t="str">
        <f t="shared" si="587"/>
        <v/>
      </c>
      <c r="AB435" s="27" t="str">
        <f t="shared" si="588"/>
        <v/>
      </c>
      <c r="AC435" s="27" t="str">
        <f t="shared" si="589"/>
        <v/>
      </c>
      <c r="AD435" s="29" t="str">
        <f t="shared" si="590"/>
        <v/>
      </c>
      <c r="AE435" s="30" t="str">
        <f t="shared" si="591"/>
        <v/>
      </c>
      <c r="AG435" s="4"/>
      <c r="AH435" s="31" t="e">
        <f t="shared" si="592"/>
        <v>#VALUE!</v>
      </c>
      <c r="AI435" s="31" t="e">
        <f t="shared" si="593"/>
        <v>#VALUE!</v>
      </c>
      <c r="AJ435" s="31" t="e">
        <f t="shared" si="594"/>
        <v>#VALUE!</v>
      </c>
      <c r="AK435" s="31" t="e">
        <f t="shared" si="595"/>
        <v>#VALUE!</v>
      </c>
      <c r="AL435" s="31" t="e">
        <f t="shared" si="596"/>
        <v>#VALUE!</v>
      </c>
      <c r="AM435" s="31" t="e">
        <f t="shared" si="597"/>
        <v>#VALUE!</v>
      </c>
      <c r="AN435" s="32" t="str">
        <f t="shared" si="598"/>
        <v/>
      </c>
      <c r="AO435" s="27" t="str">
        <f t="shared" si="599"/>
        <v/>
      </c>
      <c r="AP435" s="27" t="str">
        <f t="shared" si="600"/>
        <v/>
      </c>
      <c r="AQ435" s="27">
        <f t="shared" si="601"/>
        <v>0</v>
      </c>
      <c r="AR435" s="27">
        <f t="shared" si="602"/>
        <v>0</v>
      </c>
      <c r="AS435" s="33">
        <f t="shared" si="603"/>
        <v>0</v>
      </c>
    </row>
    <row r="436" spans="2:45" hidden="1" x14ac:dyDescent="0.25">
      <c r="B436" s="34">
        <f t="shared" ref="B436:F436" si="649">IF(B435="","",B435)</f>
        <v>250</v>
      </c>
      <c r="C436" s="26">
        <f t="shared" si="649"/>
        <v>20</v>
      </c>
      <c r="D436" s="26">
        <f t="shared" si="649"/>
        <v>0</v>
      </c>
      <c r="E436" s="26">
        <f t="shared" si="649"/>
        <v>0</v>
      </c>
      <c r="F436" s="26">
        <f t="shared" si="649"/>
        <v>-1630</v>
      </c>
      <c r="G436" s="24"/>
      <c r="H436" s="24"/>
      <c r="I436" s="24"/>
      <c r="J436" s="24"/>
      <c r="K436" s="24"/>
      <c r="L436" s="24"/>
      <c r="M436" s="44" t="str">
        <f t="shared" si="635"/>
        <v/>
      </c>
      <c r="N436" s="26" t="str">
        <f t="shared" si="574"/>
        <v/>
      </c>
      <c r="O436" s="26" t="str">
        <f t="shared" si="575"/>
        <v/>
      </c>
      <c r="P436" s="26" t="str">
        <f t="shared" si="576"/>
        <v/>
      </c>
      <c r="Q436" s="26">
        <f t="shared" si="577"/>
        <v>0</v>
      </c>
      <c r="R436" s="26">
        <f t="shared" si="578"/>
        <v>0</v>
      </c>
      <c r="S436" s="26">
        <f t="shared" si="579"/>
        <v>0</v>
      </c>
      <c r="T436" s="26" t="str">
        <f t="shared" si="580"/>
        <v/>
      </c>
      <c r="U436" s="26" t="str">
        <f t="shared" si="581"/>
        <v/>
      </c>
      <c r="V436" s="26" t="str">
        <f t="shared" si="582"/>
        <v/>
      </c>
      <c r="W436" s="27" t="str">
        <f t="shared" si="583"/>
        <v/>
      </c>
      <c r="X436" s="27" t="str">
        <f t="shared" si="584"/>
        <v/>
      </c>
      <c r="Y436" s="28" t="str">
        <f t="shared" si="585"/>
        <v/>
      </c>
      <c r="Z436" s="27" t="str">
        <f t="shared" si="586"/>
        <v/>
      </c>
      <c r="AA436" s="27" t="str">
        <f t="shared" si="587"/>
        <v/>
      </c>
      <c r="AB436" s="27" t="str">
        <f t="shared" si="588"/>
        <v/>
      </c>
      <c r="AC436" s="27" t="str">
        <f t="shared" si="589"/>
        <v/>
      </c>
      <c r="AD436" s="29" t="str">
        <f t="shared" si="590"/>
        <v/>
      </c>
      <c r="AE436" s="30" t="str">
        <f t="shared" si="591"/>
        <v/>
      </c>
      <c r="AG436" s="4"/>
      <c r="AH436" s="31" t="e">
        <f t="shared" si="592"/>
        <v>#VALUE!</v>
      </c>
      <c r="AI436" s="31" t="e">
        <f t="shared" si="593"/>
        <v>#VALUE!</v>
      </c>
      <c r="AJ436" s="31" t="e">
        <f t="shared" si="594"/>
        <v>#VALUE!</v>
      </c>
      <c r="AK436" s="31" t="e">
        <f t="shared" si="595"/>
        <v>#VALUE!</v>
      </c>
      <c r="AL436" s="31" t="e">
        <f t="shared" si="596"/>
        <v>#VALUE!</v>
      </c>
      <c r="AM436" s="31" t="e">
        <f t="shared" si="597"/>
        <v>#VALUE!</v>
      </c>
      <c r="AN436" s="32" t="str">
        <f t="shared" si="598"/>
        <v/>
      </c>
      <c r="AO436" s="27" t="str">
        <f t="shared" si="599"/>
        <v/>
      </c>
      <c r="AP436" s="27" t="str">
        <f t="shared" si="600"/>
        <v/>
      </c>
      <c r="AQ436" s="27">
        <f t="shared" si="601"/>
        <v>0</v>
      </c>
      <c r="AR436" s="27">
        <f t="shared" si="602"/>
        <v>0</v>
      </c>
      <c r="AS436" s="33">
        <f t="shared" si="603"/>
        <v>0</v>
      </c>
    </row>
    <row r="437" spans="2:45" hidden="1" x14ac:dyDescent="0.25">
      <c r="B437" s="34">
        <f t="shared" ref="B437:F437" si="650">IF(B436="","",B436)</f>
        <v>250</v>
      </c>
      <c r="C437" s="26">
        <f t="shared" si="650"/>
        <v>20</v>
      </c>
      <c r="D437" s="26">
        <f t="shared" si="650"/>
        <v>0</v>
      </c>
      <c r="E437" s="26">
        <f t="shared" si="650"/>
        <v>0</v>
      </c>
      <c r="F437" s="26">
        <f t="shared" si="650"/>
        <v>-1630</v>
      </c>
      <c r="G437" s="24"/>
      <c r="H437" s="24"/>
      <c r="I437" s="24"/>
      <c r="J437" s="24"/>
      <c r="K437" s="24"/>
      <c r="L437" s="24"/>
      <c r="M437" s="44" t="str">
        <f t="shared" si="635"/>
        <v/>
      </c>
      <c r="N437" s="26" t="str">
        <f t="shared" si="574"/>
        <v/>
      </c>
      <c r="O437" s="26" t="str">
        <f t="shared" si="575"/>
        <v/>
      </c>
      <c r="P437" s="26" t="str">
        <f t="shared" si="576"/>
        <v/>
      </c>
      <c r="Q437" s="26">
        <f t="shared" si="577"/>
        <v>0</v>
      </c>
      <c r="R437" s="26">
        <f t="shared" si="578"/>
        <v>0</v>
      </c>
      <c r="S437" s="26">
        <f t="shared" si="579"/>
        <v>0</v>
      </c>
      <c r="T437" s="26" t="str">
        <f t="shared" si="580"/>
        <v/>
      </c>
      <c r="U437" s="26" t="str">
        <f t="shared" si="581"/>
        <v/>
      </c>
      <c r="V437" s="26" t="str">
        <f t="shared" si="582"/>
        <v/>
      </c>
      <c r="W437" s="27" t="str">
        <f t="shared" si="583"/>
        <v/>
      </c>
      <c r="X437" s="27" t="str">
        <f t="shared" si="584"/>
        <v/>
      </c>
      <c r="Y437" s="28" t="str">
        <f t="shared" si="585"/>
        <v/>
      </c>
      <c r="Z437" s="27" t="str">
        <f t="shared" si="586"/>
        <v/>
      </c>
      <c r="AA437" s="27" t="str">
        <f t="shared" si="587"/>
        <v/>
      </c>
      <c r="AB437" s="27" t="str">
        <f t="shared" si="588"/>
        <v/>
      </c>
      <c r="AC437" s="27" t="str">
        <f t="shared" si="589"/>
        <v/>
      </c>
      <c r="AD437" s="29" t="str">
        <f t="shared" si="590"/>
        <v/>
      </c>
      <c r="AE437" s="30" t="str">
        <f t="shared" si="591"/>
        <v/>
      </c>
      <c r="AG437" s="4"/>
      <c r="AH437" s="31" t="e">
        <f t="shared" si="592"/>
        <v>#VALUE!</v>
      </c>
      <c r="AI437" s="31" t="e">
        <f t="shared" si="593"/>
        <v>#VALUE!</v>
      </c>
      <c r="AJ437" s="31" t="e">
        <f t="shared" si="594"/>
        <v>#VALUE!</v>
      </c>
      <c r="AK437" s="31" t="e">
        <f t="shared" si="595"/>
        <v>#VALUE!</v>
      </c>
      <c r="AL437" s="31" t="e">
        <f t="shared" si="596"/>
        <v>#VALUE!</v>
      </c>
      <c r="AM437" s="31" t="e">
        <f t="shared" si="597"/>
        <v>#VALUE!</v>
      </c>
      <c r="AN437" s="32" t="str">
        <f t="shared" si="598"/>
        <v/>
      </c>
      <c r="AO437" s="27" t="str">
        <f t="shared" si="599"/>
        <v/>
      </c>
      <c r="AP437" s="27" t="str">
        <f t="shared" si="600"/>
        <v/>
      </c>
      <c r="AQ437" s="27">
        <f t="shared" si="601"/>
        <v>0</v>
      </c>
      <c r="AR437" s="27">
        <f t="shared" si="602"/>
        <v>0</v>
      </c>
      <c r="AS437" s="33">
        <f t="shared" si="603"/>
        <v>0</v>
      </c>
    </row>
    <row r="438" spans="2:45" hidden="1" x14ac:dyDescent="0.25">
      <c r="B438" s="34">
        <f t="shared" ref="B438:F438" si="651">IF(B437="","",B437)</f>
        <v>250</v>
      </c>
      <c r="C438" s="26">
        <f t="shared" si="651"/>
        <v>20</v>
      </c>
      <c r="D438" s="26">
        <f t="shared" si="651"/>
        <v>0</v>
      </c>
      <c r="E438" s="26">
        <f t="shared" si="651"/>
        <v>0</v>
      </c>
      <c r="F438" s="26">
        <f t="shared" si="651"/>
        <v>-1630</v>
      </c>
      <c r="G438" s="24"/>
      <c r="H438" s="24"/>
      <c r="I438" s="24"/>
      <c r="J438" s="24"/>
      <c r="K438" s="24"/>
      <c r="L438" s="24"/>
      <c r="M438" s="44" t="str">
        <f t="shared" si="635"/>
        <v/>
      </c>
      <c r="N438" s="26" t="str">
        <f t="shared" si="574"/>
        <v/>
      </c>
      <c r="O438" s="26" t="str">
        <f t="shared" si="575"/>
        <v/>
      </c>
      <c r="P438" s="26" t="str">
        <f t="shared" si="576"/>
        <v/>
      </c>
      <c r="Q438" s="26">
        <f t="shared" si="577"/>
        <v>0</v>
      </c>
      <c r="R438" s="26">
        <f t="shared" si="578"/>
        <v>0</v>
      </c>
      <c r="S438" s="26">
        <f t="shared" si="579"/>
        <v>0</v>
      </c>
      <c r="T438" s="26" t="str">
        <f t="shared" si="580"/>
        <v/>
      </c>
      <c r="U438" s="26" t="str">
        <f t="shared" si="581"/>
        <v/>
      </c>
      <c r="V438" s="26" t="str">
        <f t="shared" si="582"/>
        <v/>
      </c>
      <c r="W438" s="27" t="str">
        <f t="shared" si="583"/>
        <v/>
      </c>
      <c r="X438" s="27" t="str">
        <f t="shared" si="584"/>
        <v/>
      </c>
      <c r="Y438" s="28" t="str">
        <f t="shared" si="585"/>
        <v/>
      </c>
      <c r="Z438" s="27" t="str">
        <f t="shared" si="586"/>
        <v/>
      </c>
      <c r="AA438" s="27" t="str">
        <f t="shared" si="587"/>
        <v/>
      </c>
      <c r="AB438" s="27" t="str">
        <f t="shared" si="588"/>
        <v/>
      </c>
      <c r="AC438" s="27" t="str">
        <f t="shared" si="589"/>
        <v/>
      </c>
      <c r="AD438" s="29" t="str">
        <f t="shared" si="590"/>
        <v/>
      </c>
      <c r="AE438" s="30" t="str">
        <f t="shared" si="591"/>
        <v/>
      </c>
      <c r="AG438" s="4"/>
      <c r="AH438" s="31" t="e">
        <f t="shared" si="592"/>
        <v>#VALUE!</v>
      </c>
      <c r="AI438" s="31" t="e">
        <f t="shared" si="593"/>
        <v>#VALUE!</v>
      </c>
      <c r="AJ438" s="31" t="e">
        <f t="shared" si="594"/>
        <v>#VALUE!</v>
      </c>
      <c r="AK438" s="31" t="e">
        <f t="shared" si="595"/>
        <v>#VALUE!</v>
      </c>
      <c r="AL438" s="31" t="e">
        <f t="shared" si="596"/>
        <v>#VALUE!</v>
      </c>
      <c r="AM438" s="31" t="e">
        <f t="shared" si="597"/>
        <v>#VALUE!</v>
      </c>
      <c r="AN438" s="32" t="str">
        <f t="shared" si="598"/>
        <v/>
      </c>
      <c r="AO438" s="27" t="str">
        <f t="shared" si="599"/>
        <v/>
      </c>
      <c r="AP438" s="27" t="str">
        <f t="shared" si="600"/>
        <v/>
      </c>
      <c r="AQ438" s="27">
        <f t="shared" si="601"/>
        <v>0</v>
      </c>
      <c r="AR438" s="27">
        <f t="shared" si="602"/>
        <v>0</v>
      </c>
      <c r="AS438" s="33">
        <f t="shared" si="603"/>
        <v>0</v>
      </c>
    </row>
    <row r="439" spans="2:45" hidden="1" x14ac:dyDescent="0.25">
      <c r="B439" s="34">
        <f t="shared" ref="B439:F439" si="652">IF(B438="","",B438)</f>
        <v>250</v>
      </c>
      <c r="C439" s="26">
        <f t="shared" si="652"/>
        <v>20</v>
      </c>
      <c r="D439" s="26">
        <f t="shared" si="652"/>
        <v>0</v>
      </c>
      <c r="E439" s="26">
        <f t="shared" si="652"/>
        <v>0</v>
      </c>
      <c r="F439" s="26">
        <f t="shared" si="652"/>
        <v>-1630</v>
      </c>
      <c r="G439" s="24"/>
      <c r="H439" s="24"/>
      <c r="I439" s="24"/>
      <c r="J439" s="24"/>
      <c r="K439" s="24"/>
      <c r="L439" s="24"/>
      <c r="M439" s="44" t="str">
        <f t="shared" si="635"/>
        <v/>
      </c>
      <c r="N439" s="26" t="str">
        <f t="shared" si="574"/>
        <v/>
      </c>
      <c r="O439" s="26" t="str">
        <f t="shared" si="575"/>
        <v/>
      </c>
      <c r="P439" s="26" t="str">
        <f t="shared" si="576"/>
        <v/>
      </c>
      <c r="Q439" s="26">
        <f t="shared" si="577"/>
        <v>0</v>
      </c>
      <c r="R439" s="26">
        <f t="shared" si="578"/>
        <v>0</v>
      </c>
      <c r="S439" s="26">
        <f t="shared" si="579"/>
        <v>0</v>
      </c>
      <c r="T439" s="26" t="str">
        <f t="shared" si="580"/>
        <v/>
      </c>
      <c r="U439" s="26" t="str">
        <f t="shared" si="581"/>
        <v/>
      </c>
      <c r="V439" s="26" t="str">
        <f t="shared" si="582"/>
        <v/>
      </c>
      <c r="W439" s="27" t="str">
        <f t="shared" si="583"/>
        <v/>
      </c>
      <c r="X439" s="27" t="str">
        <f t="shared" si="584"/>
        <v/>
      </c>
      <c r="Y439" s="28" t="str">
        <f t="shared" si="585"/>
        <v/>
      </c>
      <c r="Z439" s="27" t="str">
        <f t="shared" si="586"/>
        <v/>
      </c>
      <c r="AA439" s="27" t="str">
        <f t="shared" si="587"/>
        <v/>
      </c>
      <c r="AB439" s="27" t="str">
        <f t="shared" si="588"/>
        <v/>
      </c>
      <c r="AC439" s="27" t="str">
        <f t="shared" si="589"/>
        <v/>
      </c>
      <c r="AD439" s="29" t="str">
        <f t="shared" si="590"/>
        <v/>
      </c>
      <c r="AE439" s="30" t="str">
        <f t="shared" si="591"/>
        <v/>
      </c>
      <c r="AG439" s="4"/>
      <c r="AH439" s="31" t="e">
        <f t="shared" si="592"/>
        <v>#VALUE!</v>
      </c>
      <c r="AI439" s="31" t="e">
        <f t="shared" si="593"/>
        <v>#VALUE!</v>
      </c>
      <c r="AJ439" s="31" t="e">
        <f t="shared" si="594"/>
        <v>#VALUE!</v>
      </c>
      <c r="AK439" s="31" t="e">
        <f t="shared" si="595"/>
        <v>#VALUE!</v>
      </c>
      <c r="AL439" s="31" t="e">
        <f t="shared" si="596"/>
        <v>#VALUE!</v>
      </c>
      <c r="AM439" s="31" t="e">
        <f t="shared" si="597"/>
        <v>#VALUE!</v>
      </c>
      <c r="AN439" s="32" t="str">
        <f t="shared" si="598"/>
        <v/>
      </c>
      <c r="AO439" s="27" t="str">
        <f t="shared" si="599"/>
        <v/>
      </c>
      <c r="AP439" s="27" t="str">
        <f t="shared" si="600"/>
        <v/>
      </c>
      <c r="AQ439" s="27">
        <f t="shared" si="601"/>
        <v>0</v>
      </c>
      <c r="AR439" s="27">
        <f t="shared" si="602"/>
        <v>0</v>
      </c>
      <c r="AS439" s="33">
        <f t="shared" si="603"/>
        <v>0</v>
      </c>
    </row>
    <row r="440" spans="2:45" hidden="1" x14ac:dyDescent="0.25">
      <c r="B440" s="34">
        <f t="shared" ref="B440:F440" si="653">IF(B439="","",B439)</f>
        <v>250</v>
      </c>
      <c r="C440" s="26">
        <f t="shared" si="653"/>
        <v>20</v>
      </c>
      <c r="D440" s="26">
        <f t="shared" si="653"/>
        <v>0</v>
      </c>
      <c r="E440" s="26">
        <f t="shared" si="653"/>
        <v>0</v>
      </c>
      <c r="F440" s="26">
        <f t="shared" si="653"/>
        <v>-1630</v>
      </c>
      <c r="G440" s="24"/>
      <c r="H440" s="24"/>
      <c r="I440" s="24"/>
      <c r="J440" s="24"/>
      <c r="K440" s="24"/>
      <c r="L440" s="24"/>
      <c r="M440" s="44" t="str">
        <f t="shared" si="635"/>
        <v/>
      </c>
      <c r="N440" s="26" t="str">
        <f t="shared" si="574"/>
        <v/>
      </c>
      <c r="O440" s="26" t="str">
        <f t="shared" si="575"/>
        <v/>
      </c>
      <c r="P440" s="26" t="str">
        <f t="shared" si="576"/>
        <v/>
      </c>
      <c r="Q440" s="26">
        <f t="shared" si="577"/>
        <v>0</v>
      </c>
      <c r="R440" s="26">
        <f t="shared" si="578"/>
        <v>0</v>
      </c>
      <c r="S440" s="26">
        <f t="shared" si="579"/>
        <v>0</v>
      </c>
      <c r="T440" s="26" t="str">
        <f t="shared" si="580"/>
        <v/>
      </c>
      <c r="U440" s="26" t="str">
        <f t="shared" si="581"/>
        <v/>
      </c>
      <c r="V440" s="26" t="str">
        <f t="shared" si="582"/>
        <v/>
      </c>
      <c r="W440" s="27" t="str">
        <f t="shared" si="583"/>
        <v/>
      </c>
      <c r="X440" s="27" t="str">
        <f t="shared" si="584"/>
        <v/>
      </c>
      <c r="Y440" s="28" t="str">
        <f t="shared" si="585"/>
        <v/>
      </c>
      <c r="Z440" s="27" t="str">
        <f t="shared" si="586"/>
        <v/>
      </c>
      <c r="AA440" s="27" t="str">
        <f t="shared" si="587"/>
        <v/>
      </c>
      <c r="AB440" s="27" t="str">
        <f t="shared" si="588"/>
        <v/>
      </c>
      <c r="AC440" s="27" t="str">
        <f t="shared" si="589"/>
        <v/>
      </c>
      <c r="AD440" s="29" t="str">
        <f t="shared" si="590"/>
        <v/>
      </c>
      <c r="AE440" s="30" t="str">
        <f t="shared" si="591"/>
        <v/>
      </c>
      <c r="AG440" s="4"/>
      <c r="AH440" s="31" t="e">
        <f t="shared" si="592"/>
        <v>#VALUE!</v>
      </c>
      <c r="AI440" s="31" t="e">
        <f t="shared" si="593"/>
        <v>#VALUE!</v>
      </c>
      <c r="AJ440" s="31" t="e">
        <f t="shared" si="594"/>
        <v>#VALUE!</v>
      </c>
      <c r="AK440" s="31" t="e">
        <f t="shared" si="595"/>
        <v>#VALUE!</v>
      </c>
      <c r="AL440" s="31" t="e">
        <f t="shared" si="596"/>
        <v>#VALUE!</v>
      </c>
      <c r="AM440" s="31" t="e">
        <f t="shared" si="597"/>
        <v>#VALUE!</v>
      </c>
      <c r="AN440" s="32" t="str">
        <f t="shared" si="598"/>
        <v/>
      </c>
      <c r="AO440" s="27" t="str">
        <f t="shared" si="599"/>
        <v/>
      </c>
      <c r="AP440" s="27" t="str">
        <f t="shared" si="600"/>
        <v/>
      </c>
      <c r="AQ440" s="27">
        <f t="shared" si="601"/>
        <v>0</v>
      </c>
      <c r="AR440" s="27">
        <f t="shared" si="602"/>
        <v>0</v>
      </c>
      <c r="AS440" s="33">
        <f t="shared" si="603"/>
        <v>0</v>
      </c>
    </row>
    <row r="441" spans="2:45" hidden="1" x14ac:dyDescent="0.25">
      <c r="B441" s="34">
        <f t="shared" ref="B441:F441" si="654">IF(B440="","",B440)</f>
        <v>250</v>
      </c>
      <c r="C441" s="26">
        <f t="shared" si="654"/>
        <v>20</v>
      </c>
      <c r="D441" s="26">
        <f t="shared" si="654"/>
        <v>0</v>
      </c>
      <c r="E441" s="26">
        <f t="shared" si="654"/>
        <v>0</v>
      </c>
      <c r="F441" s="26">
        <f t="shared" si="654"/>
        <v>-1630</v>
      </c>
      <c r="G441" s="24"/>
      <c r="H441" s="24"/>
      <c r="I441" s="24"/>
      <c r="J441" s="24"/>
      <c r="K441" s="24"/>
      <c r="L441" s="24"/>
      <c r="M441" s="44" t="str">
        <f t="shared" si="635"/>
        <v/>
      </c>
      <c r="N441" s="26" t="str">
        <f t="shared" si="574"/>
        <v/>
      </c>
      <c r="O441" s="26" t="str">
        <f t="shared" si="575"/>
        <v/>
      </c>
      <c r="P441" s="26" t="str">
        <f t="shared" si="576"/>
        <v/>
      </c>
      <c r="Q441" s="26">
        <f t="shared" si="577"/>
        <v>0</v>
      </c>
      <c r="R441" s="26">
        <f t="shared" si="578"/>
        <v>0</v>
      </c>
      <c r="S441" s="26">
        <f t="shared" si="579"/>
        <v>0</v>
      </c>
      <c r="T441" s="26" t="str">
        <f t="shared" si="580"/>
        <v/>
      </c>
      <c r="U441" s="26" t="str">
        <f t="shared" si="581"/>
        <v/>
      </c>
      <c r="V441" s="26" t="str">
        <f t="shared" si="582"/>
        <v/>
      </c>
      <c r="W441" s="27" t="str">
        <f t="shared" si="583"/>
        <v/>
      </c>
      <c r="X441" s="27" t="str">
        <f t="shared" si="584"/>
        <v/>
      </c>
      <c r="Y441" s="28" t="str">
        <f t="shared" si="585"/>
        <v/>
      </c>
      <c r="Z441" s="27" t="str">
        <f t="shared" si="586"/>
        <v/>
      </c>
      <c r="AA441" s="27" t="str">
        <f t="shared" si="587"/>
        <v/>
      </c>
      <c r="AB441" s="27" t="str">
        <f t="shared" si="588"/>
        <v/>
      </c>
      <c r="AC441" s="27" t="str">
        <f t="shared" si="589"/>
        <v/>
      </c>
      <c r="AD441" s="29" t="str">
        <f t="shared" si="590"/>
        <v/>
      </c>
      <c r="AE441" s="30" t="str">
        <f t="shared" si="591"/>
        <v/>
      </c>
      <c r="AG441" s="4"/>
      <c r="AH441" s="31" t="e">
        <f t="shared" si="592"/>
        <v>#VALUE!</v>
      </c>
      <c r="AI441" s="31" t="e">
        <f t="shared" si="593"/>
        <v>#VALUE!</v>
      </c>
      <c r="AJ441" s="31" t="e">
        <f t="shared" si="594"/>
        <v>#VALUE!</v>
      </c>
      <c r="AK441" s="31" t="e">
        <f t="shared" si="595"/>
        <v>#VALUE!</v>
      </c>
      <c r="AL441" s="31" t="e">
        <f t="shared" si="596"/>
        <v>#VALUE!</v>
      </c>
      <c r="AM441" s="31" t="e">
        <f t="shared" si="597"/>
        <v>#VALUE!</v>
      </c>
      <c r="AN441" s="32" t="str">
        <f t="shared" si="598"/>
        <v/>
      </c>
      <c r="AO441" s="27" t="str">
        <f t="shared" si="599"/>
        <v/>
      </c>
      <c r="AP441" s="27" t="str">
        <f t="shared" si="600"/>
        <v/>
      </c>
      <c r="AQ441" s="27">
        <f t="shared" si="601"/>
        <v>0</v>
      </c>
      <c r="AR441" s="27">
        <f t="shared" si="602"/>
        <v>0</v>
      </c>
      <c r="AS441" s="33">
        <f t="shared" si="603"/>
        <v>0</v>
      </c>
    </row>
    <row r="442" spans="2:45" hidden="1" x14ac:dyDescent="0.25">
      <c r="B442" s="34">
        <f t="shared" ref="B442:F442" si="655">IF(B441="","",B441)</f>
        <v>250</v>
      </c>
      <c r="C442" s="26">
        <f t="shared" si="655"/>
        <v>20</v>
      </c>
      <c r="D442" s="26">
        <f t="shared" si="655"/>
        <v>0</v>
      </c>
      <c r="E442" s="26">
        <f t="shared" si="655"/>
        <v>0</v>
      </c>
      <c r="F442" s="26">
        <f t="shared" si="655"/>
        <v>-1630</v>
      </c>
      <c r="G442" s="24"/>
      <c r="H442" s="24"/>
      <c r="I442" s="24"/>
      <c r="J442" s="24"/>
      <c r="K442" s="24"/>
      <c r="L442" s="24"/>
      <c r="M442" s="44" t="str">
        <f t="shared" si="635"/>
        <v/>
      </c>
      <c r="N442" s="26" t="str">
        <f t="shared" si="574"/>
        <v/>
      </c>
      <c r="O442" s="26" t="str">
        <f t="shared" si="575"/>
        <v/>
      </c>
      <c r="P442" s="26" t="str">
        <f t="shared" si="576"/>
        <v/>
      </c>
      <c r="Q442" s="26">
        <f t="shared" si="577"/>
        <v>0</v>
      </c>
      <c r="R442" s="26">
        <f t="shared" si="578"/>
        <v>0</v>
      </c>
      <c r="S442" s="26">
        <f t="shared" si="579"/>
        <v>0</v>
      </c>
      <c r="T442" s="26" t="str">
        <f t="shared" si="580"/>
        <v/>
      </c>
      <c r="U442" s="26" t="str">
        <f t="shared" si="581"/>
        <v/>
      </c>
      <c r="V442" s="26" t="str">
        <f t="shared" si="582"/>
        <v/>
      </c>
      <c r="W442" s="27" t="str">
        <f t="shared" si="583"/>
        <v/>
      </c>
      <c r="X442" s="27" t="str">
        <f t="shared" si="584"/>
        <v/>
      </c>
      <c r="Y442" s="28" t="str">
        <f t="shared" si="585"/>
        <v/>
      </c>
      <c r="Z442" s="27" t="str">
        <f t="shared" si="586"/>
        <v/>
      </c>
      <c r="AA442" s="27" t="str">
        <f t="shared" si="587"/>
        <v/>
      </c>
      <c r="AB442" s="27" t="str">
        <f t="shared" si="588"/>
        <v/>
      </c>
      <c r="AC442" s="27" t="str">
        <f t="shared" si="589"/>
        <v/>
      </c>
      <c r="AD442" s="29" t="str">
        <f t="shared" si="590"/>
        <v/>
      </c>
      <c r="AE442" s="30" t="str">
        <f t="shared" si="591"/>
        <v/>
      </c>
      <c r="AG442" s="4"/>
      <c r="AH442" s="31" t="e">
        <f t="shared" si="592"/>
        <v>#VALUE!</v>
      </c>
      <c r="AI442" s="31" t="e">
        <f t="shared" si="593"/>
        <v>#VALUE!</v>
      </c>
      <c r="AJ442" s="31" t="e">
        <f t="shared" si="594"/>
        <v>#VALUE!</v>
      </c>
      <c r="AK442" s="31" t="e">
        <f t="shared" si="595"/>
        <v>#VALUE!</v>
      </c>
      <c r="AL442" s="31" t="e">
        <f t="shared" si="596"/>
        <v>#VALUE!</v>
      </c>
      <c r="AM442" s="31" t="e">
        <f t="shared" si="597"/>
        <v>#VALUE!</v>
      </c>
      <c r="AN442" s="32" t="str">
        <f t="shared" si="598"/>
        <v/>
      </c>
      <c r="AO442" s="27" t="str">
        <f t="shared" si="599"/>
        <v/>
      </c>
      <c r="AP442" s="27" t="str">
        <f t="shared" si="600"/>
        <v/>
      </c>
      <c r="AQ442" s="27">
        <f t="shared" si="601"/>
        <v>0</v>
      </c>
      <c r="AR442" s="27">
        <f t="shared" si="602"/>
        <v>0</v>
      </c>
      <c r="AS442" s="33">
        <f t="shared" si="603"/>
        <v>0</v>
      </c>
    </row>
    <row r="443" spans="2:45" hidden="1" x14ac:dyDescent="0.25">
      <c r="B443" s="34">
        <f t="shared" ref="B443:F443" si="656">IF(B442="","",B442)</f>
        <v>250</v>
      </c>
      <c r="C443" s="26">
        <f t="shared" si="656"/>
        <v>20</v>
      </c>
      <c r="D443" s="26">
        <f t="shared" si="656"/>
        <v>0</v>
      </c>
      <c r="E443" s="26">
        <f t="shared" si="656"/>
        <v>0</v>
      </c>
      <c r="F443" s="26">
        <f t="shared" si="656"/>
        <v>-1630</v>
      </c>
      <c r="G443" s="24"/>
      <c r="H443" s="24"/>
      <c r="I443" s="24"/>
      <c r="J443" s="24"/>
      <c r="K443" s="24"/>
      <c r="L443" s="24"/>
      <c r="M443" s="44" t="str">
        <f t="shared" si="635"/>
        <v/>
      </c>
      <c r="N443" s="26" t="str">
        <f t="shared" si="574"/>
        <v/>
      </c>
      <c r="O443" s="26" t="str">
        <f t="shared" si="575"/>
        <v/>
      </c>
      <c r="P443" s="26" t="str">
        <f t="shared" si="576"/>
        <v/>
      </c>
      <c r="Q443" s="26">
        <f t="shared" si="577"/>
        <v>0</v>
      </c>
      <c r="R443" s="26">
        <f t="shared" si="578"/>
        <v>0</v>
      </c>
      <c r="S443" s="26">
        <f t="shared" si="579"/>
        <v>0</v>
      </c>
      <c r="T443" s="26" t="str">
        <f t="shared" si="580"/>
        <v/>
      </c>
      <c r="U443" s="26" t="str">
        <f t="shared" si="581"/>
        <v/>
      </c>
      <c r="V443" s="26" t="str">
        <f t="shared" si="582"/>
        <v/>
      </c>
      <c r="W443" s="27" t="str">
        <f t="shared" si="583"/>
        <v/>
      </c>
      <c r="X443" s="27" t="str">
        <f t="shared" si="584"/>
        <v/>
      </c>
      <c r="Y443" s="28" t="str">
        <f t="shared" si="585"/>
        <v/>
      </c>
      <c r="Z443" s="27" t="str">
        <f t="shared" si="586"/>
        <v/>
      </c>
      <c r="AA443" s="27" t="str">
        <f t="shared" si="587"/>
        <v/>
      </c>
      <c r="AB443" s="27" t="str">
        <f t="shared" si="588"/>
        <v/>
      </c>
      <c r="AC443" s="27" t="str">
        <f t="shared" si="589"/>
        <v/>
      </c>
      <c r="AD443" s="29" t="str">
        <f t="shared" si="590"/>
        <v/>
      </c>
      <c r="AE443" s="30" t="str">
        <f t="shared" si="591"/>
        <v/>
      </c>
      <c r="AG443" s="4"/>
      <c r="AH443" s="31" t="e">
        <f t="shared" si="592"/>
        <v>#VALUE!</v>
      </c>
      <c r="AI443" s="31" t="e">
        <f t="shared" si="593"/>
        <v>#VALUE!</v>
      </c>
      <c r="AJ443" s="31" t="e">
        <f t="shared" si="594"/>
        <v>#VALUE!</v>
      </c>
      <c r="AK443" s="31" t="e">
        <f t="shared" si="595"/>
        <v>#VALUE!</v>
      </c>
      <c r="AL443" s="31" t="e">
        <f t="shared" si="596"/>
        <v>#VALUE!</v>
      </c>
      <c r="AM443" s="31" t="e">
        <f t="shared" si="597"/>
        <v>#VALUE!</v>
      </c>
      <c r="AN443" s="32" t="str">
        <f t="shared" si="598"/>
        <v/>
      </c>
      <c r="AO443" s="27" t="str">
        <f t="shared" si="599"/>
        <v/>
      </c>
      <c r="AP443" s="27" t="str">
        <f t="shared" si="600"/>
        <v/>
      </c>
      <c r="AQ443" s="27">
        <f t="shared" si="601"/>
        <v>0</v>
      </c>
      <c r="AR443" s="27">
        <f t="shared" si="602"/>
        <v>0</v>
      </c>
      <c r="AS443" s="33">
        <f t="shared" si="603"/>
        <v>0</v>
      </c>
    </row>
    <row r="444" spans="2:45" hidden="1" x14ac:dyDescent="0.25">
      <c r="B444" s="34">
        <f>IF(B443="","",B443)</f>
        <v>250</v>
      </c>
      <c r="C444" s="26">
        <f t="shared" ref="C444:F444" si="657">IF(C443="","",C443)</f>
        <v>20</v>
      </c>
      <c r="D444" s="26">
        <f t="shared" si="657"/>
        <v>0</v>
      </c>
      <c r="E444" s="26">
        <f t="shared" si="657"/>
        <v>0</v>
      </c>
      <c r="F444" s="26">
        <f t="shared" si="657"/>
        <v>-1630</v>
      </c>
      <c r="G444" s="24"/>
      <c r="H444" s="24"/>
      <c r="I444" s="24"/>
      <c r="J444" s="24"/>
      <c r="K444" s="24"/>
      <c r="L444" s="24"/>
      <c r="M444" s="44" t="str">
        <f t="shared" si="635"/>
        <v/>
      </c>
      <c r="N444" s="26" t="str">
        <f t="shared" si="574"/>
        <v/>
      </c>
      <c r="O444" s="26" t="str">
        <f t="shared" si="575"/>
        <v/>
      </c>
      <c r="P444" s="26" t="str">
        <f t="shared" si="576"/>
        <v/>
      </c>
      <c r="Q444" s="26">
        <f t="shared" si="577"/>
        <v>0</v>
      </c>
      <c r="R444" s="26">
        <f t="shared" si="578"/>
        <v>0</v>
      </c>
      <c r="S444" s="26">
        <f t="shared" si="579"/>
        <v>0</v>
      </c>
      <c r="T444" s="26" t="str">
        <f t="shared" si="580"/>
        <v/>
      </c>
      <c r="U444" s="26" t="str">
        <f t="shared" si="581"/>
        <v/>
      </c>
      <c r="V444" s="26" t="str">
        <f t="shared" si="582"/>
        <v/>
      </c>
      <c r="W444" s="27" t="str">
        <f t="shared" si="583"/>
        <v/>
      </c>
      <c r="X444" s="27" t="str">
        <f t="shared" si="584"/>
        <v/>
      </c>
      <c r="Y444" s="28" t="str">
        <f t="shared" si="585"/>
        <v/>
      </c>
      <c r="Z444" s="27" t="str">
        <f t="shared" si="586"/>
        <v/>
      </c>
      <c r="AA444" s="27" t="str">
        <f t="shared" si="587"/>
        <v/>
      </c>
      <c r="AB444" s="27" t="str">
        <f t="shared" si="588"/>
        <v/>
      </c>
      <c r="AC444" s="27" t="str">
        <f t="shared" si="589"/>
        <v/>
      </c>
      <c r="AD444" s="29" t="str">
        <f t="shared" si="590"/>
        <v/>
      </c>
      <c r="AE444" s="30" t="str">
        <f t="shared" si="591"/>
        <v/>
      </c>
      <c r="AG444" s="4"/>
      <c r="AH444" s="31" t="e">
        <f t="shared" si="592"/>
        <v>#VALUE!</v>
      </c>
      <c r="AI444" s="31" t="e">
        <f t="shared" si="593"/>
        <v>#VALUE!</v>
      </c>
      <c r="AJ444" s="31" t="e">
        <f t="shared" si="594"/>
        <v>#VALUE!</v>
      </c>
      <c r="AK444" s="31" t="e">
        <f t="shared" si="595"/>
        <v>#VALUE!</v>
      </c>
      <c r="AL444" s="31" t="e">
        <f t="shared" si="596"/>
        <v>#VALUE!</v>
      </c>
      <c r="AM444" s="31" t="e">
        <f t="shared" si="597"/>
        <v>#VALUE!</v>
      </c>
      <c r="AN444" s="32" t="str">
        <f t="shared" si="598"/>
        <v/>
      </c>
      <c r="AO444" s="27" t="str">
        <f t="shared" si="599"/>
        <v/>
      </c>
      <c r="AP444" s="27" t="str">
        <f t="shared" si="600"/>
        <v/>
      </c>
      <c r="AQ444" s="27">
        <f t="shared" si="601"/>
        <v>0</v>
      </c>
      <c r="AR444" s="27">
        <f t="shared" si="602"/>
        <v>0</v>
      </c>
      <c r="AS444" s="33">
        <f t="shared" si="603"/>
        <v>0</v>
      </c>
    </row>
    <row r="445" spans="2:45" hidden="1" x14ac:dyDescent="0.25">
      <c r="B445" s="34">
        <f t="shared" ref="B445:F445" si="658">IF(B444="","",B444)</f>
        <v>250</v>
      </c>
      <c r="C445" s="26">
        <f t="shared" si="658"/>
        <v>20</v>
      </c>
      <c r="D445" s="26">
        <f t="shared" si="658"/>
        <v>0</v>
      </c>
      <c r="E445" s="26">
        <f t="shared" si="658"/>
        <v>0</v>
      </c>
      <c r="F445" s="26">
        <f t="shared" si="658"/>
        <v>-1630</v>
      </c>
      <c r="G445" s="24"/>
      <c r="H445" s="24"/>
      <c r="I445" s="24"/>
      <c r="J445" s="24"/>
      <c r="K445" s="24"/>
      <c r="L445" s="24"/>
      <c r="M445" s="44" t="str">
        <f t="shared" si="635"/>
        <v/>
      </c>
      <c r="N445" s="26" t="str">
        <f t="shared" si="574"/>
        <v/>
      </c>
      <c r="O445" s="26" t="str">
        <f t="shared" si="575"/>
        <v/>
      </c>
      <c r="P445" s="26" t="str">
        <f t="shared" si="576"/>
        <v/>
      </c>
      <c r="Q445" s="26">
        <f t="shared" si="577"/>
        <v>0</v>
      </c>
      <c r="R445" s="26">
        <f t="shared" si="578"/>
        <v>0</v>
      </c>
      <c r="S445" s="26">
        <f t="shared" si="579"/>
        <v>0</v>
      </c>
      <c r="T445" s="26" t="str">
        <f t="shared" si="580"/>
        <v/>
      </c>
      <c r="U445" s="26" t="str">
        <f t="shared" si="581"/>
        <v/>
      </c>
      <c r="V445" s="26" t="str">
        <f t="shared" si="582"/>
        <v/>
      </c>
      <c r="W445" s="27" t="str">
        <f t="shared" si="583"/>
        <v/>
      </c>
      <c r="X445" s="27" t="str">
        <f t="shared" si="584"/>
        <v/>
      </c>
      <c r="Y445" s="28" t="str">
        <f t="shared" si="585"/>
        <v/>
      </c>
      <c r="Z445" s="27" t="str">
        <f t="shared" si="586"/>
        <v/>
      </c>
      <c r="AA445" s="27" t="str">
        <f t="shared" si="587"/>
        <v/>
      </c>
      <c r="AB445" s="27" t="str">
        <f t="shared" si="588"/>
        <v/>
      </c>
      <c r="AC445" s="27" t="str">
        <f t="shared" si="589"/>
        <v/>
      </c>
      <c r="AD445" s="29" t="str">
        <f t="shared" si="590"/>
        <v/>
      </c>
      <c r="AE445" s="30" t="str">
        <f t="shared" si="591"/>
        <v/>
      </c>
      <c r="AG445" s="4"/>
      <c r="AH445" s="31" t="e">
        <f t="shared" si="592"/>
        <v>#VALUE!</v>
      </c>
      <c r="AI445" s="31" t="e">
        <f t="shared" si="593"/>
        <v>#VALUE!</v>
      </c>
      <c r="AJ445" s="31" t="e">
        <f t="shared" si="594"/>
        <v>#VALUE!</v>
      </c>
      <c r="AK445" s="31" t="e">
        <f t="shared" si="595"/>
        <v>#VALUE!</v>
      </c>
      <c r="AL445" s="31" t="e">
        <f t="shared" si="596"/>
        <v>#VALUE!</v>
      </c>
      <c r="AM445" s="31" t="e">
        <f t="shared" si="597"/>
        <v>#VALUE!</v>
      </c>
      <c r="AN445" s="32" t="str">
        <f t="shared" si="598"/>
        <v/>
      </c>
      <c r="AO445" s="27" t="str">
        <f t="shared" si="599"/>
        <v/>
      </c>
      <c r="AP445" s="27" t="str">
        <f t="shared" si="600"/>
        <v/>
      </c>
      <c r="AQ445" s="27">
        <f t="shared" si="601"/>
        <v>0</v>
      </c>
      <c r="AR445" s="27">
        <f t="shared" si="602"/>
        <v>0</v>
      </c>
      <c r="AS445" s="33">
        <f t="shared" si="603"/>
        <v>0</v>
      </c>
    </row>
    <row r="446" spans="2:45" hidden="1" x14ac:dyDescent="0.25">
      <c r="B446" s="34">
        <f t="shared" ref="B446:F446" si="659">IF(B445="","",B445)</f>
        <v>250</v>
      </c>
      <c r="C446" s="26">
        <f t="shared" si="659"/>
        <v>20</v>
      </c>
      <c r="D446" s="26">
        <f t="shared" si="659"/>
        <v>0</v>
      </c>
      <c r="E446" s="26">
        <f t="shared" si="659"/>
        <v>0</v>
      </c>
      <c r="F446" s="26">
        <f t="shared" si="659"/>
        <v>-1630</v>
      </c>
      <c r="G446" s="24"/>
      <c r="H446" s="24"/>
      <c r="I446" s="24"/>
      <c r="J446" s="24"/>
      <c r="K446" s="24"/>
      <c r="L446" s="24"/>
      <c r="M446" s="44" t="str">
        <f t="shared" si="635"/>
        <v/>
      </c>
      <c r="N446" s="26" t="str">
        <f t="shared" si="574"/>
        <v/>
      </c>
      <c r="O446" s="26" t="str">
        <f t="shared" si="575"/>
        <v/>
      </c>
      <c r="P446" s="26" t="str">
        <f t="shared" si="576"/>
        <v/>
      </c>
      <c r="Q446" s="26">
        <f t="shared" si="577"/>
        <v>0</v>
      </c>
      <c r="R446" s="26">
        <f t="shared" si="578"/>
        <v>0</v>
      </c>
      <c r="S446" s="26">
        <f t="shared" si="579"/>
        <v>0</v>
      </c>
      <c r="T446" s="26" t="str">
        <f t="shared" si="580"/>
        <v/>
      </c>
      <c r="U446" s="26" t="str">
        <f t="shared" si="581"/>
        <v/>
      </c>
      <c r="V446" s="26" t="str">
        <f t="shared" si="582"/>
        <v/>
      </c>
      <c r="W446" s="27" t="str">
        <f t="shared" si="583"/>
        <v/>
      </c>
      <c r="X446" s="27" t="str">
        <f t="shared" si="584"/>
        <v/>
      </c>
      <c r="Y446" s="28" t="str">
        <f t="shared" si="585"/>
        <v/>
      </c>
      <c r="Z446" s="27" t="str">
        <f t="shared" si="586"/>
        <v/>
      </c>
      <c r="AA446" s="27" t="str">
        <f t="shared" si="587"/>
        <v/>
      </c>
      <c r="AB446" s="27" t="str">
        <f t="shared" si="588"/>
        <v/>
      </c>
      <c r="AC446" s="27" t="str">
        <f t="shared" si="589"/>
        <v/>
      </c>
      <c r="AD446" s="29" t="str">
        <f t="shared" si="590"/>
        <v/>
      </c>
      <c r="AE446" s="30" t="str">
        <f t="shared" si="591"/>
        <v/>
      </c>
      <c r="AG446" s="4"/>
      <c r="AH446" s="31" t="e">
        <f t="shared" si="592"/>
        <v>#VALUE!</v>
      </c>
      <c r="AI446" s="31" t="e">
        <f t="shared" si="593"/>
        <v>#VALUE!</v>
      </c>
      <c r="AJ446" s="31" t="e">
        <f t="shared" si="594"/>
        <v>#VALUE!</v>
      </c>
      <c r="AK446" s="31" t="e">
        <f t="shared" si="595"/>
        <v>#VALUE!</v>
      </c>
      <c r="AL446" s="31" t="e">
        <f t="shared" si="596"/>
        <v>#VALUE!</v>
      </c>
      <c r="AM446" s="31" t="e">
        <f t="shared" si="597"/>
        <v>#VALUE!</v>
      </c>
      <c r="AN446" s="32" t="str">
        <f t="shared" si="598"/>
        <v/>
      </c>
      <c r="AO446" s="27" t="str">
        <f t="shared" si="599"/>
        <v/>
      </c>
      <c r="AP446" s="27" t="str">
        <f t="shared" si="600"/>
        <v/>
      </c>
      <c r="AQ446" s="27">
        <f t="shared" si="601"/>
        <v>0</v>
      </c>
      <c r="AR446" s="27">
        <f t="shared" si="602"/>
        <v>0</v>
      </c>
      <c r="AS446" s="33">
        <f t="shared" si="603"/>
        <v>0</v>
      </c>
    </row>
    <row r="447" spans="2:45" hidden="1" x14ac:dyDescent="0.25">
      <c r="B447" s="34">
        <f t="shared" ref="B447:F447" si="660">IF(B446="","",B446)</f>
        <v>250</v>
      </c>
      <c r="C447" s="26">
        <f t="shared" si="660"/>
        <v>20</v>
      </c>
      <c r="D447" s="26">
        <f t="shared" si="660"/>
        <v>0</v>
      </c>
      <c r="E447" s="26">
        <f t="shared" si="660"/>
        <v>0</v>
      </c>
      <c r="F447" s="26">
        <f t="shared" si="660"/>
        <v>-1630</v>
      </c>
      <c r="G447" s="24"/>
      <c r="H447" s="24"/>
      <c r="I447" s="24"/>
      <c r="J447" s="24"/>
      <c r="K447" s="24"/>
      <c r="L447" s="24"/>
      <c r="M447" s="44" t="str">
        <f t="shared" si="635"/>
        <v/>
      </c>
      <c r="N447" s="26" t="str">
        <f t="shared" si="574"/>
        <v/>
      </c>
      <c r="O447" s="26" t="str">
        <f t="shared" si="575"/>
        <v/>
      </c>
      <c r="P447" s="26" t="str">
        <f t="shared" si="576"/>
        <v/>
      </c>
      <c r="Q447" s="26">
        <f t="shared" si="577"/>
        <v>0</v>
      </c>
      <c r="R447" s="26">
        <f t="shared" si="578"/>
        <v>0</v>
      </c>
      <c r="S447" s="26">
        <f t="shared" si="579"/>
        <v>0</v>
      </c>
      <c r="T447" s="26" t="str">
        <f t="shared" si="580"/>
        <v/>
      </c>
      <c r="U447" s="26" t="str">
        <f t="shared" si="581"/>
        <v/>
      </c>
      <c r="V447" s="26" t="str">
        <f t="shared" si="582"/>
        <v/>
      </c>
      <c r="W447" s="27" t="str">
        <f t="shared" si="583"/>
        <v/>
      </c>
      <c r="X447" s="27" t="str">
        <f t="shared" si="584"/>
        <v/>
      </c>
      <c r="Y447" s="28" t="str">
        <f t="shared" si="585"/>
        <v/>
      </c>
      <c r="Z447" s="27" t="str">
        <f t="shared" si="586"/>
        <v/>
      </c>
      <c r="AA447" s="27" t="str">
        <f t="shared" si="587"/>
        <v/>
      </c>
      <c r="AB447" s="27" t="str">
        <f t="shared" si="588"/>
        <v/>
      </c>
      <c r="AC447" s="27" t="str">
        <f t="shared" si="589"/>
        <v/>
      </c>
      <c r="AD447" s="29" t="str">
        <f t="shared" si="590"/>
        <v/>
      </c>
      <c r="AE447" s="30" t="str">
        <f t="shared" si="591"/>
        <v/>
      </c>
      <c r="AG447" s="4"/>
      <c r="AH447" s="31" t="e">
        <f t="shared" si="592"/>
        <v>#VALUE!</v>
      </c>
      <c r="AI447" s="31" t="e">
        <f t="shared" si="593"/>
        <v>#VALUE!</v>
      </c>
      <c r="AJ447" s="31" t="e">
        <f t="shared" si="594"/>
        <v>#VALUE!</v>
      </c>
      <c r="AK447" s="31" t="e">
        <f t="shared" si="595"/>
        <v>#VALUE!</v>
      </c>
      <c r="AL447" s="31" t="e">
        <f t="shared" si="596"/>
        <v>#VALUE!</v>
      </c>
      <c r="AM447" s="31" t="e">
        <f t="shared" si="597"/>
        <v>#VALUE!</v>
      </c>
      <c r="AN447" s="32" t="str">
        <f t="shared" si="598"/>
        <v/>
      </c>
      <c r="AO447" s="27" t="str">
        <f t="shared" si="599"/>
        <v/>
      </c>
      <c r="AP447" s="27" t="str">
        <f t="shared" si="600"/>
        <v/>
      </c>
      <c r="AQ447" s="27">
        <f t="shared" si="601"/>
        <v>0</v>
      </c>
      <c r="AR447" s="27">
        <f t="shared" si="602"/>
        <v>0</v>
      </c>
      <c r="AS447" s="33">
        <f t="shared" si="603"/>
        <v>0</v>
      </c>
    </row>
    <row r="448" spans="2:45" hidden="1" x14ac:dyDescent="0.25">
      <c r="B448" s="34">
        <f t="shared" ref="B448:F448" si="661">IF(B447="","",B447)</f>
        <v>250</v>
      </c>
      <c r="C448" s="26">
        <f t="shared" si="661"/>
        <v>20</v>
      </c>
      <c r="D448" s="26">
        <f t="shared" si="661"/>
        <v>0</v>
      </c>
      <c r="E448" s="26">
        <f t="shared" si="661"/>
        <v>0</v>
      </c>
      <c r="F448" s="26">
        <f t="shared" si="661"/>
        <v>-1630</v>
      </c>
      <c r="G448" s="24"/>
      <c r="H448" s="24"/>
      <c r="I448" s="24"/>
      <c r="J448" s="24"/>
      <c r="K448" s="24"/>
      <c r="L448" s="24"/>
      <c r="M448" s="44" t="str">
        <f t="shared" si="635"/>
        <v/>
      </c>
      <c r="N448" s="26" t="str">
        <f t="shared" si="574"/>
        <v/>
      </c>
      <c r="O448" s="26" t="str">
        <f t="shared" si="575"/>
        <v/>
      </c>
      <c r="P448" s="26" t="str">
        <f t="shared" si="576"/>
        <v/>
      </c>
      <c r="Q448" s="26">
        <f t="shared" si="577"/>
        <v>0</v>
      </c>
      <c r="R448" s="26">
        <f t="shared" si="578"/>
        <v>0</v>
      </c>
      <c r="S448" s="26">
        <f t="shared" si="579"/>
        <v>0</v>
      </c>
      <c r="T448" s="26" t="str">
        <f t="shared" si="580"/>
        <v/>
      </c>
      <c r="U448" s="26" t="str">
        <f t="shared" si="581"/>
        <v/>
      </c>
      <c r="V448" s="26" t="str">
        <f t="shared" si="582"/>
        <v/>
      </c>
      <c r="W448" s="27" t="str">
        <f t="shared" si="583"/>
        <v/>
      </c>
      <c r="X448" s="27" t="str">
        <f t="shared" si="584"/>
        <v/>
      </c>
      <c r="Y448" s="28" t="str">
        <f t="shared" si="585"/>
        <v/>
      </c>
      <c r="Z448" s="27" t="str">
        <f t="shared" si="586"/>
        <v/>
      </c>
      <c r="AA448" s="27" t="str">
        <f t="shared" si="587"/>
        <v/>
      </c>
      <c r="AB448" s="27" t="str">
        <f t="shared" si="588"/>
        <v/>
      </c>
      <c r="AC448" s="27" t="str">
        <f t="shared" si="589"/>
        <v/>
      </c>
      <c r="AD448" s="29" t="str">
        <f t="shared" si="590"/>
        <v/>
      </c>
      <c r="AE448" s="30" t="str">
        <f t="shared" si="591"/>
        <v/>
      </c>
      <c r="AG448" s="4"/>
      <c r="AH448" s="31" t="e">
        <f t="shared" si="592"/>
        <v>#VALUE!</v>
      </c>
      <c r="AI448" s="31" t="e">
        <f t="shared" si="593"/>
        <v>#VALUE!</v>
      </c>
      <c r="AJ448" s="31" t="e">
        <f t="shared" si="594"/>
        <v>#VALUE!</v>
      </c>
      <c r="AK448" s="31" t="e">
        <f t="shared" si="595"/>
        <v>#VALUE!</v>
      </c>
      <c r="AL448" s="31" t="e">
        <f t="shared" si="596"/>
        <v>#VALUE!</v>
      </c>
      <c r="AM448" s="31" t="e">
        <f t="shared" si="597"/>
        <v>#VALUE!</v>
      </c>
      <c r="AN448" s="32" t="str">
        <f t="shared" si="598"/>
        <v/>
      </c>
      <c r="AO448" s="27" t="str">
        <f t="shared" si="599"/>
        <v/>
      </c>
      <c r="AP448" s="27" t="str">
        <f t="shared" si="600"/>
        <v/>
      </c>
      <c r="AQ448" s="27">
        <f t="shared" si="601"/>
        <v>0</v>
      </c>
      <c r="AR448" s="27">
        <f t="shared" si="602"/>
        <v>0</v>
      </c>
      <c r="AS448" s="33">
        <f t="shared" si="603"/>
        <v>0</v>
      </c>
    </row>
    <row r="449" spans="2:45" hidden="1" x14ac:dyDescent="0.25">
      <c r="B449" s="34">
        <f t="shared" ref="B449:F449" si="662">IF(B448="","",B448)</f>
        <v>250</v>
      </c>
      <c r="C449" s="26">
        <f t="shared" si="662"/>
        <v>20</v>
      </c>
      <c r="D449" s="26">
        <f t="shared" si="662"/>
        <v>0</v>
      </c>
      <c r="E449" s="26">
        <f t="shared" si="662"/>
        <v>0</v>
      </c>
      <c r="F449" s="26">
        <f t="shared" si="662"/>
        <v>-1630</v>
      </c>
      <c r="G449" s="24"/>
      <c r="H449" s="24"/>
      <c r="I449" s="24"/>
      <c r="J449" s="24"/>
      <c r="K449" s="24"/>
      <c r="L449" s="24"/>
      <c r="M449" s="44" t="str">
        <f t="shared" si="635"/>
        <v/>
      </c>
      <c r="N449" s="26" t="str">
        <f t="shared" si="574"/>
        <v/>
      </c>
      <c r="O449" s="26" t="str">
        <f t="shared" si="575"/>
        <v/>
      </c>
      <c r="P449" s="26" t="str">
        <f t="shared" si="576"/>
        <v/>
      </c>
      <c r="Q449" s="26">
        <f t="shared" si="577"/>
        <v>0</v>
      </c>
      <c r="R449" s="26">
        <f t="shared" si="578"/>
        <v>0</v>
      </c>
      <c r="S449" s="26">
        <f t="shared" si="579"/>
        <v>0</v>
      </c>
      <c r="T449" s="26" t="str">
        <f t="shared" si="580"/>
        <v/>
      </c>
      <c r="U449" s="26" t="str">
        <f t="shared" si="581"/>
        <v/>
      </c>
      <c r="V449" s="26" t="str">
        <f t="shared" si="582"/>
        <v/>
      </c>
      <c r="W449" s="27" t="str">
        <f t="shared" si="583"/>
        <v/>
      </c>
      <c r="X449" s="27" t="str">
        <f t="shared" si="584"/>
        <v/>
      </c>
      <c r="Y449" s="28" t="str">
        <f t="shared" si="585"/>
        <v/>
      </c>
      <c r="Z449" s="27" t="str">
        <f t="shared" si="586"/>
        <v/>
      </c>
      <c r="AA449" s="27" t="str">
        <f t="shared" si="587"/>
        <v/>
      </c>
      <c r="AB449" s="27" t="str">
        <f t="shared" si="588"/>
        <v/>
      </c>
      <c r="AC449" s="27" t="str">
        <f t="shared" si="589"/>
        <v/>
      </c>
      <c r="AD449" s="29" t="str">
        <f t="shared" si="590"/>
        <v/>
      </c>
      <c r="AE449" s="30" t="str">
        <f t="shared" si="591"/>
        <v/>
      </c>
      <c r="AG449" s="4"/>
      <c r="AH449" s="31" t="e">
        <f t="shared" si="592"/>
        <v>#VALUE!</v>
      </c>
      <c r="AI449" s="31" t="e">
        <f t="shared" si="593"/>
        <v>#VALUE!</v>
      </c>
      <c r="AJ449" s="31" t="e">
        <f t="shared" si="594"/>
        <v>#VALUE!</v>
      </c>
      <c r="AK449" s="31" t="e">
        <f t="shared" si="595"/>
        <v>#VALUE!</v>
      </c>
      <c r="AL449" s="31" t="e">
        <f t="shared" si="596"/>
        <v>#VALUE!</v>
      </c>
      <c r="AM449" s="31" t="e">
        <f t="shared" si="597"/>
        <v>#VALUE!</v>
      </c>
      <c r="AN449" s="32" t="str">
        <f t="shared" si="598"/>
        <v/>
      </c>
      <c r="AO449" s="27" t="str">
        <f t="shared" si="599"/>
        <v/>
      </c>
      <c r="AP449" s="27" t="str">
        <f t="shared" si="600"/>
        <v/>
      </c>
      <c r="AQ449" s="27">
        <f t="shared" si="601"/>
        <v>0</v>
      </c>
      <c r="AR449" s="27">
        <f t="shared" si="602"/>
        <v>0</v>
      </c>
      <c r="AS449" s="33">
        <f t="shared" si="603"/>
        <v>0</v>
      </c>
    </row>
    <row r="450" spans="2:45" hidden="1" x14ac:dyDescent="0.25">
      <c r="B450" s="34">
        <f t="shared" ref="B450:F450" si="663">IF(B449="","",B449)</f>
        <v>250</v>
      </c>
      <c r="C450" s="26">
        <f t="shared" si="663"/>
        <v>20</v>
      </c>
      <c r="D450" s="26">
        <f t="shared" si="663"/>
        <v>0</v>
      </c>
      <c r="E450" s="26">
        <f t="shared" si="663"/>
        <v>0</v>
      </c>
      <c r="F450" s="26">
        <f t="shared" si="663"/>
        <v>-1630</v>
      </c>
      <c r="G450" s="24"/>
      <c r="H450" s="24"/>
      <c r="I450" s="24"/>
      <c r="J450" s="24"/>
      <c r="K450" s="24"/>
      <c r="L450" s="24"/>
      <c r="M450" s="44" t="str">
        <f t="shared" si="635"/>
        <v/>
      </c>
      <c r="N450" s="26" t="str">
        <f t="shared" si="574"/>
        <v/>
      </c>
      <c r="O450" s="26" t="str">
        <f t="shared" si="575"/>
        <v/>
      </c>
      <c r="P450" s="26" t="str">
        <f t="shared" si="576"/>
        <v/>
      </c>
      <c r="Q450" s="26">
        <f t="shared" si="577"/>
        <v>0</v>
      </c>
      <c r="R450" s="26">
        <f t="shared" si="578"/>
        <v>0</v>
      </c>
      <c r="S450" s="26">
        <f t="shared" si="579"/>
        <v>0</v>
      </c>
      <c r="T450" s="26" t="str">
        <f t="shared" si="580"/>
        <v/>
      </c>
      <c r="U450" s="26" t="str">
        <f t="shared" si="581"/>
        <v/>
      </c>
      <c r="V450" s="26" t="str">
        <f t="shared" si="582"/>
        <v/>
      </c>
      <c r="W450" s="27" t="str">
        <f t="shared" si="583"/>
        <v/>
      </c>
      <c r="X450" s="27" t="str">
        <f t="shared" si="584"/>
        <v/>
      </c>
      <c r="Y450" s="28" t="str">
        <f t="shared" si="585"/>
        <v/>
      </c>
      <c r="Z450" s="27" t="str">
        <f t="shared" si="586"/>
        <v/>
      </c>
      <c r="AA450" s="27" t="str">
        <f t="shared" si="587"/>
        <v/>
      </c>
      <c r="AB450" s="27" t="str">
        <f t="shared" si="588"/>
        <v/>
      </c>
      <c r="AC450" s="27" t="str">
        <f t="shared" si="589"/>
        <v/>
      </c>
      <c r="AD450" s="29" t="str">
        <f t="shared" si="590"/>
        <v/>
      </c>
      <c r="AE450" s="30" t="str">
        <f t="shared" si="591"/>
        <v/>
      </c>
      <c r="AG450" s="4"/>
      <c r="AH450" s="31" t="e">
        <f t="shared" si="592"/>
        <v>#VALUE!</v>
      </c>
      <c r="AI450" s="31" t="e">
        <f t="shared" si="593"/>
        <v>#VALUE!</v>
      </c>
      <c r="AJ450" s="31" t="e">
        <f t="shared" si="594"/>
        <v>#VALUE!</v>
      </c>
      <c r="AK450" s="31" t="e">
        <f t="shared" si="595"/>
        <v>#VALUE!</v>
      </c>
      <c r="AL450" s="31" t="e">
        <f t="shared" si="596"/>
        <v>#VALUE!</v>
      </c>
      <c r="AM450" s="31" t="e">
        <f t="shared" si="597"/>
        <v>#VALUE!</v>
      </c>
      <c r="AN450" s="32" t="str">
        <f t="shared" si="598"/>
        <v/>
      </c>
      <c r="AO450" s="27" t="str">
        <f t="shared" si="599"/>
        <v/>
      </c>
      <c r="AP450" s="27" t="str">
        <f t="shared" si="600"/>
        <v/>
      </c>
      <c r="AQ450" s="27">
        <f t="shared" si="601"/>
        <v>0</v>
      </c>
      <c r="AR450" s="27">
        <f t="shared" si="602"/>
        <v>0</v>
      </c>
      <c r="AS450" s="33">
        <f t="shared" si="603"/>
        <v>0</v>
      </c>
    </row>
    <row r="451" spans="2:45" hidden="1" x14ac:dyDescent="0.25">
      <c r="B451" s="34">
        <f t="shared" ref="B451:F451" si="664">IF(B450="","",B450)</f>
        <v>250</v>
      </c>
      <c r="C451" s="26">
        <f t="shared" si="664"/>
        <v>20</v>
      </c>
      <c r="D451" s="26">
        <f t="shared" si="664"/>
        <v>0</v>
      </c>
      <c r="E451" s="26">
        <f t="shared" si="664"/>
        <v>0</v>
      </c>
      <c r="F451" s="26">
        <f t="shared" si="664"/>
        <v>-1630</v>
      </c>
      <c r="G451" s="24"/>
      <c r="H451" s="24"/>
      <c r="I451" s="24"/>
      <c r="J451" s="24"/>
      <c r="K451" s="24"/>
      <c r="L451" s="24"/>
      <c r="M451" s="44" t="str">
        <f t="shared" si="635"/>
        <v/>
      </c>
      <c r="N451" s="26" t="str">
        <f t="shared" si="574"/>
        <v/>
      </c>
      <c r="O451" s="26" t="str">
        <f t="shared" si="575"/>
        <v/>
      </c>
      <c r="P451" s="26" t="str">
        <f t="shared" si="576"/>
        <v/>
      </c>
      <c r="Q451" s="26">
        <f t="shared" si="577"/>
        <v>0</v>
      </c>
      <c r="R451" s="26">
        <f t="shared" si="578"/>
        <v>0</v>
      </c>
      <c r="S451" s="26">
        <f t="shared" si="579"/>
        <v>0</v>
      </c>
      <c r="T451" s="26" t="str">
        <f t="shared" si="580"/>
        <v/>
      </c>
      <c r="U451" s="26" t="str">
        <f t="shared" si="581"/>
        <v/>
      </c>
      <c r="V451" s="26" t="str">
        <f t="shared" si="582"/>
        <v/>
      </c>
      <c r="W451" s="27" t="str">
        <f t="shared" si="583"/>
        <v/>
      </c>
      <c r="X451" s="27" t="str">
        <f t="shared" si="584"/>
        <v/>
      </c>
      <c r="Y451" s="28" t="str">
        <f t="shared" si="585"/>
        <v/>
      </c>
      <c r="Z451" s="27" t="str">
        <f t="shared" si="586"/>
        <v/>
      </c>
      <c r="AA451" s="27" t="str">
        <f t="shared" si="587"/>
        <v/>
      </c>
      <c r="AB451" s="27" t="str">
        <f t="shared" si="588"/>
        <v/>
      </c>
      <c r="AC451" s="27" t="str">
        <f t="shared" si="589"/>
        <v/>
      </c>
      <c r="AD451" s="29" t="str">
        <f t="shared" si="590"/>
        <v/>
      </c>
      <c r="AE451" s="30" t="str">
        <f t="shared" si="591"/>
        <v/>
      </c>
      <c r="AG451" s="4"/>
      <c r="AH451" s="31" t="e">
        <f t="shared" si="592"/>
        <v>#VALUE!</v>
      </c>
      <c r="AI451" s="31" t="e">
        <f t="shared" si="593"/>
        <v>#VALUE!</v>
      </c>
      <c r="AJ451" s="31" t="e">
        <f t="shared" si="594"/>
        <v>#VALUE!</v>
      </c>
      <c r="AK451" s="31" t="e">
        <f t="shared" si="595"/>
        <v>#VALUE!</v>
      </c>
      <c r="AL451" s="31" t="e">
        <f t="shared" si="596"/>
        <v>#VALUE!</v>
      </c>
      <c r="AM451" s="31" t="e">
        <f t="shared" si="597"/>
        <v>#VALUE!</v>
      </c>
      <c r="AN451" s="32" t="str">
        <f t="shared" si="598"/>
        <v/>
      </c>
      <c r="AO451" s="27" t="str">
        <f t="shared" si="599"/>
        <v/>
      </c>
      <c r="AP451" s="27" t="str">
        <f t="shared" si="600"/>
        <v/>
      </c>
      <c r="AQ451" s="27">
        <f t="shared" si="601"/>
        <v>0</v>
      </c>
      <c r="AR451" s="27">
        <f t="shared" si="602"/>
        <v>0</v>
      </c>
      <c r="AS451" s="33">
        <f t="shared" si="603"/>
        <v>0</v>
      </c>
    </row>
    <row r="452" spans="2:45" hidden="1" x14ac:dyDescent="0.25">
      <c r="B452" s="34">
        <f t="shared" ref="B452:F452" si="665">IF(B451="","",B451)</f>
        <v>250</v>
      </c>
      <c r="C452" s="26">
        <f t="shared" si="665"/>
        <v>20</v>
      </c>
      <c r="D452" s="26">
        <f t="shared" si="665"/>
        <v>0</v>
      </c>
      <c r="E452" s="26">
        <f t="shared" si="665"/>
        <v>0</v>
      </c>
      <c r="F452" s="26">
        <f t="shared" si="665"/>
        <v>-1630</v>
      </c>
      <c r="G452" s="24"/>
      <c r="H452" s="24"/>
      <c r="I452" s="24"/>
      <c r="J452" s="24"/>
      <c r="K452" s="24"/>
      <c r="L452" s="24"/>
      <c r="M452" s="44" t="str">
        <f t="shared" si="635"/>
        <v/>
      </c>
      <c r="N452" s="26" t="str">
        <f t="shared" si="574"/>
        <v/>
      </c>
      <c r="O452" s="26" t="str">
        <f t="shared" si="575"/>
        <v/>
      </c>
      <c r="P452" s="26" t="str">
        <f t="shared" si="576"/>
        <v/>
      </c>
      <c r="Q452" s="26">
        <f t="shared" si="577"/>
        <v>0</v>
      </c>
      <c r="R452" s="26">
        <f t="shared" si="578"/>
        <v>0</v>
      </c>
      <c r="S452" s="26">
        <f t="shared" si="579"/>
        <v>0</v>
      </c>
      <c r="T452" s="26" t="str">
        <f t="shared" si="580"/>
        <v/>
      </c>
      <c r="U452" s="26" t="str">
        <f t="shared" si="581"/>
        <v/>
      </c>
      <c r="V452" s="26" t="str">
        <f t="shared" si="582"/>
        <v/>
      </c>
      <c r="W452" s="27" t="str">
        <f t="shared" si="583"/>
        <v/>
      </c>
      <c r="X452" s="27" t="str">
        <f t="shared" si="584"/>
        <v/>
      </c>
      <c r="Y452" s="28" t="str">
        <f t="shared" si="585"/>
        <v/>
      </c>
      <c r="Z452" s="27" t="str">
        <f t="shared" si="586"/>
        <v/>
      </c>
      <c r="AA452" s="27" t="str">
        <f t="shared" si="587"/>
        <v/>
      </c>
      <c r="AB452" s="27" t="str">
        <f t="shared" si="588"/>
        <v/>
      </c>
      <c r="AC452" s="27" t="str">
        <f t="shared" si="589"/>
        <v/>
      </c>
      <c r="AD452" s="29" t="str">
        <f t="shared" si="590"/>
        <v/>
      </c>
      <c r="AE452" s="30" t="str">
        <f t="shared" si="591"/>
        <v/>
      </c>
      <c r="AG452" s="4"/>
      <c r="AH452" s="31" t="e">
        <f t="shared" si="592"/>
        <v>#VALUE!</v>
      </c>
      <c r="AI452" s="31" t="e">
        <f t="shared" si="593"/>
        <v>#VALUE!</v>
      </c>
      <c r="AJ452" s="31" t="e">
        <f t="shared" si="594"/>
        <v>#VALUE!</v>
      </c>
      <c r="AK452" s="31" t="e">
        <f t="shared" si="595"/>
        <v>#VALUE!</v>
      </c>
      <c r="AL452" s="31" t="e">
        <f t="shared" si="596"/>
        <v>#VALUE!</v>
      </c>
      <c r="AM452" s="31" t="e">
        <f t="shared" si="597"/>
        <v>#VALUE!</v>
      </c>
      <c r="AN452" s="32" t="str">
        <f t="shared" si="598"/>
        <v/>
      </c>
      <c r="AO452" s="27" t="str">
        <f t="shared" si="599"/>
        <v/>
      </c>
      <c r="AP452" s="27" t="str">
        <f t="shared" si="600"/>
        <v/>
      </c>
      <c r="AQ452" s="27">
        <f t="shared" si="601"/>
        <v>0</v>
      </c>
      <c r="AR452" s="27">
        <f t="shared" si="602"/>
        <v>0</v>
      </c>
      <c r="AS452" s="33">
        <f t="shared" si="603"/>
        <v>0</v>
      </c>
    </row>
    <row r="453" spans="2:45" hidden="1" x14ac:dyDescent="0.25">
      <c r="B453" s="34">
        <f t="shared" ref="B453:F453" si="666">IF(B452="","",B452)</f>
        <v>250</v>
      </c>
      <c r="C453" s="26">
        <f t="shared" si="666"/>
        <v>20</v>
      </c>
      <c r="D453" s="26">
        <f t="shared" si="666"/>
        <v>0</v>
      </c>
      <c r="E453" s="26">
        <f t="shared" si="666"/>
        <v>0</v>
      </c>
      <c r="F453" s="26">
        <f t="shared" si="666"/>
        <v>-1630</v>
      </c>
      <c r="G453" s="24"/>
      <c r="H453" s="24"/>
      <c r="I453" s="24"/>
      <c r="J453" s="24"/>
      <c r="K453" s="24"/>
      <c r="L453" s="24"/>
      <c r="M453" s="44" t="str">
        <f t="shared" si="635"/>
        <v/>
      </c>
      <c r="N453" s="26" t="str">
        <f t="shared" si="574"/>
        <v/>
      </c>
      <c r="O453" s="26" t="str">
        <f t="shared" si="575"/>
        <v/>
      </c>
      <c r="P453" s="26" t="str">
        <f t="shared" si="576"/>
        <v/>
      </c>
      <c r="Q453" s="26">
        <f t="shared" si="577"/>
        <v>0</v>
      </c>
      <c r="R453" s="26">
        <f t="shared" si="578"/>
        <v>0</v>
      </c>
      <c r="S453" s="26">
        <f t="shared" si="579"/>
        <v>0</v>
      </c>
      <c r="T453" s="26" t="str">
        <f t="shared" si="580"/>
        <v/>
      </c>
      <c r="U453" s="26" t="str">
        <f t="shared" si="581"/>
        <v/>
      </c>
      <c r="V453" s="26" t="str">
        <f t="shared" si="582"/>
        <v/>
      </c>
      <c r="W453" s="27" t="str">
        <f t="shared" si="583"/>
        <v/>
      </c>
      <c r="X453" s="27" t="str">
        <f t="shared" si="584"/>
        <v/>
      </c>
      <c r="Y453" s="28" t="str">
        <f t="shared" si="585"/>
        <v/>
      </c>
      <c r="Z453" s="27" t="str">
        <f t="shared" si="586"/>
        <v/>
      </c>
      <c r="AA453" s="27" t="str">
        <f t="shared" si="587"/>
        <v/>
      </c>
      <c r="AB453" s="27" t="str">
        <f t="shared" si="588"/>
        <v/>
      </c>
      <c r="AC453" s="27" t="str">
        <f t="shared" si="589"/>
        <v/>
      </c>
      <c r="AD453" s="29" t="str">
        <f t="shared" si="590"/>
        <v/>
      </c>
      <c r="AE453" s="30" t="str">
        <f t="shared" si="591"/>
        <v/>
      </c>
      <c r="AG453" s="4"/>
      <c r="AH453" s="31" t="e">
        <f t="shared" si="592"/>
        <v>#VALUE!</v>
      </c>
      <c r="AI453" s="31" t="e">
        <f t="shared" si="593"/>
        <v>#VALUE!</v>
      </c>
      <c r="AJ453" s="31" t="e">
        <f t="shared" si="594"/>
        <v>#VALUE!</v>
      </c>
      <c r="AK453" s="31" t="e">
        <f t="shared" si="595"/>
        <v>#VALUE!</v>
      </c>
      <c r="AL453" s="31" t="e">
        <f t="shared" si="596"/>
        <v>#VALUE!</v>
      </c>
      <c r="AM453" s="31" t="e">
        <f t="shared" si="597"/>
        <v>#VALUE!</v>
      </c>
      <c r="AN453" s="32" t="str">
        <f t="shared" si="598"/>
        <v/>
      </c>
      <c r="AO453" s="27" t="str">
        <f t="shared" si="599"/>
        <v/>
      </c>
      <c r="AP453" s="27" t="str">
        <f t="shared" si="600"/>
        <v/>
      </c>
      <c r="AQ453" s="27">
        <f t="shared" si="601"/>
        <v>0</v>
      </c>
      <c r="AR453" s="27">
        <f t="shared" si="602"/>
        <v>0</v>
      </c>
      <c r="AS453" s="33">
        <f t="shared" si="603"/>
        <v>0</v>
      </c>
    </row>
    <row r="454" spans="2:45" hidden="1" x14ac:dyDescent="0.25">
      <c r="B454" s="34">
        <f t="shared" ref="B454:F454" si="667">IF(B453="","",B453)</f>
        <v>250</v>
      </c>
      <c r="C454" s="26">
        <f t="shared" si="667"/>
        <v>20</v>
      </c>
      <c r="D454" s="26">
        <f t="shared" si="667"/>
        <v>0</v>
      </c>
      <c r="E454" s="26">
        <f t="shared" si="667"/>
        <v>0</v>
      </c>
      <c r="F454" s="26">
        <f t="shared" si="667"/>
        <v>-1630</v>
      </c>
      <c r="G454" s="24"/>
      <c r="H454" s="24"/>
      <c r="I454" s="24"/>
      <c r="J454" s="24"/>
      <c r="K454" s="24"/>
      <c r="L454" s="24"/>
      <c r="M454" s="44" t="str">
        <f t="shared" ref="M454:M465" si="668">IF(B454="","",IF(M298="","",M298))</f>
        <v/>
      </c>
      <c r="N454" s="26" t="str">
        <f t="shared" si="574"/>
        <v/>
      </c>
      <c r="O454" s="26" t="str">
        <f t="shared" si="575"/>
        <v/>
      </c>
      <c r="P454" s="26" t="str">
        <f t="shared" si="576"/>
        <v/>
      </c>
      <c r="Q454" s="26">
        <f t="shared" si="577"/>
        <v>0</v>
      </c>
      <c r="R454" s="26">
        <f t="shared" si="578"/>
        <v>0</v>
      </c>
      <c r="S454" s="26">
        <f t="shared" si="579"/>
        <v>0</v>
      </c>
      <c r="T454" s="26" t="str">
        <f t="shared" si="580"/>
        <v/>
      </c>
      <c r="U454" s="26" t="str">
        <f t="shared" si="581"/>
        <v/>
      </c>
      <c r="V454" s="26" t="str">
        <f t="shared" si="582"/>
        <v/>
      </c>
      <c r="W454" s="27" t="str">
        <f t="shared" si="583"/>
        <v/>
      </c>
      <c r="X454" s="27" t="str">
        <f t="shared" si="584"/>
        <v/>
      </c>
      <c r="Y454" s="28" t="str">
        <f t="shared" si="585"/>
        <v/>
      </c>
      <c r="Z454" s="27" t="str">
        <f t="shared" si="586"/>
        <v/>
      </c>
      <c r="AA454" s="27" t="str">
        <f t="shared" si="587"/>
        <v/>
      </c>
      <c r="AB454" s="27" t="str">
        <f t="shared" si="588"/>
        <v/>
      </c>
      <c r="AC454" s="27" t="str">
        <f t="shared" si="589"/>
        <v/>
      </c>
      <c r="AD454" s="29" t="str">
        <f t="shared" si="590"/>
        <v/>
      </c>
      <c r="AE454" s="30" t="str">
        <f t="shared" si="591"/>
        <v/>
      </c>
      <c r="AG454" s="4"/>
      <c r="AH454" s="31" t="e">
        <f t="shared" si="592"/>
        <v>#VALUE!</v>
      </c>
      <c r="AI454" s="31" t="e">
        <f t="shared" si="593"/>
        <v>#VALUE!</v>
      </c>
      <c r="AJ454" s="31" t="e">
        <f t="shared" si="594"/>
        <v>#VALUE!</v>
      </c>
      <c r="AK454" s="31" t="e">
        <f t="shared" si="595"/>
        <v>#VALUE!</v>
      </c>
      <c r="AL454" s="31" t="e">
        <f t="shared" si="596"/>
        <v>#VALUE!</v>
      </c>
      <c r="AM454" s="31" t="e">
        <f t="shared" si="597"/>
        <v>#VALUE!</v>
      </c>
      <c r="AN454" s="32" t="str">
        <f t="shared" si="598"/>
        <v/>
      </c>
      <c r="AO454" s="27" t="str">
        <f t="shared" si="599"/>
        <v/>
      </c>
      <c r="AP454" s="27" t="str">
        <f t="shared" si="600"/>
        <v/>
      </c>
      <c r="AQ454" s="27">
        <f t="shared" si="601"/>
        <v>0</v>
      </c>
      <c r="AR454" s="27">
        <f t="shared" si="602"/>
        <v>0</v>
      </c>
      <c r="AS454" s="33">
        <f t="shared" si="603"/>
        <v>0</v>
      </c>
    </row>
    <row r="455" spans="2:45" hidden="1" x14ac:dyDescent="0.25">
      <c r="B455" s="34">
        <f t="shared" ref="B455:F455" si="669">IF(B454="","",B454)</f>
        <v>250</v>
      </c>
      <c r="C455" s="26">
        <f t="shared" si="669"/>
        <v>20</v>
      </c>
      <c r="D455" s="26">
        <f t="shared" si="669"/>
        <v>0</v>
      </c>
      <c r="E455" s="26">
        <f t="shared" si="669"/>
        <v>0</v>
      </c>
      <c r="F455" s="26">
        <f t="shared" si="669"/>
        <v>-1630</v>
      </c>
      <c r="G455" s="24"/>
      <c r="H455" s="24"/>
      <c r="I455" s="24"/>
      <c r="J455" s="24"/>
      <c r="K455" s="24"/>
      <c r="L455" s="24"/>
      <c r="M455" s="44" t="str">
        <f t="shared" si="668"/>
        <v/>
      </c>
      <c r="N455" s="26" t="str">
        <f t="shared" ref="N455:N475" si="670">IF($J$7="NO",IF(M455="","",IF($E$7="+X",D455,IF($E$7="-X",-D455,IF($E$7="+Z",F455,IF($E$7="-Z",-F455))))),IF(M455="","",IF($E$7="+X",D455,IF($E$7="-X",-D455,IF($E$7="+Y",E455,IF($E$7="-Y",-E455))))))</f>
        <v/>
      </c>
      <c r="O455" s="26" t="str">
        <f t="shared" ref="O455:O475" si="671">IF($J$7="NO",IF(M455="","",E455),IF(M455="","",F455))</f>
        <v/>
      </c>
      <c r="P455" s="26" t="str">
        <f t="shared" ref="P455:P475" si="672">IF($J$7="NO",IF(M455="","",IF($E$7="+X",F455,IF($E$7="-X",-F455,IF($E$7="+Z",-D455,IF($E$7="-Z",D455))))),IF(M455="","",IF($E$7="+X",-E455,IF($E$7="-X",E455,IF($E$7="+Y",D455,IF($E$7="-Y",-D455))))))</f>
        <v/>
      </c>
      <c r="Q455" s="26">
        <f t="shared" ref="Q455:Q475" si="673">IF($J$7="NO",IF(M455="",0,IF($E$7="+X",G455,IF($E$7="-X",-G455,IF($E$7="+Z",I455,IF($E$7="-Z",-I455))))),IF(M455="",0,IF($E$7="+X",G455,IF($E$7="-X",-G455,IF($E$7="+Y",H455,IF($E$7="-Y",-H455))))))</f>
        <v>0</v>
      </c>
      <c r="R455" s="26">
        <f t="shared" ref="R455:R475" si="674">IF($J$7="NO",IF(M455="",0,H455),IF(M455="",0,I455))</f>
        <v>0</v>
      </c>
      <c r="S455" s="26">
        <f t="shared" ref="S455:S475" si="675">IF($J$7="NO",IF(M455="",0,IF($E$7="+X",I455,IF($E$7="-X",-I455,IF($E$7="+Z",-G455,IF($E$7="-Z",G455))))),IF(M455="",0,IF($E$7="+X",-H455,IF($E$7="-X",H455,IF($E$7="+Y",G455,IF($E$7="-Y",-G455))))))</f>
        <v>0</v>
      </c>
      <c r="T455" s="26" t="str">
        <f t="shared" ref="T455:T475" si="676">IF($J$7="NO",IF(M455="","",IF($E$7="+X",J455,IF($E$7="-X",-J455,IF($E$7="+Z",L455,IF($E$7="-Z",-L455))))),IF(M455="","",IF($E$7="+X",J455,IF($E$7="-X",-J455,IF($E$7="+Y",K455,IF($E$7="-Y",-K455))))))</f>
        <v/>
      </c>
      <c r="U455" s="26" t="str">
        <f t="shared" ref="U455:U475" si="677">IF($J$7="NO",IF(M455="","",K455),IF(M455="","",L455))</f>
        <v/>
      </c>
      <c r="V455" s="26" t="str">
        <f t="shared" ref="V455:V475" si="678">IF($J$7="NO",IF(M455="","",IF($E$7="+X",L455,IF($E$7="-X",-L455,IF($E$7="+Z",-J455,IF($E$7="-Z",J455))))),IF(M455="","",IF($E$7="+X",-K455,IF($E$7="-X",K455,IF($E$7="+Y",J455,IF($E$7="-Y",-J455))))))</f>
        <v/>
      </c>
      <c r="W455" s="27" t="str">
        <f t="shared" ref="W455:W475" si="679">IF(M455="","",SQRT(Q455^2+R455^2+S455^2))</f>
        <v/>
      </c>
      <c r="X455" s="27" t="str">
        <f t="shared" ref="X455:X475" si="680">IF(M455="","",SQRT(T455^2+U455^2+V455^2))</f>
        <v/>
      </c>
      <c r="Y455" s="28" t="str">
        <f t="shared" ref="Y455:Y475" si="681">IF(M455="","",IF($C455&lt;=8,$C455,(16+$C455)/3))</f>
        <v/>
      </c>
      <c r="Z455" s="27" t="str">
        <f t="shared" ref="Z455:Z475" si="682">IF(M455="","",W455*0.224808)</f>
        <v/>
      </c>
      <c r="AA455" s="27" t="str">
        <f t="shared" ref="AA455:AA475" si="683">IF(M455="","",X455*0.737562)</f>
        <v/>
      </c>
      <c r="AB455" s="27" t="str">
        <f t="shared" ref="AB455:AB475" si="684">IF(M455="","",3*Z455+AA455)</f>
        <v/>
      </c>
      <c r="AC455" s="27" t="str">
        <f t="shared" ref="AC455:AC475" si="685">IF(M455="","",IF(M455="","",500*Y455*$O$7))</f>
        <v/>
      </c>
      <c r="AD455" s="29" t="str">
        <f t="shared" ref="AD455:AD475" si="686">IF(M455="","",IF(M455="","",AB455/AC455)*100)</f>
        <v/>
      </c>
      <c r="AE455" s="30" t="str">
        <f t="shared" ref="AE455:AE475" si="687">IF(M455="","",IF(AD455&lt;=100, "PASS","FAIL"))</f>
        <v/>
      </c>
      <c r="AG455" s="4"/>
      <c r="AH455" s="31" t="e">
        <f t="shared" ref="AH455:AH475" si="688">Q455*O455/1000*VLOOKUP(_xlfn.CONCAT($AH$13,IF(Q455&gt;0,"+","-"),IF(O455&gt;0,"+","-")),$AV:$BA,6,0)</f>
        <v>#VALUE!</v>
      </c>
      <c r="AI455" s="31" t="e">
        <f t="shared" ref="AI455:AI475" si="689">Q455*P455/1000*VLOOKUP(_xlfn.CONCAT($AI$13,IF(Q455&gt;0,"+","-"),IF(P455&gt;0,"+","-")),$AV:$BA,6,0)</f>
        <v>#VALUE!</v>
      </c>
      <c r="AJ455" s="31" t="e">
        <f t="shared" ref="AJ455:AJ475" si="690">R455*N455/1000*VLOOKUP(_xlfn.CONCAT($AJ$13,IF(R455&gt;0,"+","-"),IF(N455&gt;0,"+","-")),$AV:$BA,6,0)</f>
        <v>#VALUE!</v>
      </c>
      <c r="AK455" s="31" t="e">
        <f t="shared" ref="AK455:AK475" si="691">R455*P455/1000*VLOOKUP(_xlfn.CONCAT($AK$13,IF(R455&gt;0,"+","-"),IF(P455&gt;0,"+","-")),$AV:$BA,6,0)</f>
        <v>#VALUE!</v>
      </c>
      <c r="AL455" s="31" t="e">
        <f t="shared" ref="AL455:AL475" si="692">S455*N455/1000*VLOOKUP(_xlfn.CONCAT($AL$13,IF(S455&gt;0,"+","-"),IF(N455&gt;0,"+","-")),$AV:$BA,6,0)</f>
        <v>#VALUE!</v>
      </c>
      <c r="AM455" s="31" t="e">
        <f t="shared" ref="AM455:AM475" si="693">S455*O455/1000*VLOOKUP(_xlfn.CONCAT($AM$13,IF(S455&gt;0,"+","-"),IF(O455&gt;0,"+","-")),$AV:$BA,6,0)</f>
        <v>#VALUE!</v>
      </c>
      <c r="AN455" s="32" t="str">
        <f t="shared" ref="AN455:AN475" si="694">IF($M455="","",AK455+AM455)</f>
        <v/>
      </c>
      <c r="AO455" s="27" t="str">
        <f t="shared" ref="AO455:AO475" si="695">IF($M455="","",AI455+AL455)</f>
        <v/>
      </c>
      <c r="AP455" s="27" t="str">
        <f t="shared" ref="AP455:AP475" si="696">IF($M455="","",AH455+AJ455)</f>
        <v/>
      </c>
      <c r="AQ455" s="27">
        <f t="shared" ref="AQ455:AQ475" si="697">IF(M455="",0,AN455+T455)</f>
        <v>0</v>
      </c>
      <c r="AR455" s="27">
        <f t="shared" ref="AR455:AR475" si="698">IF(M455="",0,AO455+U455)</f>
        <v>0</v>
      </c>
      <c r="AS455" s="33">
        <f t="shared" ref="AS455:AS475" si="699">IF(M455="",0,AP455+V455)</f>
        <v>0</v>
      </c>
    </row>
    <row r="456" spans="2:45" hidden="1" x14ac:dyDescent="0.25">
      <c r="B456" s="34">
        <f t="shared" ref="B456:F456" si="700">IF(B455="","",B455)</f>
        <v>250</v>
      </c>
      <c r="C456" s="26">
        <f t="shared" si="700"/>
        <v>20</v>
      </c>
      <c r="D456" s="26">
        <f t="shared" si="700"/>
        <v>0</v>
      </c>
      <c r="E456" s="26">
        <f t="shared" si="700"/>
        <v>0</v>
      </c>
      <c r="F456" s="26">
        <f t="shared" si="700"/>
        <v>-1630</v>
      </c>
      <c r="G456" s="24"/>
      <c r="H456" s="24"/>
      <c r="I456" s="24"/>
      <c r="J456" s="24"/>
      <c r="K456" s="24"/>
      <c r="L456" s="24"/>
      <c r="M456" s="44" t="str">
        <f t="shared" si="668"/>
        <v/>
      </c>
      <c r="N456" s="26" t="str">
        <f t="shared" si="670"/>
        <v/>
      </c>
      <c r="O456" s="26" t="str">
        <f t="shared" si="671"/>
        <v/>
      </c>
      <c r="P456" s="26" t="str">
        <f t="shared" si="672"/>
        <v/>
      </c>
      <c r="Q456" s="26">
        <f t="shared" si="673"/>
        <v>0</v>
      </c>
      <c r="R456" s="26">
        <f t="shared" si="674"/>
        <v>0</v>
      </c>
      <c r="S456" s="26">
        <f t="shared" si="675"/>
        <v>0</v>
      </c>
      <c r="T456" s="26" t="str">
        <f t="shared" si="676"/>
        <v/>
      </c>
      <c r="U456" s="26" t="str">
        <f t="shared" si="677"/>
        <v/>
      </c>
      <c r="V456" s="26" t="str">
        <f t="shared" si="678"/>
        <v/>
      </c>
      <c r="W456" s="27" t="str">
        <f t="shared" si="679"/>
        <v/>
      </c>
      <c r="X456" s="27" t="str">
        <f t="shared" si="680"/>
        <v/>
      </c>
      <c r="Y456" s="28" t="str">
        <f t="shared" si="681"/>
        <v/>
      </c>
      <c r="Z456" s="27" t="str">
        <f t="shared" si="682"/>
        <v/>
      </c>
      <c r="AA456" s="27" t="str">
        <f t="shared" si="683"/>
        <v/>
      </c>
      <c r="AB456" s="27" t="str">
        <f t="shared" si="684"/>
        <v/>
      </c>
      <c r="AC456" s="27" t="str">
        <f t="shared" si="685"/>
        <v/>
      </c>
      <c r="AD456" s="29" t="str">
        <f t="shared" si="686"/>
        <v/>
      </c>
      <c r="AE456" s="30" t="str">
        <f t="shared" si="687"/>
        <v/>
      </c>
      <c r="AG456" s="4"/>
      <c r="AH456" s="31" t="e">
        <f t="shared" si="688"/>
        <v>#VALUE!</v>
      </c>
      <c r="AI456" s="31" t="e">
        <f t="shared" si="689"/>
        <v>#VALUE!</v>
      </c>
      <c r="AJ456" s="31" t="e">
        <f t="shared" si="690"/>
        <v>#VALUE!</v>
      </c>
      <c r="AK456" s="31" t="e">
        <f t="shared" si="691"/>
        <v>#VALUE!</v>
      </c>
      <c r="AL456" s="31" t="e">
        <f t="shared" si="692"/>
        <v>#VALUE!</v>
      </c>
      <c r="AM456" s="31" t="e">
        <f t="shared" si="693"/>
        <v>#VALUE!</v>
      </c>
      <c r="AN456" s="32" t="str">
        <f t="shared" si="694"/>
        <v/>
      </c>
      <c r="AO456" s="27" t="str">
        <f t="shared" si="695"/>
        <v/>
      </c>
      <c r="AP456" s="27" t="str">
        <f t="shared" si="696"/>
        <v/>
      </c>
      <c r="AQ456" s="27">
        <f t="shared" si="697"/>
        <v>0</v>
      </c>
      <c r="AR456" s="27">
        <f t="shared" si="698"/>
        <v>0</v>
      </c>
      <c r="AS456" s="33">
        <f t="shared" si="699"/>
        <v>0</v>
      </c>
    </row>
    <row r="457" spans="2:45" hidden="1" x14ac:dyDescent="0.25">
      <c r="B457" s="34">
        <f>IF(B456="","",B456)</f>
        <v>250</v>
      </c>
      <c r="C457" s="26">
        <f t="shared" ref="C457:F457" si="701">IF(C456="","",C456)</f>
        <v>20</v>
      </c>
      <c r="D457" s="26">
        <f t="shared" si="701"/>
        <v>0</v>
      </c>
      <c r="E457" s="26">
        <f t="shared" si="701"/>
        <v>0</v>
      </c>
      <c r="F457" s="26">
        <f t="shared" si="701"/>
        <v>-1630</v>
      </c>
      <c r="G457" s="24"/>
      <c r="H457" s="24"/>
      <c r="I457" s="24"/>
      <c r="J457" s="24"/>
      <c r="K457" s="24"/>
      <c r="L457" s="24"/>
      <c r="M457" s="44" t="str">
        <f t="shared" si="668"/>
        <v/>
      </c>
      <c r="N457" s="26" t="str">
        <f t="shared" si="670"/>
        <v/>
      </c>
      <c r="O457" s="26" t="str">
        <f t="shared" si="671"/>
        <v/>
      </c>
      <c r="P457" s="26" t="str">
        <f t="shared" si="672"/>
        <v/>
      </c>
      <c r="Q457" s="26">
        <f t="shared" si="673"/>
        <v>0</v>
      </c>
      <c r="R457" s="26">
        <f t="shared" si="674"/>
        <v>0</v>
      </c>
      <c r="S457" s="26">
        <f t="shared" si="675"/>
        <v>0</v>
      </c>
      <c r="T457" s="26" t="str">
        <f t="shared" si="676"/>
        <v/>
      </c>
      <c r="U457" s="26" t="str">
        <f t="shared" si="677"/>
        <v/>
      </c>
      <c r="V457" s="26" t="str">
        <f t="shared" si="678"/>
        <v/>
      </c>
      <c r="W457" s="27" t="str">
        <f t="shared" si="679"/>
        <v/>
      </c>
      <c r="X457" s="27" t="str">
        <f t="shared" si="680"/>
        <v/>
      </c>
      <c r="Y457" s="28" t="str">
        <f t="shared" si="681"/>
        <v/>
      </c>
      <c r="Z457" s="27" t="str">
        <f t="shared" si="682"/>
        <v/>
      </c>
      <c r="AA457" s="27" t="str">
        <f t="shared" si="683"/>
        <v/>
      </c>
      <c r="AB457" s="27" t="str">
        <f t="shared" si="684"/>
        <v/>
      </c>
      <c r="AC457" s="27" t="str">
        <f t="shared" si="685"/>
        <v/>
      </c>
      <c r="AD457" s="29" t="str">
        <f t="shared" si="686"/>
        <v/>
      </c>
      <c r="AE457" s="30" t="str">
        <f t="shared" si="687"/>
        <v/>
      </c>
      <c r="AG457" s="4"/>
      <c r="AH457" s="31" t="e">
        <f t="shared" si="688"/>
        <v>#VALUE!</v>
      </c>
      <c r="AI457" s="31" t="e">
        <f t="shared" si="689"/>
        <v>#VALUE!</v>
      </c>
      <c r="AJ457" s="31" t="e">
        <f t="shared" si="690"/>
        <v>#VALUE!</v>
      </c>
      <c r="AK457" s="31" t="e">
        <f t="shared" si="691"/>
        <v>#VALUE!</v>
      </c>
      <c r="AL457" s="31" t="e">
        <f t="shared" si="692"/>
        <v>#VALUE!</v>
      </c>
      <c r="AM457" s="31" t="e">
        <f t="shared" si="693"/>
        <v>#VALUE!</v>
      </c>
      <c r="AN457" s="32" t="str">
        <f t="shared" si="694"/>
        <v/>
      </c>
      <c r="AO457" s="27" t="str">
        <f t="shared" si="695"/>
        <v/>
      </c>
      <c r="AP457" s="27" t="str">
        <f t="shared" si="696"/>
        <v/>
      </c>
      <c r="AQ457" s="27">
        <f t="shared" si="697"/>
        <v>0</v>
      </c>
      <c r="AR457" s="27">
        <f t="shared" si="698"/>
        <v>0</v>
      </c>
      <c r="AS457" s="33">
        <f t="shared" si="699"/>
        <v>0</v>
      </c>
    </row>
    <row r="458" spans="2:45" hidden="1" x14ac:dyDescent="0.25">
      <c r="B458" s="34">
        <f t="shared" ref="B458:F458" si="702">IF(B457="","",B457)</f>
        <v>250</v>
      </c>
      <c r="C458" s="26">
        <f t="shared" si="702"/>
        <v>20</v>
      </c>
      <c r="D458" s="26">
        <f t="shared" si="702"/>
        <v>0</v>
      </c>
      <c r="E458" s="26">
        <f t="shared" si="702"/>
        <v>0</v>
      </c>
      <c r="F458" s="26">
        <f t="shared" si="702"/>
        <v>-1630</v>
      </c>
      <c r="G458" s="24"/>
      <c r="H458" s="24"/>
      <c r="I458" s="24"/>
      <c r="J458" s="24"/>
      <c r="K458" s="24"/>
      <c r="L458" s="24"/>
      <c r="M458" s="44" t="str">
        <f t="shared" si="668"/>
        <v/>
      </c>
      <c r="N458" s="26" t="str">
        <f t="shared" si="670"/>
        <v/>
      </c>
      <c r="O458" s="26" t="str">
        <f t="shared" si="671"/>
        <v/>
      </c>
      <c r="P458" s="26" t="str">
        <f t="shared" si="672"/>
        <v/>
      </c>
      <c r="Q458" s="26">
        <f t="shared" si="673"/>
        <v>0</v>
      </c>
      <c r="R458" s="26">
        <f t="shared" si="674"/>
        <v>0</v>
      </c>
      <c r="S458" s="26">
        <f t="shared" si="675"/>
        <v>0</v>
      </c>
      <c r="T458" s="26" t="str">
        <f t="shared" si="676"/>
        <v/>
      </c>
      <c r="U458" s="26" t="str">
        <f t="shared" si="677"/>
        <v/>
      </c>
      <c r="V458" s="26" t="str">
        <f t="shared" si="678"/>
        <v/>
      </c>
      <c r="W458" s="27" t="str">
        <f t="shared" si="679"/>
        <v/>
      </c>
      <c r="X458" s="27" t="str">
        <f t="shared" si="680"/>
        <v/>
      </c>
      <c r="Y458" s="28" t="str">
        <f t="shared" si="681"/>
        <v/>
      </c>
      <c r="Z458" s="27" t="str">
        <f t="shared" si="682"/>
        <v/>
      </c>
      <c r="AA458" s="27" t="str">
        <f t="shared" si="683"/>
        <v/>
      </c>
      <c r="AB458" s="27" t="str">
        <f t="shared" si="684"/>
        <v/>
      </c>
      <c r="AC458" s="27" t="str">
        <f t="shared" si="685"/>
        <v/>
      </c>
      <c r="AD458" s="29" t="str">
        <f t="shared" si="686"/>
        <v/>
      </c>
      <c r="AE458" s="30" t="str">
        <f t="shared" si="687"/>
        <v/>
      </c>
      <c r="AG458" s="4"/>
      <c r="AH458" s="31" t="e">
        <f t="shared" si="688"/>
        <v>#VALUE!</v>
      </c>
      <c r="AI458" s="31" t="e">
        <f t="shared" si="689"/>
        <v>#VALUE!</v>
      </c>
      <c r="AJ458" s="31" t="e">
        <f t="shared" si="690"/>
        <v>#VALUE!</v>
      </c>
      <c r="AK458" s="31" t="e">
        <f t="shared" si="691"/>
        <v>#VALUE!</v>
      </c>
      <c r="AL458" s="31" t="e">
        <f t="shared" si="692"/>
        <v>#VALUE!</v>
      </c>
      <c r="AM458" s="31" t="e">
        <f t="shared" si="693"/>
        <v>#VALUE!</v>
      </c>
      <c r="AN458" s="32" t="str">
        <f t="shared" si="694"/>
        <v/>
      </c>
      <c r="AO458" s="27" t="str">
        <f t="shared" si="695"/>
        <v/>
      </c>
      <c r="AP458" s="27" t="str">
        <f t="shared" si="696"/>
        <v/>
      </c>
      <c r="AQ458" s="27">
        <f t="shared" si="697"/>
        <v>0</v>
      </c>
      <c r="AR458" s="27">
        <f t="shared" si="698"/>
        <v>0</v>
      </c>
      <c r="AS458" s="33">
        <f t="shared" si="699"/>
        <v>0</v>
      </c>
    </row>
    <row r="459" spans="2:45" hidden="1" x14ac:dyDescent="0.25">
      <c r="B459" s="34">
        <f t="shared" ref="B459:F459" si="703">IF(B458="","",B458)</f>
        <v>250</v>
      </c>
      <c r="C459" s="26">
        <f t="shared" si="703"/>
        <v>20</v>
      </c>
      <c r="D459" s="26">
        <f t="shared" si="703"/>
        <v>0</v>
      </c>
      <c r="E459" s="26">
        <f t="shared" si="703"/>
        <v>0</v>
      </c>
      <c r="F459" s="26">
        <f t="shared" si="703"/>
        <v>-1630</v>
      </c>
      <c r="G459" s="24"/>
      <c r="H459" s="24"/>
      <c r="I459" s="24"/>
      <c r="J459" s="24"/>
      <c r="K459" s="24"/>
      <c r="L459" s="24"/>
      <c r="M459" s="44" t="str">
        <f t="shared" si="668"/>
        <v/>
      </c>
      <c r="N459" s="26" t="str">
        <f t="shared" si="670"/>
        <v/>
      </c>
      <c r="O459" s="26" t="str">
        <f t="shared" si="671"/>
        <v/>
      </c>
      <c r="P459" s="26" t="str">
        <f t="shared" si="672"/>
        <v/>
      </c>
      <c r="Q459" s="26">
        <f t="shared" si="673"/>
        <v>0</v>
      </c>
      <c r="R459" s="26">
        <f t="shared" si="674"/>
        <v>0</v>
      </c>
      <c r="S459" s="26">
        <f t="shared" si="675"/>
        <v>0</v>
      </c>
      <c r="T459" s="26" t="str">
        <f t="shared" si="676"/>
        <v/>
      </c>
      <c r="U459" s="26" t="str">
        <f t="shared" si="677"/>
        <v/>
      </c>
      <c r="V459" s="26" t="str">
        <f t="shared" si="678"/>
        <v/>
      </c>
      <c r="W459" s="27" t="str">
        <f t="shared" si="679"/>
        <v/>
      </c>
      <c r="X459" s="27" t="str">
        <f t="shared" si="680"/>
        <v/>
      </c>
      <c r="Y459" s="28" t="str">
        <f t="shared" si="681"/>
        <v/>
      </c>
      <c r="Z459" s="27" t="str">
        <f t="shared" si="682"/>
        <v/>
      </c>
      <c r="AA459" s="27" t="str">
        <f t="shared" si="683"/>
        <v/>
      </c>
      <c r="AB459" s="27" t="str">
        <f t="shared" si="684"/>
        <v/>
      </c>
      <c r="AC459" s="27" t="str">
        <f t="shared" si="685"/>
        <v/>
      </c>
      <c r="AD459" s="29" t="str">
        <f t="shared" si="686"/>
        <v/>
      </c>
      <c r="AE459" s="30" t="str">
        <f t="shared" si="687"/>
        <v/>
      </c>
      <c r="AG459" s="4"/>
      <c r="AH459" s="31" t="e">
        <f t="shared" si="688"/>
        <v>#VALUE!</v>
      </c>
      <c r="AI459" s="31" t="e">
        <f t="shared" si="689"/>
        <v>#VALUE!</v>
      </c>
      <c r="AJ459" s="31" t="e">
        <f t="shared" si="690"/>
        <v>#VALUE!</v>
      </c>
      <c r="AK459" s="31" t="e">
        <f t="shared" si="691"/>
        <v>#VALUE!</v>
      </c>
      <c r="AL459" s="31" t="e">
        <f t="shared" si="692"/>
        <v>#VALUE!</v>
      </c>
      <c r="AM459" s="31" t="e">
        <f t="shared" si="693"/>
        <v>#VALUE!</v>
      </c>
      <c r="AN459" s="32" t="str">
        <f t="shared" si="694"/>
        <v/>
      </c>
      <c r="AO459" s="27" t="str">
        <f t="shared" si="695"/>
        <v/>
      </c>
      <c r="AP459" s="27" t="str">
        <f t="shared" si="696"/>
        <v/>
      </c>
      <c r="AQ459" s="27">
        <f t="shared" si="697"/>
        <v>0</v>
      </c>
      <c r="AR459" s="27">
        <f t="shared" si="698"/>
        <v>0</v>
      </c>
      <c r="AS459" s="33">
        <f t="shared" si="699"/>
        <v>0</v>
      </c>
    </row>
    <row r="460" spans="2:45" hidden="1" x14ac:dyDescent="0.25">
      <c r="B460" s="34">
        <f t="shared" ref="B460:F460" si="704">IF(B459="","",B459)</f>
        <v>250</v>
      </c>
      <c r="C460" s="26">
        <f t="shared" si="704"/>
        <v>20</v>
      </c>
      <c r="D460" s="26">
        <f t="shared" si="704"/>
        <v>0</v>
      </c>
      <c r="E460" s="26">
        <f t="shared" si="704"/>
        <v>0</v>
      </c>
      <c r="F460" s="26">
        <f t="shared" si="704"/>
        <v>-1630</v>
      </c>
      <c r="G460" s="24"/>
      <c r="H460" s="24"/>
      <c r="I460" s="24"/>
      <c r="J460" s="24"/>
      <c r="K460" s="24"/>
      <c r="L460" s="24"/>
      <c r="M460" s="44" t="str">
        <f t="shared" si="668"/>
        <v/>
      </c>
      <c r="N460" s="26" t="str">
        <f t="shared" si="670"/>
        <v/>
      </c>
      <c r="O460" s="26" t="str">
        <f t="shared" si="671"/>
        <v/>
      </c>
      <c r="P460" s="26" t="str">
        <f t="shared" si="672"/>
        <v/>
      </c>
      <c r="Q460" s="26">
        <f t="shared" si="673"/>
        <v>0</v>
      </c>
      <c r="R460" s="26">
        <f t="shared" si="674"/>
        <v>0</v>
      </c>
      <c r="S460" s="26">
        <f t="shared" si="675"/>
        <v>0</v>
      </c>
      <c r="T460" s="26" t="str">
        <f t="shared" si="676"/>
        <v/>
      </c>
      <c r="U460" s="26" t="str">
        <f t="shared" si="677"/>
        <v/>
      </c>
      <c r="V460" s="26" t="str">
        <f t="shared" si="678"/>
        <v/>
      </c>
      <c r="W460" s="27" t="str">
        <f t="shared" si="679"/>
        <v/>
      </c>
      <c r="X460" s="27" t="str">
        <f t="shared" si="680"/>
        <v/>
      </c>
      <c r="Y460" s="28" t="str">
        <f t="shared" si="681"/>
        <v/>
      </c>
      <c r="Z460" s="27" t="str">
        <f t="shared" si="682"/>
        <v/>
      </c>
      <c r="AA460" s="27" t="str">
        <f t="shared" si="683"/>
        <v/>
      </c>
      <c r="AB460" s="27" t="str">
        <f t="shared" si="684"/>
        <v/>
      </c>
      <c r="AC460" s="27" t="str">
        <f t="shared" si="685"/>
        <v/>
      </c>
      <c r="AD460" s="29" t="str">
        <f t="shared" si="686"/>
        <v/>
      </c>
      <c r="AE460" s="30" t="str">
        <f t="shared" si="687"/>
        <v/>
      </c>
      <c r="AG460" s="4"/>
      <c r="AH460" s="31" t="e">
        <f t="shared" si="688"/>
        <v>#VALUE!</v>
      </c>
      <c r="AI460" s="31" t="e">
        <f t="shared" si="689"/>
        <v>#VALUE!</v>
      </c>
      <c r="AJ460" s="31" t="e">
        <f t="shared" si="690"/>
        <v>#VALUE!</v>
      </c>
      <c r="AK460" s="31" t="e">
        <f t="shared" si="691"/>
        <v>#VALUE!</v>
      </c>
      <c r="AL460" s="31" t="e">
        <f t="shared" si="692"/>
        <v>#VALUE!</v>
      </c>
      <c r="AM460" s="31" t="e">
        <f t="shared" si="693"/>
        <v>#VALUE!</v>
      </c>
      <c r="AN460" s="32" t="str">
        <f t="shared" si="694"/>
        <v/>
      </c>
      <c r="AO460" s="27" t="str">
        <f t="shared" si="695"/>
        <v/>
      </c>
      <c r="AP460" s="27" t="str">
        <f t="shared" si="696"/>
        <v/>
      </c>
      <c r="AQ460" s="27">
        <f t="shared" si="697"/>
        <v>0</v>
      </c>
      <c r="AR460" s="27">
        <f t="shared" si="698"/>
        <v>0</v>
      </c>
      <c r="AS460" s="33">
        <f t="shared" si="699"/>
        <v>0</v>
      </c>
    </row>
    <row r="461" spans="2:45" hidden="1" x14ac:dyDescent="0.25">
      <c r="B461" s="34">
        <f t="shared" ref="B461:F461" si="705">IF(B460="","",B460)</f>
        <v>250</v>
      </c>
      <c r="C461" s="26">
        <f t="shared" si="705"/>
        <v>20</v>
      </c>
      <c r="D461" s="26">
        <f t="shared" si="705"/>
        <v>0</v>
      </c>
      <c r="E461" s="26">
        <f t="shared" si="705"/>
        <v>0</v>
      </c>
      <c r="F461" s="26">
        <f t="shared" si="705"/>
        <v>-1630</v>
      </c>
      <c r="G461" s="24"/>
      <c r="H461" s="24"/>
      <c r="I461" s="24"/>
      <c r="J461" s="24"/>
      <c r="K461" s="24"/>
      <c r="L461" s="24"/>
      <c r="M461" s="44" t="str">
        <f t="shared" si="668"/>
        <v/>
      </c>
      <c r="N461" s="26" t="str">
        <f t="shared" si="670"/>
        <v/>
      </c>
      <c r="O461" s="26" t="str">
        <f t="shared" si="671"/>
        <v/>
      </c>
      <c r="P461" s="26" t="str">
        <f t="shared" si="672"/>
        <v/>
      </c>
      <c r="Q461" s="26">
        <f t="shared" si="673"/>
        <v>0</v>
      </c>
      <c r="R461" s="26">
        <f t="shared" si="674"/>
        <v>0</v>
      </c>
      <c r="S461" s="26">
        <f t="shared" si="675"/>
        <v>0</v>
      </c>
      <c r="T461" s="26" t="str">
        <f t="shared" si="676"/>
        <v/>
      </c>
      <c r="U461" s="26" t="str">
        <f t="shared" si="677"/>
        <v/>
      </c>
      <c r="V461" s="26" t="str">
        <f t="shared" si="678"/>
        <v/>
      </c>
      <c r="W461" s="27" t="str">
        <f t="shared" si="679"/>
        <v/>
      </c>
      <c r="X461" s="27" t="str">
        <f t="shared" si="680"/>
        <v/>
      </c>
      <c r="Y461" s="28" t="str">
        <f t="shared" si="681"/>
        <v/>
      </c>
      <c r="Z461" s="27" t="str">
        <f t="shared" si="682"/>
        <v/>
      </c>
      <c r="AA461" s="27" t="str">
        <f t="shared" si="683"/>
        <v/>
      </c>
      <c r="AB461" s="27" t="str">
        <f t="shared" si="684"/>
        <v/>
      </c>
      <c r="AC461" s="27" t="str">
        <f t="shared" si="685"/>
        <v/>
      </c>
      <c r="AD461" s="29" t="str">
        <f t="shared" si="686"/>
        <v/>
      </c>
      <c r="AE461" s="30" t="str">
        <f t="shared" si="687"/>
        <v/>
      </c>
      <c r="AG461" s="4"/>
      <c r="AH461" s="31" t="e">
        <f t="shared" si="688"/>
        <v>#VALUE!</v>
      </c>
      <c r="AI461" s="31" t="e">
        <f t="shared" si="689"/>
        <v>#VALUE!</v>
      </c>
      <c r="AJ461" s="31" t="e">
        <f t="shared" si="690"/>
        <v>#VALUE!</v>
      </c>
      <c r="AK461" s="31" t="e">
        <f t="shared" si="691"/>
        <v>#VALUE!</v>
      </c>
      <c r="AL461" s="31" t="e">
        <f t="shared" si="692"/>
        <v>#VALUE!</v>
      </c>
      <c r="AM461" s="31" t="e">
        <f t="shared" si="693"/>
        <v>#VALUE!</v>
      </c>
      <c r="AN461" s="32" t="str">
        <f t="shared" si="694"/>
        <v/>
      </c>
      <c r="AO461" s="27" t="str">
        <f t="shared" si="695"/>
        <v/>
      </c>
      <c r="AP461" s="27" t="str">
        <f t="shared" si="696"/>
        <v/>
      </c>
      <c r="AQ461" s="27">
        <f t="shared" si="697"/>
        <v>0</v>
      </c>
      <c r="AR461" s="27">
        <f t="shared" si="698"/>
        <v>0</v>
      </c>
      <c r="AS461" s="33">
        <f t="shared" si="699"/>
        <v>0</v>
      </c>
    </row>
    <row r="462" spans="2:45" hidden="1" x14ac:dyDescent="0.25">
      <c r="B462" s="34">
        <f t="shared" ref="B462:F462" si="706">IF(B461="","",B461)</f>
        <v>250</v>
      </c>
      <c r="C462" s="26">
        <f t="shared" si="706"/>
        <v>20</v>
      </c>
      <c r="D462" s="26">
        <f t="shared" si="706"/>
        <v>0</v>
      </c>
      <c r="E462" s="26">
        <f t="shared" si="706"/>
        <v>0</v>
      </c>
      <c r="F462" s="26">
        <f t="shared" si="706"/>
        <v>-1630</v>
      </c>
      <c r="G462" s="24"/>
      <c r="H462" s="24"/>
      <c r="I462" s="24"/>
      <c r="J462" s="24"/>
      <c r="K462" s="24"/>
      <c r="L462" s="24"/>
      <c r="M462" s="44" t="str">
        <f t="shared" si="668"/>
        <v/>
      </c>
      <c r="N462" s="26" t="str">
        <f t="shared" si="670"/>
        <v/>
      </c>
      <c r="O462" s="26" t="str">
        <f t="shared" si="671"/>
        <v/>
      </c>
      <c r="P462" s="26" t="str">
        <f t="shared" si="672"/>
        <v/>
      </c>
      <c r="Q462" s="26">
        <f t="shared" si="673"/>
        <v>0</v>
      </c>
      <c r="R462" s="26">
        <f t="shared" si="674"/>
        <v>0</v>
      </c>
      <c r="S462" s="26">
        <f t="shared" si="675"/>
        <v>0</v>
      </c>
      <c r="T462" s="26" t="str">
        <f t="shared" si="676"/>
        <v/>
      </c>
      <c r="U462" s="26" t="str">
        <f t="shared" si="677"/>
        <v/>
      </c>
      <c r="V462" s="26" t="str">
        <f t="shared" si="678"/>
        <v/>
      </c>
      <c r="W462" s="27" t="str">
        <f t="shared" si="679"/>
        <v/>
      </c>
      <c r="X462" s="27" t="str">
        <f t="shared" si="680"/>
        <v/>
      </c>
      <c r="Y462" s="28" t="str">
        <f t="shared" si="681"/>
        <v/>
      </c>
      <c r="Z462" s="27" t="str">
        <f t="shared" si="682"/>
        <v/>
      </c>
      <c r="AA462" s="27" t="str">
        <f t="shared" si="683"/>
        <v/>
      </c>
      <c r="AB462" s="27" t="str">
        <f t="shared" si="684"/>
        <v/>
      </c>
      <c r="AC462" s="27" t="str">
        <f t="shared" si="685"/>
        <v/>
      </c>
      <c r="AD462" s="29" t="str">
        <f t="shared" si="686"/>
        <v/>
      </c>
      <c r="AE462" s="30" t="str">
        <f t="shared" si="687"/>
        <v/>
      </c>
      <c r="AG462" s="4"/>
      <c r="AH462" s="31" t="e">
        <f t="shared" si="688"/>
        <v>#VALUE!</v>
      </c>
      <c r="AI462" s="31" t="e">
        <f t="shared" si="689"/>
        <v>#VALUE!</v>
      </c>
      <c r="AJ462" s="31" t="e">
        <f t="shared" si="690"/>
        <v>#VALUE!</v>
      </c>
      <c r="AK462" s="31" t="e">
        <f t="shared" si="691"/>
        <v>#VALUE!</v>
      </c>
      <c r="AL462" s="31" t="e">
        <f t="shared" si="692"/>
        <v>#VALUE!</v>
      </c>
      <c r="AM462" s="31" t="e">
        <f t="shared" si="693"/>
        <v>#VALUE!</v>
      </c>
      <c r="AN462" s="32" t="str">
        <f t="shared" si="694"/>
        <v/>
      </c>
      <c r="AO462" s="27" t="str">
        <f t="shared" si="695"/>
        <v/>
      </c>
      <c r="AP462" s="27" t="str">
        <f t="shared" si="696"/>
        <v/>
      </c>
      <c r="AQ462" s="27">
        <f t="shared" si="697"/>
        <v>0</v>
      </c>
      <c r="AR462" s="27">
        <f t="shared" si="698"/>
        <v>0</v>
      </c>
      <c r="AS462" s="33">
        <f t="shared" si="699"/>
        <v>0</v>
      </c>
    </row>
    <row r="463" spans="2:45" hidden="1" x14ac:dyDescent="0.25">
      <c r="B463" s="34">
        <f t="shared" ref="B463:F463" si="707">IF(B462="","",B462)</f>
        <v>250</v>
      </c>
      <c r="C463" s="26">
        <f t="shared" si="707"/>
        <v>20</v>
      </c>
      <c r="D463" s="26">
        <f t="shared" si="707"/>
        <v>0</v>
      </c>
      <c r="E463" s="26">
        <f t="shared" si="707"/>
        <v>0</v>
      </c>
      <c r="F463" s="26">
        <f t="shared" si="707"/>
        <v>-1630</v>
      </c>
      <c r="G463" s="24"/>
      <c r="H463" s="24"/>
      <c r="I463" s="24"/>
      <c r="J463" s="24"/>
      <c r="K463" s="24"/>
      <c r="L463" s="24"/>
      <c r="M463" s="44" t="str">
        <f t="shared" si="668"/>
        <v/>
      </c>
      <c r="N463" s="26" t="str">
        <f t="shared" si="670"/>
        <v/>
      </c>
      <c r="O463" s="26" t="str">
        <f t="shared" si="671"/>
        <v/>
      </c>
      <c r="P463" s="26" t="str">
        <f t="shared" si="672"/>
        <v/>
      </c>
      <c r="Q463" s="26">
        <f t="shared" si="673"/>
        <v>0</v>
      </c>
      <c r="R463" s="26">
        <f t="shared" si="674"/>
        <v>0</v>
      </c>
      <c r="S463" s="26">
        <f t="shared" si="675"/>
        <v>0</v>
      </c>
      <c r="T463" s="26" t="str">
        <f t="shared" si="676"/>
        <v/>
      </c>
      <c r="U463" s="26" t="str">
        <f t="shared" si="677"/>
        <v/>
      </c>
      <c r="V463" s="26" t="str">
        <f t="shared" si="678"/>
        <v/>
      </c>
      <c r="W463" s="27" t="str">
        <f t="shared" si="679"/>
        <v/>
      </c>
      <c r="X463" s="27" t="str">
        <f t="shared" si="680"/>
        <v/>
      </c>
      <c r="Y463" s="28" t="str">
        <f t="shared" si="681"/>
        <v/>
      </c>
      <c r="Z463" s="27" t="str">
        <f t="shared" si="682"/>
        <v/>
      </c>
      <c r="AA463" s="27" t="str">
        <f t="shared" si="683"/>
        <v/>
      </c>
      <c r="AB463" s="27" t="str">
        <f t="shared" si="684"/>
        <v/>
      </c>
      <c r="AC463" s="27" t="str">
        <f t="shared" si="685"/>
        <v/>
      </c>
      <c r="AD463" s="29" t="str">
        <f t="shared" si="686"/>
        <v/>
      </c>
      <c r="AE463" s="30" t="str">
        <f t="shared" si="687"/>
        <v/>
      </c>
      <c r="AG463" s="4"/>
      <c r="AH463" s="31" t="e">
        <f t="shared" si="688"/>
        <v>#VALUE!</v>
      </c>
      <c r="AI463" s="31" t="e">
        <f t="shared" si="689"/>
        <v>#VALUE!</v>
      </c>
      <c r="AJ463" s="31" t="e">
        <f t="shared" si="690"/>
        <v>#VALUE!</v>
      </c>
      <c r="AK463" s="31" t="e">
        <f t="shared" si="691"/>
        <v>#VALUE!</v>
      </c>
      <c r="AL463" s="31" t="e">
        <f t="shared" si="692"/>
        <v>#VALUE!</v>
      </c>
      <c r="AM463" s="31" t="e">
        <f t="shared" si="693"/>
        <v>#VALUE!</v>
      </c>
      <c r="AN463" s="32" t="str">
        <f t="shared" si="694"/>
        <v/>
      </c>
      <c r="AO463" s="27" t="str">
        <f t="shared" si="695"/>
        <v/>
      </c>
      <c r="AP463" s="27" t="str">
        <f t="shared" si="696"/>
        <v/>
      </c>
      <c r="AQ463" s="27">
        <f t="shared" si="697"/>
        <v>0</v>
      </c>
      <c r="AR463" s="27">
        <f t="shared" si="698"/>
        <v>0</v>
      </c>
      <c r="AS463" s="33">
        <f t="shared" si="699"/>
        <v>0</v>
      </c>
    </row>
    <row r="464" spans="2:45" hidden="1" x14ac:dyDescent="0.25">
      <c r="B464" s="34">
        <f t="shared" ref="B464:F464" si="708">IF(B463="","",B463)</f>
        <v>250</v>
      </c>
      <c r="C464" s="26">
        <f t="shared" si="708"/>
        <v>20</v>
      </c>
      <c r="D464" s="26">
        <f t="shared" si="708"/>
        <v>0</v>
      </c>
      <c r="E464" s="26">
        <f t="shared" si="708"/>
        <v>0</v>
      </c>
      <c r="F464" s="26">
        <f t="shared" si="708"/>
        <v>-1630</v>
      </c>
      <c r="G464" s="24"/>
      <c r="H464" s="24"/>
      <c r="I464" s="24"/>
      <c r="J464" s="24"/>
      <c r="K464" s="24"/>
      <c r="L464" s="24"/>
      <c r="M464" s="44" t="str">
        <f t="shared" si="668"/>
        <v/>
      </c>
      <c r="N464" s="26" t="str">
        <f t="shared" si="670"/>
        <v/>
      </c>
      <c r="O464" s="26" t="str">
        <f t="shared" si="671"/>
        <v/>
      </c>
      <c r="P464" s="26" t="str">
        <f t="shared" si="672"/>
        <v/>
      </c>
      <c r="Q464" s="26">
        <f t="shared" si="673"/>
        <v>0</v>
      </c>
      <c r="R464" s="26">
        <f t="shared" si="674"/>
        <v>0</v>
      </c>
      <c r="S464" s="26">
        <f t="shared" si="675"/>
        <v>0</v>
      </c>
      <c r="T464" s="26" t="str">
        <f t="shared" si="676"/>
        <v/>
      </c>
      <c r="U464" s="26" t="str">
        <f t="shared" si="677"/>
        <v/>
      </c>
      <c r="V464" s="26" t="str">
        <f t="shared" si="678"/>
        <v/>
      </c>
      <c r="W464" s="27" t="str">
        <f t="shared" si="679"/>
        <v/>
      </c>
      <c r="X464" s="27" t="str">
        <f t="shared" si="680"/>
        <v/>
      </c>
      <c r="Y464" s="28" t="str">
        <f t="shared" si="681"/>
        <v/>
      </c>
      <c r="Z464" s="27" t="str">
        <f t="shared" si="682"/>
        <v/>
      </c>
      <c r="AA464" s="27" t="str">
        <f t="shared" si="683"/>
        <v/>
      </c>
      <c r="AB464" s="27" t="str">
        <f t="shared" si="684"/>
        <v/>
      </c>
      <c r="AC464" s="27" t="str">
        <f t="shared" si="685"/>
        <v/>
      </c>
      <c r="AD464" s="29" t="str">
        <f t="shared" si="686"/>
        <v/>
      </c>
      <c r="AE464" s="30" t="str">
        <f t="shared" si="687"/>
        <v/>
      </c>
      <c r="AG464" s="4"/>
      <c r="AH464" s="31" t="e">
        <f t="shared" si="688"/>
        <v>#VALUE!</v>
      </c>
      <c r="AI464" s="31" t="e">
        <f t="shared" si="689"/>
        <v>#VALUE!</v>
      </c>
      <c r="AJ464" s="31" t="e">
        <f t="shared" si="690"/>
        <v>#VALUE!</v>
      </c>
      <c r="AK464" s="31" t="e">
        <f t="shared" si="691"/>
        <v>#VALUE!</v>
      </c>
      <c r="AL464" s="31" t="e">
        <f t="shared" si="692"/>
        <v>#VALUE!</v>
      </c>
      <c r="AM464" s="31" t="e">
        <f t="shared" si="693"/>
        <v>#VALUE!</v>
      </c>
      <c r="AN464" s="32" t="str">
        <f t="shared" si="694"/>
        <v/>
      </c>
      <c r="AO464" s="27" t="str">
        <f t="shared" si="695"/>
        <v/>
      </c>
      <c r="AP464" s="27" t="str">
        <f t="shared" si="696"/>
        <v/>
      </c>
      <c r="AQ464" s="27">
        <f t="shared" si="697"/>
        <v>0</v>
      </c>
      <c r="AR464" s="27">
        <f t="shared" si="698"/>
        <v>0</v>
      </c>
      <c r="AS464" s="33">
        <f t="shared" si="699"/>
        <v>0</v>
      </c>
    </row>
    <row r="465" spans="2:45" hidden="1" x14ac:dyDescent="0.25">
      <c r="B465" s="34">
        <f t="shared" ref="B465:F465" si="709">IF(B464="","",B464)</f>
        <v>250</v>
      </c>
      <c r="C465" s="26">
        <f t="shared" si="709"/>
        <v>20</v>
      </c>
      <c r="D465" s="26">
        <f t="shared" si="709"/>
        <v>0</v>
      </c>
      <c r="E465" s="26">
        <f t="shared" si="709"/>
        <v>0</v>
      </c>
      <c r="F465" s="26">
        <f t="shared" si="709"/>
        <v>-1630</v>
      </c>
      <c r="G465" s="24"/>
      <c r="H465" s="24"/>
      <c r="I465" s="24"/>
      <c r="J465" s="24"/>
      <c r="K465" s="24"/>
      <c r="L465" s="24"/>
      <c r="M465" s="44" t="str">
        <f t="shared" si="668"/>
        <v/>
      </c>
      <c r="N465" s="26" t="str">
        <f t="shared" si="670"/>
        <v/>
      </c>
      <c r="O465" s="26" t="str">
        <f t="shared" si="671"/>
        <v/>
      </c>
      <c r="P465" s="26" t="str">
        <f t="shared" si="672"/>
        <v/>
      </c>
      <c r="Q465" s="26">
        <f t="shared" si="673"/>
        <v>0</v>
      </c>
      <c r="R465" s="26">
        <f t="shared" si="674"/>
        <v>0</v>
      </c>
      <c r="S465" s="26">
        <f t="shared" si="675"/>
        <v>0</v>
      </c>
      <c r="T465" s="26" t="str">
        <f t="shared" si="676"/>
        <v/>
      </c>
      <c r="U465" s="26" t="str">
        <f t="shared" si="677"/>
        <v/>
      </c>
      <c r="V465" s="26" t="str">
        <f t="shared" si="678"/>
        <v/>
      </c>
      <c r="W465" s="27" t="str">
        <f t="shared" si="679"/>
        <v/>
      </c>
      <c r="X465" s="27" t="str">
        <f t="shared" si="680"/>
        <v/>
      </c>
      <c r="Y465" s="28" t="str">
        <f t="shared" si="681"/>
        <v/>
      </c>
      <c r="Z465" s="27" t="str">
        <f t="shared" si="682"/>
        <v/>
      </c>
      <c r="AA465" s="27" t="str">
        <f t="shared" si="683"/>
        <v/>
      </c>
      <c r="AB465" s="27" t="str">
        <f t="shared" si="684"/>
        <v/>
      </c>
      <c r="AC465" s="27" t="str">
        <f t="shared" si="685"/>
        <v/>
      </c>
      <c r="AD465" s="29" t="str">
        <f t="shared" si="686"/>
        <v/>
      </c>
      <c r="AE465" s="30" t="str">
        <f t="shared" si="687"/>
        <v/>
      </c>
      <c r="AG465" s="4"/>
      <c r="AH465" s="31" t="e">
        <f t="shared" si="688"/>
        <v>#VALUE!</v>
      </c>
      <c r="AI465" s="31" t="e">
        <f t="shared" si="689"/>
        <v>#VALUE!</v>
      </c>
      <c r="AJ465" s="31" t="e">
        <f t="shared" si="690"/>
        <v>#VALUE!</v>
      </c>
      <c r="AK465" s="31" t="e">
        <f t="shared" si="691"/>
        <v>#VALUE!</v>
      </c>
      <c r="AL465" s="31" t="e">
        <f t="shared" si="692"/>
        <v>#VALUE!</v>
      </c>
      <c r="AM465" s="31" t="e">
        <f t="shared" si="693"/>
        <v>#VALUE!</v>
      </c>
      <c r="AN465" s="32" t="str">
        <f t="shared" si="694"/>
        <v/>
      </c>
      <c r="AO465" s="27" t="str">
        <f t="shared" si="695"/>
        <v/>
      </c>
      <c r="AP465" s="27" t="str">
        <f t="shared" si="696"/>
        <v/>
      </c>
      <c r="AQ465" s="27">
        <f t="shared" si="697"/>
        <v>0</v>
      </c>
      <c r="AR465" s="27">
        <f t="shared" si="698"/>
        <v>0</v>
      </c>
      <c r="AS465" s="33">
        <f t="shared" si="699"/>
        <v>0</v>
      </c>
    </row>
    <row r="466" spans="2:45" hidden="1" x14ac:dyDescent="0.25">
      <c r="B466" s="34">
        <f t="shared" ref="B466:F466" si="710">IF(B465="","",B465)</f>
        <v>250</v>
      </c>
      <c r="C466" s="26">
        <f t="shared" si="710"/>
        <v>20</v>
      </c>
      <c r="D466" s="26">
        <f t="shared" si="710"/>
        <v>0</v>
      </c>
      <c r="E466" s="26">
        <f t="shared" si="710"/>
        <v>0</v>
      </c>
      <c r="F466" s="26">
        <f t="shared" si="710"/>
        <v>-1630</v>
      </c>
      <c r="G466" s="24"/>
      <c r="H466" s="24"/>
      <c r="I466" s="24"/>
      <c r="J466" s="24"/>
      <c r="K466" s="24"/>
      <c r="L466" s="24"/>
      <c r="M466" s="44" t="str">
        <f t="shared" ref="M466:M474" si="711">IF(B466="","",IF(M266="","",M266))</f>
        <v/>
      </c>
      <c r="N466" s="26" t="str">
        <f t="shared" si="670"/>
        <v/>
      </c>
      <c r="O466" s="26" t="str">
        <f t="shared" si="671"/>
        <v/>
      </c>
      <c r="P466" s="26" t="str">
        <f t="shared" si="672"/>
        <v/>
      </c>
      <c r="Q466" s="26">
        <f t="shared" si="673"/>
        <v>0</v>
      </c>
      <c r="R466" s="26">
        <f t="shared" si="674"/>
        <v>0</v>
      </c>
      <c r="S466" s="26">
        <f t="shared" si="675"/>
        <v>0</v>
      </c>
      <c r="T466" s="26" t="str">
        <f t="shared" si="676"/>
        <v/>
      </c>
      <c r="U466" s="26" t="str">
        <f t="shared" si="677"/>
        <v/>
      </c>
      <c r="V466" s="26" t="str">
        <f t="shared" si="678"/>
        <v/>
      </c>
      <c r="W466" s="27" t="str">
        <f t="shared" si="679"/>
        <v/>
      </c>
      <c r="X466" s="27" t="str">
        <f t="shared" si="680"/>
        <v/>
      </c>
      <c r="Y466" s="28" t="str">
        <f t="shared" si="681"/>
        <v/>
      </c>
      <c r="Z466" s="27" t="str">
        <f t="shared" si="682"/>
        <v/>
      </c>
      <c r="AA466" s="27" t="str">
        <f t="shared" si="683"/>
        <v/>
      </c>
      <c r="AB466" s="27" t="str">
        <f t="shared" si="684"/>
        <v/>
      </c>
      <c r="AC466" s="27" t="str">
        <f t="shared" si="685"/>
        <v/>
      </c>
      <c r="AD466" s="29" t="str">
        <f t="shared" si="686"/>
        <v/>
      </c>
      <c r="AE466" s="30" t="str">
        <f t="shared" si="687"/>
        <v/>
      </c>
      <c r="AG466" s="4"/>
      <c r="AH466" s="31" t="e">
        <f t="shared" si="688"/>
        <v>#VALUE!</v>
      </c>
      <c r="AI466" s="31" t="e">
        <f t="shared" si="689"/>
        <v>#VALUE!</v>
      </c>
      <c r="AJ466" s="31" t="e">
        <f t="shared" si="690"/>
        <v>#VALUE!</v>
      </c>
      <c r="AK466" s="31" t="e">
        <f t="shared" si="691"/>
        <v>#VALUE!</v>
      </c>
      <c r="AL466" s="31" t="e">
        <f t="shared" si="692"/>
        <v>#VALUE!</v>
      </c>
      <c r="AM466" s="31" t="e">
        <f t="shared" si="693"/>
        <v>#VALUE!</v>
      </c>
      <c r="AN466" s="32" t="str">
        <f t="shared" si="694"/>
        <v/>
      </c>
      <c r="AO466" s="27" t="str">
        <f t="shared" si="695"/>
        <v/>
      </c>
      <c r="AP466" s="27" t="str">
        <f t="shared" si="696"/>
        <v/>
      </c>
      <c r="AQ466" s="27">
        <f t="shared" si="697"/>
        <v>0</v>
      </c>
      <c r="AR466" s="27">
        <f t="shared" si="698"/>
        <v>0</v>
      </c>
      <c r="AS466" s="33">
        <f t="shared" si="699"/>
        <v>0</v>
      </c>
    </row>
    <row r="467" spans="2:45" hidden="1" x14ac:dyDescent="0.25">
      <c r="B467" s="34">
        <f t="shared" ref="B467:F467" si="712">IF(B466="","",B466)</f>
        <v>250</v>
      </c>
      <c r="C467" s="26">
        <f t="shared" si="712"/>
        <v>20</v>
      </c>
      <c r="D467" s="26">
        <f t="shared" si="712"/>
        <v>0</v>
      </c>
      <c r="E467" s="26">
        <f t="shared" si="712"/>
        <v>0</v>
      </c>
      <c r="F467" s="26">
        <f t="shared" si="712"/>
        <v>-1630</v>
      </c>
      <c r="G467" s="24"/>
      <c r="H467" s="24"/>
      <c r="I467" s="24"/>
      <c r="J467" s="24"/>
      <c r="K467" s="24"/>
      <c r="L467" s="24"/>
      <c r="M467" s="44" t="str">
        <f t="shared" si="711"/>
        <v/>
      </c>
      <c r="N467" s="26" t="str">
        <f t="shared" si="670"/>
        <v/>
      </c>
      <c r="O467" s="26" t="str">
        <f t="shared" si="671"/>
        <v/>
      </c>
      <c r="P467" s="26" t="str">
        <f t="shared" si="672"/>
        <v/>
      </c>
      <c r="Q467" s="26">
        <f t="shared" si="673"/>
        <v>0</v>
      </c>
      <c r="R467" s="26">
        <f t="shared" si="674"/>
        <v>0</v>
      </c>
      <c r="S467" s="26">
        <f t="shared" si="675"/>
        <v>0</v>
      </c>
      <c r="T467" s="26" t="str">
        <f t="shared" si="676"/>
        <v/>
      </c>
      <c r="U467" s="26" t="str">
        <f t="shared" si="677"/>
        <v/>
      </c>
      <c r="V467" s="26" t="str">
        <f t="shared" si="678"/>
        <v/>
      </c>
      <c r="W467" s="27" t="str">
        <f t="shared" si="679"/>
        <v/>
      </c>
      <c r="X467" s="27" t="str">
        <f t="shared" si="680"/>
        <v/>
      </c>
      <c r="Y467" s="28" t="str">
        <f t="shared" si="681"/>
        <v/>
      </c>
      <c r="Z467" s="27" t="str">
        <f t="shared" si="682"/>
        <v/>
      </c>
      <c r="AA467" s="27" t="str">
        <f t="shared" si="683"/>
        <v/>
      </c>
      <c r="AB467" s="27" t="str">
        <f t="shared" si="684"/>
        <v/>
      </c>
      <c r="AC467" s="27" t="str">
        <f t="shared" si="685"/>
        <v/>
      </c>
      <c r="AD467" s="29" t="str">
        <f t="shared" si="686"/>
        <v/>
      </c>
      <c r="AE467" s="30" t="str">
        <f t="shared" si="687"/>
        <v/>
      </c>
      <c r="AG467" s="4"/>
      <c r="AH467" s="31" t="e">
        <f t="shared" si="688"/>
        <v>#VALUE!</v>
      </c>
      <c r="AI467" s="31" t="e">
        <f t="shared" si="689"/>
        <v>#VALUE!</v>
      </c>
      <c r="AJ467" s="31" t="e">
        <f t="shared" si="690"/>
        <v>#VALUE!</v>
      </c>
      <c r="AK467" s="31" t="e">
        <f t="shared" si="691"/>
        <v>#VALUE!</v>
      </c>
      <c r="AL467" s="31" t="e">
        <f t="shared" si="692"/>
        <v>#VALUE!</v>
      </c>
      <c r="AM467" s="31" t="e">
        <f t="shared" si="693"/>
        <v>#VALUE!</v>
      </c>
      <c r="AN467" s="32" t="str">
        <f t="shared" si="694"/>
        <v/>
      </c>
      <c r="AO467" s="27" t="str">
        <f t="shared" si="695"/>
        <v/>
      </c>
      <c r="AP467" s="27" t="str">
        <f t="shared" si="696"/>
        <v/>
      </c>
      <c r="AQ467" s="27">
        <f t="shared" si="697"/>
        <v>0</v>
      </c>
      <c r="AR467" s="27">
        <f t="shared" si="698"/>
        <v>0</v>
      </c>
      <c r="AS467" s="33">
        <f t="shared" si="699"/>
        <v>0</v>
      </c>
    </row>
    <row r="468" spans="2:45" hidden="1" x14ac:dyDescent="0.25">
      <c r="B468" s="34">
        <f t="shared" ref="B468:F468" si="713">IF(B467="","",B467)</f>
        <v>250</v>
      </c>
      <c r="C468" s="26">
        <f t="shared" si="713"/>
        <v>20</v>
      </c>
      <c r="D468" s="26">
        <f t="shared" si="713"/>
        <v>0</v>
      </c>
      <c r="E468" s="26">
        <f t="shared" si="713"/>
        <v>0</v>
      </c>
      <c r="F468" s="26">
        <f t="shared" si="713"/>
        <v>-1630</v>
      </c>
      <c r="G468" s="24"/>
      <c r="H468" s="24"/>
      <c r="I468" s="24"/>
      <c r="J468" s="24"/>
      <c r="K468" s="24"/>
      <c r="L468" s="24"/>
      <c r="M468" s="44" t="str">
        <f t="shared" si="711"/>
        <v/>
      </c>
      <c r="N468" s="26" t="str">
        <f t="shared" si="670"/>
        <v/>
      </c>
      <c r="O468" s="26" t="str">
        <f t="shared" si="671"/>
        <v/>
      </c>
      <c r="P468" s="26" t="str">
        <f t="shared" si="672"/>
        <v/>
      </c>
      <c r="Q468" s="26">
        <f t="shared" si="673"/>
        <v>0</v>
      </c>
      <c r="R468" s="26">
        <f t="shared" si="674"/>
        <v>0</v>
      </c>
      <c r="S468" s="26">
        <f t="shared" si="675"/>
        <v>0</v>
      </c>
      <c r="T468" s="26" t="str">
        <f t="shared" si="676"/>
        <v/>
      </c>
      <c r="U468" s="26" t="str">
        <f t="shared" si="677"/>
        <v/>
      </c>
      <c r="V468" s="26" t="str">
        <f t="shared" si="678"/>
        <v/>
      </c>
      <c r="W468" s="27" t="str">
        <f t="shared" si="679"/>
        <v/>
      </c>
      <c r="X468" s="27" t="str">
        <f t="shared" si="680"/>
        <v/>
      </c>
      <c r="Y468" s="28" t="str">
        <f t="shared" si="681"/>
        <v/>
      </c>
      <c r="Z468" s="27" t="str">
        <f t="shared" si="682"/>
        <v/>
      </c>
      <c r="AA468" s="27" t="str">
        <f t="shared" si="683"/>
        <v/>
      </c>
      <c r="AB468" s="27" t="str">
        <f t="shared" si="684"/>
        <v/>
      </c>
      <c r="AC468" s="27" t="str">
        <f t="shared" si="685"/>
        <v/>
      </c>
      <c r="AD468" s="29" t="str">
        <f t="shared" si="686"/>
        <v/>
      </c>
      <c r="AE468" s="30" t="str">
        <f t="shared" si="687"/>
        <v/>
      </c>
      <c r="AG468" s="4"/>
      <c r="AH468" s="31" t="e">
        <f t="shared" si="688"/>
        <v>#VALUE!</v>
      </c>
      <c r="AI468" s="31" t="e">
        <f t="shared" si="689"/>
        <v>#VALUE!</v>
      </c>
      <c r="AJ468" s="31" t="e">
        <f t="shared" si="690"/>
        <v>#VALUE!</v>
      </c>
      <c r="AK468" s="31" t="e">
        <f t="shared" si="691"/>
        <v>#VALUE!</v>
      </c>
      <c r="AL468" s="31" t="e">
        <f t="shared" si="692"/>
        <v>#VALUE!</v>
      </c>
      <c r="AM468" s="31" t="e">
        <f t="shared" si="693"/>
        <v>#VALUE!</v>
      </c>
      <c r="AN468" s="32" t="str">
        <f t="shared" si="694"/>
        <v/>
      </c>
      <c r="AO468" s="27" t="str">
        <f t="shared" si="695"/>
        <v/>
      </c>
      <c r="AP468" s="27" t="str">
        <f t="shared" si="696"/>
        <v/>
      </c>
      <c r="AQ468" s="27">
        <f t="shared" si="697"/>
        <v>0</v>
      </c>
      <c r="AR468" s="27">
        <f t="shared" si="698"/>
        <v>0</v>
      </c>
      <c r="AS468" s="33">
        <f t="shared" si="699"/>
        <v>0</v>
      </c>
    </row>
    <row r="469" spans="2:45" hidden="1" x14ac:dyDescent="0.25">
      <c r="B469" s="34">
        <f t="shared" ref="B469:F469" si="714">IF(B468="","",B468)</f>
        <v>250</v>
      </c>
      <c r="C469" s="26">
        <f t="shared" si="714"/>
        <v>20</v>
      </c>
      <c r="D469" s="26">
        <f t="shared" si="714"/>
        <v>0</v>
      </c>
      <c r="E469" s="26">
        <f t="shared" si="714"/>
        <v>0</v>
      </c>
      <c r="F469" s="26">
        <f t="shared" si="714"/>
        <v>-1630</v>
      </c>
      <c r="G469" s="24"/>
      <c r="H469" s="24"/>
      <c r="I469" s="24"/>
      <c r="J469" s="24"/>
      <c r="K469" s="24"/>
      <c r="L469" s="24"/>
      <c r="M469" s="44" t="str">
        <f t="shared" si="711"/>
        <v/>
      </c>
      <c r="N469" s="26" t="str">
        <f t="shared" si="670"/>
        <v/>
      </c>
      <c r="O469" s="26" t="str">
        <f t="shared" si="671"/>
        <v/>
      </c>
      <c r="P469" s="26" t="str">
        <f t="shared" si="672"/>
        <v/>
      </c>
      <c r="Q469" s="26">
        <f t="shared" si="673"/>
        <v>0</v>
      </c>
      <c r="R469" s="26">
        <f t="shared" si="674"/>
        <v>0</v>
      </c>
      <c r="S469" s="26">
        <f t="shared" si="675"/>
        <v>0</v>
      </c>
      <c r="T469" s="26" t="str">
        <f t="shared" si="676"/>
        <v/>
      </c>
      <c r="U469" s="26" t="str">
        <f t="shared" si="677"/>
        <v/>
      </c>
      <c r="V469" s="26" t="str">
        <f t="shared" si="678"/>
        <v/>
      </c>
      <c r="W469" s="27" t="str">
        <f t="shared" si="679"/>
        <v/>
      </c>
      <c r="X469" s="27" t="str">
        <f t="shared" si="680"/>
        <v/>
      </c>
      <c r="Y469" s="28" t="str">
        <f t="shared" si="681"/>
        <v/>
      </c>
      <c r="Z469" s="27" t="str">
        <f t="shared" si="682"/>
        <v/>
      </c>
      <c r="AA469" s="27" t="str">
        <f t="shared" si="683"/>
        <v/>
      </c>
      <c r="AB469" s="27" t="str">
        <f t="shared" si="684"/>
        <v/>
      </c>
      <c r="AC469" s="27" t="str">
        <f t="shared" si="685"/>
        <v/>
      </c>
      <c r="AD469" s="29" t="str">
        <f t="shared" si="686"/>
        <v/>
      </c>
      <c r="AE469" s="30" t="str">
        <f t="shared" si="687"/>
        <v/>
      </c>
      <c r="AG469" s="4"/>
      <c r="AH469" s="31" t="e">
        <f t="shared" si="688"/>
        <v>#VALUE!</v>
      </c>
      <c r="AI469" s="31" t="e">
        <f t="shared" si="689"/>
        <v>#VALUE!</v>
      </c>
      <c r="AJ469" s="31" t="e">
        <f t="shared" si="690"/>
        <v>#VALUE!</v>
      </c>
      <c r="AK469" s="31" t="e">
        <f t="shared" si="691"/>
        <v>#VALUE!</v>
      </c>
      <c r="AL469" s="31" t="e">
        <f t="shared" si="692"/>
        <v>#VALUE!</v>
      </c>
      <c r="AM469" s="31" t="e">
        <f t="shared" si="693"/>
        <v>#VALUE!</v>
      </c>
      <c r="AN469" s="32" t="str">
        <f t="shared" si="694"/>
        <v/>
      </c>
      <c r="AO469" s="27" t="str">
        <f t="shared" si="695"/>
        <v/>
      </c>
      <c r="AP469" s="27" t="str">
        <f t="shared" si="696"/>
        <v/>
      </c>
      <c r="AQ469" s="27">
        <f t="shared" si="697"/>
        <v>0</v>
      </c>
      <c r="AR469" s="27">
        <f t="shared" si="698"/>
        <v>0</v>
      </c>
      <c r="AS469" s="33">
        <f t="shared" si="699"/>
        <v>0</v>
      </c>
    </row>
    <row r="470" spans="2:45" hidden="1" x14ac:dyDescent="0.25">
      <c r="B470" s="34">
        <f t="shared" ref="B470:F470" si="715">IF(B469="","",B469)</f>
        <v>250</v>
      </c>
      <c r="C470" s="26">
        <f t="shared" si="715"/>
        <v>20</v>
      </c>
      <c r="D470" s="26">
        <f t="shared" si="715"/>
        <v>0</v>
      </c>
      <c r="E470" s="26">
        <f t="shared" si="715"/>
        <v>0</v>
      </c>
      <c r="F470" s="26">
        <f t="shared" si="715"/>
        <v>-1630</v>
      </c>
      <c r="G470" s="24"/>
      <c r="H470" s="24"/>
      <c r="I470" s="24"/>
      <c r="J470" s="24"/>
      <c r="K470" s="24"/>
      <c r="L470" s="24"/>
      <c r="M470" s="44" t="str">
        <f t="shared" si="711"/>
        <v/>
      </c>
      <c r="N470" s="26" t="str">
        <f t="shared" si="670"/>
        <v/>
      </c>
      <c r="O470" s="26" t="str">
        <f t="shared" si="671"/>
        <v/>
      </c>
      <c r="P470" s="26" t="str">
        <f t="shared" si="672"/>
        <v/>
      </c>
      <c r="Q470" s="26">
        <f t="shared" si="673"/>
        <v>0</v>
      </c>
      <c r="R470" s="26">
        <f t="shared" si="674"/>
        <v>0</v>
      </c>
      <c r="S470" s="26">
        <f t="shared" si="675"/>
        <v>0</v>
      </c>
      <c r="T470" s="26" t="str">
        <f t="shared" si="676"/>
        <v/>
      </c>
      <c r="U470" s="26" t="str">
        <f t="shared" si="677"/>
        <v/>
      </c>
      <c r="V470" s="26" t="str">
        <f t="shared" si="678"/>
        <v/>
      </c>
      <c r="W470" s="27" t="str">
        <f t="shared" si="679"/>
        <v/>
      </c>
      <c r="X470" s="27" t="str">
        <f t="shared" si="680"/>
        <v/>
      </c>
      <c r="Y470" s="28" t="str">
        <f t="shared" si="681"/>
        <v/>
      </c>
      <c r="Z470" s="27" t="str">
        <f t="shared" si="682"/>
        <v/>
      </c>
      <c r="AA470" s="27" t="str">
        <f t="shared" si="683"/>
        <v/>
      </c>
      <c r="AB470" s="27" t="str">
        <f t="shared" si="684"/>
        <v/>
      </c>
      <c r="AC470" s="27" t="str">
        <f t="shared" si="685"/>
        <v/>
      </c>
      <c r="AD470" s="29" t="str">
        <f t="shared" si="686"/>
        <v/>
      </c>
      <c r="AE470" s="30" t="str">
        <f t="shared" si="687"/>
        <v/>
      </c>
      <c r="AG470" s="4"/>
      <c r="AH470" s="31" t="e">
        <f t="shared" si="688"/>
        <v>#VALUE!</v>
      </c>
      <c r="AI470" s="31" t="e">
        <f t="shared" si="689"/>
        <v>#VALUE!</v>
      </c>
      <c r="AJ470" s="31" t="e">
        <f t="shared" si="690"/>
        <v>#VALUE!</v>
      </c>
      <c r="AK470" s="31" t="e">
        <f t="shared" si="691"/>
        <v>#VALUE!</v>
      </c>
      <c r="AL470" s="31" t="e">
        <f t="shared" si="692"/>
        <v>#VALUE!</v>
      </c>
      <c r="AM470" s="31" t="e">
        <f t="shared" si="693"/>
        <v>#VALUE!</v>
      </c>
      <c r="AN470" s="32" t="str">
        <f t="shared" si="694"/>
        <v/>
      </c>
      <c r="AO470" s="27" t="str">
        <f t="shared" si="695"/>
        <v/>
      </c>
      <c r="AP470" s="27" t="str">
        <f t="shared" si="696"/>
        <v/>
      </c>
      <c r="AQ470" s="27">
        <f t="shared" si="697"/>
        <v>0</v>
      </c>
      <c r="AR470" s="27">
        <f t="shared" si="698"/>
        <v>0</v>
      </c>
      <c r="AS470" s="33">
        <f t="shared" si="699"/>
        <v>0</v>
      </c>
    </row>
    <row r="471" spans="2:45" hidden="1" x14ac:dyDescent="0.25">
      <c r="B471" s="34">
        <f t="shared" ref="B471:F471" si="716">IF(B470="","",B470)</f>
        <v>250</v>
      </c>
      <c r="C471" s="26">
        <f t="shared" si="716"/>
        <v>20</v>
      </c>
      <c r="D471" s="26">
        <f t="shared" si="716"/>
        <v>0</v>
      </c>
      <c r="E471" s="26">
        <f t="shared" si="716"/>
        <v>0</v>
      </c>
      <c r="F471" s="26">
        <f t="shared" si="716"/>
        <v>-1630</v>
      </c>
      <c r="G471" s="24"/>
      <c r="H471" s="24"/>
      <c r="I471" s="24"/>
      <c r="J471" s="24"/>
      <c r="K471" s="24"/>
      <c r="L471" s="24"/>
      <c r="M471" s="44" t="str">
        <f t="shared" si="711"/>
        <v/>
      </c>
      <c r="N471" s="26" t="str">
        <f t="shared" si="670"/>
        <v/>
      </c>
      <c r="O471" s="26" t="str">
        <f t="shared" si="671"/>
        <v/>
      </c>
      <c r="P471" s="26" t="str">
        <f t="shared" si="672"/>
        <v/>
      </c>
      <c r="Q471" s="26">
        <f t="shared" si="673"/>
        <v>0</v>
      </c>
      <c r="R471" s="26">
        <f t="shared" si="674"/>
        <v>0</v>
      </c>
      <c r="S471" s="26">
        <f t="shared" si="675"/>
        <v>0</v>
      </c>
      <c r="T471" s="26" t="str">
        <f t="shared" si="676"/>
        <v/>
      </c>
      <c r="U471" s="26" t="str">
        <f t="shared" si="677"/>
        <v/>
      </c>
      <c r="V471" s="26" t="str">
        <f t="shared" si="678"/>
        <v/>
      </c>
      <c r="W471" s="27" t="str">
        <f t="shared" si="679"/>
        <v/>
      </c>
      <c r="X471" s="27" t="str">
        <f t="shared" si="680"/>
        <v/>
      </c>
      <c r="Y471" s="28" t="str">
        <f t="shared" si="681"/>
        <v/>
      </c>
      <c r="Z471" s="27" t="str">
        <f t="shared" si="682"/>
        <v/>
      </c>
      <c r="AA471" s="27" t="str">
        <f t="shared" si="683"/>
        <v/>
      </c>
      <c r="AB471" s="27" t="str">
        <f t="shared" si="684"/>
        <v/>
      </c>
      <c r="AC471" s="27" t="str">
        <f t="shared" si="685"/>
        <v/>
      </c>
      <c r="AD471" s="29" t="str">
        <f t="shared" si="686"/>
        <v/>
      </c>
      <c r="AE471" s="30" t="str">
        <f t="shared" si="687"/>
        <v/>
      </c>
      <c r="AG471" s="4"/>
      <c r="AH471" s="31" t="e">
        <f t="shared" si="688"/>
        <v>#VALUE!</v>
      </c>
      <c r="AI471" s="31" t="e">
        <f t="shared" si="689"/>
        <v>#VALUE!</v>
      </c>
      <c r="AJ471" s="31" t="e">
        <f t="shared" si="690"/>
        <v>#VALUE!</v>
      </c>
      <c r="AK471" s="31" t="e">
        <f t="shared" si="691"/>
        <v>#VALUE!</v>
      </c>
      <c r="AL471" s="31" t="e">
        <f t="shared" si="692"/>
        <v>#VALUE!</v>
      </c>
      <c r="AM471" s="31" t="e">
        <f t="shared" si="693"/>
        <v>#VALUE!</v>
      </c>
      <c r="AN471" s="32" t="str">
        <f t="shared" si="694"/>
        <v/>
      </c>
      <c r="AO471" s="27" t="str">
        <f t="shared" si="695"/>
        <v/>
      </c>
      <c r="AP471" s="27" t="str">
        <f t="shared" si="696"/>
        <v/>
      </c>
      <c r="AQ471" s="27">
        <f t="shared" si="697"/>
        <v>0</v>
      </c>
      <c r="AR471" s="27">
        <f t="shared" si="698"/>
        <v>0</v>
      </c>
      <c r="AS471" s="33">
        <f t="shared" si="699"/>
        <v>0</v>
      </c>
    </row>
    <row r="472" spans="2:45" hidden="1" x14ac:dyDescent="0.25">
      <c r="B472" s="34">
        <f t="shared" ref="B472:F472" si="717">IF(B471="","",B471)</f>
        <v>250</v>
      </c>
      <c r="C472" s="26">
        <f t="shared" si="717"/>
        <v>20</v>
      </c>
      <c r="D472" s="26">
        <f t="shared" si="717"/>
        <v>0</v>
      </c>
      <c r="E472" s="26">
        <f t="shared" si="717"/>
        <v>0</v>
      </c>
      <c r="F472" s="26">
        <f t="shared" si="717"/>
        <v>-1630</v>
      </c>
      <c r="G472" s="24"/>
      <c r="H472" s="24"/>
      <c r="I472" s="24"/>
      <c r="J472" s="24"/>
      <c r="K472" s="24"/>
      <c r="L472" s="24"/>
      <c r="M472" s="44" t="str">
        <f t="shared" si="711"/>
        <v/>
      </c>
      <c r="N472" s="26" t="str">
        <f t="shared" si="670"/>
        <v/>
      </c>
      <c r="O472" s="26" t="str">
        <f t="shared" si="671"/>
        <v/>
      </c>
      <c r="P472" s="26" t="str">
        <f t="shared" si="672"/>
        <v/>
      </c>
      <c r="Q472" s="26">
        <f t="shared" si="673"/>
        <v>0</v>
      </c>
      <c r="R472" s="26">
        <f t="shared" si="674"/>
        <v>0</v>
      </c>
      <c r="S472" s="26">
        <f t="shared" si="675"/>
        <v>0</v>
      </c>
      <c r="T472" s="26" t="str">
        <f t="shared" si="676"/>
        <v/>
      </c>
      <c r="U472" s="26" t="str">
        <f t="shared" si="677"/>
        <v/>
      </c>
      <c r="V472" s="26" t="str">
        <f t="shared" si="678"/>
        <v/>
      </c>
      <c r="W472" s="27" t="str">
        <f t="shared" si="679"/>
        <v/>
      </c>
      <c r="X472" s="27" t="str">
        <f t="shared" si="680"/>
        <v/>
      </c>
      <c r="Y472" s="28" t="str">
        <f t="shared" si="681"/>
        <v/>
      </c>
      <c r="Z472" s="27" t="str">
        <f t="shared" si="682"/>
        <v/>
      </c>
      <c r="AA472" s="27" t="str">
        <f t="shared" si="683"/>
        <v/>
      </c>
      <c r="AB472" s="27" t="str">
        <f t="shared" si="684"/>
        <v/>
      </c>
      <c r="AC472" s="27" t="str">
        <f t="shared" si="685"/>
        <v/>
      </c>
      <c r="AD472" s="29" t="str">
        <f t="shared" si="686"/>
        <v/>
      </c>
      <c r="AE472" s="30" t="str">
        <f t="shared" si="687"/>
        <v/>
      </c>
      <c r="AG472" s="4"/>
      <c r="AH472" s="31" t="e">
        <f t="shared" si="688"/>
        <v>#VALUE!</v>
      </c>
      <c r="AI472" s="31" t="e">
        <f t="shared" si="689"/>
        <v>#VALUE!</v>
      </c>
      <c r="AJ472" s="31" t="e">
        <f t="shared" si="690"/>
        <v>#VALUE!</v>
      </c>
      <c r="AK472" s="31" t="e">
        <f t="shared" si="691"/>
        <v>#VALUE!</v>
      </c>
      <c r="AL472" s="31" t="e">
        <f t="shared" si="692"/>
        <v>#VALUE!</v>
      </c>
      <c r="AM472" s="31" t="e">
        <f t="shared" si="693"/>
        <v>#VALUE!</v>
      </c>
      <c r="AN472" s="32" t="str">
        <f t="shared" si="694"/>
        <v/>
      </c>
      <c r="AO472" s="27" t="str">
        <f t="shared" si="695"/>
        <v/>
      </c>
      <c r="AP472" s="27" t="str">
        <f t="shared" si="696"/>
        <v/>
      </c>
      <c r="AQ472" s="27">
        <f t="shared" si="697"/>
        <v>0</v>
      </c>
      <c r="AR472" s="27">
        <f t="shared" si="698"/>
        <v>0</v>
      </c>
      <c r="AS472" s="33">
        <f t="shared" si="699"/>
        <v>0</v>
      </c>
    </row>
    <row r="473" spans="2:45" hidden="1" x14ac:dyDescent="0.25">
      <c r="B473" s="34">
        <f t="shared" ref="B473:F473" si="718">IF(B472="","",B472)</f>
        <v>250</v>
      </c>
      <c r="C473" s="26">
        <f t="shared" si="718"/>
        <v>20</v>
      </c>
      <c r="D473" s="26">
        <f t="shared" si="718"/>
        <v>0</v>
      </c>
      <c r="E473" s="26">
        <f t="shared" si="718"/>
        <v>0</v>
      </c>
      <c r="F473" s="26">
        <f t="shared" si="718"/>
        <v>-1630</v>
      </c>
      <c r="G473" s="24"/>
      <c r="H473" s="24"/>
      <c r="I473" s="24"/>
      <c r="J473" s="24"/>
      <c r="K473" s="24"/>
      <c r="L473" s="24"/>
      <c r="M473" s="44" t="str">
        <f t="shared" si="711"/>
        <v/>
      </c>
      <c r="N473" s="26" t="str">
        <f t="shared" si="670"/>
        <v/>
      </c>
      <c r="O473" s="26" t="str">
        <f t="shared" si="671"/>
        <v/>
      </c>
      <c r="P473" s="26" t="str">
        <f t="shared" si="672"/>
        <v/>
      </c>
      <c r="Q473" s="26">
        <f t="shared" si="673"/>
        <v>0</v>
      </c>
      <c r="R473" s="26">
        <f t="shared" si="674"/>
        <v>0</v>
      </c>
      <c r="S473" s="26">
        <f t="shared" si="675"/>
        <v>0</v>
      </c>
      <c r="T473" s="26" t="str">
        <f t="shared" si="676"/>
        <v/>
      </c>
      <c r="U473" s="26" t="str">
        <f t="shared" si="677"/>
        <v/>
      </c>
      <c r="V473" s="26" t="str">
        <f t="shared" si="678"/>
        <v/>
      </c>
      <c r="W473" s="27" t="str">
        <f t="shared" si="679"/>
        <v/>
      </c>
      <c r="X473" s="27" t="str">
        <f t="shared" si="680"/>
        <v/>
      </c>
      <c r="Y473" s="28" t="str">
        <f t="shared" si="681"/>
        <v/>
      </c>
      <c r="Z473" s="27" t="str">
        <f t="shared" si="682"/>
        <v/>
      </c>
      <c r="AA473" s="27" t="str">
        <f t="shared" si="683"/>
        <v/>
      </c>
      <c r="AB473" s="27" t="str">
        <f t="shared" si="684"/>
        <v/>
      </c>
      <c r="AC473" s="27" t="str">
        <f t="shared" si="685"/>
        <v/>
      </c>
      <c r="AD473" s="29" t="str">
        <f t="shared" si="686"/>
        <v/>
      </c>
      <c r="AE473" s="30" t="str">
        <f t="shared" si="687"/>
        <v/>
      </c>
      <c r="AG473" s="4"/>
      <c r="AH473" s="31" t="e">
        <f t="shared" si="688"/>
        <v>#VALUE!</v>
      </c>
      <c r="AI473" s="31" t="e">
        <f t="shared" si="689"/>
        <v>#VALUE!</v>
      </c>
      <c r="AJ473" s="31" t="e">
        <f t="shared" si="690"/>
        <v>#VALUE!</v>
      </c>
      <c r="AK473" s="31" t="e">
        <f t="shared" si="691"/>
        <v>#VALUE!</v>
      </c>
      <c r="AL473" s="31" t="e">
        <f t="shared" si="692"/>
        <v>#VALUE!</v>
      </c>
      <c r="AM473" s="31" t="e">
        <f t="shared" si="693"/>
        <v>#VALUE!</v>
      </c>
      <c r="AN473" s="32" t="str">
        <f t="shared" si="694"/>
        <v/>
      </c>
      <c r="AO473" s="27" t="str">
        <f t="shared" si="695"/>
        <v/>
      </c>
      <c r="AP473" s="27" t="str">
        <f t="shared" si="696"/>
        <v/>
      </c>
      <c r="AQ473" s="27">
        <f t="shared" si="697"/>
        <v>0</v>
      </c>
      <c r="AR473" s="27">
        <f t="shared" si="698"/>
        <v>0</v>
      </c>
      <c r="AS473" s="33">
        <f t="shared" si="699"/>
        <v>0</v>
      </c>
    </row>
    <row r="474" spans="2:45" hidden="1" x14ac:dyDescent="0.25">
      <c r="B474" s="34">
        <f t="shared" ref="B474:F474" si="719">IF(B473="","",B473)</f>
        <v>250</v>
      </c>
      <c r="C474" s="26">
        <f t="shared" si="719"/>
        <v>20</v>
      </c>
      <c r="D474" s="26">
        <f t="shared" si="719"/>
        <v>0</v>
      </c>
      <c r="E474" s="26">
        <f t="shared" si="719"/>
        <v>0</v>
      </c>
      <c r="F474" s="26">
        <f t="shared" si="719"/>
        <v>-1630</v>
      </c>
      <c r="G474" s="24"/>
      <c r="H474" s="24"/>
      <c r="I474" s="24"/>
      <c r="J474" s="24"/>
      <c r="K474" s="24"/>
      <c r="L474" s="24"/>
      <c r="M474" s="44" t="str">
        <f t="shared" si="711"/>
        <v/>
      </c>
      <c r="N474" s="26" t="str">
        <f t="shared" si="670"/>
        <v/>
      </c>
      <c r="O474" s="26" t="str">
        <f t="shared" si="671"/>
        <v/>
      </c>
      <c r="P474" s="26" t="str">
        <f t="shared" si="672"/>
        <v/>
      </c>
      <c r="Q474" s="26">
        <f t="shared" si="673"/>
        <v>0</v>
      </c>
      <c r="R474" s="26">
        <f t="shared" si="674"/>
        <v>0</v>
      </c>
      <c r="S474" s="26">
        <f t="shared" si="675"/>
        <v>0</v>
      </c>
      <c r="T474" s="26" t="str">
        <f t="shared" si="676"/>
        <v/>
      </c>
      <c r="U474" s="26" t="str">
        <f t="shared" si="677"/>
        <v/>
      </c>
      <c r="V474" s="26" t="str">
        <f t="shared" si="678"/>
        <v/>
      </c>
      <c r="W474" s="27" t="str">
        <f t="shared" si="679"/>
        <v/>
      </c>
      <c r="X474" s="27" t="str">
        <f t="shared" si="680"/>
        <v/>
      </c>
      <c r="Y474" s="28" t="str">
        <f t="shared" si="681"/>
        <v/>
      </c>
      <c r="Z474" s="27" t="str">
        <f t="shared" si="682"/>
        <v/>
      </c>
      <c r="AA474" s="27" t="str">
        <f t="shared" si="683"/>
        <v/>
      </c>
      <c r="AB474" s="27" t="str">
        <f t="shared" si="684"/>
        <v/>
      </c>
      <c r="AC474" s="27" t="str">
        <f t="shared" si="685"/>
        <v/>
      </c>
      <c r="AD474" s="29" t="str">
        <f t="shared" si="686"/>
        <v/>
      </c>
      <c r="AE474" s="30" t="str">
        <f t="shared" si="687"/>
        <v/>
      </c>
      <c r="AG474" s="4"/>
      <c r="AH474" s="31" t="e">
        <f t="shared" si="688"/>
        <v>#VALUE!</v>
      </c>
      <c r="AI474" s="31" t="e">
        <f t="shared" si="689"/>
        <v>#VALUE!</v>
      </c>
      <c r="AJ474" s="31" t="e">
        <f t="shared" si="690"/>
        <v>#VALUE!</v>
      </c>
      <c r="AK474" s="31" t="e">
        <f t="shared" si="691"/>
        <v>#VALUE!</v>
      </c>
      <c r="AL474" s="31" t="e">
        <f t="shared" si="692"/>
        <v>#VALUE!</v>
      </c>
      <c r="AM474" s="31" t="e">
        <f t="shared" si="693"/>
        <v>#VALUE!</v>
      </c>
      <c r="AN474" s="32" t="str">
        <f t="shared" si="694"/>
        <v/>
      </c>
      <c r="AO474" s="27" t="str">
        <f t="shared" si="695"/>
        <v/>
      </c>
      <c r="AP474" s="27" t="str">
        <f t="shared" si="696"/>
        <v/>
      </c>
      <c r="AQ474" s="27">
        <f t="shared" si="697"/>
        <v>0</v>
      </c>
      <c r="AR474" s="27">
        <f t="shared" si="698"/>
        <v>0</v>
      </c>
      <c r="AS474" s="33">
        <f t="shared" si="699"/>
        <v>0</v>
      </c>
    </row>
    <row r="475" spans="2:45" ht="16.5" hidden="1" thickBot="1" x14ac:dyDescent="0.3">
      <c r="B475" s="35">
        <f t="shared" ref="B475:F475" si="720">IF(B474="","",B474)</f>
        <v>250</v>
      </c>
      <c r="C475" s="36">
        <f t="shared" si="720"/>
        <v>20</v>
      </c>
      <c r="D475" s="36">
        <f t="shared" si="720"/>
        <v>0</v>
      </c>
      <c r="E475" s="36">
        <f t="shared" si="720"/>
        <v>0</v>
      </c>
      <c r="F475" s="36">
        <f t="shared" si="720"/>
        <v>-1630</v>
      </c>
      <c r="G475" s="37"/>
      <c r="H475" s="37"/>
      <c r="I475" s="37"/>
      <c r="J475" s="37"/>
      <c r="K475" s="37"/>
      <c r="L475" s="37"/>
      <c r="M475" s="45" t="str">
        <f t="shared" ref="M475" si="721">IF(B475="","",IF(M319="","",M319))</f>
        <v/>
      </c>
      <c r="N475" s="36" t="str">
        <f t="shared" si="670"/>
        <v/>
      </c>
      <c r="O475" s="36" t="str">
        <f t="shared" si="671"/>
        <v/>
      </c>
      <c r="P475" s="36" t="str">
        <f t="shared" si="672"/>
        <v/>
      </c>
      <c r="Q475" s="36">
        <f t="shared" si="673"/>
        <v>0</v>
      </c>
      <c r="R475" s="36">
        <f t="shared" si="674"/>
        <v>0</v>
      </c>
      <c r="S475" s="36">
        <f t="shared" si="675"/>
        <v>0</v>
      </c>
      <c r="T475" s="36" t="str">
        <f t="shared" si="676"/>
        <v/>
      </c>
      <c r="U475" s="36" t="str">
        <f t="shared" si="677"/>
        <v/>
      </c>
      <c r="V475" s="36" t="str">
        <f t="shared" si="678"/>
        <v/>
      </c>
      <c r="W475" s="39" t="str">
        <f t="shared" si="679"/>
        <v/>
      </c>
      <c r="X475" s="39" t="str">
        <f t="shared" si="680"/>
        <v/>
      </c>
      <c r="Y475" s="40" t="str">
        <f t="shared" si="681"/>
        <v/>
      </c>
      <c r="Z475" s="39" t="str">
        <f t="shared" si="682"/>
        <v/>
      </c>
      <c r="AA475" s="39" t="str">
        <f t="shared" si="683"/>
        <v/>
      </c>
      <c r="AB475" s="39" t="str">
        <f t="shared" si="684"/>
        <v/>
      </c>
      <c r="AC475" s="39" t="str">
        <f t="shared" si="685"/>
        <v/>
      </c>
      <c r="AD475" s="65" t="str">
        <f t="shared" si="686"/>
        <v/>
      </c>
      <c r="AE475" s="41" t="str">
        <f t="shared" si="687"/>
        <v/>
      </c>
      <c r="AG475" s="4"/>
      <c r="AH475" s="31" t="e">
        <f t="shared" si="688"/>
        <v>#VALUE!</v>
      </c>
      <c r="AI475" s="31" t="e">
        <f t="shared" si="689"/>
        <v>#VALUE!</v>
      </c>
      <c r="AJ475" s="31" t="e">
        <f t="shared" si="690"/>
        <v>#VALUE!</v>
      </c>
      <c r="AK475" s="31" t="e">
        <f t="shared" si="691"/>
        <v>#VALUE!</v>
      </c>
      <c r="AL475" s="31" t="e">
        <f t="shared" si="692"/>
        <v>#VALUE!</v>
      </c>
      <c r="AM475" s="31" t="e">
        <f t="shared" si="693"/>
        <v>#VALUE!</v>
      </c>
      <c r="AN475" s="42" t="str">
        <f t="shared" si="694"/>
        <v/>
      </c>
      <c r="AO475" s="39" t="str">
        <f t="shared" si="695"/>
        <v/>
      </c>
      <c r="AP475" s="39" t="str">
        <f t="shared" si="696"/>
        <v/>
      </c>
      <c r="AQ475" s="39">
        <f t="shared" si="697"/>
        <v>0</v>
      </c>
      <c r="AR475" s="39">
        <f t="shared" si="698"/>
        <v>0</v>
      </c>
      <c r="AS475" s="43">
        <f t="shared" si="699"/>
        <v>0</v>
      </c>
    </row>
    <row r="476" spans="2:45" x14ac:dyDescent="0.25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N476" s="3"/>
      <c r="AO476" s="3"/>
      <c r="AP476" s="3"/>
      <c r="AQ476" s="3"/>
      <c r="AR476" s="3"/>
      <c r="AS476" s="3"/>
    </row>
    <row r="477" spans="2:45" ht="16.5" thickBot="1" x14ac:dyDescent="0.3"/>
    <row r="478" spans="2:45" ht="16.5" thickBot="1" x14ac:dyDescent="0.3">
      <c r="B478" s="107" t="s">
        <v>61</v>
      </c>
      <c r="C478" s="108"/>
      <c r="D478" s="109"/>
      <c r="E478" s="110"/>
      <c r="F478" s="111"/>
      <c r="G478" s="112" t="s">
        <v>62</v>
      </c>
      <c r="H478" s="108"/>
      <c r="I478" s="113"/>
      <c r="J478" s="114"/>
      <c r="K478" s="114"/>
      <c r="L478" s="115"/>
      <c r="M478" s="66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2:45" x14ac:dyDescent="0.25">
      <c r="B479" s="116" t="s">
        <v>14</v>
      </c>
      <c r="C479" s="119" t="s">
        <v>48</v>
      </c>
      <c r="D479" s="122" t="s">
        <v>16</v>
      </c>
      <c r="E479" s="122"/>
      <c r="F479" s="122"/>
      <c r="G479" s="122"/>
      <c r="H479" s="122"/>
      <c r="I479" s="122"/>
      <c r="J479" s="122"/>
      <c r="K479" s="122"/>
      <c r="L479" s="122"/>
      <c r="M479" s="119" t="s">
        <v>47</v>
      </c>
      <c r="N479" s="122" t="s">
        <v>17</v>
      </c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3" t="s">
        <v>63</v>
      </c>
      <c r="Z479" s="124"/>
      <c r="AA479" s="124"/>
      <c r="AB479" s="124"/>
      <c r="AC479" s="124"/>
      <c r="AD479" s="124"/>
      <c r="AE479" s="125"/>
      <c r="AF479" s="18"/>
      <c r="AG479" s="16"/>
      <c r="AH479" s="16"/>
      <c r="AI479" s="16"/>
      <c r="AJ479" s="16"/>
      <c r="AK479" s="16"/>
      <c r="AL479" s="16"/>
      <c r="AM479" s="16"/>
      <c r="AN479" s="130" t="s">
        <v>20</v>
      </c>
      <c r="AO479" s="131"/>
      <c r="AP479" s="132"/>
      <c r="AQ479" s="136" t="s">
        <v>31</v>
      </c>
      <c r="AR479" s="131"/>
      <c r="AS479" s="137"/>
    </row>
    <row r="480" spans="2:45" x14ac:dyDescent="0.25">
      <c r="B480" s="117"/>
      <c r="C480" s="120"/>
      <c r="D480" s="140" t="s">
        <v>18</v>
      </c>
      <c r="E480" s="140"/>
      <c r="F480" s="140"/>
      <c r="G480" s="141" t="s">
        <v>19</v>
      </c>
      <c r="H480" s="141"/>
      <c r="I480" s="141"/>
      <c r="J480" s="141"/>
      <c r="K480" s="141"/>
      <c r="L480" s="141"/>
      <c r="M480" s="120"/>
      <c r="N480" s="140" t="s">
        <v>18</v>
      </c>
      <c r="O480" s="140"/>
      <c r="P480" s="140"/>
      <c r="Q480" s="141" t="s">
        <v>19</v>
      </c>
      <c r="R480" s="141"/>
      <c r="S480" s="141"/>
      <c r="T480" s="141"/>
      <c r="U480" s="141"/>
      <c r="V480" s="141"/>
      <c r="W480" s="141"/>
      <c r="X480" s="141"/>
      <c r="Y480" s="126" t="s">
        <v>32</v>
      </c>
      <c r="Z480" s="126" t="s">
        <v>45</v>
      </c>
      <c r="AA480" s="126" t="s">
        <v>46</v>
      </c>
      <c r="AB480" s="142" t="s">
        <v>15</v>
      </c>
      <c r="AC480" s="126" t="s">
        <v>54</v>
      </c>
      <c r="AD480" s="126" t="s">
        <v>39</v>
      </c>
      <c r="AE480" s="128" t="s">
        <v>40</v>
      </c>
      <c r="AF480" s="18"/>
      <c r="AG480" s="16"/>
      <c r="AH480" s="16"/>
      <c r="AI480" s="16"/>
      <c r="AJ480" s="16"/>
      <c r="AK480" s="16"/>
      <c r="AL480" s="16"/>
      <c r="AM480" s="16"/>
      <c r="AN480" s="133"/>
      <c r="AO480" s="134"/>
      <c r="AP480" s="135"/>
      <c r="AQ480" s="138"/>
      <c r="AR480" s="134"/>
      <c r="AS480" s="139"/>
    </row>
    <row r="481" spans="2:45" x14ac:dyDescent="0.25">
      <c r="B481" s="118"/>
      <c r="C481" s="121"/>
      <c r="D481" s="19" t="s">
        <v>0</v>
      </c>
      <c r="E481" s="19" t="s">
        <v>1</v>
      </c>
      <c r="F481" s="19" t="s">
        <v>2</v>
      </c>
      <c r="G481" s="20" t="s">
        <v>4</v>
      </c>
      <c r="H481" s="20" t="s">
        <v>5</v>
      </c>
      <c r="I481" s="20" t="s">
        <v>6</v>
      </c>
      <c r="J481" s="20" t="s">
        <v>7</v>
      </c>
      <c r="K481" s="20" t="s">
        <v>8</v>
      </c>
      <c r="L481" s="20" t="s">
        <v>9</v>
      </c>
      <c r="M481" s="121"/>
      <c r="N481" s="19" t="s">
        <v>0</v>
      </c>
      <c r="O481" s="19" t="s">
        <v>1</v>
      </c>
      <c r="P481" s="19" t="s">
        <v>2</v>
      </c>
      <c r="Q481" s="20" t="s">
        <v>4</v>
      </c>
      <c r="R481" s="20" t="s">
        <v>5</v>
      </c>
      <c r="S481" s="20" t="s">
        <v>6</v>
      </c>
      <c r="T481" s="20" t="s">
        <v>7</v>
      </c>
      <c r="U481" s="20" t="s">
        <v>8</v>
      </c>
      <c r="V481" s="20" t="s">
        <v>9</v>
      </c>
      <c r="W481" s="20" t="s">
        <v>10</v>
      </c>
      <c r="X481" s="20" t="s">
        <v>11</v>
      </c>
      <c r="Y481" s="121"/>
      <c r="Z481" s="121"/>
      <c r="AA481" s="121"/>
      <c r="AB481" s="127"/>
      <c r="AC481" s="127"/>
      <c r="AD481" s="121"/>
      <c r="AE481" s="129"/>
      <c r="AF481" s="15"/>
      <c r="AG481" s="13"/>
      <c r="AH481" s="14" t="s">
        <v>55</v>
      </c>
      <c r="AI481" s="14" t="s">
        <v>56</v>
      </c>
      <c r="AJ481" s="14" t="s">
        <v>57</v>
      </c>
      <c r="AK481" s="14" t="s">
        <v>58</v>
      </c>
      <c r="AL481" s="14" t="s">
        <v>59</v>
      </c>
      <c r="AM481" s="14" t="s">
        <v>60</v>
      </c>
      <c r="AN481" s="21" t="s">
        <v>7</v>
      </c>
      <c r="AO481" s="20" t="s">
        <v>8</v>
      </c>
      <c r="AP481" s="20" t="s">
        <v>9</v>
      </c>
      <c r="AQ481" s="20" t="s">
        <v>7</v>
      </c>
      <c r="AR481" s="20" t="s">
        <v>8</v>
      </c>
      <c r="AS481" s="22" t="s">
        <v>9</v>
      </c>
    </row>
    <row r="482" spans="2:45" x14ac:dyDescent="0.25">
      <c r="B482" s="23">
        <v>1720</v>
      </c>
      <c r="C482" s="24">
        <v>18</v>
      </c>
      <c r="D482" s="24">
        <v>500</v>
      </c>
      <c r="E482" s="24">
        <v>0</v>
      </c>
      <c r="F482" s="24">
        <v>-1150</v>
      </c>
      <c r="G482" s="24">
        <v>3863</v>
      </c>
      <c r="H482" s="24">
        <v>-15647</v>
      </c>
      <c r="I482" s="24">
        <v>-1769</v>
      </c>
      <c r="J482" s="24">
        <v>-5227</v>
      </c>
      <c r="K482" s="24">
        <v>23</v>
      </c>
      <c r="L482" s="24">
        <v>4478</v>
      </c>
      <c r="M482" s="44" t="str">
        <f t="shared" ref="M482:M513" si="722">IF(B482="","",IF(M326="","",M326))</f>
        <v>6(OPE)</v>
      </c>
      <c r="N482" s="26">
        <f>IF($J$7="NO",IF(M482="","",IF($E$7="+X",D482,IF($E$7="-X",-D482,IF($E$7="+Z",F482,IF($E$7="-Z",-F482))))),IF(M482="","",IF($E$7="+X",D482,IF($E$7="-X",-D482,IF($E$7="+Y",E482,IF($E$7="-Y",-E482))))))</f>
        <v>-1150</v>
      </c>
      <c r="O482" s="26">
        <f>IF($J$7="NO",IF(M482="","",E482),IF(M482="","",F482))</f>
        <v>0</v>
      </c>
      <c r="P482" s="26">
        <f>IF($J$7="NO",IF(M482="","",IF($E$7="+X",F482,IF($E$7="-X",-F482,IF($E$7="+Z",-D482,IF($E$7="-Z",D482))))),IF(M482="","",IF($E$7="+X",-E482,IF($E$7="-X",E482,IF($E$7="+Y",D482,IF($E$7="-Y",-D482))))))</f>
        <v>-500</v>
      </c>
      <c r="Q482" s="26">
        <f>IF($J$7="NO",IF(M482="",0,IF($E$7="+X",G482,IF($E$7="-X",-G482,IF($E$7="+Z",I482,IF($E$7="-Z",-I482))))),IF(M482="",0,IF($E$7="+X",G482,IF($E$7="-X",-G482,IF($E$7="+Y",H482,IF($E$7="-Y",-H482))))))</f>
        <v>-1769</v>
      </c>
      <c r="R482" s="26">
        <f>IF($J$7="NO",IF(M482="",0,H482),IF(M482="",0,I482))</f>
        <v>-15647</v>
      </c>
      <c r="S482" s="26">
        <f>IF($J$7="NO",IF(M482="",0,IF($E$7="+X",I482,IF($E$7="-X",-I482,IF($E$7="+Z",-G482,IF($E$7="-Z",G482))))),IF(M482="",0,IF($E$7="+X",-H482,IF($E$7="-X",H482,IF($E$7="+Y",G482,IF($E$7="-Y",-G482))))))</f>
        <v>-3863</v>
      </c>
      <c r="T482" s="26">
        <f>IF($J$7="NO",IF(M482="","",IF($E$7="+X",J482,IF($E$7="-X",-J482,IF($E$7="+Z",L482,IF($E$7="-Z",-L482))))),IF(M482="","",IF($E$7="+X",J482,IF($E$7="-X",-J482,IF($E$7="+Y",K482,IF($E$7="-Y",-K482))))))</f>
        <v>4478</v>
      </c>
      <c r="U482" s="26">
        <f>IF($J$7="NO",IF(M482="","",K482),IF(M482="","",L482))</f>
        <v>23</v>
      </c>
      <c r="V482" s="26">
        <f>IF($J$7="NO",IF(M482="","",IF($E$7="+X",L482,IF($E$7="-X",-L482,IF($E$7="+Z",-J482,IF($E$7="-Z",J482))))),IF(M482="","",IF($E$7="+X",-K482,IF($E$7="-X",K482,IF($E$7="+Y",J482,IF($E$7="-Y",-J482))))))</f>
        <v>5227</v>
      </c>
      <c r="W482" s="27">
        <f>IF(M482="","",SQRT(Q482^2+R482^2+S482^2))</f>
        <v>16213.597349138778</v>
      </c>
      <c r="X482" s="27">
        <f>IF(M482="","",SQRT(T482^2+U482^2+V482^2))</f>
        <v>6882.9166782694674</v>
      </c>
      <c r="Y482" s="28">
        <f t="shared" ref="Y482" si="723">IF(M482="","",IF($C482&lt;=8,$C482,(16+$C482)/3))</f>
        <v>11.333333333333334</v>
      </c>
      <c r="Z482" s="27">
        <f>IF(M482="","",W482*0.224808)</f>
        <v>3644.9463928651903</v>
      </c>
      <c r="AA482" s="27">
        <f>IF(M482="","",X482*0.737562)</f>
        <v>5076.5777910577854</v>
      </c>
      <c r="AB482" s="27">
        <f t="shared" ref="AB482" si="724">IF(M482="","",3*Z482+AA482)</f>
        <v>16011.416969653357</v>
      </c>
      <c r="AC482" s="27">
        <f t="shared" ref="AC482" si="725">IF(M482="","",IF(M482="","",500*Y482*$O$7))</f>
        <v>121833.33333333334</v>
      </c>
      <c r="AD482" s="29">
        <f t="shared" ref="AD482" si="726">IF(M482="","",IF(M482="","",AB482/AC482)*100)</f>
        <v>13.142065912164178</v>
      </c>
      <c r="AE482" s="30" t="str">
        <f t="shared" ref="AE482" si="727">IF(M482="","",IF(AD482&lt;=100, "PASS","FAIL"))</f>
        <v>PASS</v>
      </c>
      <c r="AG482" s="4"/>
      <c r="AH482" s="31">
        <f>Q482*O482/1000*VLOOKUP(_xlfn.CONCAT($AH$13,IF(Q482&gt;0,"+","-"),IF(O482&gt;0,"+","-")),$AV:$BA,6,0)</f>
        <v>0</v>
      </c>
      <c r="AI482" s="31">
        <f>Q482*P482/1000*VLOOKUP(_xlfn.CONCAT($AI$13,IF(Q482&gt;0,"+","-"),IF(P482&gt;0,"+","-")),$AV:$BA,6,0)</f>
        <v>884.5</v>
      </c>
      <c r="AJ482" s="31">
        <f>R482*N482/1000*VLOOKUP(_xlfn.CONCAT($AJ$13,IF(R482&gt;0,"+","-"),IF(N482&gt;0,"+","-")),$AV:$BA,6,0)</f>
        <v>17994.05</v>
      </c>
      <c r="AK482" s="31">
        <f>R482*P482/1000*VLOOKUP(_xlfn.CONCAT($AK$13,IF(R482&gt;0,"+","-"),IF(P482&gt;0,"+","-")),$AV:$BA,6,0)</f>
        <v>-7823.5</v>
      </c>
      <c r="AL482" s="31">
        <f>S482*N482/1000*VLOOKUP(_xlfn.CONCAT($AL$13,IF(S482&gt;0,"+","-"),IF(N482&gt;0,"+","-")),$AV:$BA,6,0)</f>
        <v>-4442.45</v>
      </c>
      <c r="AM482" s="31">
        <f>S482*O482/1000*VLOOKUP(_xlfn.CONCAT($AM$13,IF(S482&gt;0,"+","-"),IF(O482&gt;0,"+","-")),$AV:$BA,6,0)</f>
        <v>0</v>
      </c>
      <c r="AN482" s="32">
        <f>IF($M482="","",AK482+AM482)</f>
        <v>-7823.5</v>
      </c>
      <c r="AO482" s="27">
        <f>IF($M482="","",AI482+AL482)</f>
        <v>-3557.95</v>
      </c>
      <c r="AP482" s="27">
        <f>IF($M482="","",AH482+AJ482)</f>
        <v>17994.05</v>
      </c>
      <c r="AQ482" s="27">
        <f t="shared" ref="AQ482" si="728">IF(M482="",0,AN482+T482)</f>
        <v>-3345.5</v>
      </c>
      <c r="AR482" s="27">
        <f t="shared" ref="AR482" si="729">IF(M482="",0,AO482+U482)</f>
        <v>-3534.95</v>
      </c>
      <c r="AS482" s="33">
        <f t="shared" ref="AS482" si="730">IF(M482="",0,AP482+V482)</f>
        <v>23221.05</v>
      </c>
    </row>
    <row r="483" spans="2:45" x14ac:dyDescent="0.25">
      <c r="B483" s="34">
        <f>IF(B482="","",B482)</f>
        <v>1720</v>
      </c>
      <c r="C483" s="26">
        <f t="shared" ref="C483:F483" si="731">IF(C482="","",C482)</f>
        <v>18</v>
      </c>
      <c r="D483" s="26">
        <f t="shared" si="731"/>
        <v>500</v>
      </c>
      <c r="E483" s="26">
        <f t="shared" si="731"/>
        <v>0</v>
      </c>
      <c r="F483" s="26">
        <f t="shared" si="731"/>
        <v>-1150</v>
      </c>
      <c r="G483" s="24">
        <v>3793</v>
      </c>
      <c r="H483" s="24">
        <v>-15663</v>
      </c>
      <c r="I483" s="24">
        <v>-1826</v>
      </c>
      <c r="J483" s="24">
        <v>-5408</v>
      </c>
      <c r="K483" s="24">
        <v>123</v>
      </c>
      <c r="L483" s="24">
        <v>4787</v>
      </c>
      <c r="M483" s="44" t="str">
        <f t="shared" si="722"/>
        <v>10(OPE)</v>
      </c>
      <c r="N483" s="26">
        <f t="shared" ref="N483:N546" si="732">IF($J$7="NO",IF(M483="","",IF($E$7="+X",D483,IF($E$7="-X",-D483,IF($E$7="+Z",F483,IF($E$7="-Z",-F483))))),IF(M483="","",IF($E$7="+X",D483,IF($E$7="-X",-D483,IF($E$7="+Y",E483,IF($E$7="-Y",-E483))))))</f>
        <v>-1150</v>
      </c>
      <c r="O483" s="26">
        <f t="shared" ref="O483:O546" si="733">IF($J$7="NO",IF(M483="","",E483),IF(M483="","",F483))</f>
        <v>0</v>
      </c>
      <c r="P483" s="26">
        <f t="shared" ref="P483:P546" si="734">IF($J$7="NO",IF(M483="","",IF($E$7="+X",F483,IF($E$7="-X",-F483,IF($E$7="+Z",-D483,IF($E$7="-Z",D483))))),IF(M483="","",IF($E$7="+X",-E483,IF($E$7="-X",E483,IF($E$7="+Y",D483,IF($E$7="-Y",-D483))))))</f>
        <v>-500</v>
      </c>
      <c r="Q483" s="26">
        <f t="shared" ref="Q483:Q546" si="735">IF($J$7="NO",IF(M483="",0,IF($E$7="+X",G483,IF($E$7="-X",-G483,IF($E$7="+Z",I483,IF($E$7="-Z",-I483))))),IF(M483="",0,IF($E$7="+X",G483,IF($E$7="-X",-G483,IF($E$7="+Y",H483,IF($E$7="-Y",-H483))))))</f>
        <v>-1826</v>
      </c>
      <c r="R483" s="26">
        <f t="shared" ref="R483:R546" si="736">IF($J$7="NO",IF(M483="",0,H483),IF(M483="",0,I483))</f>
        <v>-15663</v>
      </c>
      <c r="S483" s="26">
        <f t="shared" ref="S483:S546" si="737">IF($J$7="NO",IF(M483="",0,IF($E$7="+X",I483,IF($E$7="-X",-I483,IF($E$7="+Z",-G483,IF($E$7="-Z",G483))))),IF(M483="",0,IF($E$7="+X",-H483,IF($E$7="-X",H483,IF($E$7="+Y",G483,IF($E$7="-Y",-G483))))))</f>
        <v>-3793</v>
      </c>
      <c r="T483" s="26">
        <f t="shared" ref="T483:T546" si="738">IF($J$7="NO",IF(M483="","",IF($E$7="+X",J483,IF($E$7="-X",-J483,IF($E$7="+Z",L483,IF($E$7="-Z",-L483))))),IF(M483="","",IF($E$7="+X",J483,IF($E$7="-X",-J483,IF($E$7="+Y",K483,IF($E$7="-Y",-K483))))))</f>
        <v>4787</v>
      </c>
      <c r="U483" s="26">
        <f t="shared" ref="U483:U546" si="739">IF($J$7="NO",IF(M483="","",K483),IF(M483="","",L483))</f>
        <v>123</v>
      </c>
      <c r="V483" s="26">
        <f t="shared" ref="V483:V546" si="740">IF($J$7="NO",IF(M483="","",IF($E$7="+X",L483,IF($E$7="-X",-L483,IF($E$7="+Z",-J483,IF($E$7="-Z",J483))))),IF(M483="","",IF($E$7="+X",-K483,IF($E$7="-X",K483,IF($E$7="+Y",J483,IF($E$7="-Y",-J483))))))</f>
        <v>5408</v>
      </c>
      <c r="W483" s="27">
        <f t="shared" ref="W483:W546" si="741">IF(M483="","",SQRT(Q483^2+R483^2+S483^2))</f>
        <v>16218.8376278943</v>
      </c>
      <c r="X483" s="27">
        <f t="shared" ref="X483:X546" si="742">IF(M483="","",SQRT(T483^2+U483^2+V483^2))</f>
        <v>7223.3622365211613</v>
      </c>
      <c r="Y483" s="28">
        <f t="shared" ref="Y483:Y546" si="743">IF(M483="","",IF($C483&lt;=8,$C483,(16+$C483)/3))</f>
        <v>11.333333333333334</v>
      </c>
      <c r="Z483" s="27">
        <f t="shared" ref="Z483:Z546" si="744">IF(M483="","",W483*0.224808)</f>
        <v>3646.1244494516618</v>
      </c>
      <c r="AA483" s="27">
        <f t="shared" ref="AA483:AA546" si="745">IF(M483="","",X483*0.737562)</f>
        <v>5327.6774978930207</v>
      </c>
      <c r="AB483" s="27">
        <f t="shared" ref="AB483:AB546" si="746">IF(M483="","",3*Z483+AA483)</f>
        <v>16266.050846248007</v>
      </c>
      <c r="AC483" s="27">
        <f t="shared" ref="AC483:AC546" si="747">IF(M483="","",IF(M483="","",500*Y483*$O$7))</f>
        <v>121833.33333333334</v>
      </c>
      <c r="AD483" s="29">
        <f t="shared" ref="AD483:AD546" si="748">IF(M483="","",IF(M483="","",AB483/AC483)*100)</f>
        <v>13.351067726058554</v>
      </c>
      <c r="AE483" s="30" t="str">
        <f t="shared" ref="AE483:AE546" si="749">IF(M483="","",IF(AD483&lt;=100, "PASS","FAIL"))</f>
        <v>PASS</v>
      </c>
      <c r="AG483" s="4"/>
      <c r="AH483" s="31">
        <f t="shared" ref="AH483:AH546" si="750">Q483*O483/1000*VLOOKUP(_xlfn.CONCAT($AH$13,IF(Q483&gt;0,"+","-"),IF(O483&gt;0,"+","-")),$AV:$BA,6,0)</f>
        <v>0</v>
      </c>
      <c r="AI483" s="31">
        <f t="shared" ref="AI483:AI546" si="751">Q483*P483/1000*VLOOKUP(_xlfn.CONCAT($AI$13,IF(Q483&gt;0,"+","-"),IF(P483&gt;0,"+","-")),$AV:$BA,6,0)</f>
        <v>913</v>
      </c>
      <c r="AJ483" s="31">
        <f t="shared" ref="AJ483:AJ546" si="752">R483*N483/1000*VLOOKUP(_xlfn.CONCAT($AJ$13,IF(R483&gt;0,"+","-"),IF(N483&gt;0,"+","-")),$AV:$BA,6,0)</f>
        <v>18012.45</v>
      </c>
      <c r="AK483" s="31">
        <f t="shared" ref="AK483:AK546" si="753">R483*P483/1000*VLOOKUP(_xlfn.CONCAT($AK$13,IF(R483&gt;0,"+","-"),IF(P483&gt;0,"+","-")),$AV:$BA,6,0)</f>
        <v>-7831.5</v>
      </c>
      <c r="AL483" s="31">
        <f t="shared" ref="AL483:AL546" si="754">S483*N483/1000*VLOOKUP(_xlfn.CONCAT($AL$13,IF(S483&gt;0,"+","-"),IF(N483&gt;0,"+","-")),$AV:$BA,6,0)</f>
        <v>-4361.95</v>
      </c>
      <c r="AM483" s="31">
        <f t="shared" ref="AM483:AM546" si="755">S483*O483/1000*VLOOKUP(_xlfn.CONCAT($AM$13,IF(S483&gt;0,"+","-"),IF(O483&gt;0,"+","-")),$AV:$BA,6,0)</f>
        <v>0</v>
      </c>
      <c r="AN483" s="32">
        <f t="shared" ref="AN483:AN546" si="756">IF($M483="","",AK483+AM483)</f>
        <v>-7831.5</v>
      </c>
      <c r="AO483" s="27">
        <f t="shared" ref="AO483:AO546" si="757">IF($M483="","",AI483+AL483)</f>
        <v>-3448.95</v>
      </c>
      <c r="AP483" s="27">
        <f t="shared" ref="AP483:AP546" si="758">IF($M483="","",AH483+AJ483)</f>
        <v>18012.45</v>
      </c>
      <c r="AQ483" s="27">
        <f t="shared" ref="AQ483:AQ546" si="759">IF(M483="",0,AN483+T483)</f>
        <v>-3044.5</v>
      </c>
      <c r="AR483" s="27">
        <f t="shared" ref="AR483:AR546" si="760">IF(M483="",0,AO483+U483)</f>
        <v>-3325.95</v>
      </c>
      <c r="AS483" s="33">
        <f t="shared" ref="AS483:AS546" si="761">IF(M483="",0,AP483+V483)</f>
        <v>23420.45</v>
      </c>
    </row>
    <row r="484" spans="2:45" x14ac:dyDescent="0.25">
      <c r="B484" s="34">
        <f t="shared" ref="B484:F495" si="762">IF(B483="","",B483)</f>
        <v>1720</v>
      </c>
      <c r="C484" s="26">
        <f t="shared" si="762"/>
        <v>18</v>
      </c>
      <c r="D484" s="26">
        <f t="shared" si="762"/>
        <v>500</v>
      </c>
      <c r="E484" s="26">
        <f t="shared" si="762"/>
        <v>0</v>
      </c>
      <c r="F484" s="26">
        <f t="shared" si="762"/>
        <v>-1150</v>
      </c>
      <c r="G484" s="24">
        <v>4964</v>
      </c>
      <c r="H484" s="24">
        <v>-15900</v>
      </c>
      <c r="I484" s="24">
        <v>-2243</v>
      </c>
      <c r="J484" s="24">
        <v>-7257</v>
      </c>
      <c r="K484" s="24">
        <v>-617</v>
      </c>
      <c r="L484" s="24">
        <v>3481</v>
      </c>
      <c r="M484" s="44" t="str">
        <f t="shared" si="722"/>
        <v>12(OPE)</v>
      </c>
      <c r="N484" s="26">
        <f t="shared" si="732"/>
        <v>-1150</v>
      </c>
      <c r="O484" s="26">
        <f t="shared" si="733"/>
        <v>0</v>
      </c>
      <c r="P484" s="26">
        <f t="shared" si="734"/>
        <v>-500</v>
      </c>
      <c r="Q484" s="26">
        <f t="shared" si="735"/>
        <v>-2243</v>
      </c>
      <c r="R484" s="26">
        <f t="shared" si="736"/>
        <v>-15900</v>
      </c>
      <c r="S484" s="26">
        <f t="shared" si="737"/>
        <v>-4964</v>
      </c>
      <c r="T484" s="26">
        <f t="shared" si="738"/>
        <v>3481</v>
      </c>
      <c r="U484" s="26">
        <f t="shared" si="739"/>
        <v>-617</v>
      </c>
      <c r="V484" s="26">
        <f t="shared" si="740"/>
        <v>7257</v>
      </c>
      <c r="W484" s="27">
        <f t="shared" si="741"/>
        <v>16807.21110119106</v>
      </c>
      <c r="X484" s="27">
        <f t="shared" si="742"/>
        <v>8072.3044417316178</v>
      </c>
      <c r="Y484" s="28">
        <f t="shared" si="743"/>
        <v>11.333333333333334</v>
      </c>
      <c r="Z484" s="27">
        <f t="shared" si="744"/>
        <v>3778.39551323656</v>
      </c>
      <c r="AA484" s="27">
        <f t="shared" si="745"/>
        <v>5953.8250086524558</v>
      </c>
      <c r="AB484" s="27">
        <f t="shared" si="746"/>
        <v>17289.011548362138</v>
      </c>
      <c r="AC484" s="27">
        <f t="shared" si="747"/>
        <v>121833.33333333334</v>
      </c>
      <c r="AD484" s="29">
        <f t="shared" si="748"/>
        <v>14.190707153238415</v>
      </c>
      <c r="AE484" s="30" t="str">
        <f t="shared" si="749"/>
        <v>PASS</v>
      </c>
      <c r="AG484" s="4"/>
      <c r="AH484" s="31">
        <f t="shared" si="750"/>
        <v>0</v>
      </c>
      <c r="AI484" s="31">
        <f t="shared" si="751"/>
        <v>1121.5</v>
      </c>
      <c r="AJ484" s="31">
        <f t="shared" si="752"/>
        <v>18285</v>
      </c>
      <c r="AK484" s="31">
        <f t="shared" si="753"/>
        <v>-7950</v>
      </c>
      <c r="AL484" s="31">
        <f t="shared" si="754"/>
        <v>-5708.6</v>
      </c>
      <c r="AM484" s="31">
        <f t="shared" si="755"/>
        <v>0</v>
      </c>
      <c r="AN484" s="32">
        <f t="shared" si="756"/>
        <v>-7950</v>
      </c>
      <c r="AO484" s="27">
        <f t="shared" si="757"/>
        <v>-4587.1000000000004</v>
      </c>
      <c r="AP484" s="27">
        <f t="shared" si="758"/>
        <v>18285</v>
      </c>
      <c r="AQ484" s="27">
        <f t="shared" si="759"/>
        <v>-4469</v>
      </c>
      <c r="AR484" s="27">
        <f t="shared" si="760"/>
        <v>-5204.1000000000004</v>
      </c>
      <c r="AS484" s="33">
        <f t="shared" si="761"/>
        <v>25542</v>
      </c>
    </row>
    <row r="485" spans="2:45" x14ac:dyDescent="0.25">
      <c r="B485" s="34">
        <f t="shared" si="762"/>
        <v>1720</v>
      </c>
      <c r="C485" s="26">
        <f t="shared" si="762"/>
        <v>18</v>
      </c>
      <c r="D485" s="26">
        <f t="shared" si="762"/>
        <v>500</v>
      </c>
      <c r="E485" s="26">
        <f t="shared" si="762"/>
        <v>0</v>
      </c>
      <c r="F485" s="26">
        <f t="shared" si="762"/>
        <v>-1150</v>
      </c>
      <c r="G485" s="24">
        <v>-638</v>
      </c>
      <c r="H485" s="24">
        <v>-15386</v>
      </c>
      <c r="I485" s="24">
        <v>151</v>
      </c>
      <c r="J485" s="24">
        <v>278</v>
      </c>
      <c r="K485" s="24">
        <v>1950</v>
      </c>
      <c r="L485" s="24">
        <v>9840</v>
      </c>
      <c r="M485" s="44" t="str">
        <f t="shared" si="722"/>
        <v>16(OPE)</v>
      </c>
      <c r="N485" s="26">
        <f t="shared" si="732"/>
        <v>-1150</v>
      </c>
      <c r="O485" s="26">
        <f t="shared" si="733"/>
        <v>0</v>
      </c>
      <c r="P485" s="26">
        <f t="shared" si="734"/>
        <v>-500</v>
      </c>
      <c r="Q485" s="26">
        <f t="shared" si="735"/>
        <v>151</v>
      </c>
      <c r="R485" s="26">
        <f t="shared" si="736"/>
        <v>-15386</v>
      </c>
      <c r="S485" s="26">
        <f t="shared" si="737"/>
        <v>638</v>
      </c>
      <c r="T485" s="26">
        <f t="shared" si="738"/>
        <v>9840</v>
      </c>
      <c r="U485" s="26">
        <f t="shared" si="739"/>
        <v>1950</v>
      </c>
      <c r="V485" s="26">
        <f t="shared" si="740"/>
        <v>-278</v>
      </c>
      <c r="W485" s="27">
        <f t="shared" si="741"/>
        <v>15399.962370083897</v>
      </c>
      <c r="X485" s="27">
        <f t="shared" si="742"/>
        <v>10035.207222573932</v>
      </c>
      <c r="Y485" s="28">
        <f t="shared" si="743"/>
        <v>11.333333333333334</v>
      </c>
      <c r="Z485" s="27">
        <f t="shared" si="744"/>
        <v>3462.0347404938207</v>
      </c>
      <c r="AA485" s="27">
        <f t="shared" si="745"/>
        <v>7401.5875094960747</v>
      </c>
      <c r="AB485" s="27">
        <f t="shared" si="746"/>
        <v>17787.691730977538</v>
      </c>
      <c r="AC485" s="27">
        <f t="shared" si="747"/>
        <v>121833.33333333334</v>
      </c>
      <c r="AD485" s="29">
        <f t="shared" si="748"/>
        <v>14.60002057262178</v>
      </c>
      <c r="AE485" s="30" t="str">
        <f t="shared" si="749"/>
        <v>PASS</v>
      </c>
      <c r="AG485" s="4"/>
      <c r="AH485" s="31">
        <f t="shared" si="750"/>
        <v>0</v>
      </c>
      <c r="AI485" s="31">
        <f t="shared" si="751"/>
        <v>-75.5</v>
      </c>
      <c r="AJ485" s="31">
        <f t="shared" si="752"/>
        <v>17693.900000000001</v>
      </c>
      <c r="AK485" s="31">
        <f t="shared" si="753"/>
        <v>-7693</v>
      </c>
      <c r="AL485" s="31">
        <f t="shared" si="754"/>
        <v>733.7</v>
      </c>
      <c r="AM485" s="31">
        <f t="shared" si="755"/>
        <v>0</v>
      </c>
      <c r="AN485" s="32">
        <f t="shared" si="756"/>
        <v>-7693</v>
      </c>
      <c r="AO485" s="27">
        <f t="shared" si="757"/>
        <v>658.2</v>
      </c>
      <c r="AP485" s="27">
        <f t="shared" si="758"/>
        <v>17693.900000000001</v>
      </c>
      <c r="AQ485" s="27">
        <f t="shared" si="759"/>
        <v>2147</v>
      </c>
      <c r="AR485" s="27">
        <f t="shared" si="760"/>
        <v>2608.1999999999998</v>
      </c>
      <c r="AS485" s="33">
        <f t="shared" si="761"/>
        <v>17415.900000000001</v>
      </c>
    </row>
    <row r="486" spans="2:45" x14ac:dyDescent="0.25">
      <c r="B486" s="34">
        <f t="shared" si="762"/>
        <v>1720</v>
      </c>
      <c r="C486" s="26">
        <f t="shared" si="762"/>
        <v>18</v>
      </c>
      <c r="D486" s="26">
        <f t="shared" si="762"/>
        <v>500</v>
      </c>
      <c r="E486" s="26">
        <f t="shared" si="762"/>
        <v>0</v>
      </c>
      <c r="F486" s="26">
        <f t="shared" si="762"/>
        <v>-1150</v>
      </c>
      <c r="G486" s="24">
        <v>-700</v>
      </c>
      <c r="H486" s="24">
        <v>-15402</v>
      </c>
      <c r="I486" s="24">
        <v>119</v>
      </c>
      <c r="J486" s="24">
        <v>180</v>
      </c>
      <c r="K486" s="24">
        <v>2039</v>
      </c>
      <c r="L486" s="24">
        <v>10118</v>
      </c>
      <c r="M486" s="44" t="str">
        <f t="shared" si="722"/>
        <v>20(OPE)</v>
      </c>
      <c r="N486" s="26">
        <f t="shared" si="732"/>
        <v>-1150</v>
      </c>
      <c r="O486" s="26">
        <f t="shared" si="733"/>
        <v>0</v>
      </c>
      <c r="P486" s="26">
        <f t="shared" si="734"/>
        <v>-500</v>
      </c>
      <c r="Q486" s="26">
        <f t="shared" si="735"/>
        <v>119</v>
      </c>
      <c r="R486" s="26">
        <f t="shared" si="736"/>
        <v>-15402</v>
      </c>
      <c r="S486" s="26">
        <f t="shared" si="737"/>
        <v>700</v>
      </c>
      <c r="T486" s="26">
        <f t="shared" si="738"/>
        <v>10118</v>
      </c>
      <c r="U486" s="26">
        <f t="shared" si="739"/>
        <v>2039</v>
      </c>
      <c r="V486" s="26">
        <f t="shared" si="740"/>
        <v>-180</v>
      </c>
      <c r="W486" s="27">
        <f t="shared" si="741"/>
        <v>15418.35805136202</v>
      </c>
      <c r="X486" s="27">
        <f t="shared" si="742"/>
        <v>10322.976557175745</v>
      </c>
      <c r="Y486" s="28">
        <f t="shared" si="743"/>
        <v>11.333333333333334</v>
      </c>
      <c r="Z486" s="27">
        <f t="shared" si="744"/>
        <v>3466.170236810593</v>
      </c>
      <c r="AA486" s="27">
        <f t="shared" si="745"/>
        <v>7613.8352354636572</v>
      </c>
      <c r="AB486" s="27">
        <f t="shared" si="746"/>
        <v>18012.345945895438</v>
      </c>
      <c r="AC486" s="27">
        <f t="shared" si="747"/>
        <v>121833.33333333334</v>
      </c>
      <c r="AD486" s="29">
        <f t="shared" si="748"/>
        <v>14.784415277068758</v>
      </c>
      <c r="AE486" s="30" t="str">
        <f t="shared" si="749"/>
        <v>PASS</v>
      </c>
      <c r="AG486" s="4"/>
      <c r="AH486" s="31">
        <f t="shared" si="750"/>
        <v>0</v>
      </c>
      <c r="AI486" s="31">
        <f t="shared" si="751"/>
        <v>-59.5</v>
      </c>
      <c r="AJ486" s="31">
        <f t="shared" si="752"/>
        <v>17712.3</v>
      </c>
      <c r="AK486" s="31">
        <f t="shared" si="753"/>
        <v>-7701</v>
      </c>
      <c r="AL486" s="31">
        <f t="shared" si="754"/>
        <v>805</v>
      </c>
      <c r="AM486" s="31">
        <f t="shared" si="755"/>
        <v>0</v>
      </c>
      <c r="AN486" s="32">
        <f t="shared" si="756"/>
        <v>-7701</v>
      </c>
      <c r="AO486" s="27">
        <f t="shared" si="757"/>
        <v>745.5</v>
      </c>
      <c r="AP486" s="27">
        <f t="shared" si="758"/>
        <v>17712.3</v>
      </c>
      <c r="AQ486" s="27">
        <f t="shared" si="759"/>
        <v>2417</v>
      </c>
      <c r="AR486" s="27">
        <f t="shared" si="760"/>
        <v>2784.5</v>
      </c>
      <c r="AS486" s="33">
        <f t="shared" si="761"/>
        <v>17532.3</v>
      </c>
    </row>
    <row r="487" spans="2:45" x14ac:dyDescent="0.25">
      <c r="B487" s="34">
        <f t="shared" si="762"/>
        <v>1720</v>
      </c>
      <c r="C487" s="26">
        <f t="shared" si="762"/>
        <v>18</v>
      </c>
      <c r="D487" s="26">
        <f t="shared" si="762"/>
        <v>500</v>
      </c>
      <c r="E487" s="26">
        <f t="shared" si="762"/>
        <v>0</v>
      </c>
      <c r="F487" s="26">
        <f t="shared" si="762"/>
        <v>-1150</v>
      </c>
      <c r="G487" s="24">
        <v>704</v>
      </c>
      <c r="H487" s="24">
        <v>-15634</v>
      </c>
      <c r="I487" s="24">
        <v>-390</v>
      </c>
      <c r="J487" s="24">
        <v>-1876</v>
      </c>
      <c r="K487" s="24">
        <v>1196</v>
      </c>
      <c r="L487" s="24">
        <v>8526</v>
      </c>
      <c r="M487" s="44" t="str">
        <f t="shared" si="722"/>
        <v>22(OPE)</v>
      </c>
      <c r="N487" s="26">
        <f t="shared" si="732"/>
        <v>-1150</v>
      </c>
      <c r="O487" s="26">
        <f t="shared" si="733"/>
        <v>0</v>
      </c>
      <c r="P487" s="26">
        <f t="shared" si="734"/>
        <v>-500</v>
      </c>
      <c r="Q487" s="26">
        <f t="shared" si="735"/>
        <v>-390</v>
      </c>
      <c r="R487" s="26">
        <f t="shared" si="736"/>
        <v>-15634</v>
      </c>
      <c r="S487" s="26">
        <f t="shared" si="737"/>
        <v>-704</v>
      </c>
      <c r="T487" s="26">
        <f t="shared" si="738"/>
        <v>8526</v>
      </c>
      <c r="U487" s="26">
        <f t="shared" si="739"/>
        <v>1196</v>
      </c>
      <c r="V487" s="26">
        <f t="shared" si="740"/>
        <v>1876</v>
      </c>
      <c r="W487" s="27">
        <f t="shared" si="741"/>
        <v>15654.701274697003</v>
      </c>
      <c r="X487" s="27">
        <f t="shared" si="742"/>
        <v>8811.4963541954658</v>
      </c>
      <c r="Y487" s="28">
        <f t="shared" si="743"/>
        <v>11.333333333333334</v>
      </c>
      <c r="Z487" s="27">
        <f t="shared" si="744"/>
        <v>3519.3020841620842</v>
      </c>
      <c r="AA487" s="27">
        <f t="shared" si="745"/>
        <v>6499.0248739931167</v>
      </c>
      <c r="AB487" s="27">
        <f t="shared" si="746"/>
        <v>17056.931126479369</v>
      </c>
      <c r="AC487" s="27">
        <f t="shared" si="747"/>
        <v>121833.33333333334</v>
      </c>
      <c r="AD487" s="29">
        <f t="shared" si="748"/>
        <v>14.000217066877729</v>
      </c>
      <c r="AE487" s="30" t="str">
        <f t="shared" si="749"/>
        <v>PASS</v>
      </c>
      <c r="AG487" s="4"/>
      <c r="AH487" s="31">
        <f t="shared" si="750"/>
        <v>0</v>
      </c>
      <c r="AI487" s="31">
        <f t="shared" si="751"/>
        <v>195</v>
      </c>
      <c r="AJ487" s="31">
        <f t="shared" si="752"/>
        <v>17979.099999999999</v>
      </c>
      <c r="AK487" s="31">
        <f t="shared" si="753"/>
        <v>-7817</v>
      </c>
      <c r="AL487" s="31">
        <f t="shared" si="754"/>
        <v>-809.6</v>
      </c>
      <c r="AM487" s="31">
        <f t="shared" si="755"/>
        <v>0</v>
      </c>
      <c r="AN487" s="32">
        <f t="shared" si="756"/>
        <v>-7817</v>
      </c>
      <c r="AO487" s="27">
        <f t="shared" si="757"/>
        <v>-614.6</v>
      </c>
      <c r="AP487" s="27">
        <f t="shared" si="758"/>
        <v>17979.099999999999</v>
      </c>
      <c r="AQ487" s="27">
        <f t="shared" si="759"/>
        <v>709</v>
      </c>
      <c r="AR487" s="27">
        <f t="shared" si="760"/>
        <v>581.4</v>
      </c>
      <c r="AS487" s="33">
        <f t="shared" si="761"/>
        <v>19855.099999999999</v>
      </c>
    </row>
    <row r="488" spans="2:45" x14ac:dyDescent="0.25">
      <c r="B488" s="34">
        <f t="shared" si="762"/>
        <v>1720</v>
      </c>
      <c r="C488" s="26">
        <f t="shared" si="762"/>
        <v>18</v>
      </c>
      <c r="D488" s="26">
        <f t="shared" si="762"/>
        <v>500</v>
      </c>
      <c r="E488" s="26">
        <f t="shared" si="762"/>
        <v>0</v>
      </c>
      <c r="F488" s="26">
        <f t="shared" si="762"/>
        <v>-1150</v>
      </c>
      <c r="G488" s="24">
        <v>-487</v>
      </c>
      <c r="H488" s="24">
        <v>-10467</v>
      </c>
      <c r="I488" s="24">
        <v>-1905</v>
      </c>
      <c r="J488" s="24">
        <v>158</v>
      </c>
      <c r="K488" s="24">
        <v>1026</v>
      </c>
      <c r="L488" s="24">
        <v>-2658</v>
      </c>
      <c r="M488" s="44" t="str">
        <f t="shared" si="722"/>
        <v>34(SUS)</v>
      </c>
      <c r="N488" s="26">
        <f t="shared" si="732"/>
        <v>-1150</v>
      </c>
      <c r="O488" s="26">
        <f t="shared" si="733"/>
        <v>0</v>
      </c>
      <c r="P488" s="26">
        <f t="shared" si="734"/>
        <v>-500</v>
      </c>
      <c r="Q488" s="26">
        <f t="shared" si="735"/>
        <v>-1905</v>
      </c>
      <c r="R488" s="26">
        <f t="shared" si="736"/>
        <v>-10467</v>
      </c>
      <c r="S488" s="26">
        <f t="shared" si="737"/>
        <v>487</v>
      </c>
      <c r="T488" s="26">
        <f t="shared" si="738"/>
        <v>-2658</v>
      </c>
      <c r="U488" s="26">
        <f t="shared" si="739"/>
        <v>1026</v>
      </c>
      <c r="V488" s="26">
        <f t="shared" si="740"/>
        <v>-158</v>
      </c>
      <c r="W488" s="27">
        <f t="shared" si="741"/>
        <v>10650.083708591215</v>
      </c>
      <c r="X488" s="27">
        <f t="shared" si="742"/>
        <v>2853.5248378102478</v>
      </c>
      <c r="Y488" s="28">
        <f t="shared" si="743"/>
        <v>11.333333333333334</v>
      </c>
      <c r="Z488" s="27">
        <f t="shared" si="744"/>
        <v>2394.2240183609742</v>
      </c>
      <c r="AA488" s="27">
        <f t="shared" si="745"/>
        <v>2104.6514864250021</v>
      </c>
      <c r="AB488" s="27">
        <f t="shared" si="746"/>
        <v>9287.3235415079253</v>
      </c>
      <c r="AC488" s="27">
        <f t="shared" si="747"/>
        <v>121833.33333333334</v>
      </c>
      <c r="AD488" s="29">
        <f t="shared" si="748"/>
        <v>7.6229741790762722</v>
      </c>
      <c r="AE488" s="30" t="str">
        <f t="shared" si="749"/>
        <v>PASS</v>
      </c>
      <c r="AG488" s="4"/>
      <c r="AH488" s="31">
        <f t="shared" si="750"/>
        <v>0</v>
      </c>
      <c r="AI488" s="31">
        <f t="shared" si="751"/>
        <v>952.5</v>
      </c>
      <c r="AJ488" s="31">
        <f t="shared" si="752"/>
        <v>12037.05</v>
      </c>
      <c r="AK488" s="31">
        <f t="shared" si="753"/>
        <v>-5233.5</v>
      </c>
      <c r="AL488" s="31">
        <f t="shared" si="754"/>
        <v>560.04999999999995</v>
      </c>
      <c r="AM488" s="31">
        <f t="shared" si="755"/>
        <v>0</v>
      </c>
      <c r="AN488" s="32">
        <f t="shared" si="756"/>
        <v>-5233.5</v>
      </c>
      <c r="AO488" s="27">
        <f t="shared" si="757"/>
        <v>1512.55</v>
      </c>
      <c r="AP488" s="27">
        <f t="shared" si="758"/>
        <v>12037.05</v>
      </c>
      <c r="AQ488" s="27">
        <f t="shared" si="759"/>
        <v>-7891.5</v>
      </c>
      <c r="AR488" s="27">
        <f t="shared" si="760"/>
        <v>2538.5500000000002</v>
      </c>
      <c r="AS488" s="33">
        <f t="shared" si="761"/>
        <v>11879.05</v>
      </c>
    </row>
    <row r="489" spans="2:45" x14ac:dyDescent="0.25">
      <c r="B489" s="34">
        <f t="shared" si="762"/>
        <v>1720</v>
      </c>
      <c r="C489" s="26">
        <f t="shared" si="762"/>
        <v>18</v>
      </c>
      <c r="D489" s="26">
        <f t="shared" si="762"/>
        <v>500</v>
      </c>
      <c r="E489" s="26">
        <f t="shared" si="762"/>
        <v>0</v>
      </c>
      <c r="F489" s="26">
        <f t="shared" si="762"/>
        <v>-1150</v>
      </c>
      <c r="G489" s="24">
        <v>-521</v>
      </c>
      <c r="H489" s="24">
        <v>-10326</v>
      </c>
      <c r="I489" s="24">
        <v>-1948</v>
      </c>
      <c r="J489" s="24">
        <v>343</v>
      </c>
      <c r="K489" s="24">
        <v>1098</v>
      </c>
      <c r="L489" s="24">
        <v>-2559</v>
      </c>
      <c r="M489" s="44" t="str">
        <f t="shared" si="722"/>
        <v>35(SUS)</v>
      </c>
      <c r="N489" s="26">
        <f t="shared" si="732"/>
        <v>-1150</v>
      </c>
      <c r="O489" s="26">
        <f t="shared" si="733"/>
        <v>0</v>
      </c>
      <c r="P489" s="26">
        <f t="shared" si="734"/>
        <v>-500</v>
      </c>
      <c r="Q489" s="26">
        <f t="shared" si="735"/>
        <v>-1948</v>
      </c>
      <c r="R489" s="26">
        <f t="shared" si="736"/>
        <v>-10326</v>
      </c>
      <c r="S489" s="26">
        <f t="shared" si="737"/>
        <v>521</v>
      </c>
      <c r="T489" s="26">
        <f t="shared" si="738"/>
        <v>-2559</v>
      </c>
      <c r="U489" s="26">
        <f t="shared" si="739"/>
        <v>1098</v>
      </c>
      <c r="V489" s="26">
        <f t="shared" si="740"/>
        <v>-343</v>
      </c>
      <c r="W489" s="27">
        <f t="shared" si="741"/>
        <v>10521.046573416545</v>
      </c>
      <c r="X489" s="27">
        <f t="shared" si="742"/>
        <v>2805.6610629226047</v>
      </c>
      <c r="Y489" s="28">
        <f t="shared" si="743"/>
        <v>11.333333333333334</v>
      </c>
      <c r="Z489" s="27">
        <f t="shared" si="744"/>
        <v>2365.2154380766265</v>
      </c>
      <c r="AA489" s="27">
        <f t="shared" si="745"/>
        <v>2069.3489848913223</v>
      </c>
      <c r="AB489" s="27">
        <f t="shared" si="746"/>
        <v>9164.9952991212012</v>
      </c>
      <c r="AC489" s="27">
        <f t="shared" si="747"/>
        <v>121833.33333333334</v>
      </c>
      <c r="AD489" s="29">
        <f t="shared" si="748"/>
        <v>7.5225679609749934</v>
      </c>
      <c r="AE489" s="30" t="str">
        <f t="shared" si="749"/>
        <v>PASS</v>
      </c>
      <c r="AG489" s="4"/>
      <c r="AH489" s="31">
        <f t="shared" si="750"/>
        <v>0</v>
      </c>
      <c r="AI489" s="31">
        <f t="shared" si="751"/>
        <v>974</v>
      </c>
      <c r="AJ489" s="31">
        <f t="shared" si="752"/>
        <v>11874.9</v>
      </c>
      <c r="AK489" s="31">
        <f t="shared" si="753"/>
        <v>-5163</v>
      </c>
      <c r="AL489" s="31">
        <f t="shared" si="754"/>
        <v>599.15</v>
      </c>
      <c r="AM489" s="31">
        <f t="shared" si="755"/>
        <v>0</v>
      </c>
      <c r="AN489" s="32">
        <f t="shared" si="756"/>
        <v>-5163</v>
      </c>
      <c r="AO489" s="27">
        <f t="shared" si="757"/>
        <v>1573.15</v>
      </c>
      <c r="AP489" s="27">
        <f t="shared" si="758"/>
        <v>11874.9</v>
      </c>
      <c r="AQ489" s="27">
        <f t="shared" si="759"/>
        <v>-7722</v>
      </c>
      <c r="AR489" s="27">
        <f t="shared" si="760"/>
        <v>2671.15</v>
      </c>
      <c r="AS489" s="33">
        <f t="shared" si="761"/>
        <v>11531.9</v>
      </c>
    </row>
    <row r="490" spans="2:45" x14ac:dyDescent="0.25">
      <c r="B490" s="34">
        <f t="shared" si="762"/>
        <v>1720</v>
      </c>
      <c r="C490" s="26">
        <f t="shared" si="762"/>
        <v>18</v>
      </c>
      <c r="D490" s="26">
        <f t="shared" si="762"/>
        <v>500</v>
      </c>
      <c r="E490" s="26">
        <f t="shared" si="762"/>
        <v>0</v>
      </c>
      <c r="F490" s="26">
        <f t="shared" si="762"/>
        <v>-1150</v>
      </c>
      <c r="G490" s="24">
        <v>-149</v>
      </c>
      <c r="H490" s="24">
        <v>-10614</v>
      </c>
      <c r="I490" s="24">
        <v>-1754</v>
      </c>
      <c r="J490" s="24">
        <v>-178</v>
      </c>
      <c r="K490" s="24">
        <v>555</v>
      </c>
      <c r="L490" s="24">
        <v>-2997</v>
      </c>
      <c r="M490" s="44" t="str">
        <f t="shared" si="722"/>
        <v>36(SUS)</v>
      </c>
      <c r="N490" s="26">
        <f t="shared" si="732"/>
        <v>-1150</v>
      </c>
      <c r="O490" s="26">
        <f t="shared" si="733"/>
        <v>0</v>
      </c>
      <c r="P490" s="26">
        <f t="shared" si="734"/>
        <v>-500</v>
      </c>
      <c r="Q490" s="26">
        <f t="shared" si="735"/>
        <v>-1754</v>
      </c>
      <c r="R490" s="26">
        <f t="shared" si="736"/>
        <v>-10614</v>
      </c>
      <c r="S490" s="26">
        <f t="shared" si="737"/>
        <v>149</v>
      </c>
      <c r="T490" s="26">
        <f t="shared" si="738"/>
        <v>-2997</v>
      </c>
      <c r="U490" s="26">
        <f t="shared" si="739"/>
        <v>555</v>
      </c>
      <c r="V490" s="26">
        <f t="shared" si="740"/>
        <v>178</v>
      </c>
      <c r="W490" s="27">
        <f t="shared" si="741"/>
        <v>10758.982898025259</v>
      </c>
      <c r="X490" s="27">
        <f t="shared" si="742"/>
        <v>3053.1488663345585</v>
      </c>
      <c r="Y490" s="28">
        <f t="shared" si="743"/>
        <v>11.333333333333334</v>
      </c>
      <c r="Z490" s="27">
        <f t="shared" si="744"/>
        <v>2418.7054273392623</v>
      </c>
      <c r="AA490" s="27">
        <f t="shared" si="745"/>
        <v>2251.8865841514498</v>
      </c>
      <c r="AB490" s="27">
        <f t="shared" si="746"/>
        <v>9508.0028661692377</v>
      </c>
      <c r="AC490" s="27">
        <f t="shared" si="747"/>
        <v>121833.33333333334</v>
      </c>
      <c r="AD490" s="29">
        <f t="shared" si="748"/>
        <v>7.8041063197011526</v>
      </c>
      <c r="AE490" s="30" t="str">
        <f t="shared" si="749"/>
        <v>PASS</v>
      </c>
      <c r="AG490" s="4"/>
      <c r="AH490" s="31">
        <f t="shared" si="750"/>
        <v>0</v>
      </c>
      <c r="AI490" s="31">
        <f t="shared" si="751"/>
        <v>877</v>
      </c>
      <c r="AJ490" s="31">
        <f t="shared" si="752"/>
        <v>12206.1</v>
      </c>
      <c r="AK490" s="31">
        <f t="shared" si="753"/>
        <v>-5307</v>
      </c>
      <c r="AL490" s="31">
        <f t="shared" si="754"/>
        <v>171.35</v>
      </c>
      <c r="AM490" s="31">
        <f t="shared" si="755"/>
        <v>0</v>
      </c>
      <c r="AN490" s="32">
        <f t="shared" si="756"/>
        <v>-5307</v>
      </c>
      <c r="AO490" s="27">
        <f t="shared" si="757"/>
        <v>1048.3499999999999</v>
      </c>
      <c r="AP490" s="27">
        <f t="shared" si="758"/>
        <v>12206.1</v>
      </c>
      <c r="AQ490" s="27">
        <f t="shared" si="759"/>
        <v>-8304</v>
      </c>
      <c r="AR490" s="27">
        <f t="shared" si="760"/>
        <v>1603.35</v>
      </c>
      <c r="AS490" s="33">
        <f t="shared" si="761"/>
        <v>12384.1</v>
      </c>
    </row>
    <row r="491" spans="2:45" x14ac:dyDescent="0.25">
      <c r="B491" s="34">
        <f t="shared" si="762"/>
        <v>1720</v>
      </c>
      <c r="C491" s="26">
        <f t="shared" si="762"/>
        <v>18</v>
      </c>
      <c r="D491" s="26">
        <f t="shared" si="762"/>
        <v>500</v>
      </c>
      <c r="E491" s="26">
        <f t="shared" si="762"/>
        <v>0</v>
      </c>
      <c r="F491" s="26">
        <f t="shared" si="762"/>
        <v>-1150</v>
      </c>
      <c r="G491" s="24">
        <v>-184</v>
      </c>
      <c r="H491" s="24">
        <v>-10474</v>
      </c>
      <c r="I491" s="24">
        <v>-1796</v>
      </c>
      <c r="J491" s="24">
        <v>9</v>
      </c>
      <c r="K491" s="24">
        <v>628</v>
      </c>
      <c r="L491" s="24">
        <v>-2896</v>
      </c>
      <c r="M491" s="44" t="str">
        <f t="shared" si="722"/>
        <v>37(SUS)</v>
      </c>
      <c r="N491" s="26">
        <f t="shared" si="732"/>
        <v>-1150</v>
      </c>
      <c r="O491" s="26">
        <f t="shared" si="733"/>
        <v>0</v>
      </c>
      <c r="P491" s="26">
        <f t="shared" si="734"/>
        <v>-500</v>
      </c>
      <c r="Q491" s="26">
        <f t="shared" si="735"/>
        <v>-1796</v>
      </c>
      <c r="R491" s="26">
        <f t="shared" si="736"/>
        <v>-10474</v>
      </c>
      <c r="S491" s="26">
        <f t="shared" si="737"/>
        <v>184</v>
      </c>
      <c r="T491" s="26">
        <f t="shared" si="738"/>
        <v>-2896</v>
      </c>
      <c r="U491" s="26">
        <f t="shared" si="739"/>
        <v>628</v>
      </c>
      <c r="V491" s="26">
        <f t="shared" si="740"/>
        <v>-9</v>
      </c>
      <c r="W491" s="27">
        <f t="shared" si="741"/>
        <v>10628.459342726959</v>
      </c>
      <c r="X491" s="27">
        <f t="shared" si="742"/>
        <v>2963.3226284021116</v>
      </c>
      <c r="Y491" s="28">
        <f t="shared" si="743"/>
        <v>11.333333333333334</v>
      </c>
      <c r="Z491" s="27">
        <f t="shared" si="744"/>
        <v>2389.3626879197623</v>
      </c>
      <c r="AA491" s="27">
        <f t="shared" si="745"/>
        <v>2185.6341644495183</v>
      </c>
      <c r="AB491" s="27">
        <f t="shared" si="746"/>
        <v>9353.722228208806</v>
      </c>
      <c r="AC491" s="27">
        <f t="shared" si="747"/>
        <v>121833.33333333334</v>
      </c>
      <c r="AD491" s="29">
        <f t="shared" si="748"/>
        <v>7.6774737851235066</v>
      </c>
      <c r="AE491" s="30" t="str">
        <f t="shared" si="749"/>
        <v>PASS</v>
      </c>
      <c r="AG491" s="4"/>
      <c r="AH491" s="31">
        <f t="shared" si="750"/>
        <v>0</v>
      </c>
      <c r="AI491" s="31">
        <f t="shared" si="751"/>
        <v>898</v>
      </c>
      <c r="AJ491" s="31">
        <f t="shared" si="752"/>
        <v>12045.1</v>
      </c>
      <c r="AK491" s="31">
        <f t="shared" si="753"/>
        <v>-5237</v>
      </c>
      <c r="AL491" s="31">
        <f t="shared" si="754"/>
        <v>211.6</v>
      </c>
      <c r="AM491" s="31">
        <f t="shared" si="755"/>
        <v>0</v>
      </c>
      <c r="AN491" s="32">
        <f t="shared" si="756"/>
        <v>-5237</v>
      </c>
      <c r="AO491" s="27">
        <f t="shared" si="757"/>
        <v>1109.5999999999999</v>
      </c>
      <c r="AP491" s="27">
        <f t="shared" si="758"/>
        <v>12045.1</v>
      </c>
      <c r="AQ491" s="27">
        <f t="shared" si="759"/>
        <v>-8133</v>
      </c>
      <c r="AR491" s="27">
        <f t="shared" si="760"/>
        <v>1737.6</v>
      </c>
      <c r="AS491" s="33">
        <f t="shared" si="761"/>
        <v>12036.1</v>
      </c>
    </row>
    <row r="492" spans="2:45" x14ac:dyDescent="0.25">
      <c r="B492" s="34">
        <f t="shared" si="762"/>
        <v>1720</v>
      </c>
      <c r="C492" s="26">
        <f t="shared" si="762"/>
        <v>18</v>
      </c>
      <c r="D492" s="26">
        <f t="shared" si="762"/>
        <v>500</v>
      </c>
      <c r="E492" s="26">
        <f t="shared" si="762"/>
        <v>0</v>
      </c>
      <c r="F492" s="26">
        <f t="shared" si="762"/>
        <v>-1150</v>
      </c>
      <c r="G492" s="24">
        <v>5827</v>
      </c>
      <c r="H492" s="24">
        <v>-15699</v>
      </c>
      <c r="I492" s="24">
        <v>-1359</v>
      </c>
      <c r="J492" s="24">
        <v>-5563</v>
      </c>
      <c r="K492" s="24">
        <v>-2195</v>
      </c>
      <c r="L492" s="24">
        <v>3110</v>
      </c>
      <c r="M492" s="44" t="str">
        <f t="shared" si="722"/>
        <v>24(OPE)</v>
      </c>
      <c r="N492" s="26">
        <f t="shared" si="732"/>
        <v>-1150</v>
      </c>
      <c r="O492" s="26">
        <f t="shared" si="733"/>
        <v>0</v>
      </c>
      <c r="P492" s="26">
        <f t="shared" si="734"/>
        <v>-500</v>
      </c>
      <c r="Q492" s="26">
        <f t="shared" si="735"/>
        <v>-1359</v>
      </c>
      <c r="R492" s="26">
        <f t="shared" si="736"/>
        <v>-15699</v>
      </c>
      <c r="S492" s="26">
        <f t="shared" si="737"/>
        <v>-5827</v>
      </c>
      <c r="T492" s="26">
        <f t="shared" si="738"/>
        <v>3110</v>
      </c>
      <c r="U492" s="26">
        <f t="shared" si="739"/>
        <v>-2195</v>
      </c>
      <c r="V492" s="26">
        <f t="shared" si="740"/>
        <v>5563</v>
      </c>
      <c r="W492" s="27">
        <f t="shared" si="741"/>
        <v>16800.577698400732</v>
      </c>
      <c r="X492" s="27">
        <f t="shared" si="742"/>
        <v>6740.7042658760811</v>
      </c>
      <c r="Y492" s="28">
        <f t="shared" si="743"/>
        <v>11.333333333333334</v>
      </c>
      <c r="Z492" s="27">
        <f t="shared" si="744"/>
        <v>3776.9042712220717</v>
      </c>
      <c r="AA492" s="27">
        <f t="shared" si="745"/>
        <v>4971.6873197480945</v>
      </c>
      <c r="AB492" s="27">
        <f t="shared" si="746"/>
        <v>16302.400133414309</v>
      </c>
      <c r="AC492" s="27">
        <f t="shared" si="747"/>
        <v>121833.33333333334</v>
      </c>
      <c r="AD492" s="29">
        <f t="shared" si="748"/>
        <v>13.380902982282606</v>
      </c>
      <c r="AE492" s="30" t="str">
        <f t="shared" si="749"/>
        <v>PASS</v>
      </c>
      <c r="AG492" s="4"/>
      <c r="AH492" s="31">
        <f t="shared" si="750"/>
        <v>0</v>
      </c>
      <c r="AI492" s="31">
        <f t="shared" si="751"/>
        <v>679.5</v>
      </c>
      <c r="AJ492" s="31">
        <f t="shared" si="752"/>
        <v>18053.849999999999</v>
      </c>
      <c r="AK492" s="31">
        <f t="shared" si="753"/>
        <v>-7849.5</v>
      </c>
      <c r="AL492" s="31">
        <f t="shared" si="754"/>
        <v>-6701.05</v>
      </c>
      <c r="AM492" s="31">
        <f t="shared" si="755"/>
        <v>0</v>
      </c>
      <c r="AN492" s="32">
        <f t="shared" si="756"/>
        <v>-7849.5</v>
      </c>
      <c r="AO492" s="27">
        <f t="shared" si="757"/>
        <v>-6021.55</v>
      </c>
      <c r="AP492" s="27">
        <f t="shared" si="758"/>
        <v>18053.849999999999</v>
      </c>
      <c r="AQ492" s="27">
        <f t="shared" si="759"/>
        <v>-4739.5</v>
      </c>
      <c r="AR492" s="27">
        <f t="shared" si="760"/>
        <v>-8216.5499999999993</v>
      </c>
      <c r="AS492" s="33">
        <f t="shared" si="761"/>
        <v>23616.85</v>
      </c>
    </row>
    <row r="493" spans="2:45" x14ac:dyDescent="0.25">
      <c r="B493" s="34">
        <f t="shared" si="762"/>
        <v>1720</v>
      </c>
      <c r="C493" s="26">
        <f t="shared" si="762"/>
        <v>18</v>
      </c>
      <c r="D493" s="26">
        <f t="shared" si="762"/>
        <v>500</v>
      </c>
      <c r="E493" s="26">
        <f t="shared" si="762"/>
        <v>0</v>
      </c>
      <c r="F493" s="26">
        <f t="shared" si="762"/>
        <v>-1150</v>
      </c>
      <c r="G493" s="24">
        <v>1995</v>
      </c>
      <c r="H493" s="24">
        <v>-15597</v>
      </c>
      <c r="I493" s="24">
        <v>-2212</v>
      </c>
      <c r="J493" s="24">
        <v>-4972</v>
      </c>
      <c r="K493" s="24">
        <v>2210</v>
      </c>
      <c r="L493" s="24">
        <v>5719</v>
      </c>
      <c r="M493" s="44" t="str">
        <f t="shared" si="722"/>
        <v>25(OPE)</v>
      </c>
      <c r="N493" s="26">
        <f t="shared" si="732"/>
        <v>-1150</v>
      </c>
      <c r="O493" s="26">
        <f t="shared" si="733"/>
        <v>0</v>
      </c>
      <c r="P493" s="26">
        <f t="shared" si="734"/>
        <v>-500</v>
      </c>
      <c r="Q493" s="26">
        <f t="shared" si="735"/>
        <v>-2212</v>
      </c>
      <c r="R493" s="26">
        <f t="shared" si="736"/>
        <v>-15597</v>
      </c>
      <c r="S493" s="26">
        <f t="shared" si="737"/>
        <v>-1995</v>
      </c>
      <c r="T493" s="26">
        <f t="shared" si="738"/>
        <v>5719</v>
      </c>
      <c r="U493" s="26">
        <f t="shared" si="739"/>
        <v>2210</v>
      </c>
      <c r="V493" s="26">
        <f t="shared" si="740"/>
        <v>4972</v>
      </c>
      <c r="W493" s="27">
        <f t="shared" si="741"/>
        <v>15878.89725390274</v>
      </c>
      <c r="X493" s="27">
        <f t="shared" si="742"/>
        <v>7893.7852136981783</v>
      </c>
      <c r="Y493" s="28">
        <f t="shared" si="743"/>
        <v>11.333333333333334</v>
      </c>
      <c r="Z493" s="27">
        <f t="shared" si="744"/>
        <v>3569.7031338553675</v>
      </c>
      <c r="AA493" s="27">
        <f t="shared" si="745"/>
        <v>5822.1560097856564</v>
      </c>
      <c r="AB493" s="27">
        <f t="shared" si="746"/>
        <v>16531.265411351756</v>
      </c>
      <c r="AC493" s="27">
        <f t="shared" si="747"/>
        <v>121833.33333333334</v>
      </c>
      <c r="AD493" s="29">
        <f t="shared" si="748"/>
        <v>13.568754099604725</v>
      </c>
      <c r="AE493" s="30" t="str">
        <f t="shared" si="749"/>
        <v>PASS</v>
      </c>
      <c r="AG493" s="4"/>
      <c r="AH493" s="31">
        <f t="shared" si="750"/>
        <v>0</v>
      </c>
      <c r="AI493" s="31">
        <f t="shared" si="751"/>
        <v>1106</v>
      </c>
      <c r="AJ493" s="31">
        <f t="shared" si="752"/>
        <v>17936.55</v>
      </c>
      <c r="AK493" s="31">
        <f t="shared" si="753"/>
        <v>-7798.5</v>
      </c>
      <c r="AL493" s="31">
        <f t="shared" si="754"/>
        <v>-2294.25</v>
      </c>
      <c r="AM493" s="31">
        <f t="shared" si="755"/>
        <v>0</v>
      </c>
      <c r="AN493" s="32">
        <f t="shared" si="756"/>
        <v>-7798.5</v>
      </c>
      <c r="AO493" s="27">
        <f t="shared" si="757"/>
        <v>-1188.25</v>
      </c>
      <c r="AP493" s="27">
        <f t="shared" si="758"/>
        <v>17936.55</v>
      </c>
      <c r="AQ493" s="27">
        <f t="shared" si="759"/>
        <v>-2079.5</v>
      </c>
      <c r="AR493" s="27">
        <f t="shared" si="760"/>
        <v>1021.75</v>
      </c>
      <c r="AS493" s="33">
        <f t="shared" si="761"/>
        <v>22908.55</v>
      </c>
    </row>
    <row r="494" spans="2:45" x14ac:dyDescent="0.25">
      <c r="B494" s="34">
        <f t="shared" si="762"/>
        <v>1720</v>
      </c>
      <c r="C494" s="26">
        <f t="shared" si="762"/>
        <v>18</v>
      </c>
      <c r="D494" s="26">
        <f t="shared" si="762"/>
        <v>500</v>
      </c>
      <c r="E494" s="26">
        <f t="shared" si="762"/>
        <v>0</v>
      </c>
      <c r="F494" s="26">
        <f t="shared" si="762"/>
        <v>-1150</v>
      </c>
      <c r="G494" s="24">
        <v>5827</v>
      </c>
      <c r="H494" s="24">
        <v>-15699</v>
      </c>
      <c r="I494" s="24">
        <v>-1359</v>
      </c>
      <c r="J494" s="24">
        <v>-5563</v>
      </c>
      <c r="K494" s="24">
        <v>-2195</v>
      </c>
      <c r="L494" s="24">
        <v>3110</v>
      </c>
      <c r="M494" s="44" t="str">
        <f t="shared" si="722"/>
        <v>26(OPE)</v>
      </c>
      <c r="N494" s="26">
        <f t="shared" si="732"/>
        <v>-1150</v>
      </c>
      <c r="O494" s="26">
        <f t="shared" si="733"/>
        <v>0</v>
      </c>
      <c r="P494" s="26">
        <f t="shared" si="734"/>
        <v>-500</v>
      </c>
      <c r="Q494" s="26">
        <f t="shared" si="735"/>
        <v>-1359</v>
      </c>
      <c r="R494" s="26">
        <f t="shared" si="736"/>
        <v>-15699</v>
      </c>
      <c r="S494" s="26">
        <f t="shared" si="737"/>
        <v>-5827</v>
      </c>
      <c r="T494" s="26">
        <f t="shared" si="738"/>
        <v>3110</v>
      </c>
      <c r="U494" s="26">
        <f t="shared" si="739"/>
        <v>-2195</v>
      </c>
      <c r="V494" s="26">
        <f t="shared" si="740"/>
        <v>5563</v>
      </c>
      <c r="W494" s="27">
        <f t="shared" si="741"/>
        <v>16800.577698400732</v>
      </c>
      <c r="X494" s="27">
        <f t="shared" si="742"/>
        <v>6740.7042658760811</v>
      </c>
      <c r="Y494" s="28">
        <f t="shared" si="743"/>
        <v>11.333333333333334</v>
      </c>
      <c r="Z494" s="27">
        <f t="shared" si="744"/>
        <v>3776.9042712220717</v>
      </c>
      <c r="AA494" s="27">
        <f t="shared" si="745"/>
        <v>4971.6873197480945</v>
      </c>
      <c r="AB494" s="27">
        <f t="shared" si="746"/>
        <v>16302.400133414309</v>
      </c>
      <c r="AC494" s="27">
        <f t="shared" si="747"/>
        <v>121833.33333333334</v>
      </c>
      <c r="AD494" s="29">
        <f t="shared" si="748"/>
        <v>13.380902982282606</v>
      </c>
      <c r="AE494" s="30" t="str">
        <f t="shared" si="749"/>
        <v>PASS</v>
      </c>
      <c r="AG494" s="4"/>
      <c r="AH494" s="31">
        <f t="shared" si="750"/>
        <v>0</v>
      </c>
      <c r="AI494" s="31">
        <f t="shared" si="751"/>
        <v>679.5</v>
      </c>
      <c r="AJ494" s="31">
        <f t="shared" si="752"/>
        <v>18053.849999999999</v>
      </c>
      <c r="AK494" s="31">
        <f t="shared" si="753"/>
        <v>-7849.5</v>
      </c>
      <c r="AL494" s="31">
        <f t="shared" si="754"/>
        <v>-6701.05</v>
      </c>
      <c r="AM494" s="31">
        <f t="shared" si="755"/>
        <v>0</v>
      </c>
      <c r="AN494" s="32">
        <f t="shared" si="756"/>
        <v>-7849.5</v>
      </c>
      <c r="AO494" s="27">
        <f t="shared" si="757"/>
        <v>-6021.55</v>
      </c>
      <c r="AP494" s="27">
        <f t="shared" si="758"/>
        <v>18053.849999999999</v>
      </c>
      <c r="AQ494" s="27">
        <f t="shared" si="759"/>
        <v>-4739.5</v>
      </c>
      <c r="AR494" s="27">
        <f t="shared" si="760"/>
        <v>-8216.5499999999993</v>
      </c>
      <c r="AS494" s="33">
        <f t="shared" si="761"/>
        <v>23616.85</v>
      </c>
    </row>
    <row r="495" spans="2:45" x14ac:dyDescent="0.25">
      <c r="B495" s="34">
        <f t="shared" si="762"/>
        <v>1720</v>
      </c>
      <c r="C495" s="26">
        <f t="shared" si="762"/>
        <v>18</v>
      </c>
      <c r="D495" s="26">
        <f t="shared" si="762"/>
        <v>500</v>
      </c>
      <c r="E495" s="26">
        <f t="shared" si="762"/>
        <v>0</v>
      </c>
      <c r="F495" s="26">
        <f t="shared" si="762"/>
        <v>-1150</v>
      </c>
      <c r="G495" s="24">
        <v>1995</v>
      </c>
      <c r="H495" s="24">
        <v>-15597</v>
      </c>
      <c r="I495" s="24">
        <v>-2212</v>
      </c>
      <c r="J495" s="24">
        <v>-4972</v>
      </c>
      <c r="K495" s="24">
        <v>2210</v>
      </c>
      <c r="L495" s="24">
        <v>5719</v>
      </c>
      <c r="M495" s="44" t="str">
        <f t="shared" si="722"/>
        <v>27(OPE)</v>
      </c>
      <c r="N495" s="26">
        <f t="shared" si="732"/>
        <v>-1150</v>
      </c>
      <c r="O495" s="26">
        <f t="shared" si="733"/>
        <v>0</v>
      </c>
      <c r="P495" s="26">
        <f t="shared" si="734"/>
        <v>-500</v>
      </c>
      <c r="Q495" s="26">
        <f t="shared" si="735"/>
        <v>-2212</v>
      </c>
      <c r="R495" s="26">
        <f t="shared" si="736"/>
        <v>-15597</v>
      </c>
      <c r="S495" s="26">
        <f t="shared" si="737"/>
        <v>-1995</v>
      </c>
      <c r="T495" s="26">
        <f t="shared" si="738"/>
        <v>5719</v>
      </c>
      <c r="U495" s="26">
        <f t="shared" si="739"/>
        <v>2210</v>
      </c>
      <c r="V495" s="26">
        <f t="shared" si="740"/>
        <v>4972</v>
      </c>
      <c r="W495" s="27">
        <f t="shared" si="741"/>
        <v>15878.89725390274</v>
      </c>
      <c r="X495" s="27">
        <f t="shared" si="742"/>
        <v>7893.7852136981783</v>
      </c>
      <c r="Y495" s="28">
        <f t="shared" si="743"/>
        <v>11.333333333333334</v>
      </c>
      <c r="Z495" s="27">
        <f t="shared" si="744"/>
        <v>3569.7031338553675</v>
      </c>
      <c r="AA495" s="27">
        <f t="shared" si="745"/>
        <v>5822.1560097856564</v>
      </c>
      <c r="AB495" s="27">
        <f t="shared" si="746"/>
        <v>16531.265411351756</v>
      </c>
      <c r="AC495" s="27">
        <f t="shared" si="747"/>
        <v>121833.33333333334</v>
      </c>
      <c r="AD495" s="29">
        <f t="shared" si="748"/>
        <v>13.568754099604725</v>
      </c>
      <c r="AE495" s="30" t="str">
        <f t="shared" si="749"/>
        <v>PASS</v>
      </c>
      <c r="AG495" s="4"/>
      <c r="AH495" s="31">
        <f t="shared" si="750"/>
        <v>0</v>
      </c>
      <c r="AI495" s="31">
        <f t="shared" si="751"/>
        <v>1106</v>
      </c>
      <c r="AJ495" s="31">
        <f t="shared" si="752"/>
        <v>17936.55</v>
      </c>
      <c r="AK495" s="31">
        <f t="shared" si="753"/>
        <v>-7798.5</v>
      </c>
      <c r="AL495" s="31">
        <f t="shared" si="754"/>
        <v>-2294.25</v>
      </c>
      <c r="AM495" s="31">
        <f t="shared" si="755"/>
        <v>0</v>
      </c>
      <c r="AN495" s="32">
        <f t="shared" si="756"/>
        <v>-7798.5</v>
      </c>
      <c r="AO495" s="27">
        <f t="shared" si="757"/>
        <v>-1188.25</v>
      </c>
      <c r="AP495" s="27">
        <f t="shared" si="758"/>
        <v>17936.55</v>
      </c>
      <c r="AQ495" s="27">
        <f t="shared" si="759"/>
        <v>-2079.5</v>
      </c>
      <c r="AR495" s="27">
        <f t="shared" si="760"/>
        <v>1021.75</v>
      </c>
      <c r="AS495" s="33">
        <f t="shared" si="761"/>
        <v>22908.55</v>
      </c>
    </row>
    <row r="496" spans="2:45" x14ac:dyDescent="0.25">
      <c r="B496" s="34">
        <f>IF(B495="","",B495)</f>
        <v>1720</v>
      </c>
      <c r="C496" s="26">
        <f t="shared" ref="C496:F496" si="763">IF(C495="","",C495)</f>
        <v>18</v>
      </c>
      <c r="D496" s="26">
        <f t="shared" si="763"/>
        <v>500</v>
      </c>
      <c r="E496" s="26">
        <f t="shared" si="763"/>
        <v>0</v>
      </c>
      <c r="F496" s="26">
        <f t="shared" si="763"/>
        <v>-1150</v>
      </c>
      <c r="G496" s="24">
        <v>6963</v>
      </c>
      <c r="H496" s="24">
        <v>-15604</v>
      </c>
      <c r="I496" s="24">
        <v>-2205</v>
      </c>
      <c r="J496" s="24">
        <v>-6210</v>
      </c>
      <c r="K496" s="24">
        <v>-2105</v>
      </c>
      <c r="L496" s="24">
        <v>3102</v>
      </c>
      <c r="M496" s="44" t="str">
        <f t="shared" si="722"/>
        <v>28(OPE)</v>
      </c>
      <c r="N496" s="26">
        <f t="shared" si="732"/>
        <v>-1150</v>
      </c>
      <c r="O496" s="26">
        <f t="shared" si="733"/>
        <v>0</v>
      </c>
      <c r="P496" s="26">
        <f t="shared" si="734"/>
        <v>-500</v>
      </c>
      <c r="Q496" s="26">
        <f t="shared" si="735"/>
        <v>-2205</v>
      </c>
      <c r="R496" s="26">
        <f t="shared" si="736"/>
        <v>-15604</v>
      </c>
      <c r="S496" s="26">
        <f t="shared" si="737"/>
        <v>-6963</v>
      </c>
      <c r="T496" s="26">
        <f t="shared" si="738"/>
        <v>3102</v>
      </c>
      <c r="U496" s="26">
        <f t="shared" si="739"/>
        <v>-2105</v>
      </c>
      <c r="V496" s="26">
        <f t="shared" si="740"/>
        <v>6210</v>
      </c>
      <c r="W496" s="27">
        <f t="shared" si="741"/>
        <v>17228.761127835049</v>
      </c>
      <c r="X496" s="27">
        <f t="shared" si="742"/>
        <v>7253.7941106706357</v>
      </c>
      <c r="Y496" s="28">
        <f t="shared" si="743"/>
        <v>11.333333333333334</v>
      </c>
      <c r="Z496" s="27">
        <f t="shared" si="744"/>
        <v>3873.1633316263419</v>
      </c>
      <c r="AA496" s="27">
        <f t="shared" si="745"/>
        <v>5350.1228918544557</v>
      </c>
      <c r="AB496" s="27">
        <f t="shared" si="746"/>
        <v>16969.612886733481</v>
      </c>
      <c r="AC496" s="27">
        <f t="shared" si="747"/>
        <v>121833.33333333334</v>
      </c>
      <c r="AD496" s="29">
        <f t="shared" si="748"/>
        <v>13.928546829056208</v>
      </c>
      <c r="AE496" s="30" t="str">
        <f t="shared" si="749"/>
        <v>PASS</v>
      </c>
      <c r="AG496" s="4"/>
      <c r="AH496" s="31">
        <f t="shared" si="750"/>
        <v>0</v>
      </c>
      <c r="AI496" s="31">
        <f t="shared" si="751"/>
        <v>1102.5</v>
      </c>
      <c r="AJ496" s="31">
        <f t="shared" si="752"/>
        <v>17944.599999999999</v>
      </c>
      <c r="AK496" s="31">
        <f t="shared" si="753"/>
        <v>-7802</v>
      </c>
      <c r="AL496" s="31">
        <f t="shared" si="754"/>
        <v>-8007.45</v>
      </c>
      <c r="AM496" s="31">
        <f t="shared" si="755"/>
        <v>0</v>
      </c>
      <c r="AN496" s="32">
        <f t="shared" si="756"/>
        <v>-7802</v>
      </c>
      <c r="AO496" s="27">
        <f t="shared" si="757"/>
        <v>-6904.95</v>
      </c>
      <c r="AP496" s="27">
        <f t="shared" si="758"/>
        <v>17944.599999999999</v>
      </c>
      <c r="AQ496" s="27">
        <f t="shared" si="759"/>
        <v>-4700</v>
      </c>
      <c r="AR496" s="27">
        <f t="shared" si="760"/>
        <v>-9009.9500000000007</v>
      </c>
      <c r="AS496" s="33">
        <f t="shared" si="761"/>
        <v>24154.6</v>
      </c>
    </row>
    <row r="497" spans="2:45" x14ac:dyDescent="0.25">
      <c r="B497" s="34">
        <f t="shared" ref="B497:F497" si="764">IF(B496="","",B496)</f>
        <v>1720</v>
      </c>
      <c r="C497" s="26">
        <f t="shared" si="764"/>
        <v>18</v>
      </c>
      <c r="D497" s="26">
        <f t="shared" si="764"/>
        <v>500</v>
      </c>
      <c r="E497" s="26">
        <f t="shared" si="764"/>
        <v>0</v>
      </c>
      <c r="F497" s="26">
        <f t="shared" si="764"/>
        <v>-1150</v>
      </c>
      <c r="G497" s="24">
        <v>-8241</v>
      </c>
      <c r="H497" s="24">
        <v>-15162</v>
      </c>
      <c r="I497" s="24">
        <v>2522</v>
      </c>
      <c r="J497" s="24">
        <v>6845</v>
      </c>
      <c r="K497" s="24">
        <v>6014</v>
      </c>
      <c r="L497" s="24">
        <v>16570</v>
      </c>
      <c r="M497" s="44" t="str">
        <f t="shared" si="722"/>
        <v>29(OPE)</v>
      </c>
      <c r="N497" s="26">
        <f t="shared" si="732"/>
        <v>-1150</v>
      </c>
      <c r="O497" s="26">
        <f t="shared" si="733"/>
        <v>0</v>
      </c>
      <c r="P497" s="26">
        <f t="shared" si="734"/>
        <v>-500</v>
      </c>
      <c r="Q497" s="26">
        <f t="shared" si="735"/>
        <v>2522</v>
      </c>
      <c r="R497" s="26">
        <f t="shared" si="736"/>
        <v>-15162</v>
      </c>
      <c r="S497" s="26">
        <f t="shared" si="737"/>
        <v>8241</v>
      </c>
      <c r="T497" s="26">
        <f t="shared" si="738"/>
        <v>16570</v>
      </c>
      <c r="U497" s="26">
        <f t="shared" si="739"/>
        <v>6014</v>
      </c>
      <c r="V497" s="26">
        <f t="shared" si="740"/>
        <v>-6845</v>
      </c>
      <c r="W497" s="27">
        <f t="shared" si="741"/>
        <v>17440.206678821211</v>
      </c>
      <c r="X497" s="27">
        <f t="shared" si="742"/>
        <v>18909.974114207562</v>
      </c>
      <c r="Y497" s="28">
        <f t="shared" si="743"/>
        <v>11.333333333333334</v>
      </c>
      <c r="Z497" s="27">
        <f t="shared" si="744"/>
        <v>3920.6979830524388</v>
      </c>
      <c r="AA497" s="27">
        <f t="shared" si="745"/>
        <v>13947.278327623158</v>
      </c>
      <c r="AB497" s="27">
        <f t="shared" si="746"/>
        <v>25709.372276780472</v>
      </c>
      <c r="AC497" s="27">
        <f t="shared" si="747"/>
        <v>121833.33333333334</v>
      </c>
      <c r="AD497" s="29">
        <f t="shared" si="748"/>
        <v>21.102083948109826</v>
      </c>
      <c r="AE497" s="30" t="str">
        <f t="shared" si="749"/>
        <v>PASS</v>
      </c>
      <c r="AG497" s="4"/>
      <c r="AH497" s="31">
        <f t="shared" si="750"/>
        <v>0</v>
      </c>
      <c r="AI497" s="31">
        <f t="shared" si="751"/>
        <v>-1261</v>
      </c>
      <c r="AJ497" s="31">
        <f t="shared" si="752"/>
        <v>17436.3</v>
      </c>
      <c r="AK497" s="31">
        <f t="shared" si="753"/>
        <v>-7581</v>
      </c>
      <c r="AL497" s="31">
        <f t="shared" si="754"/>
        <v>9477.15</v>
      </c>
      <c r="AM497" s="31">
        <f t="shared" si="755"/>
        <v>0</v>
      </c>
      <c r="AN497" s="32">
        <f t="shared" si="756"/>
        <v>-7581</v>
      </c>
      <c r="AO497" s="27">
        <f t="shared" si="757"/>
        <v>8216.15</v>
      </c>
      <c r="AP497" s="27">
        <f t="shared" si="758"/>
        <v>17436.3</v>
      </c>
      <c r="AQ497" s="27">
        <f t="shared" si="759"/>
        <v>8989</v>
      </c>
      <c r="AR497" s="27">
        <f t="shared" si="760"/>
        <v>14230.15</v>
      </c>
      <c r="AS497" s="33">
        <f t="shared" si="761"/>
        <v>10591.3</v>
      </c>
    </row>
    <row r="498" spans="2:45" x14ac:dyDescent="0.25">
      <c r="B498" s="34">
        <f t="shared" ref="B498:F498" si="765">IF(B497="","",B497)</f>
        <v>1720</v>
      </c>
      <c r="C498" s="26">
        <f t="shared" si="765"/>
        <v>18</v>
      </c>
      <c r="D498" s="26">
        <f t="shared" si="765"/>
        <v>500</v>
      </c>
      <c r="E498" s="26">
        <f t="shared" si="765"/>
        <v>0</v>
      </c>
      <c r="F498" s="26">
        <f t="shared" si="765"/>
        <v>-1150</v>
      </c>
      <c r="G498" s="24">
        <v>-1422</v>
      </c>
      <c r="H498" s="24">
        <v>-12161</v>
      </c>
      <c r="I498" s="24">
        <v>-783</v>
      </c>
      <c r="J498" s="24">
        <v>4205</v>
      </c>
      <c r="K498" s="24">
        <v>3572</v>
      </c>
      <c r="L498" s="24">
        <v>12041</v>
      </c>
      <c r="M498" s="44" t="str">
        <f t="shared" si="722"/>
        <v>30(OPE)</v>
      </c>
      <c r="N498" s="26">
        <f t="shared" si="732"/>
        <v>-1150</v>
      </c>
      <c r="O498" s="26">
        <f t="shared" si="733"/>
        <v>0</v>
      </c>
      <c r="P498" s="26">
        <f t="shared" si="734"/>
        <v>-500</v>
      </c>
      <c r="Q498" s="26">
        <f t="shared" si="735"/>
        <v>-783</v>
      </c>
      <c r="R498" s="26">
        <f t="shared" si="736"/>
        <v>-12161</v>
      </c>
      <c r="S498" s="26">
        <f t="shared" si="737"/>
        <v>1422</v>
      </c>
      <c r="T498" s="26">
        <f t="shared" si="738"/>
        <v>12041</v>
      </c>
      <c r="U498" s="26">
        <f t="shared" si="739"/>
        <v>3572</v>
      </c>
      <c r="V498" s="26">
        <f t="shared" si="740"/>
        <v>-4205</v>
      </c>
      <c r="W498" s="27">
        <f t="shared" si="741"/>
        <v>12268.866858842344</v>
      </c>
      <c r="X498" s="27">
        <f t="shared" si="742"/>
        <v>13244.881652925405</v>
      </c>
      <c r="Y498" s="28">
        <f t="shared" si="743"/>
        <v>11.333333333333334</v>
      </c>
      <c r="Z498" s="27">
        <f t="shared" si="744"/>
        <v>2758.13942080263</v>
      </c>
      <c r="AA498" s="27">
        <f t="shared" si="745"/>
        <v>9768.9214016949682</v>
      </c>
      <c r="AB498" s="27">
        <f t="shared" si="746"/>
        <v>18043.339664102859</v>
      </c>
      <c r="AC498" s="27">
        <f t="shared" si="747"/>
        <v>121833.33333333334</v>
      </c>
      <c r="AD498" s="29">
        <f t="shared" si="748"/>
        <v>14.809854717457885</v>
      </c>
      <c r="AE498" s="30" t="str">
        <f t="shared" si="749"/>
        <v>PASS</v>
      </c>
      <c r="AG498" s="4"/>
      <c r="AH498" s="31">
        <f t="shared" si="750"/>
        <v>0</v>
      </c>
      <c r="AI498" s="31">
        <f t="shared" si="751"/>
        <v>391.5</v>
      </c>
      <c r="AJ498" s="31">
        <f t="shared" si="752"/>
        <v>13985.15</v>
      </c>
      <c r="AK498" s="31">
        <f t="shared" si="753"/>
        <v>-6080.5</v>
      </c>
      <c r="AL498" s="31">
        <f t="shared" si="754"/>
        <v>1635.3</v>
      </c>
      <c r="AM498" s="31">
        <f t="shared" si="755"/>
        <v>0</v>
      </c>
      <c r="AN498" s="32">
        <f t="shared" si="756"/>
        <v>-6080.5</v>
      </c>
      <c r="AO498" s="27">
        <f t="shared" si="757"/>
        <v>2026.8</v>
      </c>
      <c r="AP498" s="27">
        <f t="shared" si="758"/>
        <v>13985.15</v>
      </c>
      <c r="AQ498" s="27">
        <f t="shared" si="759"/>
        <v>5960.5</v>
      </c>
      <c r="AR498" s="27">
        <f t="shared" si="760"/>
        <v>5598.8</v>
      </c>
      <c r="AS498" s="33">
        <f t="shared" si="761"/>
        <v>9780.15</v>
      </c>
    </row>
    <row r="499" spans="2:45" x14ac:dyDescent="0.25">
      <c r="B499" s="34">
        <f t="shared" ref="B499:F499" si="766">IF(B498="","",B498)</f>
        <v>1720</v>
      </c>
      <c r="C499" s="26">
        <f t="shared" si="766"/>
        <v>18</v>
      </c>
      <c r="D499" s="26">
        <f t="shared" si="766"/>
        <v>500</v>
      </c>
      <c r="E499" s="26">
        <f t="shared" si="766"/>
        <v>0</v>
      </c>
      <c r="F499" s="26">
        <f t="shared" si="766"/>
        <v>-1150</v>
      </c>
      <c r="G499" s="24">
        <v>146</v>
      </c>
      <c r="H499" s="24">
        <v>-18611</v>
      </c>
      <c r="I499" s="24">
        <v>1086</v>
      </c>
      <c r="J499" s="24">
        <v>-3649</v>
      </c>
      <c r="K499" s="24">
        <v>329</v>
      </c>
      <c r="L499" s="24">
        <v>7638</v>
      </c>
      <c r="M499" s="44" t="str">
        <f t="shared" si="722"/>
        <v>31(OPE)</v>
      </c>
      <c r="N499" s="26">
        <f t="shared" si="732"/>
        <v>-1150</v>
      </c>
      <c r="O499" s="26">
        <f t="shared" si="733"/>
        <v>0</v>
      </c>
      <c r="P499" s="26">
        <f t="shared" si="734"/>
        <v>-500</v>
      </c>
      <c r="Q499" s="26">
        <f t="shared" si="735"/>
        <v>1086</v>
      </c>
      <c r="R499" s="26">
        <f t="shared" si="736"/>
        <v>-18611</v>
      </c>
      <c r="S499" s="26">
        <f t="shared" si="737"/>
        <v>-146</v>
      </c>
      <c r="T499" s="26">
        <f t="shared" si="738"/>
        <v>7638</v>
      </c>
      <c r="U499" s="26">
        <f t="shared" si="739"/>
        <v>329</v>
      </c>
      <c r="V499" s="26">
        <f t="shared" si="740"/>
        <v>3649</v>
      </c>
      <c r="W499" s="27">
        <f t="shared" si="741"/>
        <v>18643.230219036614</v>
      </c>
      <c r="X499" s="27">
        <f t="shared" si="742"/>
        <v>8471.2741662633016</v>
      </c>
      <c r="Y499" s="28">
        <f t="shared" si="743"/>
        <v>11.333333333333334</v>
      </c>
      <c r="Z499" s="27">
        <f t="shared" si="744"/>
        <v>4191.1472990811835</v>
      </c>
      <c r="AA499" s="27">
        <f t="shared" si="745"/>
        <v>6248.0899166174941</v>
      </c>
      <c r="AB499" s="27">
        <f t="shared" si="746"/>
        <v>18821.531813861046</v>
      </c>
      <c r="AC499" s="27">
        <f t="shared" si="747"/>
        <v>121833.33333333334</v>
      </c>
      <c r="AD499" s="29">
        <f t="shared" si="748"/>
        <v>15.448589724099351</v>
      </c>
      <c r="AE499" s="30" t="str">
        <f t="shared" si="749"/>
        <v>PASS</v>
      </c>
      <c r="AG499" s="4"/>
      <c r="AH499" s="31">
        <f t="shared" si="750"/>
        <v>0</v>
      </c>
      <c r="AI499" s="31">
        <f t="shared" si="751"/>
        <v>-543</v>
      </c>
      <c r="AJ499" s="31">
        <f t="shared" si="752"/>
        <v>21402.65</v>
      </c>
      <c r="AK499" s="31">
        <f t="shared" si="753"/>
        <v>-9305.5</v>
      </c>
      <c r="AL499" s="31">
        <f t="shared" si="754"/>
        <v>-167.9</v>
      </c>
      <c r="AM499" s="31">
        <f t="shared" si="755"/>
        <v>0</v>
      </c>
      <c r="AN499" s="32">
        <f t="shared" si="756"/>
        <v>-9305.5</v>
      </c>
      <c r="AO499" s="27">
        <f t="shared" si="757"/>
        <v>-710.9</v>
      </c>
      <c r="AP499" s="27">
        <f t="shared" si="758"/>
        <v>21402.65</v>
      </c>
      <c r="AQ499" s="27">
        <f t="shared" si="759"/>
        <v>-1667.5</v>
      </c>
      <c r="AR499" s="27">
        <f t="shared" si="760"/>
        <v>-381.9</v>
      </c>
      <c r="AS499" s="33">
        <f t="shared" si="761"/>
        <v>25051.65</v>
      </c>
    </row>
    <row r="500" spans="2:45" x14ac:dyDescent="0.25">
      <c r="B500" s="34">
        <f t="shared" ref="B500:F500" si="767">IF(B499="","",B499)</f>
        <v>1720</v>
      </c>
      <c r="C500" s="26">
        <f t="shared" si="767"/>
        <v>18</v>
      </c>
      <c r="D500" s="26">
        <f t="shared" si="767"/>
        <v>500</v>
      </c>
      <c r="E500" s="26">
        <f t="shared" si="767"/>
        <v>0</v>
      </c>
      <c r="F500" s="26">
        <f t="shared" si="767"/>
        <v>-1150</v>
      </c>
      <c r="G500" s="24">
        <v>-1411</v>
      </c>
      <c r="H500" s="24">
        <v>-15296</v>
      </c>
      <c r="I500" s="24">
        <v>3268</v>
      </c>
      <c r="J500" s="24">
        <v>3357</v>
      </c>
      <c r="K500" s="24">
        <v>343</v>
      </c>
      <c r="L500" s="24">
        <v>10987</v>
      </c>
      <c r="M500" s="44" t="str">
        <f t="shared" si="722"/>
        <v>32(OPE)</v>
      </c>
      <c r="N500" s="26">
        <f t="shared" si="732"/>
        <v>-1150</v>
      </c>
      <c r="O500" s="26">
        <f t="shared" si="733"/>
        <v>0</v>
      </c>
      <c r="P500" s="26">
        <f t="shared" si="734"/>
        <v>-500</v>
      </c>
      <c r="Q500" s="26">
        <f t="shared" si="735"/>
        <v>3268</v>
      </c>
      <c r="R500" s="26">
        <f t="shared" si="736"/>
        <v>-15296</v>
      </c>
      <c r="S500" s="26">
        <f t="shared" si="737"/>
        <v>1411</v>
      </c>
      <c r="T500" s="26">
        <f t="shared" si="738"/>
        <v>10987</v>
      </c>
      <c r="U500" s="26">
        <f t="shared" si="739"/>
        <v>343</v>
      </c>
      <c r="V500" s="26">
        <f t="shared" si="740"/>
        <v>-3357</v>
      </c>
      <c r="W500" s="27">
        <f t="shared" si="741"/>
        <v>15704.72416185652</v>
      </c>
      <c r="X500" s="27">
        <f t="shared" si="742"/>
        <v>11493.531528646885</v>
      </c>
      <c r="Y500" s="28">
        <f t="shared" si="743"/>
        <v>11.333333333333334</v>
      </c>
      <c r="Z500" s="27">
        <f t="shared" si="744"/>
        <v>3530.547629378641</v>
      </c>
      <c r="AA500" s="27">
        <f t="shared" si="745"/>
        <v>8477.1921013318552</v>
      </c>
      <c r="AB500" s="27">
        <f t="shared" si="746"/>
        <v>19068.834989467778</v>
      </c>
      <c r="AC500" s="27">
        <f t="shared" si="747"/>
        <v>121833.33333333334</v>
      </c>
      <c r="AD500" s="29">
        <f t="shared" si="748"/>
        <v>15.651574546758775</v>
      </c>
      <c r="AE500" s="30" t="str">
        <f t="shared" si="749"/>
        <v>PASS</v>
      </c>
      <c r="AG500" s="4"/>
      <c r="AH500" s="31">
        <f t="shared" si="750"/>
        <v>0</v>
      </c>
      <c r="AI500" s="31">
        <f t="shared" si="751"/>
        <v>-1634</v>
      </c>
      <c r="AJ500" s="31">
        <f t="shared" si="752"/>
        <v>17590.400000000001</v>
      </c>
      <c r="AK500" s="31">
        <f t="shared" si="753"/>
        <v>-7648</v>
      </c>
      <c r="AL500" s="31">
        <f t="shared" si="754"/>
        <v>1622.65</v>
      </c>
      <c r="AM500" s="31">
        <f t="shared" si="755"/>
        <v>0</v>
      </c>
      <c r="AN500" s="32">
        <f t="shared" si="756"/>
        <v>-7648</v>
      </c>
      <c r="AO500" s="27">
        <f t="shared" si="757"/>
        <v>-11.349999999999909</v>
      </c>
      <c r="AP500" s="27">
        <f t="shared" si="758"/>
        <v>17590.400000000001</v>
      </c>
      <c r="AQ500" s="27">
        <f t="shared" si="759"/>
        <v>3339</v>
      </c>
      <c r="AR500" s="27">
        <f t="shared" si="760"/>
        <v>331.65000000000009</v>
      </c>
      <c r="AS500" s="33">
        <f t="shared" si="761"/>
        <v>14233.400000000001</v>
      </c>
    </row>
    <row r="501" spans="2:45" x14ac:dyDescent="0.25">
      <c r="B501" s="34">
        <f t="shared" ref="B501:F501" si="768">IF(B500="","",B500)</f>
        <v>1720</v>
      </c>
      <c r="C501" s="26">
        <f t="shared" si="768"/>
        <v>18</v>
      </c>
      <c r="D501" s="26">
        <f t="shared" si="768"/>
        <v>500</v>
      </c>
      <c r="E501" s="26">
        <f t="shared" si="768"/>
        <v>0</v>
      </c>
      <c r="F501" s="26">
        <f t="shared" si="768"/>
        <v>-1150</v>
      </c>
      <c r="G501" s="24">
        <v>30</v>
      </c>
      <c r="H501" s="24">
        <v>-15444</v>
      </c>
      <c r="I501" s="24">
        <v>-2675</v>
      </c>
      <c r="J501" s="24">
        <v>-1760</v>
      </c>
      <c r="K501" s="24">
        <v>3593</v>
      </c>
      <c r="L501" s="24">
        <v>8715</v>
      </c>
      <c r="M501" s="44" t="str">
        <f t="shared" si="722"/>
        <v>33(OPE)</v>
      </c>
      <c r="N501" s="26">
        <f t="shared" si="732"/>
        <v>-1150</v>
      </c>
      <c r="O501" s="26">
        <f t="shared" si="733"/>
        <v>0</v>
      </c>
      <c r="P501" s="26">
        <f t="shared" si="734"/>
        <v>-500</v>
      </c>
      <c r="Q501" s="26">
        <f t="shared" si="735"/>
        <v>-2675</v>
      </c>
      <c r="R501" s="26">
        <f t="shared" si="736"/>
        <v>-15444</v>
      </c>
      <c r="S501" s="26">
        <f t="shared" si="737"/>
        <v>-30</v>
      </c>
      <c r="T501" s="26">
        <f t="shared" si="738"/>
        <v>8715</v>
      </c>
      <c r="U501" s="26">
        <f t="shared" si="739"/>
        <v>3593</v>
      </c>
      <c r="V501" s="26">
        <f t="shared" si="740"/>
        <v>1760</v>
      </c>
      <c r="W501" s="27">
        <f t="shared" si="741"/>
        <v>15673.980381511265</v>
      </c>
      <c r="X501" s="27">
        <f t="shared" si="742"/>
        <v>9589.4981099116958</v>
      </c>
      <c r="Y501" s="28">
        <f t="shared" si="743"/>
        <v>11.333333333333334</v>
      </c>
      <c r="Z501" s="27">
        <f t="shared" si="744"/>
        <v>3523.6361816067847</v>
      </c>
      <c r="AA501" s="27">
        <f t="shared" si="745"/>
        <v>7072.8494049426909</v>
      </c>
      <c r="AB501" s="27">
        <f t="shared" si="746"/>
        <v>17643.757949763047</v>
      </c>
      <c r="AC501" s="27">
        <f t="shared" si="747"/>
        <v>121833.33333333334</v>
      </c>
      <c r="AD501" s="29">
        <f t="shared" si="748"/>
        <v>14.481880670120148</v>
      </c>
      <c r="AE501" s="30" t="str">
        <f t="shared" si="749"/>
        <v>PASS</v>
      </c>
      <c r="AG501" s="4"/>
      <c r="AH501" s="31">
        <f t="shared" si="750"/>
        <v>0</v>
      </c>
      <c r="AI501" s="31">
        <f t="shared" si="751"/>
        <v>1337.5</v>
      </c>
      <c r="AJ501" s="31">
        <f t="shared" si="752"/>
        <v>17760.599999999999</v>
      </c>
      <c r="AK501" s="31">
        <f t="shared" si="753"/>
        <v>-7722</v>
      </c>
      <c r="AL501" s="31">
        <f t="shared" si="754"/>
        <v>-34.5</v>
      </c>
      <c r="AM501" s="31">
        <f t="shared" si="755"/>
        <v>0</v>
      </c>
      <c r="AN501" s="32">
        <f t="shared" si="756"/>
        <v>-7722</v>
      </c>
      <c r="AO501" s="27">
        <f t="shared" si="757"/>
        <v>1303</v>
      </c>
      <c r="AP501" s="27">
        <f t="shared" si="758"/>
        <v>17760.599999999999</v>
      </c>
      <c r="AQ501" s="27">
        <f t="shared" si="759"/>
        <v>993</v>
      </c>
      <c r="AR501" s="27">
        <f t="shared" si="760"/>
        <v>4896</v>
      </c>
      <c r="AS501" s="33">
        <f t="shared" si="761"/>
        <v>19520.599999999999</v>
      </c>
    </row>
    <row r="502" spans="2:45" hidden="1" x14ac:dyDescent="0.25">
      <c r="B502" s="34">
        <f t="shared" ref="B502:F502" si="769">IF(B501="","",B501)</f>
        <v>1720</v>
      </c>
      <c r="C502" s="26">
        <f t="shared" si="769"/>
        <v>18</v>
      </c>
      <c r="D502" s="26">
        <f t="shared" si="769"/>
        <v>500</v>
      </c>
      <c r="E502" s="26">
        <f t="shared" si="769"/>
        <v>0</v>
      </c>
      <c r="F502" s="26">
        <f t="shared" si="769"/>
        <v>-1150</v>
      </c>
      <c r="G502" s="24"/>
      <c r="H502" s="24"/>
      <c r="I502" s="24"/>
      <c r="J502" s="24"/>
      <c r="K502" s="24"/>
      <c r="L502" s="24"/>
      <c r="M502" s="44" t="str">
        <f t="shared" si="722"/>
        <v/>
      </c>
      <c r="N502" s="26" t="str">
        <f t="shared" si="732"/>
        <v/>
      </c>
      <c r="O502" s="26" t="str">
        <f t="shared" si="733"/>
        <v/>
      </c>
      <c r="P502" s="26" t="str">
        <f t="shared" si="734"/>
        <v/>
      </c>
      <c r="Q502" s="26">
        <f t="shared" si="735"/>
        <v>0</v>
      </c>
      <c r="R502" s="26">
        <f t="shared" si="736"/>
        <v>0</v>
      </c>
      <c r="S502" s="26">
        <f t="shared" si="737"/>
        <v>0</v>
      </c>
      <c r="T502" s="26" t="str">
        <f t="shared" si="738"/>
        <v/>
      </c>
      <c r="U502" s="26" t="str">
        <f t="shared" si="739"/>
        <v/>
      </c>
      <c r="V502" s="26" t="str">
        <f t="shared" si="740"/>
        <v/>
      </c>
      <c r="W502" s="27" t="str">
        <f t="shared" si="741"/>
        <v/>
      </c>
      <c r="X502" s="27" t="str">
        <f t="shared" si="742"/>
        <v/>
      </c>
      <c r="Y502" s="28" t="str">
        <f t="shared" si="743"/>
        <v/>
      </c>
      <c r="Z502" s="27" t="str">
        <f t="shared" si="744"/>
        <v/>
      </c>
      <c r="AA502" s="27" t="str">
        <f t="shared" si="745"/>
        <v/>
      </c>
      <c r="AB502" s="27" t="str">
        <f t="shared" si="746"/>
        <v/>
      </c>
      <c r="AC502" s="27" t="str">
        <f t="shared" si="747"/>
        <v/>
      </c>
      <c r="AD502" s="29" t="str">
        <f t="shared" si="748"/>
        <v/>
      </c>
      <c r="AE502" s="30" t="str">
        <f t="shared" si="749"/>
        <v/>
      </c>
      <c r="AG502" s="4"/>
      <c r="AH502" s="31" t="e">
        <f t="shared" si="750"/>
        <v>#VALUE!</v>
      </c>
      <c r="AI502" s="31" t="e">
        <f t="shared" si="751"/>
        <v>#VALUE!</v>
      </c>
      <c r="AJ502" s="31" t="e">
        <f t="shared" si="752"/>
        <v>#VALUE!</v>
      </c>
      <c r="AK502" s="31" t="e">
        <f t="shared" si="753"/>
        <v>#VALUE!</v>
      </c>
      <c r="AL502" s="31" t="e">
        <f t="shared" si="754"/>
        <v>#VALUE!</v>
      </c>
      <c r="AM502" s="31" t="e">
        <f t="shared" si="755"/>
        <v>#VALUE!</v>
      </c>
      <c r="AN502" s="32" t="str">
        <f t="shared" si="756"/>
        <v/>
      </c>
      <c r="AO502" s="27" t="str">
        <f t="shared" si="757"/>
        <v/>
      </c>
      <c r="AP502" s="27" t="str">
        <f t="shared" si="758"/>
        <v/>
      </c>
      <c r="AQ502" s="27">
        <f t="shared" si="759"/>
        <v>0</v>
      </c>
      <c r="AR502" s="27">
        <f t="shared" si="760"/>
        <v>0</v>
      </c>
      <c r="AS502" s="33">
        <f t="shared" si="761"/>
        <v>0</v>
      </c>
    </row>
    <row r="503" spans="2:45" hidden="1" x14ac:dyDescent="0.25">
      <c r="B503" s="34">
        <f t="shared" ref="B503:F503" si="770">IF(B502="","",B502)</f>
        <v>1720</v>
      </c>
      <c r="C503" s="26">
        <f t="shared" si="770"/>
        <v>18</v>
      </c>
      <c r="D503" s="26">
        <f t="shared" si="770"/>
        <v>500</v>
      </c>
      <c r="E503" s="26">
        <f t="shared" si="770"/>
        <v>0</v>
      </c>
      <c r="F503" s="26">
        <f t="shared" si="770"/>
        <v>-1150</v>
      </c>
      <c r="G503" s="24"/>
      <c r="H503" s="24"/>
      <c r="I503" s="24"/>
      <c r="J503" s="24"/>
      <c r="K503" s="24"/>
      <c r="L503" s="24"/>
      <c r="M503" s="44" t="str">
        <f t="shared" si="722"/>
        <v/>
      </c>
      <c r="N503" s="26" t="str">
        <f t="shared" si="732"/>
        <v/>
      </c>
      <c r="O503" s="26" t="str">
        <f t="shared" si="733"/>
        <v/>
      </c>
      <c r="P503" s="26" t="str">
        <f t="shared" si="734"/>
        <v/>
      </c>
      <c r="Q503" s="26">
        <f t="shared" si="735"/>
        <v>0</v>
      </c>
      <c r="R503" s="26">
        <f t="shared" si="736"/>
        <v>0</v>
      </c>
      <c r="S503" s="26">
        <f t="shared" si="737"/>
        <v>0</v>
      </c>
      <c r="T503" s="26" t="str">
        <f t="shared" si="738"/>
        <v/>
      </c>
      <c r="U503" s="26" t="str">
        <f t="shared" si="739"/>
        <v/>
      </c>
      <c r="V503" s="26" t="str">
        <f t="shared" si="740"/>
        <v/>
      </c>
      <c r="W503" s="27" t="str">
        <f t="shared" si="741"/>
        <v/>
      </c>
      <c r="X503" s="27" t="str">
        <f t="shared" si="742"/>
        <v/>
      </c>
      <c r="Y503" s="28" t="str">
        <f t="shared" si="743"/>
        <v/>
      </c>
      <c r="Z503" s="27" t="str">
        <f t="shared" si="744"/>
        <v/>
      </c>
      <c r="AA503" s="27" t="str">
        <f t="shared" si="745"/>
        <v/>
      </c>
      <c r="AB503" s="27" t="str">
        <f t="shared" si="746"/>
        <v/>
      </c>
      <c r="AC503" s="27" t="str">
        <f t="shared" si="747"/>
        <v/>
      </c>
      <c r="AD503" s="29" t="str">
        <f t="shared" si="748"/>
        <v/>
      </c>
      <c r="AE503" s="30" t="str">
        <f t="shared" si="749"/>
        <v/>
      </c>
      <c r="AG503" s="4"/>
      <c r="AH503" s="31" t="e">
        <f t="shared" si="750"/>
        <v>#VALUE!</v>
      </c>
      <c r="AI503" s="31" t="e">
        <f t="shared" si="751"/>
        <v>#VALUE!</v>
      </c>
      <c r="AJ503" s="31" t="e">
        <f t="shared" si="752"/>
        <v>#VALUE!</v>
      </c>
      <c r="AK503" s="31" t="e">
        <f t="shared" si="753"/>
        <v>#VALUE!</v>
      </c>
      <c r="AL503" s="31" t="e">
        <f t="shared" si="754"/>
        <v>#VALUE!</v>
      </c>
      <c r="AM503" s="31" t="e">
        <f t="shared" si="755"/>
        <v>#VALUE!</v>
      </c>
      <c r="AN503" s="32" t="str">
        <f t="shared" si="756"/>
        <v/>
      </c>
      <c r="AO503" s="27" t="str">
        <f t="shared" si="757"/>
        <v/>
      </c>
      <c r="AP503" s="27" t="str">
        <f t="shared" si="758"/>
        <v/>
      </c>
      <c r="AQ503" s="27">
        <f t="shared" si="759"/>
        <v>0</v>
      </c>
      <c r="AR503" s="27">
        <f t="shared" si="760"/>
        <v>0</v>
      </c>
      <c r="AS503" s="33">
        <f t="shared" si="761"/>
        <v>0</v>
      </c>
    </row>
    <row r="504" spans="2:45" hidden="1" x14ac:dyDescent="0.25">
      <c r="B504" s="34">
        <f t="shared" ref="B504:F504" si="771">IF(B503="","",B503)</f>
        <v>1720</v>
      </c>
      <c r="C504" s="26">
        <f t="shared" si="771"/>
        <v>18</v>
      </c>
      <c r="D504" s="26">
        <f t="shared" si="771"/>
        <v>500</v>
      </c>
      <c r="E504" s="26">
        <f t="shared" si="771"/>
        <v>0</v>
      </c>
      <c r="F504" s="26">
        <f t="shared" si="771"/>
        <v>-1150</v>
      </c>
      <c r="G504" s="24"/>
      <c r="H504" s="24"/>
      <c r="I504" s="24"/>
      <c r="J504" s="24"/>
      <c r="K504" s="24"/>
      <c r="L504" s="24"/>
      <c r="M504" s="44" t="str">
        <f t="shared" si="722"/>
        <v/>
      </c>
      <c r="N504" s="26" t="str">
        <f t="shared" si="732"/>
        <v/>
      </c>
      <c r="O504" s="26" t="str">
        <f t="shared" si="733"/>
        <v/>
      </c>
      <c r="P504" s="26" t="str">
        <f t="shared" si="734"/>
        <v/>
      </c>
      <c r="Q504" s="26">
        <f t="shared" si="735"/>
        <v>0</v>
      </c>
      <c r="R504" s="26">
        <f t="shared" si="736"/>
        <v>0</v>
      </c>
      <c r="S504" s="26">
        <f t="shared" si="737"/>
        <v>0</v>
      </c>
      <c r="T504" s="26" t="str">
        <f t="shared" si="738"/>
        <v/>
      </c>
      <c r="U504" s="26" t="str">
        <f t="shared" si="739"/>
        <v/>
      </c>
      <c r="V504" s="26" t="str">
        <f t="shared" si="740"/>
        <v/>
      </c>
      <c r="W504" s="27" t="str">
        <f t="shared" si="741"/>
        <v/>
      </c>
      <c r="X504" s="27" t="str">
        <f t="shared" si="742"/>
        <v/>
      </c>
      <c r="Y504" s="28" t="str">
        <f t="shared" si="743"/>
        <v/>
      </c>
      <c r="Z504" s="27" t="str">
        <f t="shared" si="744"/>
        <v/>
      </c>
      <c r="AA504" s="27" t="str">
        <f t="shared" si="745"/>
        <v/>
      </c>
      <c r="AB504" s="27" t="str">
        <f t="shared" si="746"/>
        <v/>
      </c>
      <c r="AC504" s="27" t="str">
        <f t="shared" si="747"/>
        <v/>
      </c>
      <c r="AD504" s="29" t="str">
        <f t="shared" si="748"/>
        <v/>
      </c>
      <c r="AE504" s="30" t="str">
        <f t="shared" si="749"/>
        <v/>
      </c>
      <c r="AG504" s="4"/>
      <c r="AH504" s="31" t="e">
        <f t="shared" si="750"/>
        <v>#VALUE!</v>
      </c>
      <c r="AI504" s="31" t="e">
        <f t="shared" si="751"/>
        <v>#VALUE!</v>
      </c>
      <c r="AJ504" s="31" t="e">
        <f t="shared" si="752"/>
        <v>#VALUE!</v>
      </c>
      <c r="AK504" s="31" t="e">
        <f t="shared" si="753"/>
        <v>#VALUE!</v>
      </c>
      <c r="AL504" s="31" t="e">
        <f t="shared" si="754"/>
        <v>#VALUE!</v>
      </c>
      <c r="AM504" s="31" t="e">
        <f t="shared" si="755"/>
        <v>#VALUE!</v>
      </c>
      <c r="AN504" s="32" t="str">
        <f t="shared" si="756"/>
        <v/>
      </c>
      <c r="AO504" s="27" t="str">
        <f t="shared" si="757"/>
        <v/>
      </c>
      <c r="AP504" s="27" t="str">
        <f t="shared" si="758"/>
        <v/>
      </c>
      <c r="AQ504" s="27">
        <f t="shared" si="759"/>
        <v>0</v>
      </c>
      <c r="AR504" s="27">
        <f t="shared" si="760"/>
        <v>0</v>
      </c>
      <c r="AS504" s="33">
        <f t="shared" si="761"/>
        <v>0</v>
      </c>
    </row>
    <row r="505" spans="2:45" hidden="1" x14ac:dyDescent="0.25">
      <c r="B505" s="34">
        <f t="shared" ref="B505:F505" si="772">IF(B504="","",B504)</f>
        <v>1720</v>
      </c>
      <c r="C505" s="26">
        <f t="shared" si="772"/>
        <v>18</v>
      </c>
      <c r="D505" s="26">
        <f t="shared" si="772"/>
        <v>500</v>
      </c>
      <c r="E505" s="26">
        <f t="shared" si="772"/>
        <v>0</v>
      </c>
      <c r="F505" s="26">
        <f t="shared" si="772"/>
        <v>-1150</v>
      </c>
      <c r="G505" s="24"/>
      <c r="H505" s="24"/>
      <c r="I505" s="24"/>
      <c r="J505" s="24"/>
      <c r="K505" s="24"/>
      <c r="L505" s="24"/>
      <c r="M505" s="44" t="str">
        <f t="shared" si="722"/>
        <v/>
      </c>
      <c r="N505" s="26" t="str">
        <f t="shared" si="732"/>
        <v/>
      </c>
      <c r="O505" s="26" t="str">
        <f t="shared" si="733"/>
        <v/>
      </c>
      <c r="P505" s="26" t="str">
        <f t="shared" si="734"/>
        <v/>
      </c>
      <c r="Q505" s="26">
        <f t="shared" si="735"/>
        <v>0</v>
      </c>
      <c r="R505" s="26">
        <f t="shared" si="736"/>
        <v>0</v>
      </c>
      <c r="S505" s="26">
        <f t="shared" si="737"/>
        <v>0</v>
      </c>
      <c r="T505" s="26" t="str">
        <f t="shared" si="738"/>
        <v/>
      </c>
      <c r="U505" s="26" t="str">
        <f t="shared" si="739"/>
        <v/>
      </c>
      <c r="V505" s="26" t="str">
        <f t="shared" si="740"/>
        <v/>
      </c>
      <c r="W505" s="27" t="str">
        <f t="shared" si="741"/>
        <v/>
      </c>
      <c r="X505" s="27" t="str">
        <f t="shared" si="742"/>
        <v/>
      </c>
      <c r="Y505" s="28" t="str">
        <f t="shared" si="743"/>
        <v/>
      </c>
      <c r="Z505" s="27" t="str">
        <f t="shared" si="744"/>
        <v/>
      </c>
      <c r="AA505" s="27" t="str">
        <f t="shared" si="745"/>
        <v/>
      </c>
      <c r="AB505" s="27" t="str">
        <f t="shared" si="746"/>
        <v/>
      </c>
      <c r="AC505" s="27" t="str">
        <f t="shared" si="747"/>
        <v/>
      </c>
      <c r="AD505" s="29" t="str">
        <f t="shared" si="748"/>
        <v/>
      </c>
      <c r="AE505" s="30" t="str">
        <f t="shared" si="749"/>
        <v/>
      </c>
      <c r="AG505" s="4"/>
      <c r="AH505" s="31" t="e">
        <f t="shared" si="750"/>
        <v>#VALUE!</v>
      </c>
      <c r="AI505" s="31" t="e">
        <f t="shared" si="751"/>
        <v>#VALUE!</v>
      </c>
      <c r="AJ505" s="31" t="e">
        <f t="shared" si="752"/>
        <v>#VALUE!</v>
      </c>
      <c r="AK505" s="31" t="e">
        <f t="shared" si="753"/>
        <v>#VALUE!</v>
      </c>
      <c r="AL505" s="31" t="e">
        <f t="shared" si="754"/>
        <v>#VALUE!</v>
      </c>
      <c r="AM505" s="31" t="e">
        <f t="shared" si="755"/>
        <v>#VALUE!</v>
      </c>
      <c r="AN505" s="32" t="str">
        <f t="shared" si="756"/>
        <v/>
      </c>
      <c r="AO505" s="27" t="str">
        <f t="shared" si="757"/>
        <v/>
      </c>
      <c r="AP505" s="27" t="str">
        <f t="shared" si="758"/>
        <v/>
      </c>
      <c r="AQ505" s="27">
        <f t="shared" si="759"/>
        <v>0</v>
      </c>
      <c r="AR505" s="27">
        <f t="shared" si="760"/>
        <v>0</v>
      </c>
      <c r="AS505" s="33">
        <f t="shared" si="761"/>
        <v>0</v>
      </c>
    </row>
    <row r="506" spans="2:45" hidden="1" x14ac:dyDescent="0.25">
      <c r="B506" s="34">
        <f t="shared" ref="B506:F506" si="773">IF(B505="","",B505)</f>
        <v>1720</v>
      </c>
      <c r="C506" s="26">
        <f t="shared" si="773"/>
        <v>18</v>
      </c>
      <c r="D506" s="26">
        <f t="shared" si="773"/>
        <v>500</v>
      </c>
      <c r="E506" s="26">
        <f t="shared" si="773"/>
        <v>0</v>
      </c>
      <c r="F506" s="26">
        <f t="shared" si="773"/>
        <v>-1150</v>
      </c>
      <c r="G506" s="24"/>
      <c r="H506" s="24"/>
      <c r="I506" s="24"/>
      <c r="J506" s="24"/>
      <c r="K506" s="24"/>
      <c r="L506" s="24"/>
      <c r="M506" s="44" t="str">
        <f t="shared" si="722"/>
        <v/>
      </c>
      <c r="N506" s="26" t="str">
        <f t="shared" si="732"/>
        <v/>
      </c>
      <c r="O506" s="26" t="str">
        <f t="shared" si="733"/>
        <v/>
      </c>
      <c r="P506" s="26" t="str">
        <f t="shared" si="734"/>
        <v/>
      </c>
      <c r="Q506" s="26">
        <f t="shared" si="735"/>
        <v>0</v>
      </c>
      <c r="R506" s="26">
        <f t="shared" si="736"/>
        <v>0</v>
      </c>
      <c r="S506" s="26">
        <f t="shared" si="737"/>
        <v>0</v>
      </c>
      <c r="T506" s="26" t="str">
        <f t="shared" si="738"/>
        <v/>
      </c>
      <c r="U506" s="26" t="str">
        <f t="shared" si="739"/>
        <v/>
      </c>
      <c r="V506" s="26" t="str">
        <f t="shared" si="740"/>
        <v/>
      </c>
      <c r="W506" s="27" t="str">
        <f t="shared" si="741"/>
        <v/>
      </c>
      <c r="X506" s="27" t="str">
        <f t="shared" si="742"/>
        <v/>
      </c>
      <c r="Y506" s="28" t="str">
        <f t="shared" si="743"/>
        <v/>
      </c>
      <c r="Z506" s="27" t="str">
        <f t="shared" si="744"/>
        <v/>
      </c>
      <c r="AA506" s="27" t="str">
        <f t="shared" si="745"/>
        <v/>
      </c>
      <c r="AB506" s="27" t="str">
        <f t="shared" si="746"/>
        <v/>
      </c>
      <c r="AC506" s="27" t="str">
        <f t="shared" si="747"/>
        <v/>
      </c>
      <c r="AD506" s="29" t="str">
        <f t="shared" si="748"/>
        <v/>
      </c>
      <c r="AE506" s="30" t="str">
        <f t="shared" si="749"/>
        <v/>
      </c>
      <c r="AG506" s="4"/>
      <c r="AH506" s="31" t="e">
        <f t="shared" si="750"/>
        <v>#VALUE!</v>
      </c>
      <c r="AI506" s="31" t="e">
        <f t="shared" si="751"/>
        <v>#VALUE!</v>
      </c>
      <c r="AJ506" s="31" t="e">
        <f t="shared" si="752"/>
        <v>#VALUE!</v>
      </c>
      <c r="AK506" s="31" t="e">
        <f t="shared" si="753"/>
        <v>#VALUE!</v>
      </c>
      <c r="AL506" s="31" t="e">
        <f t="shared" si="754"/>
        <v>#VALUE!</v>
      </c>
      <c r="AM506" s="31" t="e">
        <f t="shared" si="755"/>
        <v>#VALUE!</v>
      </c>
      <c r="AN506" s="32" t="str">
        <f t="shared" si="756"/>
        <v/>
      </c>
      <c r="AO506" s="27" t="str">
        <f t="shared" si="757"/>
        <v/>
      </c>
      <c r="AP506" s="27" t="str">
        <f t="shared" si="758"/>
        <v/>
      </c>
      <c r="AQ506" s="27">
        <f t="shared" si="759"/>
        <v>0</v>
      </c>
      <c r="AR506" s="27">
        <f t="shared" si="760"/>
        <v>0</v>
      </c>
      <c r="AS506" s="33">
        <f t="shared" si="761"/>
        <v>0</v>
      </c>
    </row>
    <row r="507" spans="2:45" hidden="1" x14ac:dyDescent="0.25">
      <c r="B507" s="34">
        <f t="shared" ref="B507:F507" si="774">IF(B506="","",B506)</f>
        <v>1720</v>
      </c>
      <c r="C507" s="26">
        <f t="shared" si="774"/>
        <v>18</v>
      </c>
      <c r="D507" s="26">
        <f t="shared" si="774"/>
        <v>500</v>
      </c>
      <c r="E507" s="26">
        <f t="shared" si="774"/>
        <v>0</v>
      </c>
      <c r="F507" s="26">
        <f t="shared" si="774"/>
        <v>-1150</v>
      </c>
      <c r="G507" s="24"/>
      <c r="H507" s="24"/>
      <c r="I507" s="24"/>
      <c r="J507" s="24"/>
      <c r="K507" s="24"/>
      <c r="L507" s="24"/>
      <c r="M507" s="44" t="str">
        <f t="shared" si="722"/>
        <v/>
      </c>
      <c r="N507" s="26" t="str">
        <f t="shared" si="732"/>
        <v/>
      </c>
      <c r="O507" s="26" t="str">
        <f t="shared" si="733"/>
        <v/>
      </c>
      <c r="P507" s="26" t="str">
        <f t="shared" si="734"/>
        <v/>
      </c>
      <c r="Q507" s="26">
        <f t="shared" si="735"/>
        <v>0</v>
      </c>
      <c r="R507" s="26">
        <f t="shared" si="736"/>
        <v>0</v>
      </c>
      <c r="S507" s="26">
        <f t="shared" si="737"/>
        <v>0</v>
      </c>
      <c r="T507" s="26" t="str">
        <f t="shared" si="738"/>
        <v/>
      </c>
      <c r="U507" s="26" t="str">
        <f t="shared" si="739"/>
        <v/>
      </c>
      <c r="V507" s="26" t="str">
        <f t="shared" si="740"/>
        <v/>
      </c>
      <c r="W507" s="27" t="str">
        <f t="shared" si="741"/>
        <v/>
      </c>
      <c r="X507" s="27" t="str">
        <f t="shared" si="742"/>
        <v/>
      </c>
      <c r="Y507" s="28" t="str">
        <f t="shared" si="743"/>
        <v/>
      </c>
      <c r="Z507" s="27" t="str">
        <f t="shared" si="744"/>
        <v/>
      </c>
      <c r="AA507" s="27" t="str">
        <f t="shared" si="745"/>
        <v/>
      </c>
      <c r="AB507" s="27" t="str">
        <f t="shared" si="746"/>
        <v/>
      </c>
      <c r="AC507" s="27" t="str">
        <f t="shared" si="747"/>
        <v/>
      </c>
      <c r="AD507" s="29" t="str">
        <f t="shared" si="748"/>
        <v/>
      </c>
      <c r="AE507" s="30" t="str">
        <f t="shared" si="749"/>
        <v/>
      </c>
      <c r="AG507" s="4"/>
      <c r="AH507" s="31" t="e">
        <f t="shared" si="750"/>
        <v>#VALUE!</v>
      </c>
      <c r="AI507" s="31" t="e">
        <f t="shared" si="751"/>
        <v>#VALUE!</v>
      </c>
      <c r="AJ507" s="31" t="e">
        <f t="shared" si="752"/>
        <v>#VALUE!</v>
      </c>
      <c r="AK507" s="31" t="e">
        <f t="shared" si="753"/>
        <v>#VALUE!</v>
      </c>
      <c r="AL507" s="31" t="e">
        <f t="shared" si="754"/>
        <v>#VALUE!</v>
      </c>
      <c r="AM507" s="31" t="e">
        <f t="shared" si="755"/>
        <v>#VALUE!</v>
      </c>
      <c r="AN507" s="32" t="str">
        <f t="shared" si="756"/>
        <v/>
      </c>
      <c r="AO507" s="27" t="str">
        <f t="shared" si="757"/>
        <v/>
      </c>
      <c r="AP507" s="27" t="str">
        <f t="shared" si="758"/>
        <v/>
      </c>
      <c r="AQ507" s="27">
        <f t="shared" si="759"/>
        <v>0</v>
      </c>
      <c r="AR507" s="27">
        <f t="shared" si="760"/>
        <v>0</v>
      </c>
      <c r="AS507" s="33">
        <f t="shared" si="761"/>
        <v>0</v>
      </c>
    </row>
    <row r="508" spans="2:45" hidden="1" x14ac:dyDescent="0.25">
      <c r="B508" s="34">
        <f t="shared" ref="B508:F508" si="775">IF(B507="","",B507)</f>
        <v>1720</v>
      </c>
      <c r="C508" s="26">
        <f t="shared" si="775"/>
        <v>18</v>
      </c>
      <c r="D508" s="26">
        <f t="shared" si="775"/>
        <v>500</v>
      </c>
      <c r="E508" s="26">
        <f t="shared" si="775"/>
        <v>0</v>
      </c>
      <c r="F508" s="26">
        <f t="shared" si="775"/>
        <v>-1150</v>
      </c>
      <c r="G508" s="24"/>
      <c r="H508" s="24"/>
      <c r="I508" s="24"/>
      <c r="J508" s="24"/>
      <c r="K508" s="24"/>
      <c r="L508" s="24"/>
      <c r="M508" s="44" t="str">
        <f t="shared" si="722"/>
        <v/>
      </c>
      <c r="N508" s="26" t="str">
        <f t="shared" si="732"/>
        <v/>
      </c>
      <c r="O508" s="26" t="str">
        <f t="shared" si="733"/>
        <v/>
      </c>
      <c r="P508" s="26" t="str">
        <f t="shared" si="734"/>
        <v/>
      </c>
      <c r="Q508" s="26">
        <f t="shared" si="735"/>
        <v>0</v>
      </c>
      <c r="R508" s="26">
        <f t="shared" si="736"/>
        <v>0</v>
      </c>
      <c r="S508" s="26">
        <f t="shared" si="737"/>
        <v>0</v>
      </c>
      <c r="T508" s="26" t="str">
        <f t="shared" si="738"/>
        <v/>
      </c>
      <c r="U508" s="26" t="str">
        <f t="shared" si="739"/>
        <v/>
      </c>
      <c r="V508" s="26" t="str">
        <f t="shared" si="740"/>
        <v/>
      </c>
      <c r="W508" s="27" t="str">
        <f t="shared" si="741"/>
        <v/>
      </c>
      <c r="X508" s="27" t="str">
        <f t="shared" si="742"/>
        <v/>
      </c>
      <c r="Y508" s="28" t="str">
        <f t="shared" si="743"/>
        <v/>
      </c>
      <c r="Z508" s="27" t="str">
        <f t="shared" si="744"/>
        <v/>
      </c>
      <c r="AA508" s="27" t="str">
        <f t="shared" si="745"/>
        <v/>
      </c>
      <c r="AB508" s="27" t="str">
        <f t="shared" si="746"/>
        <v/>
      </c>
      <c r="AC508" s="27" t="str">
        <f t="shared" si="747"/>
        <v/>
      </c>
      <c r="AD508" s="29" t="str">
        <f t="shared" si="748"/>
        <v/>
      </c>
      <c r="AE508" s="30" t="str">
        <f t="shared" si="749"/>
        <v/>
      </c>
      <c r="AG508" s="4"/>
      <c r="AH508" s="31" t="e">
        <f t="shared" si="750"/>
        <v>#VALUE!</v>
      </c>
      <c r="AI508" s="31" t="e">
        <f t="shared" si="751"/>
        <v>#VALUE!</v>
      </c>
      <c r="AJ508" s="31" t="e">
        <f t="shared" si="752"/>
        <v>#VALUE!</v>
      </c>
      <c r="AK508" s="31" t="e">
        <f t="shared" si="753"/>
        <v>#VALUE!</v>
      </c>
      <c r="AL508" s="31" t="e">
        <f t="shared" si="754"/>
        <v>#VALUE!</v>
      </c>
      <c r="AM508" s="31" t="e">
        <f t="shared" si="755"/>
        <v>#VALUE!</v>
      </c>
      <c r="AN508" s="32" t="str">
        <f t="shared" si="756"/>
        <v/>
      </c>
      <c r="AO508" s="27" t="str">
        <f t="shared" si="757"/>
        <v/>
      </c>
      <c r="AP508" s="27" t="str">
        <f t="shared" si="758"/>
        <v/>
      </c>
      <c r="AQ508" s="27">
        <f t="shared" si="759"/>
        <v>0</v>
      </c>
      <c r="AR508" s="27">
        <f t="shared" si="760"/>
        <v>0</v>
      </c>
      <c r="AS508" s="33">
        <f t="shared" si="761"/>
        <v>0</v>
      </c>
    </row>
    <row r="509" spans="2:45" hidden="1" x14ac:dyDescent="0.25">
      <c r="B509" s="34">
        <f>IF(B508="","",B508)</f>
        <v>1720</v>
      </c>
      <c r="C509" s="26">
        <f t="shared" ref="C509:F509" si="776">IF(C508="","",C508)</f>
        <v>18</v>
      </c>
      <c r="D509" s="26">
        <f t="shared" si="776"/>
        <v>500</v>
      </c>
      <c r="E509" s="26">
        <f t="shared" si="776"/>
        <v>0</v>
      </c>
      <c r="F509" s="26">
        <f t="shared" si="776"/>
        <v>-1150</v>
      </c>
      <c r="G509" s="24"/>
      <c r="H509" s="24"/>
      <c r="I509" s="24"/>
      <c r="J509" s="24"/>
      <c r="K509" s="24"/>
      <c r="L509" s="24"/>
      <c r="M509" s="44" t="str">
        <f t="shared" si="722"/>
        <v/>
      </c>
      <c r="N509" s="26" t="str">
        <f t="shared" si="732"/>
        <v/>
      </c>
      <c r="O509" s="26" t="str">
        <f t="shared" si="733"/>
        <v/>
      </c>
      <c r="P509" s="26" t="str">
        <f t="shared" si="734"/>
        <v/>
      </c>
      <c r="Q509" s="26">
        <f t="shared" si="735"/>
        <v>0</v>
      </c>
      <c r="R509" s="26">
        <f t="shared" si="736"/>
        <v>0</v>
      </c>
      <c r="S509" s="26">
        <f t="shared" si="737"/>
        <v>0</v>
      </c>
      <c r="T509" s="26" t="str">
        <f t="shared" si="738"/>
        <v/>
      </c>
      <c r="U509" s="26" t="str">
        <f t="shared" si="739"/>
        <v/>
      </c>
      <c r="V509" s="26" t="str">
        <f t="shared" si="740"/>
        <v/>
      </c>
      <c r="W509" s="27" t="str">
        <f t="shared" si="741"/>
        <v/>
      </c>
      <c r="X509" s="27" t="str">
        <f t="shared" si="742"/>
        <v/>
      </c>
      <c r="Y509" s="28" t="str">
        <f t="shared" si="743"/>
        <v/>
      </c>
      <c r="Z509" s="27" t="str">
        <f t="shared" si="744"/>
        <v/>
      </c>
      <c r="AA509" s="27" t="str">
        <f t="shared" si="745"/>
        <v/>
      </c>
      <c r="AB509" s="27" t="str">
        <f t="shared" si="746"/>
        <v/>
      </c>
      <c r="AC509" s="27" t="str">
        <f t="shared" si="747"/>
        <v/>
      </c>
      <c r="AD509" s="29" t="str">
        <f t="shared" si="748"/>
        <v/>
      </c>
      <c r="AE509" s="30" t="str">
        <f t="shared" si="749"/>
        <v/>
      </c>
      <c r="AG509" s="4"/>
      <c r="AH509" s="31" t="e">
        <f t="shared" si="750"/>
        <v>#VALUE!</v>
      </c>
      <c r="AI509" s="31" t="e">
        <f t="shared" si="751"/>
        <v>#VALUE!</v>
      </c>
      <c r="AJ509" s="31" t="e">
        <f t="shared" si="752"/>
        <v>#VALUE!</v>
      </c>
      <c r="AK509" s="31" t="e">
        <f t="shared" si="753"/>
        <v>#VALUE!</v>
      </c>
      <c r="AL509" s="31" t="e">
        <f t="shared" si="754"/>
        <v>#VALUE!</v>
      </c>
      <c r="AM509" s="31" t="e">
        <f t="shared" si="755"/>
        <v>#VALUE!</v>
      </c>
      <c r="AN509" s="32" t="str">
        <f t="shared" si="756"/>
        <v/>
      </c>
      <c r="AO509" s="27" t="str">
        <f t="shared" si="757"/>
        <v/>
      </c>
      <c r="AP509" s="27" t="str">
        <f t="shared" si="758"/>
        <v/>
      </c>
      <c r="AQ509" s="27">
        <f t="shared" si="759"/>
        <v>0</v>
      </c>
      <c r="AR509" s="27">
        <f t="shared" si="760"/>
        <v>0</v>
      </c>
      <c r="AS509" s="33">
        <f t="shared" si="761"/>
        <v>0</v>
      </c>
    </row>
    <row r="510" spans="2:45" hidden="1" x14ac:dyDescent="0.25">
      <c r="B510" s="34">
        <f t="shared" ref="B510:F510" si="777">IF(B509="","",B509)</f>
        <v>1720</v>
      </c>
      <c r="C510" s="26">
        <f t="shared" si="777"/>
        <v>18</v>
      </c>
      <c r="D510" s="26">
        <f t="shared" si="777"/>
        <v>500</v>
      </c>
      <c r="E510" s="26">
        <f t="shared" si="777"/>
        <v>0</v>
      </c>
      <c r="F510" s="26">
        <f t="shared" si="777"/>
        <v>-1150</v>
      </c>
      <c r="G510" s="24"/>
      <c r="H510" s="24"/>
      <c r="I510" s="24"/>
      <c r="J510" s="24"/>
      <c r="K510" s="24"/>
      <c r="L510" s="24"/>
      <c r="M510" s="44" t="str">
        <f t="shared" si="722"/>
        <v/>
      </c>
      <c r="N510" s="26" t="str">
        <f t="shared" si="732"/>
        <v/>
      </c>
      <c r="O510" s="26" t="str">
        <f t="shared" si="733"/>
        <v/>
      </c>
      <c r="P510" s="26" t="str">
        <f t="shared" si="734"/>
        <v/>
      </c>
      <c r="Q510" s="26">
        <f t="shared" si="735"/>
        <v>0</v>
      </c>
      <c r="R510" s="26">
        <f t="shared" si="736"/>
        <v>0</v>
      </c>
      <c r="S510" s="26">
        <f t="shared" si="737"/>
        <v>0</v>
      </c>
      <c r="T510" s="26" t="str">
        <f t="shared" si="738"/>
        <v/>
      </c>
      <c r="U510" s="26" t="str">
        <f t="shared" si="739"/>
        <v/>
      </c>
      <c r="V510" s="26" t="str">
        <f t="shared" si="740"/>
        <v/>
      </c>
      <c r="W510" s="27" t="str">
        <f t="shared" si="741"/>
        <v/>
      </c>
      <c r="X510" s="27" t="str">
        <f t="shared" si="742"/>
        <v/>
      </c>
      <c r="Y510" s="28" t="str">
        <f t="shared" si="743"/>
        <v/>
      </c>
      <c r="Z510" s="27" t="str">
        <f t="shared" si="744"/>
        <v/>
      </c>
      <c r="AA510" s="27" t="str">
        <f t="shared" si="745"/>
        <v/>
      </c>
      <c r="AB510" s="27" t="str">
        <f t="shared" si="746"/>
        <v/>
      </c>
      <c r="AC510" s="27" t="str">
        <f t="shared" si="747"/>
        <v/>
      </c>
      <c r="AD510" s="29" t="str">
        <f t="shared" si="748"/>
        <v/>
      </c>
      <c r="AE510" s="30" t="str">
        <f t="shared" si="749"/>
        <v/>
      </c>
      <c r="AG510" s="4"/>
      <c r="AH510" s="31" t="e">
        <f t="shared" si="750"/>
        <v>#VALUE!</v>
      </c>
      <c r="AI510" s="31" t="e">
        <f t="shared" si="751"/>
        <v>#VALUE!</v>
      </c>
      <c r="AJ510" s="31" t="e">
        <f t="shared" si="752"/>
        <v>#VALUE!</v>
      </c>
      <c r="AK510" s="31" t="e">
        <f t="shared" si="753"/>
        <v>#VALUE!</v>
      </c>
      <c r="AL510" s="31" t="e">
        <f t="shared" si="754"/>
        <v>#VALUE!</v>
      </c>
      <c r="AM510" s="31" t="e">
        <f t="shared" si="755"/>
        <v>#VALUE!</v>
      </c>
      <c r="AN510" s="32" t="str">
        <f t="shared" si="756"/>
        <v/>
      </c>
      <c r="AO510" s="27" t="str">
        <f t="shared" si="757"/>
        <v/>
      </c>
      <c r="AP510" s="27" t="str">
        <f t="shared" si="758"/>
        <v/>
      </c>
      <c r="AQ510" s="27">
        <f t="shared" si="759"/>
        <v>0</v>
      </c>
      <c r="AR510" s="27">
        <f t="shared" si="760"/>
        <v>0</v>
      </c>
      <c r="AS510" s="33">
        <f t="shared" si="761"/>
        <v>0</v>
      </c>
    </row>
    <row r="511" spans="2:45" hidden="1" x14ac:dyDescent="0.25">
      <c r="B511" s="34">
        <f t="shared" ref="B511:F511" si="778">IF(B510="","",B510)</f>
        <v>1720</v>
      </c>
      <c r="C511" s="26">
        <f t="shared" si="778"/>
        <v>18</v>
      </c>
      <c r="D511" s="26">
        <f t="shared" si="778"/>
        <v>500</v>
      </c>
      <c r="E511" s="26">
        <f t="shared" si="778"/>
        <v>0</v>
      </c>
      <c r="F511" s="26">
        <f t="shared" si="778"/>
        <v>-1150</v>
      </c>
      <c r="G511" s="24"/>
      <c r="H511" s="24"/>
      <c r="I511" s="24"/>
      <c r="J511" s="24"/>
      <c r="K511" s="24"/>
      <c r="L511" s="24"/>
      <c r="M511" s="44" t="str">
        <f t="shared" si="722"/>
        <v/>
      </c>
      <c r="N511" s="26" t="str">
        <f t="shared" si="732"/>
        <v/>
      </c>
      <c r="O511" s="26" t="str">
        <f t="shared" si="733"/>
        <v/>
      </c>
      <c r="P511" s="26" t="str">
        <f t="shared" si="734"/>
        <v/>
      </c>
      <c r="Q511" s="26">
        <f t="shared" si="735"/>
        <v>0</v>
      </c>
      <c r="R511" s="26">
        <f t="shared" si="736"/>
        <v>0</v>
      </c>
      <c r="S511" s="26">
        <f t="shared" si="737"/>
        <v>0</v>
      </c>
      <c r="T511" s="26" t="str">
        <f t="shared" si="738"/>
        <v/>
      </c>
      <c r="U511" s="26" t="str">
        <f t="shared" si="739"/>
        <v/>
      </c>
      <c r="V511" s="26" t="str">
        <f t="shared" si="740"/>
        <v/>
      </c>
      <c r="W511" s="27" t="str">
        <f t="shared" si="741"/>
        <v/>
      </c>
      <c r="X511" s="27" t="str">
        <f t="shared" si="742"/>
        <v/>
      </c>
      <c r="Y511" s="28" t="str">
        <f t="shared" si="743"/>
        <v/>
      </c>
      <c r="Z511" s="27" t="str">
        <f t="shared" si="744"/>
        <v/>
      </c>
      <c r="AA511" s="27" t="str">
        <f t="shared" si="745"/>
        <v/>
      </c>
      <c r="AB511" s="27" t="str">
        <f t="shared" si="746"/>
        <v/>
      </c>
      <c r="AC511" s="27" t="str">
        <f t="shared" si="747"/>
        <v/>
      </c>
      <c r="AD511" s="29" t="str">
        <f t="shared" si="748"/>
        <v/>
      </c>
      <c r="AE511" s="30" t="str">
        <f t="shared" si="749"/>
        <v/>
      </c>
      <c r="AG511" s="4"/>
      <c r="AH511" s="31" t="e">
        <f t="shared" si="750"/>
        <v>#VALUE!</v>
      </c>
      <c r="AI511" s="31" t="e">
        <f t="shared" si="751"/>
        <v>#VALUE!</v>
      </c>
      <c r="AJ511" s="31" t="e">
        <f t="shared" si="752"/>
        <v>#VALUE!</v>
      </c>
      <c r="AK511" s="31" t="e">
        <f t="shared" si="753"/>
        <v>#VALUE!</v>
      </c>
      <c r="AL511" s="31" t="e">
        <f t="shared" si="754"/>
        <v>#VALUE!</v>
      </c>
      <c r="AM511" s="31" t="e">
        <f t="shared" si="755"/>
        <v>#VALUE!</v>
      </c>
      <c r="AN511" s="32" t="str">
        <f t="shared" si="756"/>
        <v/>
      </c>
      <c r="AO511" s="27" t="str">
        <f t="shared" si="757"/>
        <v/>
      </c>
      <c r="AP511" s="27" t="str">
        <f t="shared" si="758"/>
        <v/>
      </c>
      <c r="AQ511" s="27">
        <f t="shared" si="759"/>
        <v>0</v>
      </c>
      <c r="AR511" s="27">
        <f t="shared" si="760"/>
        <v>0</v>
      </c>
      <c r="AS511" s="33">
        <f t="shared" si="761"/>
        <v>0</v>
      </c>
    </row>
    <row r="512" spans="2:45" hidden="1" x14ac:dyDescent="0.25">
      <c r="B512" s="34">
        <f t="shared" ref="B512:F512" si="779">IF(B511="","",B511)</f>
        <v>1720</v>
      </c>
      <c r="C512" s="26">
        <f t="shared" si="779"/>
        <v>18</v>
      </c>
      <c r="D512" s="26">
        <f t="shared" si="779"/>
        <v>500</v>
      </c>
      <c r="E512" s="26">
        <f t="shared" si="779"/>
        <v>0</v>
      </c>
      <c r="F512" s="26">
        <f t="shared" si="779"/>
        <v>-1150</v>
      </c>
      <c r="G512" s="24"/>
      <c r="H512" s="24"/>
      <c r="I512" s="24"/>
      <c r="J512" s="24"/>
      <c r="K512" s="24"/>
      <c r="L512" s="24"/>
      <c r="M512" s="44" t="str">
        <f t="shared" si="722"/>
        <v/>
      </c>
      <c r="N512" s="26" t="str">
        <f t="shared" si="732"/>
        <v/>
      </c>
      <c r="O512" s="26" t="str">
        <f t="shared" si="733"/>
        <v/>
      </c>
      <c r="P512" s="26" t="str">
        <f t="shared" si="734"/>
        <v/>
      </c>
      <c r="Q512" s="26">
        <f t="shared" si="735"/>
        <v>0</v>
      </c>
      <c r="R512" s="26">
        <f t="shared" si="736"/>
        <v>0</v>
      </c>
      <c r="S512" s="26">
        <f t="shared" si="737"/>
        <v>0</v>
      </c>
      <c r="T512" s="26" t="str">
        <f t="shared" si="738"/>
        <v/>
      </c>
      <c r="U512" s="26" t="str">
        <f t="shared" si="739"/>
        <v/>
      </c>
      <c r="V512" s="26" t="str">
        <f t="shared" si="740"/>
        <v/>
      </c>
      <c r="W512" s="27" t="str">
        <f t="shared" si="741"/>
        <v/>
      </c>
      <c r="X512" s="27" t="str">
        <f t="shared" si="742"/>
        <v/>
      </c>
      <c r="Y512" s="28" t="str">
        <f t="shared" si="743"/>
        <v/>
      </c>
      <c r="Z512" s="27" t="str">
        <f t="shared" si="744"/>
        <v/>
      </c>
      <c r="AA512" s="27" t="str">
        <f t="shared" si="745"/>
        <v/>
      </c>
      <c r="AB512" s="27" t="str">
        <f t="shared" si="746"/>
        <v/>
      </c>
      <c r="AC512" s="27" t="str">
        <f t="shared" si="747"/>
        <v/>
      </c>
      <c r="AD512" s="29" t="str">
        <f t="shared" si="748"/>
        <v/>
      </c>
      <c r="AE512" s="30" t="str">
        <f t="shared" si="749"/>
        <v/>
      </c>
      <c r="AG512" s="4"/>
      <c r="AH512" s="31" t="e">
        <f t="shared" si="750"/>
        <v>#VALUE!</v>
      </c>
      <c r="AI512" s="31" t="e">
        <f t="shared" si="751"/>
        <v>#VALUE!</v>
      </c>
      <c r="AJ512" s="31" t="e">
        <f t="shared" si="752"/>
        <v>#VALUE!</v>
      </c>
      <c r="AK512" s="31" t="e">
        <f t="shared" si="753"/>
        <v>#VALUE!</v>
      </c>
      <c r="AL512" s="31" t="e">
        <f t="shared" si="754"/>
        <v>#VALUE!</v>
      </c>
      <c r="AM512" s="31" t="e">
        <f t="shared" si="755"/>
        <v>#VALUE!</v>
      </c>
      <c r="AN512" s="32" t="str">
        <f t="shared" si="756"/>
        <v/>
      </c>
      <c r="AO512" s="27" t="str">
        <f t="shared" si="757"/>
        <v/>
      </c>
      <c r="AP512" s="27" t="str">
        <f t="shared" si="758"/>
        <v/>
      </c>
      <c r="AQ512" s="27">
        <f t="shared" si="759"/>
        <v>0</v>
      </c>
      <c r="AR512" s="27">
        <f t="shared" si="760"/>
        <v>0</v>
      </c>
      <c r="AS512" s="33">
        <f t="shared" si="761"/>
        <v>0</v>
      </c>
    </row>
    <row r="513" spans="2:45" hidden="1" x14ac:dyDescent="0.25">
      <c r="B513" s="34">
        <f t="shared" ref="B513:F513" si="780">IF(B512="","",B512)</f>
        <v>1720</v>
      </c>
      <c r="C513" s="26">
        <f t="shared" si="780"/>
        <v>18</v>
      </c>
      <c r="D513" s="26">
        <f t="shared" si="780"/>
        <v>500</v>
      </c>
      <c r="E513" s="26">
        <f t="shared" si="780"/>
        <v>0</v>
      </c>
      <c r="F513" s="26">
        <f t="shared" si="780"/>
        <v>-1150</v>
      </c>
      <c r="G513" s="24"/>
      <c r="H513" s="24"/>
      <c r="I513" s="24"/>
      <c r="J513" s="24"/>
      <c r="K513" s="24"/>
      <c r="L513" s="24"/>
      <c r="M513" s="44" t="str">
        <f t="shared" si="722"/>
        <v/>
      </c>
      <c r="N513" s="26" t="str">
        <f t="shared" si="732"/>
        <v/>
      </c>
      <c r="O513" s="26" t="str">
        <f t="shared" si="733"/>
        <v/>
      </c>
      <c r="P513" s="26" t="str">
        <f t="shared" si="734"/>
        <v/>
      </c>
      <c r="Q513" s="26">
        <f t="shared" si="735"/>
        <v>0</v>
      </c>
      <c r="R513" s="26">
        <f t="shared" si="736"/>
        <v>0</v>
      </c>
      <c r="S513" s="26">
        <f t="shared" si="737"/>
        <v>0</v>
      </c>
      <c r="T513" s="26" t="str">
        <f t="shared" si="738"/>
        <v/>
      </c>
      <c r="U513" s="26" t="str">
        <f t="shared" si="739"/>
        <v/>
      </c>
      <c r="V513" s="26" t="str">
        <f t="shared" si="740"/>
        <v/>
      </c>
      <c r="W513" s="27" t="str">
        <f t="shared" si="741"/>
        <v/>
      </c>
      <c r="X513" s="27" t="str">
        <f t="shared" si="742"/>
        <v/>
      </c>
      <c r="Y513" s="28" t="str">
        <f t="shared" si="743"/>
        <v/>
      </c>
      <c r="Z513" s="27" t="str">
        <f t="shared" si="744"/>
        <v/>
      </c>
      <c r="AA513" s="27" t="str">
        <f t="shared" si="745"/>
        <v/>
      </c>
      <c r="AB513" s="27" t="str">
        <f t="shared" si="746"/>
        <v/>
      </c>
      <c r="AC513" s="27" t="str">
        <f t="shared" si="747"/>
        <v/>
      </c>
      <c r="AD513" s="29" t="str">
        <f t="shared" si="748"/>
        <v/>
      </c>
      <c r="AE513" s="30" t="str">
        <f t="shared" si="749"/>
        <v/>
      </c>
      <c r="AG513" s="4"/>
      <c r="AH513" s="31" t="e">
        <f t="shared" si="750"/>
        <v>#VALUE!</v>
      </c>
      <c r="AI513" s="31" t="e">
        <f t="shared" si="751"/>
        <v>#VALUE!</v>
      </c>
      <c r="AJ513" s="31" t="e">
        <f t="shared" si="752"/>
        <v>#VALUE!</v>
      </c>
      <c r="AK513" s="31" t="e">
        <f t="shared" si="753"/>
        <v>#VALUE!</v>
      </c>
      <c r="AL513" s="31" t="e">
        <f t="shared" si="754"/>
        <v>#VALUE!</v>
      </c>
      <c r="AM513" s="31" t="e">
        <f t="shared" si="755"/>
        <v>#VALUE!</v>
      </c>
      <c r="AN513" s="32" t="str">
        <f t="shared" si="756"/>
        <v/>
      </c>
      <c r="AO513" s="27" t="str">
        <f t="shared" si="757"/>
        <v/>
      </c>
      <c r="AP513" s="27" t="str">
        <f t="shared" si="758"/>
        <v/>
      </c>
      <c r="AQ513" s="27">
        <f t="shared" si="759"/>
        <v>0</v>
      </c>
      <c r="AR513" s="27">
        <f t="shared" si="760"/>
        <v>0</v>
      </c>
      <c r="AS513" s="33">
        <f t="shared" si="761"/>
        <v>0</v>
      </c>
    </row>
    <row r="514" spans="2:45" hidden="1" x14ac:dyDescent="0.25">
      <c r="B514" s="34">
        <f t="shared" ref="B514:F514" si="781">IF(B513="","",B513)</f>
        <v>1720</v>
      </c>
      <c r="C514" s="26">
        <f t="shared" si="781"/>
        <v>18</v>
      </c>
      <c r="D514" s="26">
        <f t="shared" si="781"/>
        <v>500</v>
      </c>
      <c r="E514" s="26">
        <f t="shared" si="781"/>
        <v>0</v>
      </c>
      <c r="F514" s="26">
        <f t="shared" si="781"/>
        <v>-1150</v>
      </c>
      <c r="G514" s="24"/>
      <c r="H514" s="24"/>
      <c r="I514" s="24"/>
      <c r="J514" s="24"/>
      <c r="K514" s="24"/>
      <c r="L514" s="24"/>
      <c r="M514" s="44" t="str">
        <f t="shared" ref="M514:M545" si="782">IF(B514="","",IF(M358="","",M358))</f>
        <v/>
      </c>
      <c r="N514" s="26" t="str">
        <f t="shared" si="732"/>
        <v/>
      </c>
      <c r="O514" s="26" t="str">
        <f t="shared" si="733"/>
        <v/>
      </c>
      <c r="P514" s="26" t="str">
        <f t="shared" si="734"/>
        <v/>
      </c>
      <c r="Q514" s="26">
        <f t="shared" si="735"/>
        <v>0</v>
      </c>
      <c r="R514" s="26">
        <f t="shared" si="736"/>
        <v>0</v>
      </c>
      <c r="S514" s="26">
        <f t="shared" si="737"/>
        <v>0</v>
      </c>
      <c r="T514" s="26" t="str">
        <f t="shared" si="738"/>
        <v/>
      </c>
      <c r="U514" s="26" t="str">
        <f t="shared" si="739"/>
        <v/>
      </c>
      <c r="V514" s="26" t="str">
        <f t="shared" si="740"/>
        <v/>
      </c>
      <c r="W514" s="27" t="str">
        <f t="shared" si="741"/>
        <v/>
      </c>
      <c r="X514" s="27" t="str">
        <f t="shared" si="742"/>
        <v/>
      </c>
      <c r="Y514" s="28" t="str">
        <f t="shared" si="743"/>
        <v/>
      </c>
      <c r="Z514" s="27" t="str">
        <f t="shared" si="744"/>
        <v/>
      </c>
      <c r="AA514" s="27" t="str">
        <f t="shared" si="745"/>
        <v/>
      </c>
      <c r="AB514" s="27" t="str">
        <f t="shared" si="746"/>
        <v/>
      </c>
      <c r="AC514" s="27" t="str">
        <f t="shared" si="747"/>
        <v/>
      </c>
      <c r="AD514" s="29" t="str">
        <f t="shared" si="748"/>
        <v/>
      </c>
      <c r="AE514" s="30" t="str">
        <f t="shared" si="749"/>
        <v/>
      </c>
      <c r="AG514" s="4"/>
      <c r="AH514" s="31" t="e">
        <f t="shared" si="750"/>
        <v>#VALUE!</v>
      </c>
      <c r="AI514" s="31" t="e">
        <f t="shared" si="751"/>
        <v>#VALUE!</v>
      </c>
      <c r="AJ514" s="31" t="e">
        <f t="shared" si="752"/>
        <v>#VALUE!</v>
      </c>
      <c r="AK514" s="31" t="e">
        <f t="shared" si="753"/>
        <v>#VALUE!</v>
      </c>
      <c r="AL514" s="31" t="e">
        <f t="shared" si="754"/>
        <v>#VALUE!</v>
      </c>
      <c r="AM514" s="31" t="e">
        <f t="shared" si="755"/>
        <v>#VALUE!</v>
      </c>
      <c r="AN514" s="32" t="str">
        <f t="shared" si="756"/>
        <v/>
      </c>
      <c r="AO514" s="27" t="str">
        <f t="shared" si="757"/>
        <v/>
      </c>
      <c r="AP514" s="27" t="str">
        <f t="shared" si="758"/>
        <v/>
      </c>
      <c r="AQ514" s="27">
        <f t="shared" si="759"/>
        <v>0</v>
      </c>
      <c r="AR514" s="27">
        <f t="shared" si="760"/>
        <v>0</v>
      </c>
      <c r="AS514" s="33">
        <f t="shared" si="761"/>
        <v>0</v>
      </c>
    </row>
    <row r="515" spans="2:45" hidden="1" x14ac:dyDescent="0.25">
      <c r="B515" s="34">
        <f t="shared" ref="B515:F515" si="783">IF(B514="","",B514)</f>
        <v>1720</v>
      </c>
      <c r="C515" s="26">
        <f t="shared" si="783"/>
        <v>18</v>
      </c>
      <c r="D515" s="26">
        <f t="shared" si="783"/>
        <v>500</v>
      </c>
      <c r="E515" s="26">
        <f t="shared" si="783"/>
        <v>0</v>
      </c>
      <c r="F515" s="26">
        <f t="shared" si="783"/>
        <v>-1150</v>
      </c>
      <c r="G515" s="24"/>
      <c r="H515" s="24"/>
      <c r="I515" s="24"/>
      <c r="J515" s="24"/>
      <c r="K515" s="24"/>
      <c r="L515" s="24"/>
      <c r="M515" s="44" t="str">
        <f t="shared" si="782"/>
        <v/>
      </c>
      <c r="N515" s="26" t="str">
        <f t="shared" si="732"/>
        <v/>
      </c>
      <c r="O515" s="26" t="str">
        <f t="shared" si="733"/>
        <v/>
      </c>
      <c r="P515" s="26" t="str">
        <f t="shared" si="734"/>
        <v/>
      </c>
      <c r="Q515" s="26">
        <f t="shared" si="735"/>
        <v>0</v>
      </c>
      <c r="R515" s="26">
        <f t="shared" si="736"/>
        <v>0</v>
      </c>
      <c r="S515" s="26">
        <f t="shared" si="737"/>
        <v>0</v>
      </c>
      <c r="T515" s="26" t="str">
        <f t="shared" si="738"/>
        <v/>
      </c>
      <c r="U515" s="26" t="str">
        <f t="shared" si="739"/>
        <v/>
      </c>
      <c r="V515" s="26" t="str">
        <f t="shared" si="740"/>
        <v/>
      </c>
      <c r="W515" s="27" t="str">
        <f t="shared" si="741"/>
        <v/>
      </c>
      <c r="X515" s="27" t="str">
        <f t="shared" si="742"/>
        <v/>
      </c>
      <c r="Y515" s="28" t="str">
        <f t="shared" si="743"/>
        <v/>
      </c>
      <c r="Z515" s="27" t="str">
        <f t="shared" si="744"/>
        <v/>
      </c>
      <c r="AA515" s="27" t="str">
        <f t="shared" si="745"/>
        <v/>
      </c>
      <c r="AB515" s="27" t="str">
        <f t="shared" si="746"/>
        <v/>
      </c>
      <c r="AC515" s="27" t="str">
        <f t="shared" si="747"/>
        <v/>
      </c>
      <c r="AD515" s="29" t="str">
        <f t="shared" si="748"/>
        <v/>
      </c>
      <c r="AE515" s="30" t="str">
        <f t="shared" si="749"/>
        <v/>
      </c>
      <c r="AG515" s="4"/>
      <c r="AH515" s="31" t="e">
        <f t="shared" si="750"/>
        <v>#VALUE!</v>
      </c>
      <c r="AI515" s="31" t="e">
        <f t="shared" si="751"/>
        <v>#VALUE!</v>
      </c>
      <c r="AJ515" s="31" t="e">
        <f t="shared" si="752"/>
        <v>#VALUE!</v>
      </c>
      <c r="AK515" s="31" t="e">
        <f t="shared" si="753"/>
        <v>#VALUE!</v>
      </c>
      <c r="AL515" s="31" t="e">
        <f t="shared" si="754"/>
        <v>#VALUE!</v>
      </c>
      <c r="AM515" s="31" t="e">
        <f t="shared" si="755"/>
        <v>#VALUE!</v>
      </c>
      <c r="AN515" s="32" t="str">
        <f t="shared" si="756"/>
        <v/>
      </c>
      <c r="AO515" s="27" t="str">
        <f t="shared" si="757"/>
        <v/>
      </c>
      <c r="AP515" s="27" t="str">
        <f t="shared" si="758"/>
        <v/>
      </c>
      <c r="AQ515" s="27">
        <f t="shared" si="759"/>
        <v>0</v>
      </c>
      <c r="AR515" s="27">
        <f t="shared" si="760"/>
        <v>0</v>
      </c>
      <c r="AS515" s="33">
        <f t="shared" si="761"/>
        <v>0</v>
      </c>
    </row>
    <row r="516" spans="2:45" hidden="1" x14ac:dyDescent="0.25">
      <c r="B516" s="34">
        <f t="shared" ref="B516:F516" si="784">IF(B515="","",B515)</f>
        <v>1720</v>
      </c>
      <c r="C516" s="26">
        <f t="shared" si="784"/>
        <v>18</v>
      </c>
      <c r="D516" s="26">
        <f t="shared" si="784"/>
        <v>500</v>
      </c>
      <c r="E516" s="26">
        <f t="shared" si="784"/>
        <v>0</v>
      </c>
      <c r="F516" s="26">
        <f t="shared" si="784"/>
        <v>-1150</v>
      </c>
      <c r="G516" s="24"/>
      <c r="H516" s="24"/>
      <c r="I516" s="24"/>
      <c r="J516" s="24"/>
      <c r="K516" s="24"/>
      <c r="L516" s="24"/>
      <c r="M516" s="44" t="str">
        <f t="shared" si="782"/>
        <v/>
      </c>
      <c r="N516" s="26" t="str">
        <f t="shared" si="732"/>
        <v/>
      </c>
      <c r="O516" s="26" t="str">
        <f t="shared" si="733"/>
        <v/>
      </c>
      <c r="P516" s="26" t="str">
        <f t="shared" si="734"/>
        <v/>
      </c>
      <c r="Q516" s="26">
        <f t="shared" si="735"/>
        <v>0</v>
      </c>
      <c r="R516" s="26">
        <f t="shared" si="736"/>
        <v>0</v>
      </c>
      <c r="S516" s="26">
        <f t="shared" si="737"/>
        <v>0</v>
      </c>
      <c r="T516" s="26" t="str">
        <f t="shared" si="738"/>
        <v/>
      </c>
      <c r="U516" s="26" t="str">
        <f t="shared" si="739"/>
        <v/>
      </c>
      <c r="V516" s="26" t="str">
        <f t="shared" si="740"/>
        <v/>
      </c>
      <c r="W516" s="27" t="str">
        <f t="shared" si="741"/>
        <v/>
      </c>
      <c r="X516" s="27" t="str">
        <f t="shared" si="742"/>
        <v/>
      </c>
      <c r="Y516" s="28" t="str">
        <f t="shared" si="743"/>
        <v/>
      </c>
      <c r="Z516" s="27" t="str">
        <f t="shared" si="744"/>
        <v/>
      </c>
      <c r="AA516" s="27" t="str">
        <f t="shared" si="745"/>
        <v/>
      </c>
      <c r="AB516" s="27" t="str">
        <f t="shared" si="746"/>
        <v/>
      </c>
      <c r="AC516" s="27" t="str">
        <f t="shared" si="747"/>
        <v/>
      </c>
      <c r="AD516" s="29" t="str">
        <f t="shared" si="748"/>
        <v/>
      </c>
      <c r="AE516" s="30" t="str">
        <f t="shared" si="749"/>
        <v/>
      </c>
      <c r="AG516" s="4"/>
      <c r="AH516" s="31" t="e">
        <f t="shared" si="750"/>
        <v>#VALUE!</v>
      </c>
      <c r="AI516" s="31" t="e">
        <f t="shared" si="751"/>
        <v>#VALUE!</v>
      </c>
      <c r="AJ516" s="31" t="e">
        <f t="shared" si="752"/>
        <v>#VALUE!</v>
      </c>
      <c r="AK516" s="31" t="e">
        <f t="shared" si="753"/>
        <v>#VALUE!</v>
      </c>
      <c r="AL516" s="31" t="e">
        <f t="shared" si="754"/>
        <v>#VALUE!</v>
      </c>
      <c r="AM516" s="31" t="e">
        <f t="shared" si="755"/>
        <v>#VALUE!</v>
      </c>
      <c r="AN516" s="32" t="str">
        <f t="shared" si="756"/>
        <v/>
      </c>
      <c r="AO516" s="27" t="str">
        <f t="shared" si="757"/>
        <v/>
      </c>
      <c r="AP516" s="27" t="str">
        <f t="shared" si="758"/>
        <v/>
      </c>
      <c r="AQ516" s="27">
        <f t="shared" si="759"/>
        <v>0</v>
      </c>
      <c r="AR516" s="27">
        <f t="shared" si="760"/>
        <v>0</v>
      </c>
      <c r="AS516" s="33">
        <f t="shared" si="761"/>
        <v>0</v>
      </c>
    </row>
    <row r="517" spans="2:45" hidden="1" x14ac:dyDescent="0.25">
      <c r="B517" s="34">
        <f t="shared" ref="B517:F517" si="785">IF(B516="","",B516)</f>
        <v>1720</v>
      </c>
      <c r="C517" s="26">
        <f t="shared" si="785"/>
        <v>18</v>
      </c>
      <c r="D517" s="26">
        <f t="shared" si="785"/>
        <v>500</v>
      </c>
      <c r="E517" s="26">
        <f t="shared" si="785"/>
        <v>0</v>
      </c>
      <c r="F517" s="26">
        <f t="shared" si="785"/>
        <v>-1150</v>
      </c>
      <c r="G517" s="24"/>
      <c r="H517" s="24"/>
      <c r="I517" s="24"/>
      <c r="J517" s="24"/>
      <c r="K517" s="24"/>
      <c r="L517" s="24"/>
      <c r="M517" s="44" t="str">
        <f t="shared" si="782"/>
        <v/>
      </c>
      <c r="N517" s="26" t="str">
        <f t="shared" si="732"/>
        <v/>
      </c>
      <c r="O517" s="26" t="str">
        <f t="shared" si="733"/>
        <v/>
      </c>
      <c r="P517" s="26" t="str">
        <f t="shared" si="734"/>
        <v/>
      </c>
      <c r="Q517" s="26">
        <f t="shared" si="735"/>
        <v>0</v>
      </c>
      <c r="R517" s="26">
        <f t="shared" si="736"/>
        <v>0</v>
      </c>
      <c r="S517" s="26">
        <f t="shared" si="737"/>
        <v>0</v>
      </c>
      <c r="T517" s="26" t="str">
        <f t="shared" si="738"/>
        <v/>
      </c>
      <c r="U517" s="26" t="str">
        <f t="shared" si="739"/>
        <v/>
      </c>
      <c r="V517" s="26" t="str">
        <f t="shared" si="740"/>
        <v/>
      </c>
      <c r="W517" s="27" t="str">
        <f t="shared" si="741"/>
        <v/>
      </c>
      <c r="X517" s="27" t="str">
        <f t="shared" si="742"/>
        <v/>
      </c>
      <c r="Y517" s="28" t="str">
        <f t="shared" si="743"/>
        <v/>
      </c>
      <c r="Z517" s="27" t="str">
        <f t="shared" si="744"/>
        <v/>
      </c>
      <c r="AA517" s="27" t="str">
        <f t="shared" si="745"/>
        <v/>
      </c>
      <c r="AB517" s="27" t="str">
        <f t="shared" si="746"/>
        <v/>
      </c>
      <c r="AC517" s="27" t="str">
        <f t="shared" si="747"/>
        <v/>
      </c>
      <c r="AD517" s="29" t="str">
        <f t="shared" si="748"/>
        <v/>
      </c>
      <c r="AE517" s="30" t="str">
        <f t="shared" si="749"/>
        <v/>
      </c>
      <c r="AG517" s="4"/>
      <c r="AH517" s="31" t="e">
        <f t="shared" si="750"/>
        <v>#VALUE!</v>
      </c>
      <c r="AI517" s="31" t="e">
        <f t="shared" si="751"/>
        <v>#VALUE!</v>
      </c>
      <c r="AJ517" s="31" t="e">
        <f t="shared" si="752"/>
        <v>#VALUE!</v>
      </c>
      <c r="AK517" s="31" t="e">
        <f t="shared" si="753"/>
        <v>#VALUE!</v>
      </c>
      <c r="AL517" s="31" t="e">
        <f t="shared" si="754"/>
        <v>#VALUE!</v>
      </c>
      <c r="AM517" s="31" t="e">
        <f t="shared" si="755"/>
        <v>#VALUE!</v>
      </c>
      <c r="AN517" s="32" t="str">
        <f t="shared" si="756"/>
        <v/>
      </c>
      <c r="AO517" s="27" t="str">
        <f t="shared" si="757"/>
        <v/>
      </c>
      <c r="AP517" s="27" t="str">
        <f t="shared" si="758"/>
        <v/>
      </c>
      <c r="AQ517" s="27">
        <f t="shared" si="759"/>
        <v>0</v>
      </c>
      <c r="AR517" s="27">
        <f t="shared" si="760"/>
        <v>0</v>
      </c>
      <c r="AS517" s="33">
        <f t="shared" si="761"/>
        <v>0</v>
      </c>
    </row>
    <row r="518" spans="2:45" hidden="1" x14ac:dyDescent="0.25">
      <c r="B518" s="34">
        <f t="shared" ref="B518:F518" si="786">IF(B517="","",B517)</f>
        <v>1720</v>
      </c>
      <c r="C518" s="26">
        <f t="shared" si="786"/>
        <v>18</v>
      </c>
      <c r="D518" s="26">
        <f t="shared" si="786"/>
        <v>500</v>
      </c>
      <c r="E518" s="26">
        <f t="shared" si="786"/>
        <v>0</v>
      </c>
      <c r="F518" s="26">
        <f t="shared" si="786"/>
        <v>-1150</v>
      </c>
      <c r="G518" s="24"/>
      <c r="H518" s="24"/>
      <c r="I518" s="24"/>
      <c r="J518" s="24"/>
      <c r="K518" s="24"/>
      <c r="L518" s="24"/>
      <c r="M518" s="44" t="str">
        <f t="shared" si="782"/>
        <v/>
      </c>
      <c r="N518" s="26" t="str">
        <f t="shared" si="732"/>
        <v/>
      </c>
      <c r="O518" s="26" t="str">
        <f t="shared" si="733"/>
        <v/>
      </c>
      <c r="P518" s="26" t="str">
        <f t="shared" si="734"/>
        <v/>
      </c>
      <c r="Q518" s="26">
        <f t="shared" si="735"/>
        <v>0</v>
      </c>
      <c r="R518" s="26">
        <f t="shared" si="736"/>
        <v>0</v>
      </c>
      <c r="S518" s="26">
        <f t="shared" si="737"/>
        <v>0</v>
      </c>
      <c r="T518" s="26" t="str">
        <f t="shared" si="738"/>
        <v/>
      </c>
      <c r="U518" s="26" t="str">
        <f t="shared" si="739"/>
        <v/>
      </c>
      <c r="V518" s="26" t="str">
        <f t="shared" si="740"/>
        <v/>
      </c>
      <c r="W518" s="27" t="str">
        <f t="shared" si="741"/>
        <v/>
      </c>
      <c r="X518" s="27" t="str">
        <f t="shared" si="742"/>
        <v/>
      </c>
      <c r="Y518" s="28" t="str">
        <f t="shared" si="743"/>
        <v/>
      </c>
      <c r="Z518" s="27" t="str">
        <f t="shared" si="744"/>
        <v/>
      </c>
      <c r="AA518" s="27" t="str">
        <f t="shared" si="745"/>
        <v/>
      </c>
      <c r="AB518" s="27" t="str">
        <f t="shared" si="746"/>
        <v/>
      </c>
      <c r="AC518" s="27" t="str">
        <f t="shared" si="747"/>
        <v/>
      </c>
      <c r="AD518" s="29" t="str">
        <f t="shared" si="748"/>
        <v/>
      </c>
      <c r="AE518" s="30" t="str">
        <f t="shared" si="749"/>
        <v/>
      </c>
      <c r="AG518" s="4"/>
      <c r="AH518" s="31" t="e">
        <f t="shared" si="750"/>
        <v>#VALUE!</v>
      </c>
      <c r="AI518" s="31" t="e">
        <f t="shared" si="751"/>
        <v>#VALUE!</v>
      </c>
      <c r="AJ518" s="31" t="e">
        <f t="shared" si="752"/>
        <v>#VALUE!</v>
      </c>
      <c r="AK518" s="31" t="e">
        <f t="shared" si="753"/>
        <v>#VALUE!</v>
      </c>
      <c r="AL518" s="31" t="e">
        <f t="shared" si="754"/>
        <v>#VALUE!</v>
      </c>
      <c r="AM518" s="31" t="e">
        <f t="shared" si="755"/>
        <v>#VALUE!</v>
      </c>
      <c r="AN518" s="32" t="str">
        <f t="shared" si="756"/>
        <v/>
      </c>
      <c r="AO518" s="27" t="str">
        <f t="shared" si="757"/>
        <v/>
      </c>
      <c r="AP518" s="27" t="str">
        <f t="shared" si="758"/>
        <v/>
      </c>
      <c r="AQ518" s="27">
        <f t="shared" si="759"/>
        <v>0</v>
      </c>
      <c r="AR518" s="27">
        <f t="shared" si="760"/>
        <v>0</v>
      </c>
      <c r="AS518" s="33">
        <f t="shared" si="761"/>
        <v>0</v>
      </c>
    </row>
    <row r="519" spans="2:45" hidden="1" x14ac:dyDescent="0.25">
      <c r="B519" s="34">
        <f t="shared" ref="B519:F519" si="787">IF(B518="","",B518)</f>
        <v>1720</v>
      </c>
      <c r="C519" s="26">
        <f t="shared" si="787"/>
        <v>18</v>
      </c>
      <c r="D519" s="26">
        <f t="shared" si="787"/>
        <v>500</v>
      </c>
      <c r="E519" s="26">
        <f t="shared" si="787"/>
        <v>0</v>
      </c>
      <c r="F519" s="26">
        <f t="shared" si="787"/>
        <v>-1150</v>
      </c>
      <c r="G519" s="24"/>
      <c r="H519" s="24"/>
      <c r="I519" s="24"/>
      <c r="J519" s="24"/>
      <c r="K519" s="24"/>
      <c r="L519" s="24"/>
      <c r="M519" s="44" t="str">
        <f t="shared" si="782"/>
        <v/>
      </c>
      <c r="N519" s="26" t="str">
        <f t="shared" si="732"/>
        <v/>
      </c>
      <c r="O519" s="26" t="str">
        <f t="shared" si="733"/>
        <v/>
      </c>
      <c r="P519" s="26" t="str">
        <f t="shared" si="734"/>
        <v/>
      </c>
      <c r="Q519" s="26">
        <f t="shared" si="735"/>
        <v>0</v>
      </c>
      <c r="R519" s="26">
        <f t="shared" si="736"/>
        <v>0</v>
      </c>
      <c r="S519" s="26">
        <f t="shared" si="737"/>
        <v>0</v>
      </c>
      <c r="T519" s="26" t="str">
        <f t="shared" si="738"/>
        <v/>
      </c>
      <c r="U519" s="26" t="str">
        <f t="shared" si="739"/>
        <v/>
      </c>
      <c r="V519" s="26" t="str">
        <f t="shared" si="740"/>
        <v/>
      </c>
      <c r="W519" s="27" t="str">
        <f t="shared" si="741"/>
        <v/>
      </c>
      <c r="X519" s="27" t="str">
        <f t="shared" si="742"/>
        <v/>
      </c>
      <c r="Y519" s="28" t="str">
        <f t="shared" si="743"/>
        <v/>
      </c>
      <c r="Z519" s="27" t="str">
        <f t="shared" si="744"/>
        <v/>
      </c>
      <c r="AA519" s="27" t="str">
        <f t="shared" si="745"/>
        <v/>
      </c>
      <c r="AB519" s="27" t="str">
        <f t="shared" si="746"/>
        <v/>
      </c>
      <c r="AC519" s="27" t="str">
        <f t="shared" si="747"/>
        <v/>
      </c>
      <c r="AD519" s="29" t="str">
        <f t="shared" si="748"/>
        <v/>
      </c>
      <c r="AE519" s="30" t="str">
        <f t="shared" si="749"/>
        <v/>
      </c>
      <c r="AG519" s="4"/>
      <c r="AH519" s="31" t="e">
        <f t="shared" si="750"/>
        <v>#VALUE!</v>
      </c>
      <c r="AI519" s="31" t="e">
        <f t="shared" si="751"/>
        <v>#VALUE!</v>
      </c>
      <c r="AJ519" s="31" t="e">
        <f t="shared" si="752"/>
        <v>#VALUE!</v>
      </c>
      <c r="AK519" s="31" t="e">
        <f t="shared" si="753"/>
        <v>#VALUE!</v>
      </c>
      <c r="AL519" s="31" t="e">
        <f t="shared" si="754"/>
        <v>#VALUE!</v>
      </c>
      <c r="AM519" s="31" t="e">
        <f t="shared" si="755"/>
        <v>#VALUE!</v>
      </c>
      <c r="AN519" s="32" t="str">
        <f t="shared" si="756"/>
        <v/>
      </c>
      <c r="AO519" s="27" t="str">
        <f t="shared" si="757"/>
        <v/>
      </c>
      <c r="AP519" s="27" t="str">
        <f t="shared" si="758"/>
        <v/>
      </c>
      <c r="AQ519" s="27">
        <f t="shared" si="759"/>
        <v>0</v>
      </c>
      <c r="AR519" s="27">
        <f t="shared" si="760"/>
        <v>0</v>
      </c>
      <c r="AS519" s="33">
        <f t="shared" si="761"/>
        <v>0</v>
      </c>
    </row>
    <row r="520" spans="2:45" hidden="1" x14ac:dyDescent="0.25">
      <c r="B520" s="34">
        <f t="shared" ref="B520:F520" si="788">IF(B519="","",B519)</f>
        <v>1720</v>
      </c>
      <c r="C520" s="26">
        <f t="shared" si="788"/>
        <v>18</v>
      </c>
      <c r="D520" s="26">
        <f t="shared" si="788"/>
        <v>500</v>
      </c>
      <c r="E520" s="26">
        <f t="shared" si="788"/>
        <v>0</v>
      </c>
      <c r="F520" s="26">
        <f t="shared" si="788"/>
        <v>-1150</v>
      </c>
      <c r="G520" s="24"/>
      <c r="H520" s="24"/>
      <c r="I520" s="24"/>
      <c r="J520" s="24"/>
      <c r="K520" s="24"/>
      <c r="L520" s="24"/>
      <c r="M520" s="44" t="str">
        <f t="shared" si="782"/>
        <v/>
      </c>
      <c r="N520" s="26" t="str">
        <f t="shared" si="732"/>
        <v/>
      </c>
      <c r="O520" s="26" t="str">
        <f t="shared" si="733"/>
        <v/>
      </c>
      <c r="P520" s="26" t="str">
        <f t="shared" si="734"/>
        <v/>
      </c>
      <c r="Q520" s="26">
        <f t="shared" si="735"/>
        <v>0</v>
      </c>
      <c r="R520" s="26">
        <f t="shared" si="736"/>
        <v>0</v>
      </c>
      <c r="S520" s="26">
        <f t="shared" si="737"/>
        <v>0</v>
      </c>
      <c r="T520" s="26" t="str">
        <f t="shared" si="738"/>
        <v/>
      </c>
      <c r="U520" s="26" t="str">
        <f t="shared" si="739"/>
        <v/>
      </c>
      <c r="V520" s="26" t="str">
        <f t="shared" si="740"/>
        <v/>
      </c>
      <c r="W520" s="27" t="str">
        <f t="shared" si="741"/>
        <v/>
      </c>
      <c r="X520" s="27" t="str">
        <f t="shared" si="742"/>
        <v/>
      </c>
      <c r="Y520" s="28" t="str">
        <f t="shared" si="743"/>
        <v/>
      </c>
      <c r="Z520" s="27" t="str">
        <f t="shared" si="744"/>
        <v/>
      </c>
      <c r="AA520" s="27" t="str">
        <f t="shared" si="745"/>
        <v/>
      </c>
      <c r="AB520" s="27" t="str">
        <f t="shared" si="746"/>
        <v/>
      </c>
      <c r="AC520" s="27" t="str">
        <f t="shared" si="747"/>
        <v/>
      </c>
      <c r="AD520" s="29" t="str">
        <f t="shared" si="748"/>
        <v/>
      </c>
      <c r="AE520" s="30" t="str">
        <f t="shared" si="749"/>
        <v/>
      </c>
      <c r="AG520" s="4"/>
      <c r="AH520" s="31" t="e">
        <f t="shared" si="750"/>
        <v>#VALUE!</v>
      </c>
      <c r="AI520" s="31" t="e">
        <f t="shared" si="751"/>
        <v>#VALUE!</v>
      </c>
      <c r="AJ520" s="31" t="e">
        <f t="shared" si="752"/>
        <v>#VALUE!</v>
      </c>
      <c r="AK520" s="31" t="e">
        <f t="shared" si="753"/>
        <v>#VALUE!</v>
      </c>
      <c r="AL520" s="31" t="e">
        <f t="shared" si="754"/>
        <v>#VALUE!</v>
      </c>
      <c r="AM520" s="31" t="e">
        <f t="shared" si="755"/>
        <v>#VALUE!</v>
      </c>
      <c r="AN520" s="32" t="str">
        <f t="shared" si="756"/>
        <v/>
      </c>
      <c r="AO520" s="27" t="str">
        <f t="shared" si="757"/>
        <v/>
      </c>
      <c r="AP520" s="27" t="str">
        <f t="shared" si="758"/>
        <v/>
      </c>
      <c r="AQ520" s="27">
        <f t="shared" si="759"/>
        <v>0</v>
      </c>
      <c r="AR520" s="27">
        <f t="shared" si="760"/>
        <v>0</v>
      </c>
      <c r="AS520" s="33">
        <f t="shared" si="761"/>
        <v>0</v>
      </c>
    </row>
    <row r="521" spans="2:45" hidden="1" x14ac:dyDescent="0.25">
      <c r="B521" s="34">
        <f t="shared" ref="B521:F521" si="789">IF(B520="","",B520)</f>
        <v>1720</v>
      </c>
      <c r="C521" s="26">
        <f t="shared" si="789"/>
        <v>18</v>
      </c>
      <c r="D521" s="26">
        <f t="shared" si="789"/>
        <v>500</v>
      </c>
      <c r="E521" s="26">
        <f t="shared" si="789"/>
        <v>0</v>
      </c>
      <c r="F521" s="26">
        <f t="shared" si="789"/>
        <v>-1150</v>
      </c>
      <c r="G521" s="24"/>
      <c r="H521" s="24"/>
      <c r="I521" s="24"/>
      <c r="J521" s="24"/>
      <c r="K521" s="24"/>
      <c r="L521" s="24"/>
      <c r="M521" s="44" t="str">
        <f t="shared" si="782"/>
        <v/>
      </c>
      <c r="N521" s="26" t="str">
        <f t="shared" si="732"/>
        <v/>
      </c>
      <c r="O521" s="26" t="str">
        <f t="shared" si="733"/>
        <v/>
      </c>
      <c r="P521" s="26" t="str">
        <f t="shared" si="734"/>
        <v/>
      </c>
      <c r="Q521" s="26">
        <f t="shared" si="735"/>
        <v>0</v>
      </c>
      <c r="R521" s="26">
        <f t="shared" si="736"/>
        <v>0</v>
      </c>
      <c r="S521" s="26">
        <f t="shared" si="737"/>
        <v>0</v>
      </c>
      <c r="T521" s="26" t="str">
        <f t="shared" si="738"/>
        <v/>
      </c>
      <c r="U521" s="26" t="str">
        <f t="shared" si="739"/>
        <v/>
      </c>
      <c r="V521" s="26" t="str">
        <f t="shared" si="740"/>
        <v/>
      </c>
      <c r="W521" s="27" t="str">
        <f t="shared" si="741"/>
        <v/>
      </c>
      <c r="X521" s="27" t="str">
        <f t="shared" si="742"/>
        <v/>
      </c>
      <c r="Y521" s="28" t="str">
        <f t="shared" si="743"/>
        <v/>
      </c>
      <c r="Z521" s="27" t="str">
        <f t="shared" si="744"/>
        <v/>
      </c>
      <c r="AA521" s="27" t="str">
        <f t="shared" si="745"/>
        <v/>
      </c>
      <c r="AB521" s="27" t="str">
        <f t="shared" si="746"/>
        <v/>
      </c>
      <c r="AC521" s="27" t="str">
        <f t="shared" si="747"/>
        <v/>
      </c>
      <c r="AD521" s="29" t="str">
        <f t="shared" si="748"/>
        <v/>
      </c>
      <c r="AE521" s="30" t="str">
        <f t="shared" si="749"/>
        <v/>
      </c>
      <c r="AG521" s="4"/>
      <c r="AH521" s="31" t="e">
        <f t="shared" si="750"/>
        <v>#VALUE!</v>
      </c>
      <c r="AI521" s="31" t="e">
        <f t="shared" si="751"/>
        <v>#VALUE!</v>
      </c>
      <c r="AJ521" s="31" t="e">
        <f t="shared" si="752"/>
        <v>#VALUE!</v>
      </c>
      <c r="AK521" s="31" t="e">
        <f t="shared" si="753"/>
        <v>#VALUE!</v>
      </c>
      <c r="AL521" s="31" t="e">
        <f t="shared" si="754"/>
        <v>#VALUE!</v>
      </c>
      <c r="AM521" s="31" t="e">
        <f t="shared" si="755"/>
        <v>#VALUE!</v>
      </c>
      <c r="AN521" s="32" t="str">
        <f t="shared" si="756"/>
        <v/>
      </c>
      <c r="AO521" s="27" t="str">
        <f t="shared" si="757"/>
        <v/>
      </c>
      <c r="AP521" s="27" t="str">
        <f t="shared" si="758"/>
        <v/>
      </c>
      <c r="AQ521" s="27">
        <f t="shared" si="759"/>
        <v>0</v>
      </c>
      <c r="AR521" s="27">
        <f t="shared" si="760"/>
        <v>0</v>
      </c>
      <c r="AS521" s="33">
        <f t="shared" si="761"/>
        <v>0</v>
      </c>
    </row>
    <row r="522" spans="2:45" hidden="1" x14ac:dyDescent="0.25">
      <c r="B522" s="34">
        <f>IF(B521="","",B521)</f>
        <v>1720</v>
      </c>
      <c r="C522" s="26">
        <f t="shared" ref="C522:F522" si="790">IF(C521="","",C521)</f>
        <v>18</v>
      </c>
      <c r="D522" s="26">
        <f t="shared" si="790"/>
        <v>500</v>
      </c>
      <c r="E522" s="26">
        <f t="shared" si="790"/>
        <v>0</v>
      </c>
      <c r="F522" s="26">
        <f t="shared" si="790"/>
        <v>-1150</v>
      </c>
      <c r="G522" s="24"/>
      <c r="H522" s="24"/>
      <c r="I522" s="24"/>
      <c r="J522" s="24"/>
      <c r="K522" s="24"/>
      <c r="L522" s="24"/>
      <c r="M522" s="44" t="str">
        <f t="shared" si="782"/>
        <v/>
      </c>
      <c r="N522" s="26" t="str">
        <f t="shared" si="732"/>
        <v/>
      </c>
      <c r="O522" s="26" t="str">
        <f t="shared" si="733"/>
        <v/>
      </c>
      <c r="P522" s="26" t="str">
        <f t="shared" si="734"/>
        <v/>
      </c>
      <c r="Q522" s="26">
        <f t="shared" si="735"/>
        <v>0</v>
      </c>
      <c r="R522" s="26">
        <f t="shared" si="736"/>
        <v>0</v>
      </c>
      <c r="S522" s="26">
        <f t="shared" si="737"/>
        <v>0</v>
      </c>
      <c r="T522" s="26" t="str">
        <f t="shared" si="738"/>
        <v/>
      </c>
      <c r="U522" s="26" t="str">
        <f t="shared" si="739"/>
        <v/>
      </c>
      <c r="V522" s="26" t="str">
        <f t="shared" si="740"/>
        <v/>
      </c>
      <c r="W522" s="27" t="str">
        <f t="shared" si="741"/>
        <v/>
      </c>
      <c r="X522" s="27" t="str">
        <f t="shared" si="742"/>
        <v/>
      </c>
      <c r="Y522" s="28" t="str">
        <f t="shared" si="743"/>
        <v/>
      </c>
      <c r="Z522" s="27" t="str">
        <f t="shared" si="744"/>
        <v/>
      </c>
      <c r="AA522" s="27" t="str">
        <f t="shared" si="745"/>
        <v/>
      </c>
      <c r="AB522" s="27" t="str">
        <f t="shared" si="746"/>
        <v/>
      </c>
      <c r="AC522" s="27" t="str">
        <f t="shared" si="747"/>
        <v/>
      </c>
      <c r="AD522" s="29" t="str">
        <f t="shared" si="748"/>
        <v/>
      </c>
      <c r="AE522" s="30" t="str">
        <f t="shared" si="749"/>
        <v/>
      </c>
      <c r="AG522" s="4"/>
      <c r="AH522" s="31" t="e">
        <f t="shared" si="750"/>
        <v>#VALUE!</v>
      </c>
      <c r="AI522" s="31" t="e">
        <f t="shared" si="751"/>
        <v>#VALUE!</v>
      </c>
      <c r="AJ522" s="31" t="e">
        <f t="shared" si="752"/>
        <v>#VALUE!</v>
      </c>
      <c r="AK522" s="31" t="e">
        <f t="shared" si="753"/>
        <v>#VALUE!</v>
      </c>
      <c r="AL522" s="31" t="e">
        <f t="shared" si="754"/>
        <v>#VALUE!</v>
      </c>
      <c r="AM522" s="31" t="e">
        <f t="shared" si="755"/>
        <v>#VALUE!</v>
      </c>
      <c r="AN522" s="32" t="str">
        <f t="shared" si="756"/>
        <v/>
      </c>
      <c r="AO522" s="27" t="str">
        <f t="shared" si="757"/>
        <v/>
      </c>
      <c r="AP522" s="27" t="str">
        <f t="shared" si="758"/>
        <v/>
      </c>
      <c r="AQ522" s="27">
        <f t="shared" si="759"/>
        <v>0</v>
      </c>
      <c r="AR522" s="27">
        <f t="shared" si="760"/>
        <v>0</v>
      </c>
      <c r="AS522" s="33">
        <f t="shared" si="761"/>
        <v>0</v>
      </c>
    </row>
    <row r="523" spans="2:45" hidden="1" x14ac:dyDescent="0.25">
      <c r="B523" s="34">
        <f t="shared" ref="B523:F523" si="791">IF(B522="","",B522)</f>
        <v>1720</v>
      </c>
      <c r="C523" s="26">
        <f t="shared" si="791"/>
        <v>18</v>
      </c>
      <c r="D523" s="26">
        <f t="shared" si="791"/>
        <v>500</v>
      </c>
      <c r="E523" s="26">
        <f t="shared" si="791"/>
        <v>0</v>
      </c>
      <c r="F523" s="26">
        <f t="shared" si="791"/>
        <v>-1150</v>
      </c>
      <c r="G523" s="24"/>
      <c r="H523" s="24"/>
      <c r="I523" s="24"/>
      <c r="J523" s="24"/>
      <c r="K523" s="24"/>
      <c r="L523" s="24"/>
      <c r="M523" s="44" t="str">
        <f t="shared" si="782"/>
        <v/>
      </c>
      <c r="N523" s="26" t="str">
        <f t="shared" si="732"/>
        <v/>
      </c>
      <c r="O523" s="26" t="str">
        <f t="shared" si="733"/>
        <v/>
      </c>
      <c r="P523" s="26" t="str">
        <f t="shared" si="734"/>
        <v/>
      </c>
      <c r="Q523" s="26">
        <f t="shared" si="735"/>
        <v>0</v>
      </c>
      <c r="R523" s="26">
        <f t="shared" si="736"/>
        <v>0</v>
      </c>
      <c r="S523" s="26">
        <f t="shared" si="737"/>
        <v>0</v>
      </c>
      <c r="T523" s="26" t="str">
        <f t="shared" si="738"/>
        <v/>
      </c>
      <c r="U523" s="26" t="str">
        <f t="shared" si="739"/>
        <v/>
      </c>
      <c r="V523" s="26" t="str">
        <f t="shared" si="740"/>
        <v/>
      </c>
      <c r="W523" s="27" t="str">
        <f t="shared" si="741"/>
        <v/>
      </c>
      <c r="X523" s="27" t="str">
        <f t="shared" si="742"/>
        <v/>
      </c>
      <c r="Y523" s="28" t="str">
        <f t="shared" si="743"/>
        <v/>
      </c>
      <c r="Z523" s="27" t="str">
        <f t="shared" si="744"/>
        <v/>
      </c>
      <c r="AA523" s="27" t="str">
        <f t="shared" si="745"/>
        <v/>
      </c>
      <c r="AB523" s="27" t="str">
        <f t="shared" si="746"/>
        <v/>
      </c>
      <c r="AC523" s="27" t="str">
        <f t="shared" si="747"/>
        <v/>
      </c>
      <c r="AD523" s="29" t="str">
        <f t="shared" si="748"/>
        <v/>
      </c>
      <c r="AE523" s="30" t="str">
        <f t="shared" si="749"/>
        <v/>
      </c>
      <c r="AG523" s="4"/>
      <c r="AH523" s="31" t="e">
        <f t="shared" si="750"/>
        <v>#VALUE!</v>
      </c>
      <c r="AI523" s="31" t="e">
        <f t="shared" si="751"/>
        <v>#VALUE!</v>
      </c>
      <c r="AJ523" s="31" t="e">
        <f t="shared" si="752"/>
        <v>#VALUE!</v>
      </c>
      <c r="AK523" s="31" t="e">
        <f t="shared" si="753"/>
        <v>#VALUE!</v>
      </c>
      <c r="AL523" s="31" t="e">
        <f t="shared" si="754"/>
        <v>#VALUE!</v>
      </c>
      <c r="AM523" s="31" t="e">
        <f t="shared" si="755"/>
        <v>#VALUE!</v>
      </c>
      <c r="AN523" s="32" t="str">
        <f t="shared" si="756"/>
        <v/>
      </c>
      <c r="AO523" s="27" t="str">
        <f t="shared" si="757"/>
        <v/>
      </c>
      <c r="AP523" s="27" t="str">
        <f t="shared" si="758"/>
        <v/>
      </c>
      <c r="AQ523" s="27">
        <f t="shared" si="759"/>
        <v>0</v>
      </c>
      <c r="AR523" s="27">
        <f t="shared" si="760"/>
        <v>0</v>
      </c>
      <c r="AS523" s="33">
        <f t="shared" si="761"/>
        <v>0</v>
      </c>
    </row>
    <row r="524" spans="2:45" hidden="1" x14ac:dyDescent="0.25">
      <c r="B524" s="34">
        <f t="shared" ref="B524:F524" si="792">IF(B523="","",B523)</f>
        <v>1720</v>
      </c>
      <c r="C524" s="26">
        <f t="shared" si="792"/>
        <v>18</v>
      </c>
      <c r="D524" s="26">
        <f t="shared" si="792"/>
        <v>500</v>
      </c>
      <c r="E524" s="26">
        <f t="shared" si="792"/>
        <v>0</v>
      </c>
      <c r="F524" s="26">
        <f t="shared" si="792"/>
        <v>-1150</v>
      </c>
      <c r="G524" s="24"/>
      <c r="H524" s="24"/>
      <c r="I524" s="24"/>
      <c r="J524" s="24"/>
      <c r="K524" s="24"/>
      <c r="L524" s="24"/>
      <c r="M524" s="44" t="str">
        <f t="shared" si="782"/>
        <v/>
      </c>
      <c r="N524" s="26" t="str">
        <f t="shared" si="732"/>
        <v/>
      </c>
      <c r="O524" s="26" t="str">
        <f t="shared" si="733"/>
        <v/>
      </c>
      <c r="P524" s="26" t="str">
        <f t="shared" si="734"/>
        <v/>
      </c>
      <c r="Q524" s="26">
        <f t="shared" si="735"/>
        <v>0</v>
      </c>
      <c r="R524" s="26">
        <f t="shared" si="736"/>
        <v>0</v>
      </c>
      <c r="S524" s="26">
        <f t="shared" si="737"/>
        <v>0</v>
      </c>
      <c r="T524" s="26" t="str">
        <f t="shared" si="738"/>
        <v/>
      </c>
      <c r="U524" s="26" t="str">
        <f t="shared" si="739"/>
        <v/>
      </c>
      <c r="V524" s="26" t="str">
        <f t="shared" si="740"/>
        <v/>
      </c>
      <c r="W524" s="27" t="str">
        <f t="shared" si="741"/>
        <v/>
      </c>
      <c r="X524" s="27" t="str">
        <f t="shared" si="742"/>
        <v/>
      </c>
      <c r="Y524" s="28" t="str">
        <f t="shared" si="743"/>
        <v/>
      </c>
      <c r="Z524" s="27" t="str">
        <f t="shared" si="744"/>
        <v/>
      </c>
      <c r="AA524" s="27" t="str">
        <f t="shared" si="745"/>
        <v/>
      </c>
      <c r="AB524" s="27" t="str">
        <f t="shared" si="746"/>
        <v/>
      </c>
      <c r="AC524" s="27" t="str">
        <f t="shared" si="747"/>
        <v/>
      </c>
      <c r="AD524" s="29" t="str">
        <f t="shared" si="748"/>
        <v/>
      </c>
      <c r="AE524" s="30" t="str">
        <f t="shared" si="749"/>
        <v/>
      </c>
      <c r="AG524" s="4"/>
      <c r="AH524" s="31" t="e">
        <f t="shared" si="750"/>
        <v>#VALUE!</v>
      </c>
      <c r="AI524" s="31" t="e">
        <f t="shared" si="751"/>
        <v>#VALUE!</v>
      </c>
      <c r="AJ524" s="31" t="e">
        <f t="shared" si="752"/>
        <v>#VALUE!</v>
      </c>
      <c r="AK524" s="31" t="e">
        <f t="shared" si="753"/>
        <v>#VALUE!</v>
      </c>
      <c r="AL524" s="31" t="e">
        <f t="shared" si="754"/>
        <v>#VALUE!</v>
      </c>
      <c r="AM524" s="31" t="e">
        <f t="shared" si="755"/>
        <v>#VALUE!</v>
      </c>
      <c r="AN524" s="32" t="str">
        <f t="shared" si="756"/>
        <v/>
      </c>
      <c r="AO524" s="27" t="str">
        <f t="shared" si="757"/>
        <v/>
      </c>
      <c r="AP524" s="27" t="str">
        <f t="shared" si="758"/>
        <v/>
      </c>
      <c r="AQ524" s="27">
        <f t="shared" si="759"/>
        <v>0</v>
      </c>
      <c r="AR524" s="27">
        <f t="shared" si="760"/>
        <v>0</v>
      </c>
      <c r="AS524" s="33">
        <f t="shared" si="761"/>
        <v>0</v>
      </c>
    </row>
    <row r="525" spans="2:45" hidden="1" x14ac:dyDescent="0.25">
      <c r="B525" s="34">
        <f t="shared" ref="B525:F525" si="793">IF(B524="","",B524)</f>
        <v>1720</v>
      </c>
      <c r="C525" s="26">
        <f t="shared" si="793"/>
        <v>18</v>
      </c>
      <c r="D525" s="26">
        <f t="shared" si="793"/>
        <v>500</v>
      </c>
      <c r="E525" s="26">
        <f t="shared" si="793"/>
        <v>0</v>
      </c>
      <c r="F525" s="26">
        <f t="shared" si="793"/>
        <v>-1150</v>
      </c>
      <c r="G525" s="24"/>
      <c r="H525" s="24"/>
      <c r="I525" s="24"/>
      <c r="J525" s="24"/>
      <c r="K525" s="24"/>
      <c r="L525" s="24"/>
      <c r="M525" s="44" t="str">
        <f t="shared" si="782"/>
        <v/>
      </c>
      <c r="N525" s="26" t="str">
        <f t="shared" si="732"/>
        <v/>
      </c>
      <c r="O525" s="26" t="str">
        <f t="shared" si="733"/>
        <v/>
      </c>
      <c r="P525" s="26" t="str">
        <f t="shared" si="734"/>
        <v/>
      </c>
      <c r="Q525" s="26">
        <f t="shared" si="735"/>
        <v>0</v>
      </c>
      <c r="R525" s="26">
        <f t="shared" si="736"/>
        <v>0</v>
      </c>
      <c r="S525" s="26">
        <f t="shared" si="737"/>
        <v>0</v>
      </c>
      <c r="T525" s="26" t="str">
        <f t="shared" si="738"/>
        <v/>
      </c>
      <c r="U525" s="26" t="str">
        <f t="shared" si="739"/>
        <v/>
      </c>
      <c r="V525" s="26" t="str">
        <f t="shared" si="740"/>
        <v/>
      </c>
      <c r="W525" s="27" t="str">
        <f t="shared" si="741"/>
        <v/>
      </c>
      <c r="X525" s="27" t="str">
        <f t="shared" si="742"/>
        <v/>
      </c>
      <c r="Y525" s="28" t="str">
        <f t="shared" si="743"/>
        <v/>
      </c>
      <c r="Z525" s="27" t="str">
        <f t="shared" si="744"/>
        <v/>
      </c>
      <c r="AA525" s="27" t="str">
        <f t="shared" si="745"/>
        <v/>
      </c>
      <c r="AB525" s="27" t="str">
        <f t="shared" si="746"/>
        <v/>
      </c>
      <c r="AC525" s="27" t="str">
        <f t="shared" si="747"/>
        <v/>
      </c>
      <c r="AD525" s="29" t="str">
        <f t="shared" si="748"/>
        <v/>
      </c>
      <c r="AE525" s="30" t="str">
        <f t="shared" si="749"/>
        <v/>
      </c>
      <c r="AG525" s="4"/>
      <c r="AH525" s="31" t="e">
        <f t="shared" si="750"/>
        <v>#VALUE!</v>
      </c>
      <c r="AI525" s="31" t="e">
        <f t="shared" si="751"/>
        <v>#VALUE!</v>
      </c>
      <c r="AJ525" s="31" t="e">
        <f t="shared" si="752"/>
        <v>#VALUE!</v>
      </c>
      <c r="AK525" s="31" t="e">
        <f t="shared" si="753"/>
        <v>#VALUE!</v>
      </c>
      <c r="AL525" s="31" t="e">
        <f t="shared" si="754"/>
        <v>#VALUE!</v>
      </c>
      <c r="AM525" s="31" t="e">
        <f t="shared" si="755"/>
        <v>#VALUE!</v>
      </c>
      <c r="AN525" s="32" t="str">
        <f t="shared" si="756"/>
        <v/>
      </c>
      <c r="AO525" s="27" t="str">
        <f t="shared" si="757"/>
        <v/>
      </c>
      <c r="AP525" s="27" t="str">
        <f t="shared" si="758"/>
        <v/>
      </c>
      <c r="AQ525" s="27">
        <f t="shared" si="759"/>
        <v>0</v>
      </c>
      <c r="AR525" s="27">
        <f t="shared" si="760"/>
        <v>0</v>
      </c>
      <c r="AS525" s="33">
        <f t="shared" si="761"/>
        <v>0</v>
      </c>
    </row>
    <row r="526" spans="2:45" hidden="1" x14ac:dyDescent="0.25">
      <c r="B526" s="34">
        <f t="shared" ref="B526:F526" si="794">IF(B525="","",B525)</f>
        <v>1720</v>
      </c>
      <c r="C526" s="26">
        <f t="shared" si="794"/>
        <v>18</v>
      </c>
      <c r="D526" s="26">
        <f t="shared" si="794"/>
        <v>500</v>
      </c>
      <c r="E526" s="26">
        <f t="shared" si="794"/>
        <v>0</v>
      </c>
      <c r="F526" s="26">
        <f t="shared" si="794"/>
        <v>-1150</v>
      </c>
      <c r="G526" s="24"/>
      <c r="H526" s="24"/>
      <c r="I526" s="24"/>
      <c r="J526" s="24"/>
      <c r="K526" s="24"/>
      <c r="L526" s="24"/>
      <c r="M526" s="44" t="str">
        <f t="shared" si="782"/>
        <v/>
      </c>
      <c r="N526" s="26" t="str">
        <f t="shared" si="732"/>
        <v/>
      </c>
      <c r="O526" s="26" t="str">
        <f t="shared" si="733"/>
        <v/>
      </c>
      <c r="P526" s="26" t="str">
        <f t="shared" si="734"/>
        <v/>
      </c>
      <c r="Q526" s="26">
        <f t="shared" si="735"/>
        <v>0</v>
      </c>
      <c r="R526" s="26">
        <f t="shared" si="736"/>
        <v>0</v>
      </c>
      <c r="S526" s="26">
        <f t="shared" si="737"/>
        <v>0</v>
      </c>
      <c r="T526" s="26" t="str">
        <f t="shared" si="738"/>
        <v/>
      </c>
      <c r="U526" s="26" t="str">
        <f t="shared" si="739"/>
        <v/>
      </c>
      <c r="V526" s="26" t="str">
        <f t="shared" si="740"/>
        <v/>
      </c>
      <c r="W526" s="27" t="str">
        <f t="shared" si="741"/>
        <v/>
      </c>
      <c r="X526" s="27" t="str">
        <f t="shared" si="742"/>
        <v/>
      </c>
      <c r="Y526" s="28" t="str">
        <f t="shared" si="743"/>
        <v/>
      </c>
      <c r="Z526" s="27" t="str">
        <f t="shared" si="744"/>
        <v/>
      </c>
      <c r="AA526" s="27" t="str">
        <f t="shared" si="745"/>
        <v/>
      </c>
      <c r="AB526" s="27" t="str">
        <f t="shared" si="746"/>
        <v/>
      </c>
      <c r="AC526" s="27" t="str">
        <f t="shared" si="747"/>
        <v/>
      </c>
      <c r="AD526" s="29" t="str">
        <f t="shared" si="748"/>
        <v/>
      </c>
      <c r="AE526" s="30" t="str">
        <f t="shared" si="749"/>
        <v/>
      </c>
      <c r="AG526" s="4"/>
      <c r="AH526" s="31" t="e">
        <f t="shared" si="750"/>
        <v>#VALUE!</v>
      </c>
      <c r="AI526" s="31" t="e">
        <f t="shared" si="751"/>
        <v>#VALUE!</v>
      </c>
      <c r="AJ526" s="31" t="e">
        <f t="shared" si="752"/>
        <v>#VALUE!</v>
      </c>
      <c r="AK526" s="31" t="e">
        <f t="shared" si="753"/>
        <v>#VALUE!</v>
      </c>
      <c r="AL526" s="31" t="e">
        <f t="shared" si="754"/>
        <v>#VALUE!</v>
      </c>
      <c r="AM526" s="31" t="e">
        <f t="shared" si="755"/>
        <v>#VALUE!</v>
      </c>
      <c r="AN526" s="32" t="str">
        <f t="shared" si="756"/>
        <v/>
      </c>
      <c r="AO526" s="27" t="str">
        <f t="shared" si="757"/>
        <v/>
      </c>
      <c r="AP526" s="27" t="str">
        <f t="shared" si="758"/>
        <v/>
      </c>
      <c r="AQ526" s="27">
        <f t="shared" si="759"/>
        <v>0</v>
      </c>
      <c r="AR526" s="27">
        <f t="shared" si="760"/>
        <v>0</v>
      </c>
      <c r="AS526" s="33">
        <f t="shared" si="761"/>
        <v>0</v>
      </c>
    </row>
    <row r="527" spans="2:45" hidden="1" x14ac:dyDescent="0.25">
      <c r="B527" s="34">
        <f t="shared" ref="B527:F527" si="795">IF(B526="","",B526)</f>
        <v>1720</v>
      </c>
      <c r="C527" s="26">
        <f t="shared" si="795"/>
        <v>18</v>
      </c>
      <c r="D527" s="26">
        <f t="shared" si="795"/>
        <v>500</v>
      </c>
      <c r="E527" s="26">
        <f t="shared" si="795"/>
        <v>0</v>
      </c>
      <c r="F527" s="26">
        <f t="shared" si="795"/>
        <v>-1150</v>
      </c>
      <c r="G527" s="24"/>
      <c r="H527" s="24"/>
      <c r="I527" s="24"/>
      <c r="J527" s="24"/>
      <c r="K527" s="24"/>
      <c r="L527" s="24"/>
      <c r="M527" s="44" t="str">
        <f t="shared" si="782"/>
        <v/>
      </c>
      <c r="N527" s="26" t="str">
        <f t="shared" si="732"/>
        <v/>
      </c>
      <c r="O527" s="26" t="str">
        <f t="shared" si="733"/>
        <v/>
      </c>
      <c r="P527" s="26" t="str">
        <f t="shared" si="734"/>
        <v/>
      </c>
      <c r="Q527" s="26">
        <f t="shared" si="735"/>
        <v>0</v>
      </c>
      <c r="R527" s="26">
        <f t="shared" si="736"/>
        <v>0</v>
      </c>
      <c r="S527" s="26">
        <f t="shared" si="737"/>
        <v>0</v>
      </c>
      <c r="T527" s="26" t="str">
        <f t="shared" si="738"/>
        <v/>
      </c>
      <c r="U527" s="26" t="str">
        <f t="shared" si="739"/>
        <v/>
      </c>
      <c r="V527" s="26" t="str">
        <f t="shared" si="740"/>
        <v/>
      </c>
      <c r="W527" s="27" t="str">
        <f t="shared" si="741"/>
        <v/>
      </c>
      <c r="X527" s="27" t="str">
        <f t="shared" si="742"/>
        <v/>
      </c>
      <c r="Y527" s="28" t="str">
        <f t="shared" si="743"/>
        <v/>
      </c>
      <c r="Z527" s="27" t="str">
        <f t="shared" si="744"/>
        <v/>
      </c>
      <c r="AA527" s="27" t="str">
        <f t="shared" si="745"/>
        <v/>
      </c>
      <c r="AB527" s="27" t="str">
        <f t="shared" si="746"/>
        <v/>
      </c>
      <c r="AC527" s="27" t="str">
        <f t="shared" si="747"/>
        <v/>
      </c>
      <c r="AD527" s="29" t="str">
        <f t="shared" si="748"/>
        <v/>
      </c>
      <c r="AE527" s="30" t="str">
        <f t="shared" si="749"/>
        <v/>
      </c>
      <c r="AG527" s="4"/>
      <c r="AH527" s="31" t="e">
        <f t="shared" si="750"/>
        <v>#VALUE!</v>
      </c>
      <c r="AI527" s="31" t="e">
        <f t="shared" si="751"/>
        <v>#VALUE!</v>
      </c>
      <c r="AJ527" s="31" t="e">
        <f t="shared" si="752"/>
        <v>#VALUE!</v>
      </c>
      <c r="AK527" s="31" t="e">
        <f t="shared" si="753"/>
        <v>#VALUE!</v>
      </c>
      <c r="AL527" s="31" t="e">
        <f t="shared" si="754"/>
        <v>#VALUE!</v>
      </c>
      <c r="AM527" s="31" t="e">
        <f t="shared" si="755"/>
        <v>#VALUE!</v>
      </c>
      <c r="AN527" s="32" t="str">
        <f t="shared" si="756"/>
        <v/>
      </c>
      <c r="AO527" s="27" t="str">
        <f t="shared" si="757"/>
        <v/>
      </c>
      <c r="AP527" s="27" t="str">
        <f t="shared" si="758"/>
        <v/>
      </c>
      <c r="AQ527" s="27">
        <f t="shared" si="759"/>
        <v>0</v>
      </c>
      <c r="AR527" s="27">
        <f t="shared" si="760"/>
        <v>0</v>
      </c>
      <c r="AS527" s="33">
        <f t="shared" si="761"/>
        <v>0</v>
      </c>
    </row>
    <row r="528" spans="2:45" hidden="1" x14ac:dyDescent="0.25">
      <c r="B528" s="34">
        <f t="shared" ref="B528:F528" si="796">IF(B527="","",B527)</f>
        <v>1720</v>
      </c>
      <c r="C528" s="26">
        <f t="shared" si="796"/>
        <v>18</v>
      </c>
      <c r="D528" s="26">
        <f t="shared" si="796"/>
        <v>500</v>
      </c>
      <c r="E528" s="26">
        <f t="shared" si="796"/>
        <v>0</v>
      </c>
      <c r="F528" s="26">
        <f t="shared" si="796"/>
        <v>-1150</v>
      </c>
      <c r="G528" s="24"/>
      <c r="H528" s="24"/>
      <c r="I528" s="24"/>
      <c r="J528" s="24"/>
      <c r="K528" s="24"/>
      <c r="L528" s="24"/>
      <c r="M528" s="44" t="str">
        <f t="shared" si="782"/>
        <v/>
      </c>
      <c r="N528" s="26" t="str">
        <f t="shared" si="732"/>
        <v/>
      </c>
      <c r="O528" s="26" t="str">
        <f t="shared" si="733"/>
        <v/>
      </c>
      <c r="P528" s="26" t="str">
        <f t="shared" si="734"/>
        <v/>
      </c>
      <c r="Q528" s="26">
        <f t="shared" si="735"/>
        <v>0</v>
      </c>
      <c r="R528" s="26">
        <f t="shared" si="736"/>
        <v>0</v>
      </c>
      <c r="S528" s="26">
        <f t="shared" si="737"/>
        <v>0</v>
      </c>
      <c r="T528" s="26" t="str">
        <f t="shared" si="738"/>
        <v/>
      </c>
      <c r="U528" s="26" t="str">
        <f t="shared" si="739"/>
        <v/>
      </c>
      <c r="V528" s="26" t="str">
        <f t="shared" si="740"/>
        <v/>
      </c>
      <c r="W528" s="27" t="str">
        <f t="shared" si="741"/>
        <v/>
      </c>
      <c r="X528" s="27" t="str">
        <f t="shared" si="742"/>
        <v/>
      </c>
      <c r="Y528" s="28" t="str">
        <f t="shared" si="743"/>
        <v/>
      </c>
      <c r="Z528" s="27" t="str">
        <f t="shared" si="744"/>
        <v/>
      </c>
      <c r="AA528" s="27" t="str">
        <f t="shared" si="745"/>
        <v/>
      </c>
      <c r="AB528" s="27" t="str">
        <f t="shared" si="746"/>
        <v/>
      </c>
      <c r="AC528" s="27" t="str">
        <f t="shared" si="747"/>
        <v/>
      </c>
      <c r="AD528" s="29" t="str">
        <f t="shared" si="748"/>
        <v/>
      </c>
      <c r="AE528" s="30" t="str">
        <f t="shared" si="749"/>
        <v/>
      </c>
      <c r="AG528" s="4"/>
      <c r="AH528" s="31" t="e">
        <f t="shared" si="750"/>
        <v>#VALUE!</v>
      </c>
      <c r="AI528" s="31" t="e">
        <f t="shared" si="751"/>
        <v>#VALUE!</v>
      </c>
      <c r="AJ528" s="31" t="e">
        <f t="shared" si="752"/>
        <v>#VALUE!</v>
      </c>
      <c r="AK528" s="31" t="e">
        <f t="shared" si="753"/>
        <v>#VALUE!</v>
      </c>
      <c r="AL528" s="31" t="e">
        <f t="shared" si="754"/>
        <v>#VALUE!</v>
      </c>
      <c r="AM528" s="31" t="e">
        <f t="shared" si="755"/>
        <v>#VALUE!</v>
      </c>
      <c r="AN528" s="32" t="str">
        <f t="shared" si="756"/>
        <v/>
      </c>
      <c r="AO528" s="27" t="str">
        <f t="shared" si="757"/>
        <v/>
      </c>
      <c r="AP528" s="27" t="str">
        <f t="shared" si="758"/>
        <v/>
      </c>
      <c r="AQ528" s="27">
        <f t="shared" si="759"/>
        <v>0</v>
      </c>
      <c r="AR528" s="27">
        <f t="shared" si="760"/>
        <v>0</v>
      </c>
      <c r="AS528" s="33">
        <f t="shared" si="761"/>
        <v>0</v>
      </c>
    </row>
    <row r="529" spans="2:45" hidden="1" x14ac:dyDescent="0.25">
      <c r="B529" s="34">
        <f t="shared" ref="B529:F529" si="797">IF(B528="","",B528)</f>
        <v>1720</v>
      </c>
      <c r="C529" s="26">
        <f t="shared" si="797"/>
        <v>18</v>
      </c>
      <c r="D529" s="26">
        <f t="shared" si="797"/>
        <v>500</v>
      </c>
      <c r="E529" s="26">
        <f t="shared" si="797"/>
        <v>0</v>
      </c>
      <c r="F529" s="26">
        <f t="shared" si="797"/>
        <v>-1150</v>
      </c>
      <c r="G529" s="24"/>
      <c r="H529" s="24"/>
      <c r="I529" s="24"/>
      <c r="J529" s="24"/>
      <c r="K529" s="24"/>
      <c r="L529" s="24"/>
      <c r="M529" s="44" t="str">
        <f t="shared" si="782"/>
        <v/>
      </c>
      <c r="N529" s="26" t="str">
        <f t="shared" si="732"/>
        <v/>
      </c>
      <c r="O529" s="26" t="str">
        <f t="shared" si="733"/>
        <v/>
      </c>
      <c r="P529" s="26" t="str">
        <f t="shared" si="734"/>
        <v/>
      </c>
      <c r="Q529" s="26">
        <f t="shared" si="735"/>
        <v>0</v>
      </c>
      <c r="R529" s="26">
        <f t="shared" si="736"/>
        <v>0</v>
      </c>
      <c r="S529" s="26">
        <f t="shared" si="737"/>
        <v>0</v>
      </c>
      <c r="T529" s="26" t="str">
        <f t="shared" si="738"/>
        <v/>
      </c>
      <c r="U529" s="26" t="str">
        <f t="shared" si="739"/>
        <v/>
      </c>
      <c r="V529" s="26" t="str">
        <f t="shared" si="740"/>
        <v/>
      </c>
      <c r="W529" s="27" t="str">
        <f t="shared" si="741"/>
        <v/>
      </c>
      <c r="X529" s="27" t="str">
        <f t="shared" si="742"/>
        <v/>
      </c>
      <c r="Y529" s="28" t="str">
        <f t="shared" si="743"/>
        <v/>
      </c>
      <c r="Z529" s="27" t="str">
        <f t="shared" si="744"/>
        <v/>
      </c>
      <c r="AA529" s="27" t="str">
        <f t="shared" si="745"/>
        <v/>
      </c>
      <c r="AB529" s="27" t="str">
        <f t="shared" si="746"/>
        <v/>
      </c>
      <c r="AC529" s="27" t="str">
        <f t="shared" si="747"/>
        <v/>
      </c>
      <c r="AD529" s="29" t="str">
        <f t="shared" si="748"/>
        <v/>
      </c>
      <c r="AE529" s="30" t="str">
        <f t="shared" si="749"/>
        <v/>
      </c>
      <c r="AG529" s="4"/>
      <c r="AH529" s="31" t="e">
        <f t="shared" si="750"/>
        <v>#VALUE!</v>
      </c>
      <c r="AI529" s="31" t="e">
        <f t="shared" si="751"/>
        <v>#VALUE!</v>
      </c>
      <c r="AJ529" s="31" t="e">
        <f t="shared" si="752"/>
        <v>#VALUE!</v>
      </c>
      <c r="AK529" s="31" t="e">
        <f t="shared" si="753"/>
        <v>#VALUE!</v>
      </c>
      <c r="AL529" s="31" t="e">
        <f t="shared" si="754"/>
        <v>#VALUE!</v>
      </c>
      <c r="AM529" s="31" t="e">
        <f t="shared" si="755"/>
        <v>#VALUE!</v>
      </c>
      <c r="AN529" s="32" t="str">
        <f t="shared" si="756"/>
        <v/>
      </c>
      <c r="AO529" s="27" t="str">
        <f t="shared" si="757"/>
        <v/>
      </c>
      <c r="AP529" s="27" t="str">
        <f t="shared" si="758"/>
        <v/>
      </c>
      <c r="AQ529" s="27">
        <f t="shared" si="759"/>
        <v>0</v>
      </c>
      <c r="AR529" s="27">
        <f t="shared" si="760"/>
        <v>0</v>
      </c>
      <c r="AS529" s="33">
        <f t="shared" si="761"/>
        <v>0</v>
      </c>
    </row>
    <row r="530" spans="2:45" hidden="1" x14ac:dyDescent="0.25">
      <c r="B530" s="34">
        <f t="shared" ref="B530:F530" si="798">IF(B529="","",B529)</f>
        <v>1720</v>
      </c>
      <c r="C530" s="26">
        <f t="shared" si="798"/>
        <v>18</v>
      </c>
      <c r="D530" s="26">
        <f t="shared" si="798"/>
        <v>500</v>
      </c>
      <c r="E530" s="26">
        <f t="shared" si="798"/>
        <v>0</v>
      </c>
      <c r="F530" s="26">
        <f t="shared" si="798"/>
        <v>-1150</v>
      </c>
      <c r="G530" s="24"/>
      <c r="H530" s="24"/>
      <c r="I530" s="24"/>
      <c r="J530" s="24"/>
      <c r="K530" s="24"/>
      <c r="L530" s="24"/>
      <c r="M530" s="44" t="str">
        <f t="shared" si="782"/>
        <v/>
      </c>
      <c r="N530" s="26" t="str">
        <f t="shared" si="732"/>
        <v/>
      </c>
      <c r="O530" s="26" t="str">
        <f t="shared" si="733"/>
        <v/>
      </c>
      <c r="P530" s="26" t="str">
        <f t="shared" si="734"/>
        <v/>
      </c>
      <c r="Q530" s="26">
        <f t="shared" si="735"/>
        <v>0</v>
      </c>
      <c r="R530" s="26">
        <f t="shared" si="736"/>
        <v>0</v>
      </c>
      <c r="S530" s="26">
        <f t="shared" si="737"/>
        <v>0</v>
      </c>
      <c r="T530" s="26" t="str">
        <f t="shared" si="738"/>
        <v/>
      </c>
      <c r="U530" s="26" t="str">
        <f t="shared" si="739"/>
        <v/>
      </c>
      <c r="V530" s="26" t="str">
        <f t="shared" si="740"/>
        <v/>
      </c>
      <c r="W530" s="27" t="str">
        <f t="shared" si="741"/>
        <v/>
      </c>
      <c r="X530" s="27" t="str">
        <f t="shared" si="742"/>
        <v/>
      </c>
      <c r="Y530" s="28" t="str">
        <f t="shared" si="743"/>
        <v/>
      </c>
      <c r="Z530" s="27" t="str">
        <f t="shared" si="744"/>
        <v/>
      </c>
      <c r="AA530" s="27" t="str">
        <f t="shared" si="745"/>
        <v/>
      </c>
      <c r="AB530" s="27" t="str">
        <f t="shared" si="746"/>
        <v/>
      </c>
      <c r="AC530" s="27" t="str">
        <f t="shared" si="747"/>
        <v/>
      </c>
      <c r="AD530" s="29" t="str">
        <f t="shared" si="748"/>
        <v/>
      </c>
      <c r="AE530" s="30" t="str">
        <f t="shared" si="749"/>
        <v/>
      </c>
      <c r="AG530" s="4"/>
      <c r="AH530" s="31" t="e">
        <f t="shared" si="750"/>
        <v>#VALUE!</v>
      </c>
      <c r="AI530" s="31" t="e">
        <f t="shared" si="751"/>
        <v>#VALUE!</v>
      </c>
      <c r="AJ530" s="31" t="e">
        <f t="shared" si="752"/>
        <v>#VALUE!</v>
      </c>
      <c r="AK530" s="31" t="e">
        <f t="shared" si="753"/>
        <v>#VALUE!</v>
      </c>
      <c r="AL530" s="31" t="e">
        <f t="shared" si="754"/>
        <v>#VALUE!</v>
      </c>
      <c r="AM530" s="31" t="e">
        <f t="shared" si="755"/>
        <v>#VALUE!</v>
      </c>
      <c r="AN530" s="32" t="str">
        <f t="shared" si="756"/>
        <v/>
      </c>
      <c r="AO530" s="27" t="str">
        <f t="shared" si="757"/>
        <v/>
      </c>
      <c r="AP530" s="27" t="str">
        <f t="shared" si="758"/>
        <v/>
      </c>
      <c r="AQ530" s="27">
        <f t="shared" si="759"/>
        <v>0</v>
      </c>
      <c r="AR530" s="27">
        <f t="shared" si="760"/>
        <v>0</v>
      </c>
      <c r="AS530" s="33">
        <f t="shared" si="761"/>
        <v>0</v>
      </c>
    </row>
    <row r="531" spans="2:45" hidden="1" x14ac:dyDescent="0.25">
      <c r="B531" s="34">
        <f t="shared" ref="B531:F531" si="799">IF(B530="","",B530)</f>
        <v>1720</v>
      </c>
      <c r="C531" s="26">
        <f t="shared" si="799"/>
        <v>18</v>
      </c>
      <c r="D531" s="26">
        <f t="shared" si="799"/>
        <v>500</v>
      </c>
      <c r="E531" s="26">
        <f t="shared" si="799"/>
        <v>0</v>
      </c>
      <c r="F531" s="26">
        <f t="shared" si="799"/>
        <v>-1150</v>
      </c>
      <c r="G531" s="24"/>
      <c r="H531" s="24"/>
      <c r="I531" s="24"/>
      <c r="J531" s="24"/>
      <c r="K531" s="24"/>
      <c r="L531" s="24"/>
      <c r="M531" s="44" t="str">
        <f t="shared" si="782"/>
        <v/>
      </c>
      <c r="N531" s="26" t="str">
        <f t="shared" si="732"/>
        <v/>
      </c>
      <c r="O531" s="26" t="str">
        <f t="shared" si="733"/>
        <v/>
      </c>
      <c r="P531" s="26" t="str">
        <f t="shared" si="734"/>
        <v/>
      </c>
      <c r="Q531" s="26">
        <f t="shared" si="735"/>
        <v>0</v>
      </c>
      <c r="R531" s="26">
        <f t="shared" si="736"/>
        <v>0</v>
      </c>
      <c r="S531" s="26">
        <f t="shared" si="737"/>
        <v>0</v>
      </c>
      <c r="T531" s="26" t="str">
        <f t="shared" si="738"/>
        <v/>
      </c>
      <c r="U531" s="26" t="str">
        <f t="shared" si="739"/>
        <v/>
      </c>
      <c r="V531" s="26" t="str">
        <f t="shared" si="740"/>
        <v/>
      </c>
      <c r="W531" s="27" t="str">
        <f t="shared" si="741"/>
        <v/>
      </c>
      <c r="X531" s="27" t="str">
        <f t="shared" si="742"/>
        <v/>
      </c>
      <c r="Y531" s="28" t="str">
        <f t="shared" si="743"/>
        <v/>
      </c>
      <c r="Z531" s="27" t="str">
        <f t="shared" si="744"/>
        <v/>
      </c>
      <c r="AA531" s="27" t="str">
        <f t="shared" si="745"/>
        <v/>
      </c>
      <c r="AB531" s="27" t="str">
        <f t="shared" si="746"/>
        <v/>
      </c>
      <c r="AC531" s="27" t="str">
        <f t="shared" si="747"/>
        <v/>
      </c>
      <c r="AD531" s="29" t="str">
        <f t="shared" si="748"/>
        <v/>
      </c>
      <c r="AE531" s="30" t="str">
        <f t="shared" si="749"/>
        <v/>
      </c>
      <c r="AG531" s="4"/>
      <c r="AH531" s="31" t="e">
        <f t="shared" si="750"/>
        <v>#VALUE!</v>
      </c>
      <c r="AI531" s="31" t="e">
        <f t="shared" si="751"/>
        <v>#VALUE!</v>
      </c>
      <c r="AJ531" s="31" t="e">
        <f t="shared" si="752"/>
        <v>#VALUE!</v>
      </c>
      <c r="AK531" s="31" t="e">
        <f t="shared" si="753"/>
        <v>#VALUE!</v>
      </c>
      <c r="AL531" s="31" t="e">
        <f t="shared" si="754"/>
        <v>#VALUE!</v>
      </c>
      <c r="AM531" s="31" t="e">
        <f t="shared" si="755"/>
        <v>#VALUE!</v>
      </c>
      <c r="AN531" s="32" t="str">
        <f t="shared" si="756"/>
        <v/>
      </c>
      <c r="AO531" s="27" t="str">
        <f t="shared" si="757"/>
        <v/>
      </c>
      <c r="AP531" s="27" t="str">
        <f t="shared" si="758"/>
        <v/>
      </c>
      <c r="AQ531" s="27">
        <f t="shared" si="759"/>
        <v>0</v>
      </c>
      <c r="AR531" s="27">
        <f t="shared" si="760"/>
        <v>0</v>
      </c>
      <c r="AS531" s="33">
        <f t="shared" si="761"/>
        <v>0</v>
      </c>
    </row>
    <row r="532" spans="2:45" hidden="1" x14ac:dyDescent="0.25">
      <c r="B532" s="34">
        <f t="shared" ref="B532:F532" si="800">IF(B531="","",B531)</f>
        <v>1720</v>
      </c>
      <c r="C532" s="26">
        <f t="shared" si="800"/>
        <v>18</v>
      </c>
      <c r="D532" s="26">
        <f t="shared" si="800"/>
        <v>500</v>
      </c>
      <c r="E532" s="26">
        <f t="shared" si="800"/>
        <v>0</v>
      </c>
      <c r="F532" s="26">
        <f t="shared" si="800"/>
        <v>-1150</v>
      </c>
      <c r="G532" s="24"/>
      <c r="H532" s="24"/>
      <c r="I532" s="24"/>
      <c r="J532" s="24"/>
      <c r="K532" s="24"/>
      <c r="L532" s="24"/>
      <c r="M532" s="44" t="str">
        <f t="shared" si="782"/>
        <v/>
      </c>
      <c r="N532" s="26" t="str">
        <f t="shared" si="732"/>
        <v/>
      </c>
      <c r="O532" s="26" t="str">
        <f t="shared" si="733"/>
        <v/>
      </c>
      <c r="P532" s="26" t="str">
        <f t="shared" si="734"/>
        <v/>
      </c>
      <c r="Q532" s="26">
        <f t="shared" si="735"/>
        <v>0</v>
      </c>
      <c r="R532" s="26">
        <f t="shared" si="736"/>
        <v>0</v>
      </c>
      <c r="S532" s="26">
        <f t="shared" si="737"/>
        <v>0</v>
      </c>
      <c r="T532" s="26" t="str">
        <f t="shared" si="738"/>
        <v/>
      </c>
      <c r="U532" s="26" t="str">
        <f t="shared" si="739"/>
        <v/>
      </c>
      <c r="V532" s="26" t="str">
        <f t="shared" si="740"/>
        <v/>
      </c>
      <c r="W532" s="27" t="str">
        <f t="shared" si="741"/>
        <v/>
      </c>
      <c r="X532" s="27" t="str">
        <f t="shared" si="742"/>
        <v/>
      </c>
      <c r="Y532" s="28" t="str">
        <f t="shared" si="743"/>
        <v/>
      </c>
      <c r="Z532" s="27" t="str">
        <f t="shared" si="744"/>
        <v/>
      </c>
      <c r="AA532" s="27" t="str">
        <f t="shared" si="745"/>
        <v/>
      </c>
      <c r="AB532" s="27" t="str">
        <f t="shared" si="746"/>
        <v/>
      </c>
      <c r="AC532" s="27" t="str">
        <f t="shared" si="747"/>
        <v/>
      </c>
      <c r="AD532" s="29" t="str">
        <f t="shared" si="748"/>
        <v/>
      </c>
      <c r="AE532" s="30" t="str">
        <f t="shared" si="749"/>
        <v/>
      </c>
      <c r="AG532" s="4"/>
      <c r="AH532" s="31" t="e">
        <f t="shared" si="750"/>
        <v>#VALUE!</v>
      </c>
      <c r="AI532" s="31" t="e">
        <f t="shared" si="751"/>
        <v>#VALUE!</v>
      </c>
      <c r="AJ532" s="31" t="e">
        <f t="shared" si="752"/>
        <v>#VALUE!</v>
      </c>
      <c r="AK532" s="31" t="e">
        <f t="shared" si="753"/>
        <v>#VALUE!</v>
      </c>
      <c r="AL532" s="31" t="e">
        <f t="shared" si="754"/>
        <v>#VALUE!</v>
      </c>
      <c r="AM532" s="31" t="e">
        <f t="shared" si="755"/>
        <v>#VALUE!</v>
      </c>
      <c r="AN532" s="32" t="str">
        <f t="shared" si="756"/>
        <v/>
      </c>
      <c r="AO532" s="27" t="str">
        <f t="shared" si="757"/>
        <v/>
      </c>
      <c r="AP532" s="27" t="str">
        <f t="shared" si="758"/>
        <v/>
      </c>
      <c r="AQ532" s="27">
        <f t="shared" si="759"/>
        <v>0</v>
      </c>
      <c r="AR532" s="27">
        <f t="shared" si="760"/>
        <v>0</v>
      </c>
      <c r="AS532" s="33">
        <f t="shared" si="761"/>
        <v>0</v>
      </c>
    </row>
    <row r="533" spans="2:45" hidden="1" x14ac:dyDescent="0.25">
      <c r="B533" s="34">
        <f t="shared" ref="B533:F533" si="801">IF(B532="","",B532)</f>
        <v>1720</v>
      </c>
      <c r="C533" s="26">
        <f t="shared" si="801"/>
        <v>18</v>
      </c>
      <c r="D533" s="26">
        <f t="shared" si="801"/>
        <v>500</v>
      </c>
      <c r="E533" s="26">
        <f t="shared" si="801"/>
        <v>0</v>
      </c>
      <c r="F533" s="26">
        <f t="shared" si="801"/>
        <v>-1150</v>
      </c>
      <c r="G533" s="24"/>
      <c r="H533" s="24"/>
      <c r="I533" s="24"/>
      <c r="J533" s="24"/>
      <c r="K533" s="24"/>
      <c r="L533" s="24"/>
      <c r="M533" s="44" t="str">
        <f t="shared" si="782"/>
        <v/>
      </c>
      <c r="N533" s="26" t="str">
        <f t="shared" si="732"/>
        <v/>
      </c>
      <c r="O533" s="26" t="str">
        <f t="shared" si="733"/>
        <v/>
      </c>
      <c r="P533" s="26" t="str">
        <f t="shared" si="734"/>
        <v/>
      </c>
      <c r="Q533" s="26">
        <f t="shared" si="735"/>
        <v>0</v>
      </c>
      <c r="R533" s="26">
        <f t="shared" si="736"/>
        <v>0</v>
      </c>
      <c r="S533" s="26">
        <f t="shared" si="737"/>
        <v>0</v>
      </c>
      <c r="T533" s="26" t="str">
        <f t="shared" si="738"/>
        <v/>
      </c>
      <c r="U533" s="26" t="str">
        <f t="shared" si="739"/>
        <v/>
      </c>
      <c r="V533" s="26" t="str">
        <f t="shared" si="740"/>
        <v/>
      </c>
      <c r="W533" s="27" t="str">
        <f t="shared" si="741"/>
        <v/>
      </c>
      <c r="X533" s="27" t="str">
        <f t="shared" si="742"/>
        <v/>
      </c>
      <c r="Y533" s="28" t="str">
        <f t="shared" si="743"/>
        <v/>
      </c>
      <c r="Z533" s="27" t="str">
        <f t="shared" si="744"/>
        <v/>
      </c>
      <c r="AA533" s="27" t="str">
        <f t="shared" si="745"/>
        <v/>
      </c>
      <c r="AB533" s="27" t="str">
        <f t="shared" si="746"/>
        <v/>
      </c>
      <c r="AC533" s="27" t="str">
        <f t="shared" si="747"/>
        <v/>
      </c>
      <c r="AD533" s="29" t="str">
        <f t="shared" si="748"/>
        <v/>
      </c>
      <c r="AE533" s="30" t="str">
        <f t="shared" si="749"/>
        <v/>
      </c>
      <c r="AG533" s="4"/>
      <c r="AH533" s="31" t="e">
        <f t="shared" si="750"/>
        <v>#VALUE!</v>
      </c>
      <c r="AI533" s="31" t="e">
        <f t="shared" si="751"/>
        <v>#VALUE!</v>
      </c>
      <c r="AJ533" s="31" t="e">
        <f t="shared" si="752"/>
        <v>#VALUE!</v>
      </c>
      <c r="AK533" s="31" t="e">
        <f t="shared" si="753"/>
        <v>#VALUE!</v>
      </c>
      <c r="AL533" s="31" t="e">
        <f t="shared" si="754"/>
        <v>#VALUE!</v>
      </c>
      <c r="AM533" s="31" t="e">
        <f t="shared" si="755"/>
        <v>#VALUE!</v>
      </c>
      <c r="AN533" s="32" t="str">
        <f t="shared" si="756"/>
        <v/>
      </c>
      <c r="AO533" s="27" t="str">
        <f t="shared" si="757"/>
        <v/>
      </c>
      <c r="AP533" s="27" t="str">
        <f t="shared" si="758"/>
        <v/>
      </c>
      <c r="AQ533" s="27">
        <f t="shared" si="759"/>
        <v>0</v>
      </c>
      <c r="AR533" s="27">
        <f t="shared" si="760"/>
        <v>0</v>
      </c>
      <c r="AS533" s="33">
        <f t="shared" si="761"/>
        <v>0</v>
      </c>
    </row>
    <row r="534" spans="2:45" hidden="1" x14ac:dyDescent="0.25">
      <c r="B534" s="34">
        <f t="shared" ref="B534:F534" si="802">IF(B533="","",B533)</f>
        <v>1720</v>
      </c>
      <c r="C534" s="26">
        <f t="shared" si="802"/>
        <v>18</v>
      </c>
      <c r="D534" s="26">
        <f t="shared" si="802"/>
        <v>500</v>
      </c>
      <c r="E534" s="26">
        <f t="shared" si="802"/>
        <v>0</v>
      </c>
      <c r="F534" s="26">
        <f t="shared" si="802"/>
        <v>-1150</v>
      </c>
      <c r="G534" s="24"/>
      <c r="H534" s="24"/>
      <c r="I534" s="24"/>
      <c r="J534" s="24"/>
      <c r="K534" s="24"/>
      <c r="L534" s="24"/>
      <c r="M534" s="44" t="str">
        <f t="shared" si="782"/>
        <v/>
      </c>
      <c r="N534" s="26" t="str">
        <f t="shared" si="732"/>
        <v/>
      </c>
      <c r="O534" s="26" t="str">
        <f t="shared" si="733"/>
        <v/>
      </c>
      <c r="P534" s="26" t="str">
        <f t="shared" si="734"/>
        <v/>
      </c>
      <c r="Q534" s="26">
        <f t="shared" si="735"/>
        <v>0</v>
      </c>
      <c r="R534" s="26">
        <f t="shared" si="736"/>
        <v>0</v>
      </c>
      <c r="S534" s="26">
        <f t="shared" si="737"/>
        <v>0</v>
      </c>
      <c r="T534" s="26" t="str">
        <f t="shared" si="738"/>
        <v/>
      </c>
      <c r="U534" s="26" t="str">
        <f t="shared" si="739"/>
        <v/>
      </c>
      <c r="V534" s="26" t="str">
        <f t="shared" si="740"/>
        <v/>
      </c>
      <c r="W534" s="27" t="str">
        <f t="shared" si="741"/>
        <v/>
      </c>
      <c r="X534" s="27" t="str">
        <f t="shared" si="742"/>
        <v/>
      </c>
      <c r="Y534" s="28" t="str">
        <f t="shared" si="743"/>
        <v/>
      </c>
      <c r="Z534" s="27" t="str">
        <f t="shared" si="744"/>
        <v/>
      </c>
      <c r="AA534" s="27" t="str">
        <f t="shared" si="745"/>
        <v/>
      </c>
      <c r="AB534" s="27" t="str">
        <f t="shared" si="746"/>
        <v/>
      </c>
      <c r="AC534" s="27" t="str">
        <f t="shared" si="747"/>
        <v/>
      </c>
      <c r="AD534" s="29" t="str">
        <f t="shared" si="748"/>
        <v/>
      </c>
      <c r="AE534" s="30" t="str">
        <f t="shared" si="749"/>
        <v/>
      </c>
      <c r="AG534" s="4"/>
      <c r="AH534" s="31" t="e">
        <f t="shared" si="750"/>
        <v>#VALUE!</v>
      </c>
      <c r="AI534" s="31" t="e">
        <f t="shared" si="751"/>
        <v>#VALUE!</v>
      </c>
      <c r="AJ534" s="31" t="e">
        <f t="shared" si="752"/>
        <v>#VALUE!</v>
      </c>
      <c r="AK534" s="31" t="e">
        <f t="shared" si="753"/>
        <v>#VALUE!</v>
      </c>
      <c r="AL534" s="31" t="e">
        <f t="shared" si="754"/>
        <v>#VALUE!</v>
      </c>
      <c r="AM534" s="31" t="e">
        <f t="shared" si="755"/>
        <v>#VALUE!</v>
      </c>
      <c r="AN534" s="32" t="str">
        <f t="shared" si="756"/>
        <v/>
      </c>
      <c r="AO534" s="27" t="str">
        <f t="shared" si="757"/>
        <v/>
      </c>
      <c r="AP534" s="27" t="str">
        <f t="shared" si="758"/>
        <v/>
      </c>
      <c r="AQ534" s="27">
        <f t="shared" si="759"/>
        <v>0</v>
      </c>
      <c r="AR534" s="27">
        <f t="shared" si="760"/>
        <v>0</v>
      </c>
      <c r="AS534" s="33">
        <f t="shared" si="761"/>
        <v>0</v>
      </c>
    </row>
    <row r="535" spans="2:45" hidden="1" x14ac:dyDescent="0.25">
      <c r="B535" s="34">
        <f>IF(B534="","",B534)</f>
        <v>1720</v>
      </c>
      <c r="C535" s="26">
        <f t="shared" ref="C535:F535" si="803">IF(C534="","",C534)</f>
        <v>18</v>
      </c>
      <c r="D535" s="26">
        <f t="shared" si="803"/>
        <v>500</v>
      </c>
      <c r="E535" s="26">
        <f t="shared" si="803"/>
        <v>0</v>
      </c>
      <c r="F535" s="26">
        <f t="shared" si="803"/>
        <v>-1150</v>
      </c>
      <c r="G535" s="24"/>
      <c r="H535" s="24"/>
      <c r="I535" s="24"/>
      <c r="J535" s="24"/>
      <c r="K535" s="24"/>
      <c r="L535" s="24"/>
      <c r="M535" s="44" t="str">
        <f t="shared" si="782"/>
        <v/>
      </c>
      <c r="N535" s="26" t="str">
        <f t="shared" si="732"/>
        <v/>
      </c>
      <c r="O535" s="26" t="str">
        <f t="shared" si="733"/>
        <v/>
      </c>
      <c r="P535" s="26" t="str">
        <f t="shared" si="734"/>
        <v/>
      </c>
      <c r="Q535" s="26">
        <f t="shared" si="735"/>
        <v>0</v>
      </c>
      <c r="R535" s="26">
        <f t="shared" si="736"/>
        <v>0</v>
      </c>
      <c r="S535" s="26">
        <f t="shared" si="737"/>
        <v>0</v>
      </c>
      <c r="T535" s="26" t="str">
        <f t="shared" si="738"/>
        <v/>
      </c>
      <c r="U535" s="26" t="str">
        <f t="shared" si="739"/>
        <v/>
      </c>
      <c r="V535" s="26" t="str">
        <f t="shared" si="740"/>
        <v/>
      </c>
      <c r="W535" s="27" t="str">
        <f t="shared" si="741"/>
        <v/>
      </c>
      <c r="X535" s="27" t="str">
        <f t="shared" si="742"/>
        <v/>
      </c>
      <c r="Y535" s="28" t="str">
        <f t="shared" si="743"/>
        <v/>
      </c>
      <c r="Z535" s="27" t="str">
        <f t="shared" si="744"/>
        <v/>
      </c>
      <c r="AA535" s="27" t="str">
        <f t="shared" si="745"/>
        <v/>
      </c>
      <c r="AB535" s="27" t="str">
        <f t="shared" si="746"/>
        <v/>
      </c>
      <c r="AC535" s="27" t="str">
        <f t="shared" si="747"/>
        <v/>
      </c>
      <c r="AD535" s="29" t="str">
        <f t="shared" si="748"/>
        <v/>
      </c>
      <c r="AE535" s="30" t="str">
        <f t="shared" si="749"/>
        <v/>
      </c>
      <c r="AG535" s="4"/>
      <c r="AH535" s="31" t="e">
        <f t="shared" si="750"/>
        <v>#VALUE!</v>
      </c>
      <c r="AI535" s="31" t="e">
        <f t="shared" si="751"/>
        <v>#VALUE!</v>
      </c>
      <c r="AJ535" s="31" t="e">
        <f t="shared" si="752"/>
        <v>#VALUE!</v>
      </c>
      <c r="AK535" s="31" t="e">
        <f t="shared" si="753"/>
        <v>#VALUE!</v>
      </c>
      <c r="AL535" s="31" t="e">
        <f t="shared" si="754"/>
        <v>#VALUE!</v>
      </c>
      <c r="AM535" s="31" t="e">
        <f t="shared" si="755"/>
        <v>#VALUE!</v>
      </c>
      <c r="AN535" s="32" t="str">
        <f t="shared" si="756"/>
        <v/>
      </c>
      <c r="AO535" s="27" t="str">
        <f t="shared" si="757"/>
        <v/>
      </c>
      <c r="AP535" s="27" t="str">
        <f t="shared" si="758"/>
        <v/>
      </c>
      <c r="AQ535" s="27">
        <f t="shared" si="759"/>
        <v>0</v>
      </c>
      <c r="AR535" s="27">
        <f t="shared" si="760"/>
        <v>0</v>
      </c>
      <c r="AS535" s="33">
        <f t="shared" si="761"/>
        <v>0</v>
      </c>
    </row>
    <row r="536" spans="2:45" hidden="1" x14ac:dyDescent="0.25">
      <c r="B536" s="34">
        <f t="shared" ref="B536:F536" si="804">IF(B535="","",B535)</f>
        <v>1720</v>
      </c>
      <c r="C536" s="26">
        <f t="shared" si="804"/>
        <v>18</v>
      </c>
      <c r="D536" s="26">
        <f t="shared" si="804"/>
        <v>500</v>
      </c>
      <c r="E536" s="26">
        <f t="shared" si="804"/>
        <v>0</v>
      </c>
      <c r="F536" s="26">
        <f t="shared" si="804"/>
        <v>-1150</v>
      </c>
      <c r="G536" s="24"/>
      <c r="H536" s="24"/>
      <c r="I536" s="24"/>
      <c r="J536" s="24"/>
      <c r="K536" s="24"/>
      <c r="L536" s="24"/>
      <c r="M536" s="44" t="str">
        <f t="shared" si="782"/>
        <v/>
      </c>
      <c r="N536" s="26" t="str">
        <f t="shared" si="732"/>
        <v/>
      </c>
      <c r="O536" s="26" t="str">
        <f t="shared" si="733"/>
        <v/>
      </c>
      <c r="P536" s="26" t="str">
        <f t="shared" si="734"/>
        <v/>
      </c>
      <c r="Q536" s="26">
        <f t="shared" si="735"/>
        <v>0</v>
      </c>
      <c r="R536" s="26">
        <f t="shared" si="736"/>
        <v>0</v>
      </c>
      <c r="S536" s="26">
        <f t="shared" si="737"/>
        <v>0</v>
      </c>
      <c r="T536" s="26" t="str">
        <f t="shared" si="738"/>
        <v/>
      </c>
      <c r="U536" s="26" t="str">
        <f t="shared" si="739"/>
        <v/>
      </c>
      <c r="V536" s="26" t="str">
        <f t="shared" si="740"/>
        <v/>
      </c>
      <c r="W536" s="27" t="str">
        <f t="shared" si="741"/>
        <v/>
      </c>
      <c r="X536" s="27" t="str">
        <f t="shared" si="742"/>
        <v/>
      </c>
      <c r="Y536" s="28" t="str">
        <f t="shared" si="743"/>
        <v/>
      </c>
      <c r="Z536" s="27" t="str">
        <f t="shared" si="744"/>
        <v/>
      </c>
      <c r="AA536" s="27" t="str">
        <f t="shared" si="745"/>
        <v/>
      </c>
      <c r="AB536" s="27" t="str">
        <f t="shared" si="746"/>
        <v/>
      </c>
      <c r="AC536" s="27" t="str">
        <f t="shared" si="747"/>
        <v/>
      </c>
      <c r="AD536" s="29" t="str">
        <f t="shared" si="748"/>
        <v/>
      </c>
      <c r="AE536" s="30" t="str">
        <f t="shared" si="749"/>
        <v/>
      </c>
      <c r="AG536" s="4"/>
      <c r="AH536" s="31" t="e">
        <f t="shared" si="750"/>
        <v>#VALUE!</v>
      </c>
      <c r="AI536" s="31" t="e">
        <f t="shared" si="751"/>
        <v>#VALUE!</v>
      </c>
      <c r="AJ536" s="31" t="e">
        <f t="shared" si="752"/>
        <v>#VALUE!</v>
      </c>
      <c r="AK536" s="31" t="e">
        <f t="shared" si="753"/>
        <v>#VALUE!</v>
      </c>
      <c r="AL536" s="31" t="e">
        <f t="shared" si="754"/>
        <v>#VALUE!</v>
      </c>
      <c r="AM536" s="31" t="e">
        <f t="shared" si="755"/>
        <v>#VALUE!</v>
      </c>
      <c r="AN536" s="32" t="str">
        <f t="shared" si="756"/>
        <v/>
      </c>
      <c r="AO536" s="27" t="str">
        <f t="shared" si="757"/>
        <v/>
      </c>
      <c r="AP536" s="27" t="str">
        <f t="shared" si="758"/>
        <v/>
      </c>
      <c r="AQ536" s="27">
        <f t="shared" si="759"/>
        <v>0</v>
      </c>
      <c r="AR536" s="27">
        <f t="shared" si="760"/>
        <v>0</v>
      </c>
      <c r="AS536" s="33">
        <f t="shared" si="761"/>
        <v>0</v>
      </c>
    </row>
    <row r="537" spans="2:45" hidden="1" x14ac:dyDescent="0.25">
      <c r="B537" s="34">
        <f t="shared" ref="B537:F537" si="805">IF(B536="","",B536)</f>
        <v>1720</v>
      </c>
      <c r="C537" s="26">
        <f t="shared" si="805"/>
        <v>18</v>
      </c>
      <c r="D537" s="26">
        <f t="shared" si="805"/>
        <v>500</v>
      </c>
      <c r="E537" s="26">
        <f t="shared" si="805"/>
        <v>0</v>
      </c>
      <c r="F537" s="26">
        <f t="shared" si="805"/>
        <v>-1150</v>
      </c>
      <c r="G537" s="24"/>
      <c r="H537" s="24"/>
      <c r="I537" s="24"/>
      <c r="J537" s="24"/>
      <c r="K537" s="24"/>
      <c r="L537" s="24"/>
      <c r="M537" s="44" t="str">
        <f t="shared" si="782"/>
        <v/>
      </c>
      <c r="N537" s="26" t="str">
        <f t="shared" si="732"/>
        <v/>
      </c>
      <c r="O537" s="26" t="str">
        <f t="shared" si="733"/>
        <v/>
      </c>
      <c r="P537" s="26" t="str">
        <f t="shared" si="734"/>
        <v/>
      </c>
      <c r="Q537" s="26">
        <f t="shared" si="735"/>
        <v>0</v>
      </c>
      <c r="R537" s="26">
        <f t="shared" si="736"/>
        <v>0</v>
      </c>
      <c r="S537" s="26">
        <f t="shared" si="737"/>
        <v>0</v>
      </c>
      <c r="T537" s="26" t="str">
        <f t="shared" si="738"/>
        <v/>
      </c>
      <c r="U537" s="26" t="str">
        <f t="shared" si="739"/>
        <v/>
      </c>
      <c r="V537" s="26" t="str">
        <f t="shared" si="740"/>
        <v/>
      </c>
      <c r="W537" s="27" t="str">
        <f t="shared" si="741"/>
        <v/>
      </c>
      <c r="X537" s="27" t="str">
        <f t="shared" si="742"/>
        <v/>
      </c>
      <c r="Y537" s="28" t="str">
        <f t="shared" si="743"/>
        <v/>
      </c>
      <c r="Z537" s="27" t="str">
        <f t="shared" si="744"/>
        <v/>
      </c>
      <c r="AA537" s="27" t="str">
        <f t="shared" si="745"/>
        <v/>
      </c>
      <c r="AB537" s="27" t="str">
        <f t="shared" si="746"/>
        <v/>
      </c>
      <c r="AC537" s="27" t="str">
        <f t="shared" si="747"/>
        <v/>
      </c>
      <c r="AD537" s="29" t="str">
        <f t="shared" si="748"/>
        <v/>
      </c>
      <c r="AE537" s="30" t="str">
        <f t="shared" si="749"/>
        <v/>
      </c>
      <c r="AG537" s="4"/>
      <c r="AH537" s="31" t="e">
        <f t="shared" si="750"/>
        <v>#VALUE!</v>
      </c>
      <c r="AI537" s="31" t="e">
        <f t="shared" si="751"/>
        <v>#VALUE!</v>
      </c>
      <c r="AJ537" s="31" t="e">
        <f t="shared" si="752"/>
        <v>#VALUE!</v>
      </c>
      <c r="AK537" s="31" t="e">
        <f t="shared" si="753"/>
        <v>#VALUE!</v>
      </c>
      <c r="AL537" s="31" t="e">
        <f t="shared" si="754"/>
        <v>#VALUE!</v>
      </c>
      <c r="AM537" s="31" t="e">
        <f t="shared" si="755"/>
        <v>#VALUE!</v>
      </c>
      <c r="AN537" s="32" t="str">
        <f t="shared" si="756"/>
        <v/>
      </c>
      <c r="AO537" s="27" t="str">
        <f t="shared" si="757"/>
        <v/>
      </c>
      <c r="AP537" s="27" t="str">
        <f t="shared" si="758"/>
        <v/>
      </c>
      <c r="AQ537" s="27">
        <f t="shared" si="759"/>
        <v>0</v>
      </c>
      <c r="AR537" s="27">
        <f t="shared" si="760"/>
        <v>0</v>
      </c>
      <c r="AS537" s="33">
        <f t="shared" si="761"/>
        <v>0</v>
      </c>
    </row>
    <row r="538" spans="2:45" hidden="1" x14ac:dyDescent="0.25">
      <c r="B538" s="34">
        <f t="shared" ref="B538:F538" si="806">IF(B537="","",B537)</f>
        <v>1720</v>
      </c>
      <c r="C538" s="26">
        <f t="shared" si="806"/>
        <v>18</v>
      </c>
      <c r="D538" s="26">
        <f t="shared" si="806"/>
        <v>500</v>
      </c>
      <c r="E538" s="26">
        <f t="shared" si="806"/>
        <v>0</v>
      </c>
      <c r="F538" s="26">
        <f t="shared" si="806"/>
        <v>-1150</v>
      </c>
      <c r="G538" s="24"/>
      <c r="H538" s="24"/>
      <c r="I538" s="24"/>
      <c r="J538" s="24"/>
      <c r="K538" s="24"/>
      <c r="L538" s="24"/>
      <c r="M538" s="44" t="str">
        <f t="shared" si="782"/>
        <v/>
      </c>
      <c r="N538" s="26" t="str">
        <f t="shared" si="732"/>
        <v/>
      </c>
      <c r="O538" s="26" t="str">
        <f t="shared" si="733"/>
        <v/>
      </c>
      <c r="P538" s="26" t="str">
        <f t="shared" si="734"/>
        <v/>
      </c>
      <c r="Q538" s="26">
        <f t="shared" si="735"/>
        <v>0</v>
      </c>
      <c r="R538" s="26">
        <f t="shared" si="736"/>
        <v>0</v>
      </c>
      <c r="S538" s="26">
        <f t="shared" si="737"/>
        <v>0</v>
      </c>
      <c r="T538" s="26" t="str">
        <f t="shared" si="738"/>
        <v/>
      </c>
      <c r="U538" s="26" t="str">
        <f t="shared" si="739"/>
        <v/>
      </c>
      <c r="V538" s="26" t="str">
        <f t="shared" si="740"/>
        <v/>
      </c>
      <c r="W538" s="27" t="str">
        <f t="shared" si="741"/>
        <v/>
      </c>
      <c r="X538" s="27" t="str">
        <f t="shared" si="742"/>
        <v/>
      </c>
      <c r="Y538" s="28" t="str">
        <f t="shared" si="743"/>
        <v/>
      </c>
      <c r="Z538" s="27" t="str">
        <f t="shared" si="744"/>
        <v/>
      </c>
      <c r="AA538" s="27" t="str">
        <f t="shared" si="745"/>
        <v/>
      </c>
      <c r="AB538" s="27" t="str">
        <f t="shared" si="746"/>
        <v/>
      </c>
      <c r="AC538" s="27" t="str">
        <f t="shared" si="747"/>
        <v/>
      </c>
      <c r="AD538" s="29" t="str">
        <f t="shared" si="748"/>
        <v/>
      </c>
      <c r="AE538" s="30" t="str">
        <f t="shared" si="749"/>
        <v/>
      </c>
      <c r="AG538" s="4"/>
      <c r="AH538" s="31" t="e">
        <f t="shared" si="750"/>
        <v>#VALUE!</v>
      </c>
      <c r="AI538" s="31" t="e">
        <f t="shared" si="751"/>
        <v>#VALUE!</v>
      </c>
      <c r="AJ538" s="31" t="e">
        <f t="shared" si="752"/>
        <v>#VALUE!</v>
      </c>
      <c r="AK538" s="31" t="e">
        <f t="shared" si="753"/>
        <v>#VALUE!</v>
      </c>
      <c r="AL538" s="31" t="e">
        <f t="shared" si="754"/>
        <v>#VALUE!</v>
      </c>
      <c r="AM538" s="31" t="e">
        <f t="shared" si="755"/>
        <v>#VALUE!</v>
      </c>
      <c r="AN538" s="32" t="str">
        <f t="shared" si="756"/>
        <v/>
      </c>
      <c r="AO538" s="27" t="str">
        <f t="shared" si="757"/>
        <v/>
      </c>
      <c r="AP538" s="27" t="str">
        <f t="shared" si="758"/>
        <v/>
      </c>
      <c r="AQ538" s="27">
        <f t="shared" si="759"/>
        <v>0</v>
      </c>
      <c r="AR538" s="27">
        <f t="shared" si="760"/>
        <v>0</v>
      </c>
      <c r="AS538" s="33">
        <f t="shared" si="761"/>
        <v>0</v>
      </c>
    </row>
    <row r="539" spans="2:45" hidden="1" x14ac:dyDescent="0.25">
      <c r="B539" s="34">
        <f t="shared" ref="B539:F539" si="807">IF(B538="","",B538)</f>
        <v>1720</v>
      </c>
      <c r="C539" s="26">
        <f t="shared" si="807"/>
        <v>18</v>
      </c>
      <c r="D539" s="26">
        <f t="shared" si="807"/>
        <v>500</v>
      </c>
      <c r="E539" s="26">
        <f t="shared" si="807"/>
        <v>0</v>
      </c>
      <c r="F539" s="26">
        <f t="shared" si="807"/>
        <v>-1150</v>
      </c>
      <c r="G539" s="24"/>
      <c r="H539" s="24"/>
      <c r="I539" s="24"/>
      <c r="J539" s="24"/>
      <c r="K539" s="24"/>
      <c r="L539" s="24"/>
      <c r="M539" s="44" t="str">
        <f t="shared" si="782"/>
        <v/>
      </c>
      <c r="N539" s="26" t="str">
        <f t="shared" si="732"/>
        <v/>
      </c>
      <c r="O539" s="26" t="str">
        <f t="shared" si="733"/>
        <v/>
      </c>
      <c r="P539" s="26" t="str">
        <f t="shared" si="734"/>
        <v/>
      </c>
      <c r="Q539" s="26">
        <f t="shared" si="735"/>
        <v>0</v>
      </c>
      <c r="R539" s="26">
        <f t="shared" si="736"/>
        <v>0</v>
      </c>
      <c r="S539" s="26">
        <f t="shared" si="737"/>
        <v>0</v>
      </c>
      <c r="T539" s="26" t="str">
        <f t="shared" si="738"/>
        <v/>
      </c>
      <c r="U539" s="26" t="str">
        <f t="shared" si="739"/>
        <v/>
      </c>
      <c r="V539" s="26" t="str">
        <f t="shared" si="740"/>
        <v/>
      </c>
      <c r="W539" s="27" t="str">
        <f t="shared" si="741"/>
        <v/>
      </c>
      <c r="X539" s="27" t="str">
        <f t="shared" si="742"/>
        <v/>
      </c>
      <c r="Y539" s="28" t="str">
        <f t="shared" si="743"/>
        <v/>
      </c>
      <c r="Z539" s="27" t="str">
        <f t="shared" si="744"/>
        <v/>
      </c>
      <c r="AA539" s="27" t="str">
        <f t="shared" si="745"/>
        <v/>
      </c>
      <c r="AB539" s="27" t="str">
        <f t="shared" si="746"/>
        <v/>
      </c>
      <c r="AC539" s="27" t="str">
        <f t="shared" si="747"/>
        <v/>
      </c>
      <c r="AD539" s="29" t="str">
        <f t="shared" si="748"/>
        <v/>
      </c>
      <c r="AE539" s="30" t="str">
        <f t="shared" si="749"/>
        <v/>
      </c>
      <c r="AG539" s="4"/>
      <c r="AH539" s="31" t="e">
        <f t="shared" si="750"/>
        <v>#VALUE!</v>
      </c>
      <c r="AI539" s="31" t="e">
        <f t="shared" si="751"/>
        <v>#VALUE!</v>
      </c>
      <c r="AJ539" s="31" t="e">
        <f t="shared" si="752"/>
        <v>#VALUE!</v>
      </c>
      <c r="AK539" s="31" t="e">
        <f t="shared" si="753"/>
        <v>#VALUE!</v>
      </c>
      <c r="AL539" s="31" t="e">
        <f t="shared" si="754"/>
        <v>#VALUE!</v>
      </c>
      <c r="AM539" s="31" t="e">
        <f t="shared" si="755"/>
        <v>#VALUE!</v>
      </c>
      <c r="AN539" s="32" t="str">
        <f t="shared" si="756"/>
        <v/>
      </c>
      <c r="AO539" s="27" t="str">
        <f t="shared" si="757"/>
        <v/>
      </c>
      <c r="AP539" s="27" t="str">
        <f t="shared" si="758"/>
        <v/>
      </c>
      <c r="AQ539" s="27">
        <f t="shared" si="759"/>
        <v>0</v>
      </c>
      <c r="AR539" s="27">
        <f t="shared" si="760"/>
        <v>0</v>
      </c>
      <c r="AS539" s="33">
        <f t="shared" si="761"/>
        <v>0</v>
      </c>
    </row>
    <row r="540" spans="2:45" hidden="1" x14ac:dyDescent="0.25">
      <c r="B540" s="34">
        <f t="shared" ref="B540:F540" si="808">IF(B539="","",B539)</f>
        <v>1720</v>
      </c>
      <c r="C540" s="26">
        <f t="shared" si="808"/>
        <v>18</v>
      </c>
      <c r="D540" s="26">
        <f t="shared" si="808"/>
        <v>500</v>
      </c>
      <c r="E540" s="26">
        <f t="shared" si="808"/>
        <v>0</v>
      </c>
      <c r="F540" s="26">
        <f t="shared" si="808"/>
        <v>-1150</v>
      </c>
      <c r="G540" s="24"/>
      <c r="H540" s="24"/>
      <c r="I540" s="24"/>
      <c r="J540" s="24"/>
      <c r="K540" s="24"/>
      <c r="L540" s="24"/>
      <c r="M540" s="44" t="str">
        <f t="shared" si="782"/>
        <v/>
      </c>
      <c r="N540" s="26" t="str">
        <f t="shared" si="732"/>
        <v/>
      </c>
      <c r="O540" s="26" t="str">
        <f t="shared" si="733"/>
        <v/>
      </c>
      <c r="P540" s="26" t="str">
        <f t="shared" si="734"/>
        <v/>
      </c>
      <c r="Q540" s="26">
        <f t="shared" si="735"/>
        <v>0</v>
      </c>
      <c r="R540" s="26">
        <f t="shared" si="736"/>
        <v>0</v>
      </c>
      <c r="S540" s="26">
        <f t="shared" si="737"/>
        <v>0</v>
      </c>
      <c r="T540" s="26" t="str">
        <f t="shared" si="738"/>
        <v/>
      </c>
      <c r="U540" s="26" t="str">
        <f t="shared" si="739"/>
        <v/>
      </c>
      <c r="V540" s="26" t="str">
        <f t="shared" si="740"/>
        <v/>
      </c>
      <c r="W540" s="27" t="str">
        <f t="shared" si="741"/>
        <v/>
      </c>
      <c r="X540" s="27" t="str">
        <f t="shared" si="742"/>
        <v/>
      </c>
      <c r="Y540" s="28" t="str">
        <f t="shared" si="743"/>
        <v/>
      </c>
      <c r="Z540" s="27" t="str">
        <f t="shared" si="744"/>
        <v/>
      </c>
      <c r="AA540" s="27" t="str">
        <f t="shared" si="745"/>
        <v/>
      </c>
      <c r="AB540" s="27" t="str">
        <f t="shared" si="746"/>
        <v/>
      </c>
      <c r="AC540" s="27" t="str">
        <f t="shared" si="747"/>
        <v/>
      </c>
      <c r="AD540" s="29" t="str">
        <f t="shared" si="748"/>
        <v/>
      </c>
      <c r="AE540" s="30" t="str">
        <f t="shared" si="749"/>
        <v/>
      </c>
      <c r="AG540" s="4"/>
      <c r="AH540" s="31" t="e">
        <f t="shared" si="750"/>
        <v>#VALUE!</v>
      </c>
      <c r="AI540" s="31" t="e">
        <f t="shared" si="751"/>
        <v>#VALUE!</v>
      </c>
      <c r="AJ540" s="31" t="e">
        <f t="shared" si="752"/>
        <v>#VALUE!</v>
      </c>
      <c r="AK540" s="31" t="e">
        <f t="shared" si="753"/>
        <v>#VALUE!</v>
      </c>
      <c r="AL540" s="31" t="e">
        <f t="shared" si="754"/>
        <v>#VALUE!</v>
      </c>
      <c r="AM540" s="31" t="e">
        <f t="shared" si="755"/>
        <v>#VALUE!</v>
      </c>
      <c r="AN540" s="32" t="str">
        <f t="shared" si="756"/>
        <v/>
      </c>
      <c r="AO540" s="27" t="str">
        <f t="shared" si="757"/>
        <v/>
      </c>
      <c r="AP540" s="27" t="str">
        <f t="shared" si="758"/>
        <v/>
      </c>
      <c r="AQ540" s="27">
        <f t="shared" si="759"/>
        <v>0</v>
      </c>
      <c r="AR540" s="27">
        <f t="shared" si="760"/>
        <v>0</v>
      </c>
      <c r="AS540" s="33">
        <f t="shared" si="761"/>
        <v>0</v>
      </c>
    </row>
    <row r="541" spans="2:45" hidden="1" x14ac:dyDescent="0.25">
      <c r="B541" s="34">
        <f t="shared" ref="B541:F541" si="809">IF(B540="","",B540)</f>
        <v>1720</v>
      </c>
      <c r="C541" s="26">
        <f t="shared" si="809"/>
        <v>18</v>
      </c>
      <c r="D541" s="26">
        <f t="shared" si="809"/>
        <v>500</v>
      </c>
      <c r="E541" s="26">
        <f t="shared" si="809"/>
        <v>0</v>
      </c>
      <c r="F541" s="26">
        <f t="shared" si="809"/>
        <v>-1150</v>
      </c>
      <c r="G541" s="24"/>
      <c r="H541" s="24"/>
      <c r="I541" s="24"/>
      <c r="J541" s="24"/>
      <c r="K541" s="24"/>
      <c r="L541" s="24"/>
      <c r="M541" s="44" t="str">
        <f t="shared" si="782"/>
        <v/>
      </c>
      <c r="N541" s="26" t="str">
        <f t="shared" si="732"/>
        <v/>
      </c>
      <c r="O541" s="26" t="str">
        <f t="shared" si="733"/>
        <v/>
      </c>
      <c r="P541" s="26" t="str">
        <f t="shared" si="734"/>
        <v/>
      </c>
      <c r="Q541" s="26">
        <f t="shared" si="735"/>
        <v>0</v>
      </c>
      <c r="R541" s="26">
        <f t="shared" si="736"/>
        <v>0</v>
      </c>
      <c r="S541" s="26">
        <f t="shared" si="737"/>
        <v>0</v>
      </c>
      <c r="T541" s="26" t="str">
        <f t="shared" si="738"/>
        <v/>
      </c>
      <c r="U541" s="26" t="str">
        <f t="shared" si="739"/>
        <v/>
      </c>
      <c r="V541" s="26" t="str">
        <f t="shared" si="740"/>
        <v/>
      </c>
      <c r="W541" s="27" t="str">
        <f t="shared" si="741"/>
        <v/>
      </c>
      <c r="X541" s="27" t="str">
        <f t="shared" si="742"/>
        <v/>
      </c>
      <c r="Y541" s="28" t="str">
        <f t="shared" si="743"/>
        <v/>
      </c>
      <c r="Z541" s="27" t="str">
        <f t="shared" si="744"/>
        <v/>
      </c>
      <c r="AA541" s="27" t="str">
        <f t="shared" si="745"/>
        <v/>
      </c>
      <c r="AB541" s="27" t="str">
        <f t="shared" si="746"/>
        <v/>
      </c>
      <c r="AC541" s="27" t="str">
        <f t="shared" si="747"/>
        <v/>
      </c>
      <c r="AD541" s="29" t="str">
        <f t="shared" si="748"/>
        <v/>
      </c>
      <c r="AE541" s="30" t="str">
        <f t="shared" si="749"/>
        <v/>
      </c>
      <c r="AG541" s="4"/>
      <c r="AH541" s="31" t="e">
        <f t="shared" si="750"/>
        <v>#VALUE!</v>
      </c>
      <c r="AI541" s="31" t="e">
        <f t="shared" si="751"/>
        <v>#VALUE!</v>
      </c>
      <c r="AJ541" s="31" t="e">
        <f t="shared" si="752"/>
        <v>#VALUE!</v>
      </c>
      <c r="AK541" s="31" t="e">
        <f t="shared" si="753"/>
        <v>#VALUE!</v>
      </c>
      <c r="AL541" s="31" t="e">
        <f t="shared" si="754"/>
        <v>#VALUE!</v>
      </c>
      <c r="AM541" s="31" t="e">
        <f t="shared" si="755"/>
        <v>#VALUE!</v>
      </c>
      <c r="AN541" s="32" t="str">
        <f t="shared" si="756"/>
        <v/>
      </c>
      <c r="AO541" s="27" t="str">
        <f t="shared" si="757"/>
        <v/>
      </c>
      <c r="AP541" s="27" t="str">
        <f t="shared" si="758"/>
        <v/>
      </c>
      <c r="AQ541" s="27">
        <f t="shared" si="759"/>
        <v>0</v>
      </c>
      <c r="AR541" s="27">
        <f t="shared" si="760"/>
        <v>0</v>
      </c>
      <c r="AS541" s="33">
        <f t="shared" si="761"/>
        <v>0</v>
      </c>
    </row>
    <row r="542" spans="2:45" hidden="1" x14ac:dyDescent="0.25">
      <c r="B542" s="34">
        <f t="shared" ref="B542:F542" si="810">IF(B541="","",B541)</f>
        <v>1720</v>
      </c>
      <c r="C542" s="26">
        <f t="shared" si="810"/>
        <v>18</v>
      </c>
      <c r="D542" s="26">
        <f t="shared" si="810"/>
        <v>500</v>
      </c>
      <c r="E542" s="26">
        <f t="shared" si="810"/>
        <v>0</v>
      </c>
      <c r="F542" s="26">
        <f t="shared" si="810"/>
        <v>-1150</v>
      </c>
      <c r="G542" s="24"/>
      <c r="H542" s="24"/>
      <c r="I542" s="24"/>
      <c r="J542" s="24"/>
      <c r="K542" s="24"/>
      <c r="L542" s="24"/>
      <c r="M542" s="44" t="str">
        <f t="shared" si="782"/>
        <v/>
      </c>
      <c r="N542" s="26" t="str">
        <f t="shared" si="732"/>
        <v/>
      </c>
      <c r="O542" s="26" t="str">
        <f t="shared" si="733"/>
        <v/>
      </c>
      <c r="P542" s="26" t="str">
        <f t="shared" si="734"/>
        <v/>
      </c>
      <c r="Q542" s="26">
        <f t="shared" si="735"/>
        <v>0</v>
      </c>
      <c r="R542" s="26">
        <f t="shared" si="736"/>
        <v>0</v>
      </c>
      <c r="S542" s="26">
        <f t="shared" si="737"/>
        <v>0</v>
      </c>
      <c r="T542" s="26" t="str">
        <f t="shared" si="738"/>
        <v/>
      </c>
      <c r="U542" s="26" t="str">
        <f t="shared" si="739"/>
        <v/>
      </c>
      <c r="V542" s="26" t="str">
        <f t="shared" si="740"/>
        <v/>
      </c>
      <c r="W542" s="27" t="str">
        <f t="shared" si="741"/>
        <v/>
      </c>
      <c r="X542" s="27" t="str">
        <f t="shared" si="742"/>
        <v/>
      </c>
      <c r="Y542" s="28" t="str">
        <f t="shared" si="743"/>
        <v/>
      </c>
      <c r="Z542" s="27" t="str">
        <f t="shared" si="744"/>
        <v/>
      </c>
      <c r="AA542" s="27" t="str">
        <f t="shared" si="745"/>
        <v/>
      </c>
      <c r="AB542" s="27" t="str">
        <f t="shared" si="746"/>
        <v/>
      </c>
      <c r="AC542" s="27" t="str">
        <f t="shared" si="747"/>
        <v/>
      </c>
      <c r="AD542" s="29" t="str">
        <f t="shared" si="748"/>
        <v/>
      </c>
      <c r="AE542" s="30" t="str">
        <f t="shared" si="749"/>
        <v/>
      </c>
      <c r="AG542" s="4"/>
      <c r="AH542" s="31" t="e">
        <f t="shared" si="750"/>
        <v>#VALUE!</v>
      </c>
      <c r="AI542" s="31" t="e">
        <f t="shared" si="751"/>
        <v>#VALUE!</v>
      </c>
      <c r="AJ542" s="31" t="e">
        <f t="shared" si="752"/>
        <v>#VALUE!</v>
      </c>
      <c r="AK542" s="31" t="e">
        <f t="shared" si="753"/>
        <v>#VALUE!</v>
      </c>
      <c r="AL542" s="31" t="e">
        <f t="shared" si="754"/>
        <v>#VALUE!</v>
      </c>
      <c r="AM542" s="31" t="e">
        <f t="shared" si="755"/>
        <v>#VALUE!</v>
      </c>
      <c r="AN542" s="32" t="str">
        <f t="shared" si="756"/>
        <v/>
      </c>
      <c r="AO542" s="27" t="str">
        <f t="shared" si="757"/>
        <v/>
      </c>
      <c r="AP542" s="27" t="str">
        <f t="shared" si="758"/>
        <v/>
      </c>
      <c r="AQ542" s="27">
        <f t="shared" si="759"/>
        <v>0</v>
      </c>
      <c r="AR542" s="27">
        <f t="shared" si="760"/>
        <v>0</v>
      </c>
      <c r="AS542" s="33">
        <f t="shared" si="761"/>
        <v>0</v>
      </c>
    </row>
    <row r="543" spans="2:45" hidden="1" x14ac:dyDescent="0.25">
      <c r="B543" s="34">
        <f t="shared" ref="B543:F543" si="811">IF(B542="","",B542)</f>
        <v>1720</v>
      </c>
      <c r="C543" s="26">
        <f t="shared" si="811"/>
        <v>18</v>
      </c>
      <c r="D543" s="26">
        <f t="shared" si="811"/>
        <v>500</v>
      </c>
      <c r="E543" s="26">
        <f t="shared" si="811"/>
        <v>0</v>
      </c>
      <c r="F543" s="26">
        <f t="shared" si="811"/>
        <v>-1150</v>
      </c>
      <c r="G543" s="24"/>
      <c r="H543" s="24"/>
      <c r="I543" s="24"/>
      <c r="J543" s="24"/>
      <c r="K543" s="24"/>
      <c r="L543" s="24"/>
      <c r="M543" s="44" t="str">
        <f t="shared" si="782"/>
        <v/>
      </c>
      <c r="N543" s="26" t="str">
        <f t="shared" si="732"/>
        <v/>
      </c>
      <c r="O543" s="26" t="str">
        <f t="shared" si="733"/>
        <v/>
      </c>
      <c r="P543" s="26" t="str">
        <f t="shared" si="734"/>
        <v/>
      </c>
      <c r="Q543" s="26">
        <f t="shared" si="735"/>
        <v>0</v>
      </c>
      <c r="R543" s="26">
        <f t="shared" si="736"/>
        <v>0</v>
      </c>
      <c r="S543" s="26">
        <f t="shared" si="737"/>
        <v>0</v>
      </c>
      <c r="T543" s="26" t="str">
        <f t="shared" si="738"/>
        <v/>
      </c>
      <c r="U543" s="26" t="str">
        <f t="shared" si="739"/>
        <v/>
      </c>
      <c r="V543" s="26" t="str">
        <f t="shared" si="740"/>
        <v/>
      </c>
      <c r="W543" s="27" t="str">
        <f t="shared" si="741"/>
        <v/>
      </c>
      <c r="X543" s="27" t="str">
        <f t="shared" si="742"/>
        <v/>
      </c>
      <c r="Y543" s="28" t="str">
        <f t="shared" si="743"/>
        <v/>
      </c>
      <c r="Z543" s="27" t="str">
        <f t="shared" si="744"/>
        <v/>
      </c>
      <c r="AA543" s="27" t="str">
        <f t="shared" si="745"/>
        <v/>
      </c>
      <c r="AB543" s="27" t="str">
        <f t="shared" si="746"/>
        <v/>
      </c>
      <c r="AC543" s="27" t="str">
        <f t="shared" si="747"/>
        <v/>
      </c>
      <c r="AD543" s="29" t="str">
        <f t="shared" si="748"/>
        <v/>
      </c>
      <c r="AE543" s="30" t="str">
        <f t="shared" si="749"/>
        <v/>
      </c>
      <c r="AG543" s="4"/>
      <c r="AH543" s="31" t="e">
        <f t="shared" si="750"/>
        <v>#VALUE!</v>
      </c>
      <c r="AI543" s="31" t="e">
        <f t="shared" si="751"/>
        <v>#VALUE!</v>
      </c>
      <c r="AJ543" s="31" t="e">
        <f t="shared" si="752"/>
        <v>#VALUE!</v>
      </c>
      <c r="AK543" s="31" t="e">
        <f t="shared" si="753"/>
        <v>#VALUE!</v>
      </c>
      <c r="AL543" s="31" t="e">
        <f t="shared" si="754"/>
        <v>#VALUE!</v>
      </c>
      <c r="AM543" s="31" t="e">
        <f t="shared" si="755"/>
        <v>#VALUE!</v>
      </c>
      <c r="AN543" s="32" t="str">
        <f t="shared" si="756"/>
        <v/>
      </c>
      <c r="AO543" s="27" t="str">
        <f t="shared" si="757"/>
        <v/>
      </c>
      <c r="AP543" s="27" t="str">
        <f t="shared" si="758"/>
        <v/>
      </c>
      <c r="AQ543" s="27">
        <f t="shared" si="759"/>
        <v>0</v>
      </c>
      <c r="AR543" s="27">
        <f t="shared" si="760"/>
        <v>0</v>
      </c>
      <c r="AS543" s="33">
        <f t="shared" si="761"/>
        <v>0</v>
      </c>
    </row>
    <row r="544" spans="2:45" hidden="1" x14ac:dyDescent="0.25">
      <c r="B544" s="34">
        <f t="shared" ref="B544:F544" si="812">IF(B543="","",B543)</f>
        <v>1720</v>
      </c>
      <c r="C544" s="26">
        <f t="shared" si="812"/>
        <v>18</v>
      </c>
      <c r="D544" s="26">
        <f t="shared" si="812"/>
        <v>500</v>
      </c>
      <c r="E544" s="26">
        <f t="shared" si="812"/>
        <v>0</v>
      </c>
      <c r="F544" s="26">
        <f t="shared" si="812"/>
        <v>-1150</v>
      </c>
      <c r="G544" s="24"/>
      <c r="H544" s="24"/>
      <c r="I544" s="24"/>
      <c r="J544" s="24"/>
      <c r="K544" s="24"/>
      <c r="L544" s="24"/>
      <c r="M544" s="44" t="str">
        <f t="shared" si="782"/>
        <v/>
      </c>
      <c r="N544" s="26" t="str">
        <f t="shared" si="732"/>
        <v/>
      </c>
      <c r="O544" s="26" t="str">
        <f t="shared" si="733"/>
        <v/>
      </c>
      <c r="P544" s="26" t="str">
        <f t="shared" si="734"/>
        <v/>
      </c>
      <c r="Q544" s="26">
        <f t="shared" si="735"/>
        <v>0</v>
      </c>
      <c r="R544" s="26">
        <f t="shared" si="736"/>
        <v>0</v>
      </c>
      <c r="S544" s="26">
        <f t="shared" si="737"/>
        <v>0</v>
      </c>
      <c r="T544" s="26" t="str">
        <f t="shared" si="738"/>
        <v/>
      </c>
      <c r="U544" s="26" t="str">
        <f t="shared" si="739"/>
        <v/>
      </c>
      <c r="V544" s="26" t="str">
        <f t="shared" si="740"/>
        <v/>
      </c>
      <c r="W544" s="27" t="str">
        <f t="shared" si="741"/>
        <v/>
      </c>
      <c r="X544" s="27" t="str">
        <f t="shared" si="742"/>
        <v/>
      </c>
      <c r="Y544" s="28" t="str">
        <f t="shared" si="743"/>
        <v/>
      </c>
      <c r="Z544" s="27" t="str">
        <f t="shared" si="744"/>
        <v/>
      </c>
      <c r="AA544" s="27" t="str">
        <f t="shared" si="745"/>
        <v/>
      </c>
      <c r="AB544" s="27" t="str">
        <f t="shared" si="746"/>
        <v/>
      </c>
      <c r="AC544" s="27" t="str">
        <f t="shared" si="747"/>
        <v/>
      </c>
      <c r="AD544" s="29" t="str">
        <f t="shared" si="748"/>
        <v/>
      </c>
      <c r="AE544" s="30" t="str">
        <f t="shared" si="749"/>
        <v/>
      </c>
      <c r="AG544" s="4"/>
      <c r="AH544" s="31" t="e">
        <f t="shared" si="750"/>
        <v>#VALUE!</v>
      </c>
      <c r="AI544" s="31" t="e">
        <f t="shared" si="751"/>
        <v>#VALUE!</v>
      </c>
      <c r="AJ544" s="31" t="e">
        <f t="shared" si="752"/>
        <v>#VALUE!</v>
      </c>
      <c r="AK544" s="31" t="e">
        <f t="shared" si="753"/>
        <v>#VALUE!</v>
      </c>
      <c r="AL544" s="31" t="e">
        <f t="shared" si="754"/>
        <v>#VALUE!</v>
      </c>
      <c r="AM544" s="31" t="e">
        <f t="shared" si="755"/>
        <v>#VALUE!</v>
      </c>
      <c r="AN544" s="32" t="str">
        <f t="shared" si="756"/>
        <v/>
      </c>
      <c r="AO544" s="27" t="str">
        <f t="shared" si="757"/>
        <v/>
      </c>
      <c r="AP544" s="27" t="str">
        <f t="shared" si="758"/>
        <v/>
      </c>
      <c r="AQ544" s="27">
        <f t="shared" si="759"/>
        <v>0</v>
      </c>
      <c r="AR544" s="27">
        <f t="shared" si="760"/>
        <v>0</v>
      </c>
      <c r="AS544" s="33">
        <f t="shared" si="761"/>
        <v>0</v>
      </c>
    </row>
    <row r="545" spans="2:45" hidden="1" x14ac:dyDescent="0.25">
      <c r="B545" s="34">
        <f t="shared" ref="B545:F545" si="813">IF(B544="","",B544)</f>
        <v>1720</v>
      </c>
      <c r="C545" s="26">
        <f t="shared" si="813"/>
        <v>18</v>
      </c>
      <c r="D545" s="26">
        <f t="shared" si="813"/>
        <v>500</v>
      </c>
      <c r="E545" s="26">
        <f t="shared" si="813"/>
        <v>0</v>
      </c>
      <c r="F545" s="26">
        <f t="shared" si="813"/>
        <v>-1150</v>
      </c>
      <c r="G545" s="24"/>
      <c r="H545" s="24"/>
      <c r="I545" s="24"/>
      <c r="J545" s="24"/>
      <c r="K545" s="24"/>
      <c r="L545" s="24"/>
      <c r="M545" s="44" t="str">
        <f t="shared" si="782"/>
        <v/>
      </c>
      <c r="N545" s="26" t="str">
        <f t="shared" si="732"/>
        <v/>
      </c>
      <c r="O545" s="26" t="str">
        <f t="shared" si="733"/>
        <v/>
      </c>
      <c r="P545" s="26" t="str">
        <f t="shared" si="734"/>
        <v/>
      </c>
      <c r="Q545" s="26">
        <f t="shared" si="735"/>
        <v>0</v>
      </c>
      <c r="R545" s="26">
        <f t="shared" si="736"/>
        <v>0</v>
      </c>
      <c r="S545" s="26">
        <f t="shared" si="737"/>
        <v>0</v>
      </c>
      <c r="T545" s="26" t="str">
        <f t="shared" si="738"/>
        <v/>
      </c>
      <c r="U545" s="26" t="str">
        <f t="shared" si="739"/>
        <v/>
      </c>
      <c r="V545" s="26" t="str">
        <f t="shared" si="740"/>
        <v/>
      </c>
      <c r="W545" s="27" t="str">
        <f t="shared" si="741"/>
        <v/>
      </c>
      <c r="X545" s="27" t="str">
        <f t="shared" si="742"/>
        <v/>
      </c>
      <c r="Y545" s="28" t="str">
        <f t="shared" si="743"/>
        <v/>
      </c>
      <c r="Z545" s="27" t="str">
        <f t="shared" si="744"/>
        <v/>
      </c>
      <c r="AA545" s="27" t="str">
        <f t="shared" si="745"/>
        <v/>
      </c>
      <c r="AB545" s="27" t="str">
        <f t="shared" si="746"/>
        <v/>
      </c>
      <c r="AC545" s="27" t="str">
        <f t="shared" si="747"/>
        <v/>
      </c>
      <c r="AD545" s="29" t="str">
        <f t="shared" si="748"/>
        <v/>
      </c>
      <c r="AE545" s="30" t="str">
        <f t="shared" si="749"/>
        <v/>
      </c>
      <c r="AG545" s="4"/>
      <c r="AH545" s="31" t="e">
        <f t="shared" si="750"/>
        <v>#VALUE!</v>
      </c>
      <c r="AI545" s="31" t="e">
        <f t="shared" si="751"/>
        <v>#VALUE!</v>
      </c>
      <c r="AJ545" s="31" t="e">
        <f t="shared" si="752"/>
        <v>#VALUE!</v>
      </c>
      <c r="AK545" s="31" t="e">
        <f t="shared" si="753"/>
        <v>#VALUE!</v>
      </c>
      <c r="AL545" s="31" t="e">
        <f t="shared" si="754"/>
        <v>#VALUE!</v>
      </c>
      <c r="AM545" s="31" t="e">
        <f t="shared" si="755"/>
        <v>#VALUE!</v>
      </c>
      <c r="AN545" s="32" t="str">
        <f t="shared" si="756"/>
        <v/>
      </c>
      <c r="AO545" s="27" t="str">
        <f t="shared" si="757"/>
        <v/>
      </c>
      <c r="AP545" s="27" t="str">
        <f t="shared" si="758"/>
        <v/>
      </c>
      <c r="AQ545" s="27">
        <f t="shared" si="759"/>
        <v>0</v>
      </c>
      <c r="AR545" s="27">
        <f t="shared" si="760"/>
        <v>0</v>
      </c>
      <c r="AS545" s="33">
        <f t="shared" si="761"/>
        <v>0</v>
      </c>
    </row>
    <row r="546" spans="2:45" hidden="1" x14ac:dyDescent="0.25">
      <c r="B546" s="34">
        <f t="shared" ref="B546:F546" si="814">IF(B545="","",B545)</f>
        <v>1720</v>
      </c>
      <c r="C546" s="26">
        <f t="shared" si="814"/>
        <v>18</v>
      </c>
      <c r="D546" s="26">
        <f t="shared" si="814"/>
        <v>500</v>
      </c>
      <c r="E546" s="26">
        <f t="shared" si="814"/>
        <v>0</v>
      </c>
      <c r="F546" s="26">
        <f t="shared" si="814"/>
        <v>-1150</v>
      </c>
      <c r="G546" s="24"/>
      <c r="H546" s="24"/>
      <c r="I546" s="24"/>
      <c r="J546" s="24"/>
      <c r="K546" s="24"/>
      <c r="L546" s="24"/>
      <c r="M546" s="44" t="str">
        <f t="shared" ref="M546:M575" si="815">IF(B546="","",IF(M390="","",M390))</f>
        <v/>
      </c>
      <c r="N546" s="26" t="str">
        <f t="shared" si="732"/>
        <v/>
      </c>
      <c r="O546" s="26" t="str">
        <f t="shared" si="733"/>
        <v/>
      </c>
      <c r="P546" s="26" t="str">
        <f t="shared" si="734"/>
        <v/>
      </c>
      <c r="Q546" s="26">
        <f t="shared" si="735"/>
        <v>0</v>
      </c>
      <c r="R546" s="26">
        <f t="shared" si="736"/>
        <v>0</v>
      </c>
      <c r="S546" s="26">
        <f t="shared" si="737"/>
        <v>0</v>
      </c>
      <c r="T546" s="26" t="str">
        <f t="shared" si="738"/>
        <v/>
      </c>
      <c r="U546" s="26" t="str">
        <f t="shared" si="739"/>
        <v/>
      </c>
      <c r="V546" s="26" t="str">
        <f t="shared" si="740"/>
        <v/>
      </c>
      <c r="W546" s="27" t="str">
        <f t="shared" si="741"/>
        <v/>
      </c>
      <c r="X546" s="27" t="str">
        <f t="shared" si="742"/>
        <v/>
      </c>
      <c r="Y546" s="28" t="str">
        <f t="shared" si="743"/>
        <v/>
      </c>
      <c r="Z546" s="27" t="str">
        <f t="shared" si="744"/>
        <v/>
      </c>
      <c r="AA546" s="27" t="str">
        <f t="shared" si="745"/>
        <v/>
      </c>
      <c r="AB546" s="27" t="str">
        <f t="shared" si="746"/>
        <v/>
      </c>
      <c r="AC546" s="27" t="str">
        <f t="shared" si="747"/>
        <v/>
      </c>
      <c r="AD546" s="29" t="str">
        <f t="shared" si="748"/>
        <v/>
      </c>
      <c r="AE546" s="30" t="str">
        <f t="shared" si="749"/>
        <v/>
      </c>
      <c r="AG546" s="4"/>
      <c r="AH546" s="31" t="e">
        <f t="shared" si="750"/>
        <v>#VALUE!</v>
      </c>
      <c r="AI546" s="31" t="e">
        <f t="shared" si="751"/>
        <v>#VALUE!</v>
      </c>
      <c r="AJ546" s="31" t="e">
        <f t="shared" si="752"/>
        <v>#VALUE!</v>
      </c>
      <c r="AK546" s="31" t="e">
        <f t="shared" si="753"/>
        <v>#VALUE!</v>
      </c>
      <c r="AL546" s="31" t="e">
        <f t="shared" si="754"/>
        <v>#VALUE!</v>
      </c>
      <c r="AM546" s="31" t="e">
        <f t="shared" si="755"/>
        <v>#VALUE!</v>
      </c>
      <c r="AN546" s="32" t="str">
        <f t="shared" si="756"/>
        <v/>
      </c>
      <c r="AO546" s="27" t="str">
        <f t="shared" si="757"/>
        <v/>
      </c>
      <c r="AP546" s="27" t="str">
        <f t="shared" si="758"/>
        <v/>
      </c>
      <c r="AQ546" s="27">
        <f t="shared" si="759"/>
        <v>0</v>
      </c>
      <c r="AR546" s="27">
        <f t="shared" si="760"/>
        <v>0</v>
      </c>
      <c r="AS546" s="33">
        <f t="shared" si="761"/>
        <v>0</v>
      </c>
    </row>
    <row r="547" spans="2:45" hidden="1" x14ac:dyDescent="0.25">
      <c r="B547" s="34">
        <f t="shared" ref="B547:F547" si="816">IF(B546="","",B546)</f>
        <v>1720</v>
      </c>
      <c r="C547" s="26">
        <f t="shared" si="816"/>
        <v>18</v>
      </c>
      <c r="D547" s="26">
        <f t="shared" si="816"/>
        <v>500</v>
      </c>
      <c r="E547" s="26">
        <f t="shared" si="816"/>
        <v>0</v>
      </c>
      <c r="F547" s="26">
        <f t="shared" si="816"/>
        <v>-1150</v>
      </c>
      <c r="G547" s="24"/>
      <c r="H547" s="24"/>
      <c r="I547" s="24"/>
      <c r="J547" s="24"/>
      <c r="K547" s="24"/>
      <c r="L547" s="24"/>
      <c r="M547" s="44" t="str">
        <f t="shared" si="815"/>
        <v/>
      </c>
      <c r="N547" s="26" t="str">
        <f t="shared" ref="N547:N610" si="817">IF($J$7="NO",IF(M547="","",IF($E$7="+X",D547,IF($E$7="-X",-D547,IF($E$7="+Z",F547,IF($E$7="-Z",-F547))))),IF(M547="","",IF($E$7="+X",D547,IF($E$7="-X",-D547,IF($E$7="+Y",E547,IF($E$7="-Y",-E547))))))</f>
        <v/>
      </c>
      <c r="O547" s="26" t="str">
        <f t="shared" ref="O547:O610" si="818">IF($J$7="NO",IF(M547="","",E547),IF(M547="","",F547))</f>
        <v/>
      </c>
      <c r="P547" s="26" t="str">
        <f t="shared" ref="P547:P610" si="819">IF($J$7="NO",IF(M547="","",IF($E$7="+X",F547,IF($E$7="-X",-F547,IF($E$7="+Z",-D547,IF($E$7="-Z",D547))))),IF(M547="","",IF($E$7="+X",-E547,IF($E$7="-X",E547,IF($E$7="+Y",D547,IF($E$7="-Y",-D547))))))</f>
        <v/>
      </c>
      <c r="Q547" s="26">
        <f t="shared" ref="Q547:Q610" si="820">IF($J$7="NO",IF(M547="",0,IF($E$7="+X",G547,IF($E$7="-X",-G547,IF($E$7="+Z",I547,IF($E$7="-Z",-I547))))),IF(M547="",0,IF($E$7="+X",G547,IF($E$7="-X",-G547,IF($E$7="+Y",H547,IF($E$7="-Y",-H547))))))</f>
        <v>0</v>
      </c>
      <c r="R547" s="26">
        <f t="shared" ref="R547:R610" si="821">IF($J$7="NO",IF(M547="",0,H547),IF(M547="",0,I547))</f>
        <v>0</v>
      </c>
      <c r="S547" s="26">
        <f t="shared" ref="S547:S610" si="822">IF($J$7="NO",IF(M547="",0,IF($E$7="+X",I547,IF($E$7="-X",-I547,IF($E$7="+Z",-G547,IF($E$7="-Z",G547))))),IF(M547="",0,IF($E$7="+X",-H547,IF($E$7="-X",H547,IF($E$7="+Y",G547,IF($E$7="-Y",-G547))))))</f>
        <v>0</v>
      </c>
      <c r="T547" s="26" t="str">
        <f t="shared" ref="T547:T610" si="823">IF($J$7="NO",IF(M547="","",IF($E$7="+X",J547,IF($E$7="-X",-J547,IF($E$7="+Z",L547,IF($E$7="-Z",-L547))))),IF(M547="","",IF($E$7="+X",J547,IF($E$7="-X",-J547,IF($E$7="+Y",K547,IF($E$7="-Y",-K547))))))</f>
        <v/>
      </c>
      <c r="U547" s="26" t="str">
        <f t="shared" ref="U547:U610" si="824">IF($J$7="NO",IF(M547="","",K547),IF(M547="","",L547))</f>
        <v/>
      </c>
      <c r="V547" s="26" t="str">
        <f t="shared" ref="V547:V610" si="825">IF($J$7="NO",IF(M547="","",IF($E$7="+X",L547,IF($E$7="-X",-L547,IF($E$7="+Z",-J547,IF($E$7="-Z",J547))))),IF(M547="","",IF($E$7="+X",-K547,IF($E$7="-X",K547,IF($E$7="+Y",J547,IF($E$7="-Y",-J547))))))</f>
        <v/>
      </c>
      <c r="W547" s="27" t="str">
        <f t="shared" ref="W547:W610" si="826">IF(M547="","",SQRT(Q547^2+R547^2+S547^2))</f>
        <v/>
      </c>
      <c r="X547" s="27" t="str">
        <f t="shared" ref="X547:X610" si="827">IF(M547="","",SQRT(T547^2+U547^2+V547^2))</f>
        <v/>
      </c>
      <c r="Y547" s="28" t="str">
        <f t="shared" ref="Y547:Y610" si="828">IF(M547="","",IF($C547&lt;=8,$C547,(16+$C547)/3))</f>
        <v/>
      </c>
      <c r="Z547" s="27" t="str">
        <f t="shared" ref="Z547:Z610" si="829">IF(M547="","",W547*0.224808)</f>
        <v/>
      </c>
      <c r="AA547" s="27" t="str">
        <f t="shared" ref="AA547:AA610" si="830">IF(M547="","",X547*0.737562)</f>
        <v/>
      </c>
      <c r="AB547" s="27" t="str">
        <f t="shared" ref="AB547:AB610" si="831">IF(M547="","",3*Z547+AA547)</f>
        <v/>
      </c>
      <c r="AC547" s="27" t="str">
        <f t="shared" ref="AC547:AC610" si="832">IF(M547="","",IF(M547="","",500*Y547*$O$7))</f>
        <v/>
      </c>
      <c r="AD547" s="29" t="str">
        <f t="shared" ref="AD547:AD610" si="833">IF(M547="","",IF(M547="","",AB547/AC547)*100)</f>
        <v/>
      </c>
      <c r="AE547" s="30" t="str">
        <f t="shared" ref="AE547:AE610" si="834">IF(M547="","",IF(AD547&lt;=100, "PASS","FAIL"))</f>
        <v/>
      </c>
      <c r="AG547" s="4"/>
      <c r="AH547" s="31" t="e">
        <f t="shared" ref="AH547:AH610" si="835">Q547*O547/1000*VLOOKUP(_xlfn.CONCAT($AH$13,IF(Q547&gt;0,"+","-"),IF(O547&gt;0,"+","-")),$AV:$BA,6,0)</f>
        <v>#VALUE!</v>
      </c>
      <c r="AI547" s="31" t="e">
        <f t="shared" ref="AI547:AI610" si="836">Q547*P547/1000*VLOOKUP(_xlfn.CONCAT($AI$13,IF(Q547&gt;0,"+","-"),IF(P547&gt;0,"+","-")),$AV:$BA,6,0)</f>
        <v>#VALUE!</v>
      </c>
      <c r="AJ547" s="31" t="e">
        <f t="shared" ref="AJ547:AJ610" si="837">R547*N547/1000*VLOOKUP(_xlfn.CONCAT($AJ$13,IF(R547&gt;0,"+","-"),IF(N547&gt;0,"+","-")),$AV:$BA,6,0)</f>
        <v>#VALUE!</v>
      </c>
      <c r="AK547" s="31" t="e">
        <f t="shared" ref="AK547:AK610" si="838">R547*P547/1000*VLOOKUP(_xlfn.CONCAT($AK$13,IF(R547&gt;0,"+","-"),IF(P547&gt;0,"+","-")),$AV:$BA,6,0)</f>
        <v>#VALUE!</v>
      </c>
      <c r="AL547" s="31" t="e">
        <f t="shared" ref="AL547:AL610" si="839">S547*N547/1000*VLOOKUP(_xlfn.CONCAT($AL$13,IF(S547&gt;0,"+","-"),IF(N547&gt;0,"+","-")),$AV:$BA,6,0)</f>
        <v>#VALUE!</v>
      </c>
      <c r="AM547" s="31" t="e">
        <f t="shared" ref="AM547:AM610" si="840">S547*O547/1000*VLOOKUP(_xlfn.CONCAT($AM$13,IF(S547&gt;0,"+","-"),IF(O547&gt;0,"+","-")),$AV:$BA,6,0)</f>
        <v>#VALUE!</v>
      </c>
      <c r="AN547" s="32" t="str">
        <f t="shared" ref="AN547:AN610" si="841">IF($M547="","",AK547+AM547)</f>
        <v/>
      </c>
      <c r="AO547" s="27" t="str">
        <f t="shared" ref="AO547:AO610" si="842">IF($M547="","",AI547+AL547)</f>
        <v/>
      </c>
      <c r="AP547" s="27" t="str">
        <f t="shared" ref="AP547:AP610" si="843">IF($M547="","",AH547+AJ547)</f>
        <v/>
      </c>
      <c r="AQ547" s="27">
        <f t="shared" ref="AQ547:AQ610" si="844">IF(M547="",0,AN547+T547)</f>
        <v>0</v>
      </c>
      <c r="AR547" s="27">
        <f t="shared" ref="AR547:AR610" si="845">IF(M547="",0,AO547+U547)</f>
        <v>0</v>
      </c>
      <c r="AS547" s="33">
        <f t="shared" ref="AS547:AS610" si="846">IF(M547="",0,AP547+V547)</f>
        <v>0</v>
      </c>
    </row>
    <row r="548" spans="2:45" hidden="1" x14ac:dyDescent="0.25">
      <c r="B548" s="34">
        <f>IF(B547="","",B547)</f>
        <v>1720</v>
      </c>
      <c r="C548" s="26">
        <f t="shared" ref="C548:F548" si="847">IF(C547="","",C547)</f>
        <v>18</v>
      </c>
      <c r="D548" s="26">
        <f t="shared" si="847"/>
        <v>500</v>
      </c>
      <c r="E548" s="26">
        <f t="shared" si="847"/>
        <v>0</v>
      </c>
      <c r="F548" s="26">
        <f t="shared" si="847"/>
        <v>-1150</v>
      </c>
      <c r="G548" s="24"/>
      <c r="H548" s="24"/>
      <c r="I548" s="24"/>
      <c r="J548" s="24"/>
      <c r="K548" s="24"/>
      <c r="L548" s="24"/>
      <c r="M548" s="44" t="str">
        <f t="shared" si="815"/>
        <v/>
      </c>
      <c r="N548" s="26" t="str">
        <f t="shared" si="817"/>
        <v/>
      </c>
      <c r="O548" s="26" t="str">
        <f t="shared" si="818"/>
        <v/>
      </c>
      <c r="P548" s="26" t="str">
        <f t="shared" si="819"/>
        <v/>
      </c>
      <c r="Q548" s="26">
        <f t="shared" si="820"/>
        <v>0</v>
      </c>
      <c r="R548" s="26">
        <f t="shared" si="821"/>
        <v>0</v>
      </c>
      <c r="S548" s="26">
        <f t="shared" si="822"/>
        <v>0</v>
      </c>
      <c r="T548" s="26" t="str">
        <f t="shared" si="823"/>
        <v/>
      </c>
      <c r="U548" s="26" t="str">
        <f t="shared" si="824"/>
        <v/>
      </c>
      <c r="V548" s="26" t="str">
        <f t="shared" si="825"/>
        <v/>
      </c>
      <c r="W548" s="27" t="str">
        <f t="shared" si="826"/>
        <v/>
      </c>
      <c r="X548" s="27" t="str">
        <f t="shared" si="827"/>
        <v/>
      </c>
      <c r="Y548" s="28" t="str">
        <f t="shared" si="828"/>
        <v/>
      </c>
      <c r="Z548" s="27" t="str">
        <f t="shared" si="829"/>
        <v/>
      </c>
      <c r="AA548" s="27" t="str">
        <f t="shared" si="830"/>
        <v/>
      </c>
      <c r="AB548" s="27" t="str">
        <f t="shared" si="831"/>
        <v/>
      </c>
      <c r="AC548" s="27" t="str">
        <f t="shared" si="832"/>
        <v/>
      </c>
      <c r="AD548" s="29" t="str">
        <f t="shared" si="833"/>
        <v/>
      </c>
      <c r="AE548" s="30" t="str">
        <f t="shared" si="834"/>
        <v/>
      </c>
      <c r="AG548" s="4"/>
      <c r="AH548" s="31" t="e">
        <f t="shared" si="835"/>
        <v>#VALUE!</v>
      </c>
      <c r="AI548" s="31" t="e">
        <f t="shared" si="836"/>
        <v>#VALUE!</v>
      </c>
      <c r="AJ548" s="31" t="e">
        <f t="shared" si="837"/>
        <v>#VALUE!</v>
      </c>
      <c r="AK548" s="31" t="e">
        <f t="shared" si="838"/>
        <v>#VALUE!</v>
      </c>
      <c r="AL548" s="31" t="e">
        <f t="shared" si="839"/>
        <v>#VALUE!</v>
      </c>
      <c r="AM548" s="31" t="e">
        <f t="shared" si="840"/>
        <v>#VALUE!</v>
      </c>
      <c r="AN548" s="32" t="str">
        <f t="shared" si="841"/>
        <v/>
      </c>
      <c r="AO548" s="27" t="str">
        <f t="shared" si="842"/>
        <v/>
      </c>
      <c r="AP548" s="27" t="str">
        <f t="shared" si="843"/>
        <v/>
      </c>
      <c r="AQ548" s="27">
        <f t="shared" si="844"/>
        <v>0</v>
      </c>
      <c r="AR548" s="27">
        <f t="shared" si="845"/>
        <v>0</v>
      </c>
      <c r="AS548" s="33">
        <f t="shared" si="846"/>
        <v>0</v>
      </c>
    </row>
    <row r="549" spans="2:45" hidden="1" x14ac:dyDescent="0.25">
      <c r="B549" s="34">
        <f t="shared" ref="B549:F549" si="848">IF(B548="","",B548)</f>
        <v>1720</v>
      </c>
      <c r="C549" s="26">
        <f t="shared" si="848"/>
        <v>18</v>
      </c>
      <c r="D549" s="26">
        <f t="shared" si="848"/>
        <v>500</v>
      </c>
      <c r="E549" s="26">
        <f t="shared" si="848"/>
        <v>0</v>
      </c>
      <c r="F549" s="26">
        <f t="shared" si="848"/>
        <v>-1150</v>
      </c>
      <c r="G549" s="24"/>
      <c r="H549" s="24"/>
      <c r="I549" s="24"/>
      <c r="J549" s="24"/>
      <c r="K549" s="24"/>
      <c r="L549" s="24"/>
      <c r="M549" s="44" t="str">
        <f t="shared" si="815"/>
        <v/>
      </c>
      <c r="N549" s="26" t="str">
        <f t="shared" si="817"/>
        <v/>
      </c>
      <c r="O549" s="26" t="str">
        <f t="shared" si="818"/>
        <v/>
      </c>
      <c r="P549" s="26" t="str">
        <f t="shared" si="819"/>
        <v/>
      </c>
      <c r="Q549" s="26">
        <f t="shared" si="820"/>
        <v>0</v>
      </c>
      <c r="R549" s="26">
        <f t="shared" si="821"/>
        <v>0</v>
      </c>
      <c r="S549" s="26">
        <f t="shared" si="822"/>
        <v>0</v>
      </c>
      <c r="T549" s="26" t="str">
        <f t="shared" si="823"/>
        <v/>
      </c>
      <c r="U549" s="26" t="str">
        <f t="shared" si="824"/>
        <v/>
      </c>
      <c r="V549" s="26" t="str">
        <f t="shared" si="825"/>
        <v/>
      </c>
      <c r="W549" s="27" t="str">
        <f t="shared" si="826"/>
        <v/>
      </c>
      <c r="X549" s="27" t="str">
        <f t="shared" si="827"/>
        <v/>
      </c>
      <c r="Y549" s="28" t="str">
        <f t="shared" si="828"/>
        <v/>
      </c>
      <c r="Z549" s="27" t="str">
        <f t="shared" si="829"/>
        <v/>
      </c>
      <c r="AA549" s="27" t="str">
        <f t="shared" si="830"/>
        <v/>
      </c>
      <c r="AB549" s="27" t="str">
        <f t="shared" si="831"/>
        <v/>
      </c>
      <c r="AC549" s="27" t="str">
        <f t="shared" si="832"/>
        <v/>
      </c>
      <c r="AD549" s="29" t="str">
        <f t="shared" si="833"/>
        <v/>
      </c>
      <c r="AE549" s="30" t="str">
        <f t="shared" si="834"/>
        <v/>
      </c>
      <c r="AG549" s="4"/>
      <c r="AH549" s="31" t="e">
        <f t="shared" si="835"/>
        <v>#VALUE!</v>
      </c>
      <c r="AI549" s="31" t="e">
        <f t="shared" si="836"/>
        <v>#VALUE!</v>
      </c>
      <c r="AJ549" s="31" t="e">
        <f t="shared" si="837"/>
        <v>#VALUE!</v>
      </c>
      <c r="AK549" s="31" t="e">
        <f t="shared" si="838"/>
        <v>#VALUE!</v>
      </c>
      <c r="AL549" s="31" t="e">
        <f t="shared" si="839"/>
        <v>#VALUE!</v>
      </c>
      <c r="AM549" s="31" t="e">
        <f t="shared" si="840"/>
        <v>#VALUE!</v>
      </c>
      <c r="AN549" s="32" t="str">
        <f t="shared" si="841"/>
        <v/>
      </c>
      <c r="AO549" s="27" t="str">
        <f t="shared" si="842"/>
        <v/>
      </c>
      <c r="AP549" s="27" t="str">
        <f t="shared" si="843"/>
        <v/>
      </c>
      <c r="AQ549" s="27">
        <f t="shared" si="844"/>
        <v>0</v>
      </c>
      <c r="AR549" s="27">
        <f t="shared" si="845"/>
        <v>0</v>
      </c>
      <c r="AS549" s="33">
        <f t="shared" si="846"/>
        <v>0</v>
      </c>
    </row>
    <row r="550" spans="2:45" hidden="1" x14ac:dyDescent="0.25">
      <c r="B550" s="34">
        <f t="shared" ref="B550:F550" si="849">IF(B549="","",B549)</f>
        <v>1720</v>
      </c>
      <c r="C550" s="26">
        <f t="shared" si="849"/>
        <v>18</v>
      </c>
      <c r="D550" s="26">
        <f t="shared" si="849"/>
        <v>500</v>
      </c>
      <c r="E550" s="26">
        <f t="shared" si="849"/>
        <v>0</v>
      </c>
      <c r="F550" s="26">
        <f t="shared" si="849"/>
        <v>-1150</v>
      </c>
      <c r="G550" s="24"/>
      <c r="H550" s="24"/>
      <c r="I550" s="24"/>
      <c r="J550" s="24"/>
      <c r="K550" s="24"/>
      <c r="L550" s="24"/>
      <c r="M550" s="44" t="str">
        <f t="shared" si="815"/>
        <v/>
      </c>
      <c r="N550" s="26" t="str">
        <f t="shared" si="817"/>
        <v/>
      </c>
      <c r="O550" s="26" t="str">
        <f t="shared" si="818"/>
        <v/>
      </c>
      <c r="P550" s="26" t="str">
        <f t="shared" si="819"/>
        <v/>
      </c>
      <c r="Q550" s="26">
        <f t="shared" si="820"/>
        <v>0</v>
      </c>
      <c r="R550" s="26">
        <f t="shared" si="821"/>
        <v>0</v>
      </c>
      <c r="S550" s="26">
        <f t="shared" si="822"/>
        <v>0</v>
      </c>
      <c r="T550" s="26" t="str">
        <f t="shared" si="823"/>
        <v/>
      </c>
      <c r="U550" s="26" t="str">
        <f t="shared" si="824"/>
        <v/>
      </c>
      <c r="V550" s="26" t="str">
        <f t="shared" si="825"/>
        <v/>
      </c>
      <c r="W550" s="27" t="str">
        <f t="shared" si="826"/>
        <v/>
      </c>
      <c r="X550" s="27" t="str">
        <f t="shared" si="827"/>
        <v/>
      </c>
      <c r="Y550" s="28" t="str">
        <f t="shared" si="828"/>
        <v/>
      </c>
      <c r="Z550" s="27" t="str">
        <f t="shared" si="829"/>
        <v/>
      </c>
      <c r="AA550" s="27" t="str">
        <f t="shared" si="830"/>
        <v/>
      </c>
      <c r="AB550" s="27" t="str">
        <f t="shared" si="831"/>
        <v/>
      </c>
      <c r="AC550" s="27" t="str">
        <f t="shared" si="832"/>
        <v/>
      </c>
      <c r="AD550" s="29" t="str">
        <f t="shared" si="833"/>
        <v/>
      </c>
      <c r="AE550" s="30" t="str">
        <f t="shared" si="834"/>
        <v/>
      </c>
      <c r="AG550" s="4"/>
      <c r="AH550" s="31" t="e">
        <f t="shared" si="835"/>
        <v>#VALUE!</v>
      </c>
      <c r="AI550" s="31" t="e">
        <f t="shared" si="836"/>
        <v>#VALUE!</v>
      </c>
      <c r="AJ550" s="31" t="e">
        <f t="shared" si="837"/>
        <v>#VALUE!</v>
      </c>
      <c r="AK550" s="31" t="e">
        <f t="shared" si="838"/>
        <v>#VALUE!</v>
      </c>
      <c r="AL550" s="31" t="e">
        <f t="shared" si="839"/>
        <v>#VALUE!</v>
      </c>
      <c r="AM550" s="31" t="e">
        <f t="shared" si="840"/>
        <v>#VALUE!</v>
      </c>
      <c r="AN550" s="32" t="str">
        <f t="shared" si="841"/>
        <v/>
      </c>
      <c r="AO550" s="27" t="str">
        <f t="shared" si="842"/>
        <v/>
      </c>
      <c r="AP550" s="27" t="str">
        <f t="shared" si="843"/>
        <v/>
      </c>
      <c r="AQ550" s="27">
        <f t="shared" si="844"/>
        <v>0</v>
      </c>
      <c r="AR550" s="27">
        <f t="shared" si="845"/>
        <v>0</v>
      </c>
      <c r="AS550" s="33">
        <f t="shared" si="846"/>
        <v>0</v>
      </c>
    </row>
    <row r="551" spans="2:45" hidden="1" x14ac:dyDescent="0.25">
      <c r="B551" s="34">
        <f t="shared" ref="B551:F551" si="850">IF(B550="","",B550)</f>
        <v>1720</v>
      </c>
      <c r="C551" s="26">
        <f t="shared" si="850"/>
        <v>18</v>
      </c>
      <c r="D551" s="26">
        <f t="shared" si="850"/>
        <v>500</v>
      </c>
      <c r="E551" s="26">
        <f t="shared" si="850"/>
        <v>0</v>
      </c>
      <c r="F551" s="26">
        <f t="shared" si="850"/>
        <v>-1150</v>
      </c>
      <c r="G551" s="24"/>
      <c r="H551" s="24"/>
      <c r="I551" s="24"/>
      <c r="J551" s="24"/>
      <c r="K551" s="24"/>
      <c r="L551" s="24"/>
      <c r="M551" s="44" t="str">
        <f t="shared" si="815"/>
        <v/>
      </c>
      <c r="N551" s="26" t="str">
        <f t="shared" si="817"/>
        <v/>
      </c>
      <c r="O551" s="26" t="str">
        <f t="shared" si="818"/>
        <v/>
      </c>
      <c r="P551" s="26" t="str">
        <f t="shared" si="819"/>
        <v/>
      </c>
      <c r="Q551" s="26">
        <f t="shared" si="820"/>
        <v>0</v>
      </c>
      <c r="R551" s="26">
        <f t="shared" si="821"/>
        <v>0</v>
      </c>
      <c r="S551" s="26">
        <f t="shared" si="822"/>
        <v>0</v>
      </c>
      <c r="T551" s="26" t="str">
        <f t="shared" si="823"/>
        <v/>
      </c>
      <c r="U551" s="26" t="str">
        <f t="shared" si="824"/>
        <v/>
      </c>
      <c r="V551" s="26" t="str">
        <f t="shared" si="825"/>
        <v/>
      </c>
      <c r="W551" s="27" t="str">
        <f t="shared" si="826"/>
        <v/>
      </c>
      <c r="X551" s="27" t="str">
        <f t="shared" si="827"/>
        <v/>
      </c>
      <c r="Y551" s="28" t="str">
        <f t="shared" si="828"/>
        <v/>
      </c>
      <c r="Z551" s="27" t="str">
        <f t="shared" si="829"/>
        <v/>
      </c>
      <c r="AA551" s="27" t="str">
        <f t="shared" si="830"/>
        <v/>
      </c>
      <c r="AB551" s="27" t="str">
        <f t="shared" si="831"/>
        <v/>
      </c>
      <c r="AC551" s="27" t="str">
        <f t="shared" si="832"/>
        <v/>
      </c>
      <c r="AD551" s="29" t="str">
        <f t="shared" si="833"/>
        <v/>
      </c>
      <c r="AE551" s="30" t="str">
        <f t="shared" si="834"/>
        <v/>
      </c>
      <c r="AG551" s="4"/>
      <c r="AH551" s="31" t="e">
        <f t="shared" si="835"/>
        <v>#VALUE!</v>
      </c>
      <c r="AI551" s="31" t="e">
        <f t="shared" si="836"/>
        <v>#VALUE!</v>
      </c>
      <c r="AJ551" s="31" t="e">
        <f t="shared" si="837"/>
        <v>#VALUE!</v>
      </c>
      <c r="AK551" s="31" t="e">
        <f t="shared" si="838"/>
        <v>#VALUE!</v>
      </c>
      <c r="AL551" s="31" t="e">
        <f t="shared" si="839"/>
        <v>#VALUE!</v>
      </c>
      <c r="AM551" s="31" t="e">
        <f t="shared" si="840"/>
        <v>#VALUE!</v>
      </c>
      <c r="AN551" s="32" t="str">
        <f t="shared" si="841"/>
        <v/>
      </c>
      <c r="AO551" s="27" t="str">
        <f t="shared" si="842"/>
        <v/>
      </c>
      <c r="AP551" s="27" t="str">
        <f t="shared" si="843"/>
        <v/>
      </c>
      <c r="AQ551" s="27">
        <f t="shared" si="844"/>
        <v>0</v>
      </c>
      <c r="AR551" s="27">
        <f t="shared" si="845"/>
        <v>0</v>
      </c>
      <c r="AS551" s="33">
        <f t="shared" si="846"/>
        <v>0</v>
      </c>
    </row>
    <row r="552" spans="2:45" hidden="1" x14ac:dyDescent="0.25">
      <c r="B552" s="34">
        <f t="shared" ref="B552:F552" si="851">IF(B551="","",B551)</f>
        <v>1720</v>
      </c>
      <c r="C552" s="26">
        <f t="shared" si="851"/>
        <v>18</v>
      </c>
      <c r="D552" s="26">
        <f t="shared" si="851"/>
        <v>500</v>
      </c>
      <c r="E552" s="26">
        <f t="shared" si="851"/>
        <v>0</v>
      </c>
      <c r="F552" s="26">
        <f t="shared" si="851"/>
        <v>-1150</v>
      </c>
      <c r="G552" s="24"/>
      <c r="H552" s="24"/>
      <c r="I552" s="24"/>
      <c r="J552" s="24"/>
      <c r="K552" s="24"/>
      <c r="L552" s="24"/>
      <c r="M552" s="44" t="str">
        <f t="shared" si="815"/>
        <v/>
      </c>
      <c r="N552" s="26" t="str">
        <f t="shared" si="817"/>
        <v/>
      </c>
      <c r="O552" s="26" t="str">
        <f t="shared" si="818"/>
        <v/>
      </c>
      <c r="P552" s="26" t="str">
        <f t="shared" si="819"/>
        <v/>
      </c>
      <c r="Q552" s="26">
        <f t="shared" si="820"/>
        <v>0</v>
      </c>
      <c r="R552" s="26">
        <f t="shared" si="821"/>
        <v>0</v>
      </c>
      <c r="S552" s="26">
        <f t="shared" si="822"/>
        <v>0</v>
      </c>
      <c r="T552" s="26" t="str">
        <f t="shared" si="823"/>
        <v/>
      </c>
      <c r="U552" s="26" t="str">
        <f t="shared" si="824"/>
        <v/>
      </c>
      <c r="V552" s="26" t="str">
        <f t="shared" si="825"/>
        <v/>
      </c>
      <c r="W552" s="27" t="str">
        <f t="shared" si="826"/>
        <v/>
      </c>
      <c r="X552" s="27" t="str">
        <f t="shared" si="827"/>
        <v/>
      </c>
      <c r="Y552" s="28" t="str">
        <f t="shared" si="828"/>
        <v/>
      </c>
      <c r="Z552" s="27" t="str">
        <f t="shared" si="829"/>
        <v/>
      </c>
      <c r="AA552" s="27" t="str">
        <f t="shared" si="830"/>
        <v/>
      </c>
      <c r="AB552" s="27" t="str">
        <f t="shared" si="831"/>
        <v/>
      </c>
      <c r="AC552" s="27" t="str">
        <f t="shared" si="832"/>
        <v/>
      </c>
      <c r="AD552" s="29" t="str">
        <f t="shared" si="833"/>
        <v/>
      </c>
      <c r="AE552" s="30" t="str">
        <f t="shared" si="834"/>
        <v/>
      </c>
      <c r="AG552" s="4"/>
      <c r="AH552" s="31" t="e">
        <f t="shared" si="835"/>
        <v>#VALUE!</v>
      </c>
      <c r="AI552" s="31" t="e">
        <f t="shared" si="836"/>
        <v>#VALUE!</v>
      </c>
      <c r="AJ552" s="31" t="e">
        <f t="shared" si="837"/>
        <v>#VALUE!</v>
      </c>
      <c r="AK552" s="31" t="e">
        <f t="shared" si="838"/>
        <v>#VALUE!</v>
      </c>
      <c r="AL552" s="31" t="e">
        <f t="shared" si="839"/>
        <v>#VALUE!</v>
      </c>
      <c r="AM552" s="31" t="e">
        <f t="shared" si="840"/>
        <v>#VALUE!</v>
      </c>
      <c r="AN552" s="32" t="str">
        <f t="shared" si="841"/>
        <v/>
      </c>
      <c r="AO552" s="27" t="str">
        <f t="shared" si="842"/>
        <v/>
      </c>
      <c r="AP552" s="27" t="str">
        <f t="shared" si="843"/>
        <v/>
      </c>
      <c r="AQ552" s="27">
        <f t="shared" si="844"/>
        <v>0</v>
      </c>
      <c r="AR552" s="27">
        <f t="shared" si="845"/>
        <v>0</v>
      </c>
      <c r="AS552" s="33">
        <f t="shared" si="846"/>
        <v>0</v>
      </c>
    </row>
    <row r="553" spans="2:45" hidden="1" x14ac:dyDescent="0.25">
      <c r="B553" s="34">
        <f t="shared" ref="B553:F553" si="852">IF(B552="","",B552)</f>
        <v>1720</v>
      </c>
      <c r="C553" s="26">
        <f t="shared" si="852"/>
        <v>18</v>
      </c>
      <c r="D553" s="26">
        <f t="shared" si="852"/>
        <v>500</v>
      </c>
      <c r="E553" s="26">
        <f t="shared" si="852"/>
        <v>0</v>
      </c>
      <c r="F553" s="26">
        <f t="shared" si="852"/>
        <v>-1150</v>
      </c>
      <c r="G553" s="24"/>
      <c r="H553" s="24"/>
      <c r="I553" s="24"/>
      <c r="J553" s="24"/>
      <c r="K553" s="24"/>
      <c r="L553" s="24"/>
      <c r="M553" s="44" t="str">
        <f t="shared" si="815"/>
        <v/>
      </c>
      <c r="N553" s="26" t="str">
        <f t="shared" si="817"/>
        <v/>
      </c>
      <c r="O553" s="26" t="str">
        <f t="shared" si="818"/>
        <v/>
      </c>
      <c r="P553" s="26" t="str">
        <f t="shared" si="819"/>
        <v/>
      </c>
      <c r="Q553" s="26">
        <f t="shared" si="820"/>
        <v>0</v>
      </c>
      <c r="R553" s="26">
        <f t="shared" si="821"/>
        <v>0</v>
      </c>
      <c r="S553" s="26">
        <f t="shared" si="822"/>
        <v>0</v>
      </c>
      <c r="T553" s="26" t="str">
        <f t="shared" si="823"/>
        <v/>
      </c>
      <c r="U553" s="26" t="str">
        <f t="shared" si="824"/>
        <v/>
      </c>
      <c r="V553" s="26" t="str">
        <f t="shared" si="825"/>
        <v/>
      </c>
      <c r="W553" s="27" t="str">
        <f t="shared" si="826"/>
        <v/>
      </c>
      <c r="X553" s="27" t="str">
        <f t="shared" si="827"/>
        <v/>
      </c>
      <c r="Y553" s="28" t="str">
        <f t="shared" si="828"/>
        <v/>
      </c>
      <c r="Z553" s="27" t="str">
        <f t="shared" si="829"/>
        <v/>
      </c>
      <c r="AA553" s="27" t="str">
        <f t="shared" si="830"/>
        <v/>
      </c>
      <c r="AB553" s="27" t="str">
        <f t="shared" si="831"/>
        <v/>
      </c>
      <c r="AC553" s="27" t="str">
        <f t="shared" si="832"/>
        <v/>
      </c>
      <c r="AD553" s="29" t="str">
        <f t="shared" si="833"/>
        <v/>
      </c>
      <c r="AE553" s="30" t="str">
        <f t="shared" si="834"/>
        <v/>
      </c>
      <c r="AG553" s="4"/>
      <c r="AH553" s="31" t="e">
        <f t="shared" si="835"/>
        <v>#VALUE!</v>
      </c>
      <c r="AI553" s="31" t="e">
        <f t="shared" si="836"/>
        <v>#VALUE!</v>
      </c>
      <c r="AJ553" s="31" t="e">
        <f t="shared" si="837"/>
        <v>#VALUE!</v>
      </c>
      <c r="AK553" s="31" t="e">
        <f t="shared" si="838"/>
        <v>#VALUE!</v>
      </c>
      <c r="AL553" s="31" t="e">
        <f t="shared" si="839"/>
        <v>#VALUE!</v>
      </c>
      <c r="AM553" s="31" t="e">
        <f t="shared" si="840"/>
        <v>#VALUE!</v>
      </c>
      <c r="AN553" s="32" t="str">
        <f t="shared" si="841"/>
        <v/>
      </c>
      <c r="AO553" s="27" t="str">
        <f t="shared" si="842"/>
        <v/>
      </c>
      <c r="AP553" s="27" t="str">
        <f t="shared" si="843"/>
        <v/>
      </c>
      <c r="AQ553" s="27">
        <f t="shared" si="844"/>
        <v>0</v>
      </c>
      <c r="AR553" s="27">
        <f t="shared" si="845"/>
        <v>0</v>
      </c>
      <c r="AS553" s="33">
        <f t="shared" si="846"/>
        <v>0</v>
      </c>
    </row>
    <row r="554" spans="2:45" hidden="1" x14ac:dyDescent="0.25">
      <c r="B554" s="34">
        <f t="shared" ref="B554:F554" si="853">IF(B553="","",B553)</f>
        <v>1720</v>
      </c>
      <c r="C554" s="26">
        <f t="shared" si="853"/>
        <v>18</v>
      </c>
      <c r="D554" s="26">
        <f t="shared" si="853"/>
        <v>500</v>
      </c>
      <c r="E554" s="26">
        <f t="shared" si="853"/>
        <v>0</v>
      </c>
      <c r="F554" s="26">
        <f t="shared" si="853"/>
        <v>-1150</v>
      </c>
      <c r="G554" s="24"/>
      <c r="H554" s="24"/>
      <c r="I554" s="24"/>
      <c r="J554" s="24"/>
      <c r="K554" s="24"/>
      <c r="L554" s="24"/>
      <c r="M554" s="44" t="str">
        <f t="shared" si="815"/>
        <v/>
      </c>
      <c r="N554" s="26" t="str">
        <f t="shared" si="817"/>
        <v/>
      </c>
      <c r="O554" s="26" t="str">
        <f t="shared" si="818"/>
        <v/>
      </c>
      <c r="P554" s="26" t="str">
        <f t="shared" si="819"/>
        <v/>
      </c>
      <c r="Q554" s="26">
        <f t="shared" si="820"/>
        <v>0</v>
      </c>
      <c r="R554" s="26">
        <f t="shared" si="821"/>
        <v>0</v>
      </c>
      <c r="S554" s="26">
        <f t="shared" si="822"/>
        <v>0</v>
      </c>
      <c r="T554" s="26" t="str">
        <f t="shared" si="823"/>
        <v/>
      </c>
      <c r="U554" s="26" t="str">
        <f t="shared" si="824"/>
        <v/>
      </c>
      <c r="V554" s="26" t="str">
        <f t="shared" si="825"/>
        <v/>
      </c>
      <c r="W554" s="27" t="str">
        <f t="shared" si="826"/>
        <v/>
      </c>
      <c r="X554" s="27" t="str">
        <f t="shared" si="827"/>
        <v/>
      </c>
      <c r="Y554" s="28" t="str">
        <f t="shared" si="828"/>
        <v/>
      </c>
      <c r="Z554" s="27" t="str">
        <f t="shared" si="829"/>
        <v/>
      </c>
      <c r="AA554" s="27" t="str">
        <f t="shared" si="830"/>
        <v/>
      </c>
      <c r="AB554" s="27" t="str">
        <f t="shared" si="831"/>
        <v/>
      </c>
      <c r="AC554" s="27" t="str">
        <f t="shared" si="832"/>
        <v/>
      </c>
      <c r="AD554" s="29" t="str">
        <f t="shared" si="833"/>
        <v/>
      </c>
      <c r="AE554" s="30" t="str">
        <f t="shared" si="834"/>
        <v/>
      </c>
      <c r="AG554" s="4"/>
      <c r="AH554" s="31" t="e">
        <f t="shared" si="835"/>
        <v>#VALUE!</v>
      </c>
      <c r="AI554" s="31" t="e">
        <f t="shared" si="836"/>
        <v>#VALUE!</v>
      </c>
      <c r="AJ554" s="31" t="e">
        <f t="shared" si="837"/>
        <v>#VALUE!</v>
      </c>
      <c r="AK554" s="31" t="e">
        <f t="shared" si="838"/>
        <v>#VALUE!</v>
      </c>
      <c r="AL554" s="31" t="e">
        <f t="shared" si="839"/>
        <v>#VALUE!</v>
      </c>
      <c r="AM554" s="31" t="e">
        <f t="shared" si="840"/>
        <v>#VALUE!</v>
      </c>
      <c r="AN554" s="32" t="str">
        <f t="shared" si="841"/>
        <v/>
      </c>
      <c r="AO554" s="27" t="str">
        <f t="shared" si="842"/>
        <v/>
      </c>
      <c r="AP554" s="27" t="str">
        <f t="shared" si="843"/>
        <v/>
      </c>
      <c r="AQ554" s="27">
        <f t="shared" si="844"/>
        <v>0</v>
      </c>
      <c r="AR554" s="27">
        <f t="shared" si="845"/>
        <v>0</v>
      </c>
      <c r="AS554" s="33">
        <f t="shared" si="846"/>
        <v>0</v>
      </c>
    </row>
    <row r="555" spans="2:45" hidden="1" x14ac:dyDescent="0.25">
      <c r="B555" s="34">
        <f t="shared" ref="B555:F555" si="854">IF(B554="","",B554)</f>
        <v>1720</v>
      </c>
      <c r="C555" s="26">
        <f t="shared" si="854"/>
        <v>18</v>
      </c>
      <c r="D555" s="26">
        <f t="shared" si="854"/>
        <v>500</v>
      </c>
      <c r="E555" s="26">
        <f t="shared" si="854"/>
        <v>0</v>
      </c>
      <c r="F555" s="26">
        <f t="shared" si="854"/>
        <v>-1150</v>
      </c>
      <c r="G555" s="24"/>
      <c r="H555" s="24"/>
      <c r="I555" s="24"/>
      <c r="J555" s="24"/>
      <c r="K555" s="24"/>
      <c r="L555" s="24"/>
      <c r="M555" s="44" t="str">
        <f t="shared" si="815"/>
        <v/>
      </c>
      <c r="N555" s="26" t="str">
        <f t="shared" si="817"/>
        <v/>
      </c>
      <c r="O555" s="26" t="str">
        <f t="shared" si="818"/>
        <v/>
      </c>
      <c r="P555" s="26" t="str">
        <f t="shared" si="819"/>
        <v/>
      </c>
      <c r="Q555" s="26">
        <f t="shared" si="820"/>
        <v>0</v>
      </c>
      <c r="R555" s="26">
        <f t="shared" si="821"/>
        <v>0</v>
      </c>
      <c r="S555" s="26">
        <f t="shared" si="822"/>
        <v>0</v>
      </c>
      <c r="T555" s="26" t="str">
        <f t="shared" si="823"/>
        <v/>
      </c>
      <c r="U555" s="26" t="str">
        <f t="shared" si="824"/>
        <v/>
      </c>
      <c r="V555" s="26" t="str">
        <f t="shared" si="825"/>
        <v/>
      </c>
      <c r="W555" s="27" t="str">
        <f t="shared" si="826"/>
        <v/>
      </c>
      <c r="X555" s="27" t="str">
        <f t="shared" si="827"/>
        <v/>
      </c>
      <c r="Y555" s="28" t="str">
        <f t="shared" si="828"/>
        <v/>
      </c>
      <c r="Z555" s="27" t="str">
        <f t="shared" si="829"/>
        <v/>
      </c>
      <c r="AA555" s="27" t="str">
        <f t="shared" si="830"/>
        <v/>
      </c>
      <c r="AB555" s="27" t="str">
        <f t="shared" si="831"/>
        <v/>
      </c>
      <c r="AC555" s="27" t="str">
        <f t="shared" si="832"/>
        <v/>
      </c>
      <c r="AD555" s="29" t="str">
        <f t="shared" si="833"/>
        <v/>
      </c>
      <c r="AE555" s="30" t="str">
        <f t="shared" si="834"/>
        <v/>
      </c>
      <c r="AG555" s="4"/>
      <c r="AH555" s="31" t="e">
        <f t="shared" si="835"/>
        <v>#VALUE!</v>
      </c>
      <c r="AI555" s="31" t="e">
        <f t="shared" si="836"/>
        <v>#VALUE!</v>
      </c>
      <c r="AJ555" s="31" t="e">
        <f t="shared" si="837"/>
        <v>#VALUE!</v>
      </c>
      <c r="AK555" s="31" t="e">
        <f t="shared" si="838"/>
        <v>#VALUE!</v>
      </c>
      <c r="AL555" s="31" t="e">
        <f t="shared" si="839"/>
        <v>#VALUE!</v>
      </c>
      <c r="AM555" s="31" t="e">
        <f t="shared" si="840"/>
        <v>#VALUE!</v>
      </c>
      <c r="AN555" s="32" t="str">
        <f t="shared" si="841"/>
        <v/>
      </c>
      <c r="AO555" s="27" t="str">
        <f t="shared" si="842"/>
        <v/>
      </c>
      <c r="AP555" s="27" t="str">
        <f t="shared" si="843"/>
        <v/>
      </c>
      <c r="AQ555" s="27">
        <f t="shared" si="844"/>
        <v>0</v>
      </c>
      <c r="AR555" s="27">
        <f t="shared" si="845"/>
        <v>0</v>
      </c>
      <c r="AS555" s="33">
        <f t="shared" si="846"/>
        <v>0</v>
      </c>
    </row>
    <row r="556" spans="2:45" hidden="1" x14ac:dyDescent="0.25">
      <c r="B556" s="34">
        <f t="shared" ref="B556:F556" si="855">IF(B555="","",B555)</f>
        <v>1720</v>
      </c>
      <c r="C556" s="26">
        <f t="shared" si="855"/>
        <v>18</v>
      </c>
      <c r="D556" s="26">
        <f t="shared" si="855"/>
        <v>500</v>
      </c>
      <c r="E556" s="26">
        <f t="shared" si="855"/>
        <v>0</v>
      </c>
      <c r="F556" s="26">
        <f t="shared" si="855"/>
        <v>-1150</v>
      </c>
      <c r="G556" s="24"/>
      <c r="H556" s="24"/>
      <c r="I556" s="24"/>
      <c r="J556" s="24"/>
      <c r="K556" s="24"/>
      <c r="L556" s="24"/>
      <c r="M556" s="44" t="str">
        <f t="shared" si="815"/>
        <v/>
      </c>
      <c r="N556" s="26" t="str">
        <f t="shared" si="817"/>
        <v/>
      </c>
      <c r="O556" s="26" t="str">
        <f t="shared" si="818"/>
        <v/>
      </c>
      <c r="P556" s="26" t="str">
        <f t="shared" si="819"/>
        <v/>
      </c>
      <c r="Q556" s="26">
        <f t="shared" si="820"/>
        <v>0</v>
      </c>
      <c r="R556" s="26">
        <f t="shared" si="821"/>
        <v>0</v>
      </c>
      <c r="S556" s="26">
        <f t="shared" si="822"/>
        <v>0</v>
      </c>
      <c r="T556" s="26" t="str">
        <f t="shared" si="823"/>
        <v/>
      </c>
      <c r="U556" s="26" t="str">
        <f t="shared" si="824"/>
        <v/>
      </c>
      <c r="V556" s="26" t="str">
        <f t="shared" si="825"/>
        <v/>
      </c>
      <c r="W556" s="27" t="str">
        <f t="shared" si="826"/>
        <v/>
      </c>
      <c r="X556" s="27" t="str">
        <f t="shared" si="827"/>
        <v/>
      </c>
      <c r="Y556" s="28" t="str">
        <f t="shared" si="828"/>
        <v/>
      </c>
      <c r="Z556" s="27" t="str">
        <f t="shared" si="829"/>
        <v/>
      </c>
      <c r="AA556" s="27" t="str">
        <f t="shared" si="830"/>
        <v/>
      </c>
      <c r="AB556" s="27" t="str">
        <f t="shared" si="831"/>
        <v/>
      </c>
      <c r="AC556" s="27" t="str">
        <f t="shared" si="832"/>
        <v/>
      </c>
      <c r="AD556" s="29" t="str">
        <f t="shared" si="833"/>
        <v/>
      </c>
      <c r="AE556" s="30" t="str">
        <f t="shared" si="834"/>
        <v/>
      </c>
      <c r="AG556" s="4"/>
      <c r="AH556" s="31" t="e">
        <f t="shared" si="835"/>
        <v>#VALUE!</v>
      </c>
      <c r="AI556" s="31" t="e">
        <f t="shared" si="836"/>
        <v>#VALUE!</v>
      </c>
      <c r="AJ556" s="31" t="e">
        <f t="shared" si="837"/>
        <v>#VALUE!</v>
      </c>
      <c r="AK556" s="31" t="e">
        <f t="shared" si="838"/>
        <v>#VALUE!</v>
      </c>
      <c r="AL556" s="31" t="e">
        <f t="shared" si="839"/>
        <v>#VALUE!</v>
      </c>
      <c r="AM556" s="31" t="e">
        <f t="shared" si="840"/>
        <v>#VALUE!</v>
      </c>
      <c r="AN556" s="32" t="str">
        <f t="shared" si="841"/>
        <v/>
      </c>
      <c r="AO556" s="27" t="str">
        <f t="shared" si="842"/>
        <v/>
      </c>
      <c r="AP556" s="27" t="str">
        <f t="shared" si="843"/>
        <v/>
      </c>
      <c r="AQ556" s="27">
        <f t="shared" si="844"/>
        <v>0</v>
      </c>
      <c r="AR556" s="27">
        <f t="shared" si="845"/>
        <v>0</v>
      </c>
      <c r="AS556" s="33">
        <f t="shared" si="846"/>
        <v>0</v>
      </c>
    </row>
    <row r="557" spans="2:45" hidden="1" x14ac:dyDescent="0.25">
      <c r="B557" s="34">
        <f t="shared" ref="B557:F557" si="856">IF(B556="","",B556)</f>
        <v>1720</v>
      </c>
      <c r="C557" s="26">
        <f t="shared" si="856"/>
        <v>18</v>
      </c>
      <c r="D557" s="26">
        <f t="shared" si="856"/>
        <v>500</v>
      </c>
      <c r="E557" s="26">
        <f t="shared" si="856"/>
        <v>0</v>
      </c>
      <c r="F557" s="26">
        <f t="shared" si="856"/>
        <v>-1150</v>
      </c>
      <c r="G557" s="24"/>
      <c r="H557" s="24"/>
      <c r="I557" s="24"/>
      <c r="J557" s="24"/>
      <c r="K557" s="24"/>
      <c r="L557" s="24"/>
      <c r="M557" s="44" t="str">
        <f t="shared" si="815"/>
        <v/>
      </c>
      <c r="N557" s="26" t="str">
        <f t="shared" si="817"/>
        <v/>
      </c>
      <c r="O557" s="26" t="str">
        <f t="shared" si="818"/>
        <v/>
      </c>
      <c r="P557" s="26" t="str">
        <f t="shared" si="819"/>
        <v/>
      </c>
      <c r="Q557" s="26">
        <f t="shared" si="820"/>
        <v>0</v>
      </c>
      <c r="R557" s="26">
        <f t="shared" si="821"/>
        <v>0</v>
      </c>
      <c r="S557" s="26">
        <f t="shared" si="822"/>
        <v>0</v>
      </c>
      <c r="T557" s="26" t="str">
        <f t="shared" si="823"/>
        <v/>
      </c>
      <c r="U557" s="26" t="str">
        <f t="shared" si="824"/>
        <v/>
      </c>
      <c r="V557" s="26" t="str">
        <f t="shared" si="825"/>
        <v/>
      </c>
      <c r="W557" s="27" t="str">
        <f t="shared" si="826"/>
        <v/>
      </c>
      <c r="X557" s="27" t="str">
        <f t="shared" si="827"/>
        <v/>
      </c>
      <c r="Y557" s="28" t="str">
        <f t="shared" si="828"/>
        <v/>
      </c>
      <c r="Z557" s="27" t="str">
        <f t="shared" si="829"/>
        <v/>
      </c>
      <c r="AA557" s="27" t="str">
        <f t="shared" si="830"/>
        <v/>
      </c>
      <c r="AB557" s="27" t="str">
        <f t="shared" si="831"/>
        <v/>
      </c>
      <c r="AC557" s="27" t="str">
        <f t="shared" si="832"/>
        <v/>
      </c>
      <c r="AD557" s="29" t="str">
        <f t="shared" si="833"/>
        <v/>
      </c>
      <c r="AE557" s="30" t="str">
        <f t="shared" si="834"/>
        <v/>
      </c>
      <c r="AG557" s="4"/>
      <c r="AH557" s="31" t="e">
        <f t="shared" si="835"/>
        <v>#VALUE!</v>
      </c>
      <c r="AI557" s="31" t="e">
        <f t="shared" si="836"/>
        <v>#VALUE!</v>
      </c>
      <c r="AJ557" s="31" t="e">
        <f t="shared" si="837"/>
        <v>#VALUE!</v>
      </c>
      <c r="AK557" s="31" t="e">
        <f t="shared" si="838"/>
        <v>#VALUE!</v>
      </c>
      <c r="AL557" s="31" t="e">
        <f t="shared" si="839"/>
        <v>#VALUE!</v>
      </c>
      <c r="AM557" s="31" t="e">
        <f t="shared" si="840"/>
        <v>#VALUE!</v>
      </c>
      <c r="AN557" s="32" t="str">
        <f t="shared" si="841"/>
        <v/>
      </c>
      <c r="AO557" s="27" t="str">
        <f t="shared" si="842"/>
        <v/>
      </c>
      <c r="AP557" s="27" t="str">
        <f t="shared" si="843"/>
        <v/>
      </c>
      <c r="AQ557" s="27">
        <f t="shared" si="844"/>
        <v>0</v>
      </c>
      <c r="AR557" s="27">
        <f t="shared" si="845"/>
        <v>0</v>
      </c>
      <c r="AS557" s="33">
        <f t="shared" si="846"/>
        <v>0</v>
      </c>
    </row>
    <row r="558" spans="2:45" hidden="1" x14ac:dyDescent="0.25">
      <c r="B558" s="34">
        <f t="shared" ref="B558:F558" si="857">IF(B557="","",B557)</f>
        <v>1720</v>
      </c>
      <c r="C558" s="26">
        <f t="shared" si="857"/>
        <v>18</v>
      </c>
      <c r="D558" s="26">
        <f t="shared" si="857"/>
        <v>500</v>
      </c>
      <c r="E558" s="26">
        <f t="shared" si="857"/>
        <v>0</v>
      </c>
      <c r="F558" s="26">
        <f t="shared" si="857"/>
        <v>-1150</v>
      </c>
      <c r="G558" s="24"/>
      <c r="H558" s="24"/>
      <c r="I558" s="24"/>
      <c r="J558" s="24"/>
      <c r="K558" s="24"/>
      <c r="L558" s="24"/>
      <c r="M558" s="44" t="str">
        <f t="shared" si="815"/>
        <v/>
      </c>
      <c r="N558" s="26" t="str">
        <f t="shared" si="817"/>
        <v/>
      </c>
      <c r="O558" s="26" t="str">
        <f t="shared" si="818"/>
        <v/>
      </c>
      <c r="P558" s="26" t="str">
        <f t="shared" si="819"/>
        <v/>
      </c>
      <c r="Q558" s="26">
        <f t="shared" si="820"/>
        <v>0</v>
      </c>
      <c r="R558" s="26">
        <f t="shared" si="821"/>
        <v>0</v>
      </c>
      <c r="S558" s="26">
        <f t="shared" si="822"/>
        <v>0</v>
      </c>
      <c r="T558" s="26" t="str">
        <f t="shared" si="823"/>
        <v/>
      </c>
      <c r="U558" s="26" t="str">
        <f t="shared" si="824"/>
        <v/>
      </c>
      <c r="V558" s="26" t="str">
        <f t="shared" si="825"/>
        <v/>
      </c>
      <c r="W558" s="27" t="str">
        <f t="shared" si="826"/>
        <v/>
      </c>
      <c r="X558" s="27" t="str">
        <f t="shared" si="827"/>
        <v/>
      </c>
      <c r="Y558" s="28" t="str">
        <f t="shared" si="828"/>
        <v/>
      </c>
      <c r="Z558" s="27" t="str">
        <f t="shared" si="829"/>
        <v/>
      </c>
      <c r="AA558" s="27" t="str">
        <f t="shared" si="830"/>
        <v/>
      </c>
      <c r="AB558" s="27" t="str">
        <f t="shared" si="831"/>
        <v/>
      </c>
      <c r="AC558" s="27" t="str">
        <f t="shared" si="832"/>
        <v/>
      </c>
      <c r="AD558" s="29" t="str">
        <f t="shared" si="833"/>
        <v/>
      </c>
      <c r="AE558" s="30" t="str">
        <f t="shared" si="834"/>
        <v/>
      </c>
      <c r="AG558" s="4"/>
      <c r="AH558" s="31" t="e">
        <f t="shared" si="835"/>
        <v>#VALUE!</v>
      </c>
      <c r="AI558" s="31" t="e">
        <f t="shared" si="836"/>
        <v>#VALUE!</v>
      </c>
      <c r="AJ558" s="31" t="e">
        <f t="shared" si="837"/>
        <v>#VALUE!</v>
      </c>
      <c r="AK558" s="31" t="e">
        <f t="shared" si="838"/>
        <v>#VALUE!</v>
      </c>
      <c r="AL558" s="31" t="e">
        <f t="shared" si="839"/>
        <v>#VALUE!</v>
      </c>
      <c r="AM558" s="31" t="e">
        <f t="shared" si="840"/>
        <v>#VALUE!</v>
      </c>
      <c r="AN558" s="32" t="str">
        <f t="shared" si="841"/>
        <v/>
      </c>
      <c r="AO558" s="27" t="str">
        <f t="shared" si="842"/>
        <v/>
      </c>
      <c r="AP558" s="27" t="str">
        <f t="shared" si="843"/>
        <v/>
      </c>
      <c r="AQ558" s="27">
        <f t="shared" si="844"/>
        <v>0</v>
      </c>
      <c r="AR558" s="27">
        <f t="shared" si="845"/>
        <v>0</v>
      </c>
      <c r="AS558" s="33">
        <f t="shared" si="846"/>
        <v>0</v>
      </c>
    </row>
    <row r="559" spans="2:45" hidden="1" x14ac:dyDescent="0.25">
      <c r="B559" s="34">
        <f t="shared" ref="B559:F559" si="858">IF(B558="","",B558)</f>
        <v>1720</v>
      </c>
      <c r="C559" s="26">
        <f t="shared" si="858"/>
        <v>18</v>
      </c>
      <c r="D559" s="26">
        <f t="shared" si="858"/>
        <v>500</v>
      </c>
      <c r="E559" s="26">
        <f t="shared" si="858"/>
        <v>0</v>
      </c>
      <c r="F559" s="26">
        <f t="shared" si="858"/>
        <v>-1150</v>
      </c>
      <c r="G559" s="24"/>
      <c r="H559" s="24"/>
      <c r="I559" s="24"/>
      <c r="J559" s="24"/>
      <c r="K559" s="24"/>
      <c r="L559" s="24"/>
      <c r="M559" s="44" t="str">
        <f t="shared" si="815"/>
        <v/>
      </c>
      <c r="N559" s="26" t="str">
        <f t="shared" si="817"/>
        <v/>
      </c>
      <c r="O559" s="26" t="str">
        <f t="shared" si="818"/>
        <v/>
      </c>
      <c r="P559" s="26" t="str">
        <f t="shared" si="819"/>
        <v/>
      </c>
      <c r="Q559" s="26">
        <f t="shared" si="820"/>
        <v>0</v>
      </c>
      <c r="R559" s="26">
        <f t="shared" si="821"/>
        <v>0</v>
      </c>
      <c r="S559" s="26">
        <f t="shared" si="822"/>
        <v>0</v>
      </c>
      <c r="T559" s="26" t="str">
        <f t="shared" si="823"/>
        <v/>
      </c>
      <c r="U559" s="26" t="str">
        <f t="shared" si="824"/>
        <v/>
      </c>
      <c r="V559" s="26" t="str">
        <f t="shared" si="825"/>
        <v/>
      </c>
      <c r="W559" s="27" t="str">
        <f t="shared" si="826"/>
        <v/>
      </c>
      <c r="X559" s="27" t="str">
        <f t="shared" si="827"/>
        <v/>
      </c>
      <c r="Y559" s="28" t="str">
        <f t="shared" si="828"/>
        <v/>
      </c>
      <c r="Z559" s="27" t="str">
        <f t="shared" si="829"/>
        <v/>
      </c>
      <c r="AA559" s="27" t="str">
        <f t="shared" si="830"/>
        <v/>
      </c>
      <c r="AB559" s="27" t="str">
        <f t="shared" si="831"/>
        <v/>
      </c>
      <c r="AC559" s="27" t="str">
        <f t="shared" si="832"/>
        <v/>
      </c>
      <c r="AD559" s="29" t="str">
        <f t="shared" si="833"/>
        <v/>
      </c>
      <c r="AE559" s="30" t="str">
        <f t="shared" si="834"/>
        <v/>
      </c>
      <c r="AG559" s="4"/>
      <c r="AH559" s="31" t="e">
        <f t="shared" si="835"/>
        <v>#VALUE!</v>
      </c>
      <c r="AI559" s="31" t="e">
        <f t="shared" si="836"/>
        <v>#VALUE!</v>
      </c>
      <c r="AJ559" s="31" t="e">
        <f t="shared" si="837"/>
        <v>#VALUE!</v>
      </c>
      <c r="AK559" s="31" t="e">
        <f t="shared" si="838"/>
        <v>#VALUE!</v>
      </c>
      <c r="AL559" s="31" t="e">
        <f t="shared" si="839"/>
        <v>#VALUE!</v>
      </c>
      <c r="AM559" s="31" t="e">
        <f t="shared" si="840"/>
        <v>#VALUE!</v>
      </c>
      <c r="AN559" s="32" t="str">
        <f t="shared" si="841"/>
        <v/>
      </c>
      <c r="AO559" s="27" t="str">
        <f t="shared" si="842"/>
        <v/>
      </c>
      <c r="AP559" s="27" t="str">
        <f t="shared" si="843"/>
        <v/>
      </c>
      <c r="AQ559" s="27">
        <f t="shared" si="844"/>
        <v>0</v>
      </c>
      <c r="AR559" s="27">
        <f t="shared" si="845"/>
        <v>0</v>
      </c>
      <c r="AS559" s="33">
        <f t="shared" si="846"/>
        <v>0</v>
      </c>
    </row>
    <row r="560" spans="2:45" hidden="1" x14ac:dyDescent="0.25">
      <c r="B560" s="34">
        <f t="shared" ref="B560:F560" si="859">IF(B559="","",B559)</f>
        <v>1720</v>
      </c>
      <c r="C560" s="26">
        <f t="shared" si="859"/>
        <v>18</v>
      </c>
      <c r="D560" s="26">
        <f t="shared" si="859"/>
        <v>500</v>
      </c>
      <c r="E560" s="26">
        <f t="shared" si="859"/>
        <v>0</v>
      </c>
      <c r="F560" s="26">
        <f t="shared" si="859"/>
        <v>-1150</v>
      </c>
      <c r="G560" s="24"/>
      <c r="H560" s="24"/>
      <c r="I560" s="24"/>
      <c r="J560" s="24"/>
      <c r="K560" s="24"/>
      <c r="L560" s="24"/>
      <c r="M560" s="44" t="str">
        <f t="shared" si="815"/>
        <v/>
      </c>
      <c r="N560" s="26" t="str">
        <f t="shared" si="817"/>
        <v/>
      </c>
      <c r="O560" s="26" t="str">
        <f t="shared" si="818"/>
        <v/>
      </c>
      <c r="P560" s="26" t="str">
        <f t="shared" si="819"/>
        <v/>
      </c>
      <c r="Q560" s="26">
        <f t="shared" si="820"/>
        <v>0</v>
      </c>
      <c r="R560" s="26">
        <f t="shared" si="821"/>
        <v>0</v>
      </c>
      <c r="S560" s="26">
        <f t="shared" si="822"/>
        <v>0</v>
      </c>
      <c r="T560" s="26" t="str">
        <f t="shared" si="823"/>
        <v/>
      </c>
      <c r="U560" s="26" t="str">
        <f t="shared" si="824"/>
        <v/>
      </c>
      <c r="V560" s="26" t="str">
        <f t="shared" si="825"/>
        <v/>
      </c>
      <c r="W560" s="27" t="str">
        <f t="shared" si="826"/>
        <v/>
      </c>
      <c r="X560" s="27" t="str">
        <f t="shared" si="827"/>
        <v/>
      </c>
      <c r="Y560" s="28" t="str">
        <f t="shared" si="828"/>
        <v/>
      </c>
      <c r="Z560" s="27" t="str">
        <f t="shared" si="829"/>
        <v/>
      </c>
      <c r="AA560" s="27" t="str">
        <f t="shared" si="830"/>
        <v/>
      </c>
      <c r="AB560" s="27" t="str">
        <f t="shared" si="831"/>
        <v/>
      </c>
      <c r="AC560" s="27" t="str">
        <f t="shared" si="832"/>
        <v/>
      </c>
      <c r="AD560" s="29" t="str">
        <f t="shared" si="833"/>
        <v/>
      </c>
      <c r="AE560" s="30" t="str">
        <f t="shared" si="834"/>
        <v/>
      </c>
      <c r="AG560" s="4"/>
      <c r="AH560" s="31" t="e">
        <f t="shared" si="835"/>
        <v>#VALUE!</v>
      </c>
      <c r="AI560" s="31" t="e">
        <f t="shared" si="836"/>
        <v>#VALUE!</v>
      </c>
      <c r="AJ560" s="31" t="e">
        <f t="shared" si="837"/>
        <v>#VALUE!</v>
      </c>
      <c r="AK560" s="31" t="e">
        <f t="shared" si="838"/>
        <v>#VALUE!</v>
      </c>
      <c r="AL560" s="31" t="e">
        <f t="shared" si="839"/>
        <v>#VALUE!</v>
      </c>
      <c r="AM560" s="31" t="e">
        <f t="shared" si="840"/>
        <v>#VALUE!</v>
      </c>
      <c r="AN560" s="32" t="str">
        <f t="shared" si="841"/>
        <v/>
      </c>
      <c r="AO560" s="27" t="str">
        <f t="shared" si="842"/>
        <v/>
      </c>
      <c r="AP560" s="27" t="str">
        <f t="shared" si="843"/>
        <v/>
      </c>
      <c r="AQ560" s="27">
        <f t="shared" si="844"/>
        <v>0</v>
      </c>
      <c r="AR560" s="27">
        <f t="shared" si="845"/>
        <v>0</v>
      </c>
      <c r="AS560" s="33">
        <f t="shared" si="846"/>
        <v>0</v>
      </c>
    </row>
    <row r="561" spans="2:45" hidden="1" x14ac:dyDescent="0.25">
      <c r="B561" s="34">
        <f>IF(B560="","",B560)</f>
        <v>1720</v>
      </c>
      <c r="C561" s="26">
        <f t="shared" ref="C561:F561" si="860">IF(C560="","",C560)</f>
        <v>18</v>
      </c>
      <c r="D561" s="26">
        <f t="shared" si="860"/>
        <v>500</v>
      </c>
      <c r="E561" s="26">
        <f t="shared" si="860"/>
        <v>0</v>
      </c>
      <c r="F561" s="26">
        <f t="shared" si="860"/>
        <v>-1150</v>
      </c>
      <c r="G561" s="24"/>
      <c r="H561" s="24"/>
      <c r="I561" s="24"/>
      <c r="J561" s="24"/>
      <c r="K561" s="24"/>
      <c r="L561" s="24"/>
      <c r="M561" s="44" t="str">
        <f t="shared" si="815"/>
        <v/>
      </c>
      <c r="N561" s="26" t="str">
        <f t="shared" si="817"/>
        <v/>
      </c>
      <c r="O561" s="26" t="str">
        <f t="shared" si="818"/>
        <v/>
      </c>
      <c r="P561" s="26" t="str">
        <f t="shared" si="819"/>
        <v/>
      </c>
      <c r="Q561" s="26">
        <f t="shared" si="820"/>
        <v>0</v>
      </c>
      <c r="R561" s="26">
        <f t="shared" si="821"/>
        <v>0</v>
      </c>
      <c r="S561" s="26">
        <f t="shared" si="822"/>
        <v>0</v>
      </c>
      <c r="T561" s="26" t="str">
        <f t="shared" si="823"/>
        <v/>
      </c>
      <c r="U561" s="26" t="str">
        <f t="shared" si="824"/>
        <v/>
      </c>
      <c r="V561" s="26" t="str">
        <f t="shared" si="825"/>
        <v/>
      </c>
      <c r="W561" s="27" t="str">
        <f t="shared" si="826"/>
        <v/>
      </c>
      <c r="X561" s="27" t="str">
        <f t="shared" si="827"/>
        <v/>
      </c>
      <c r="Y561" s="28" t="str">
        <f t="shared" si="828"/>
        <v/>
      </c>
      <c r="Z561" s="27" t="str">
        <f t="shared" si="829"/>
        <v/>
      </c>
      <c r="AA561" s="27" t="str">
        <f t="shared" si="830"/>
        <v/>
      </c>
      <c r="AB561" s="27" t="str">
        <f t="shared" si="831"/>
        <v/>
      </c>
      <c r="AC561" s="27" t="str">
        <f t="shared" si="832"/>
        <v/>
      </c>
      <c r="AD561" s="29" t="str">
        <f t="shared" si="833"/>
        <v/>
      </c>
      <c r="AE561" s="30" t="str">
        <f t="shared" si="834"/>
        <v/>
      </c>
      <c r="AG561" s="4"/>
      <c r="AH561" s="31" t="e">
        <f t="shared" si="835"/>
        <v>#VALUE!</v>
      </c>
      <c r="AI561" s="31" t="e">
        <f t="shared" si="836"/>
        <v>#VALUE!</v>
      </c>
      <c r="AJ561" s="31" t="e">
        <f t="shared" si="837"/>
        <v>#VALUE!</v>
      </c>
      <c r="AK561" s="31" t="e">
        <f t="shared" si="838"/>
        <v>#VALUE!</v>
      </c>
      <c r="AL561" s="31" t="e">
        <f t="shared" si="839"/>
        <v>#VALUE!</v>
      </c>
      <c r="AM561" s="31" t="e">
        <f t="shared" si="840"/>
        <v>#VALUE!</v>
      </c>
      <c r="AN561" s="32" t="str">
        <f t="shared" si="841"/>
        <v/>
      </c>
      <c r="AO561" s="27" t="str">
        <f t="shared" si="842"/>
        <v/>
      </c>
      <c r="AP561" s="27" t="str">
        <f t="shared" si="843"/>
        <v/>
      </c>
      <c r="AQ561" s="27">
        <f t="shared" si="844"/>
        <v>0</v>
      </c>
      <c r="AR561" s="27">
        <f t="shared" si="845"/>
        <v>0</v>
      </c>
      <c r="AS561" s="33">
        <f t="shared" si="846"/>
        <v>0</v>
      </c>
    </row>
    <row r="562" spans="2:45" hidden="1" x14ac:dyDescent="0.25">
      <c r="B562" s="34">
        <f>IF(B561="","",B561)</f>
        <v>1720</v>
      </c>
      <c r="C562" s="26">
        <f t="shared" ref="C562:F562" si="861">IF(C561="","",C561)</f>
        <v>18</v>
      </c>
      <c r="D562" s="26">
        <f t="shared" si="861"/>
        <v>500</v>
      </c>
      <c r="E562" s="26">
        <f t="shared" si="861"/>
        <v>0</v>
      </c>
      <c r="F562" s="26">
        <f t="shared" si="861"/>
        <v>-1150</v>
      </c>
      <c r="G562" s="24"/>
      <c r="H562" s="24"/>
      <c r="I562" s="24"/>
      <c r="J562" s="24"/>
      <c r="K562" s="24"/>
      <c r="L562" s="24"/>
      <c r="M562" s="44" t="str">
        <f t="shared" si="815"/>
        <v/>
      </c>
      <c r="N562" s="26" t="str">
        <f t="shared" si="817"/>
        <v/>
      </c>
      <c r="O562" s="26" t="str">
        <f t="shared" si="818"/>
        <v/>
      </c>
      <c r="P562" s="26" t="str">
        <f t="shared" si="819"/>
        <v/>
      </c>
      <c r="Q562" s="26">
        <f t="shared" si="820"/>
        <v>0</v>
      </c>
      <c r="R562" s="26">
        <f t="shared" si="821"/>
        <v>0</v>
      </c>
      <c r="S562" s="26">
        <f t="shared" si="822"/>
        <v>0</v>
      </c>
      <c r="T562" s="26" t="str">
        <f t="shared" si="823"/>
        <v/>
      </c>
      <c r="U562" s="26" t="str">
        <f t="shared" si="824"/>
        <v/>
      </c>
      <c r="V562" s="26" t="str">
        <f t="shared" si="825"/>
        <v/>
      </c>
      <c r="W562" s="27" t="str">
        <f t="shared" si="826"/>
        <v/>
      </c>
      <c r="X562" s="27" t="str">
        <f t="shared" si="827"/>
        <v/>
      </c>
      <c r="Y562" s="28" t="str">
        <f t="shared" si="828"/>
        <v/>
      </c>
      <c r="Z562" s="27" t="str">
        <f t="shared" si="829"/>
        <v/>
      </c>
      <c r="AA562" s="27" t="str">
        <f t="shared" si="830"/>
        <v/>
      </c>
      <c r="AB562" s="27" t="str">
        <f t="shared" si="831"/>
        <v/>
      </c>
      <c r="AC562" s="27" t="str">
        <f t="shared" si="832"/>
        <v/>
      </c>
      <c r="AD562" s="29" t="str">
        <f t="shared" si="833"/>
        <v/>
      </c>
      <c r="AE562" s="30" t="str">
        <f t="shared" si="834"/>
        <v/>
      </c>
      <c r="AG562" s="4"/>
      <c r="AH562" s="31" t="e">
        <f t="shared" si="835"/>
        <v>#VALUE!</v>
      </c>
      <c r="AI562" s="31" t="e">
        <f t="shared" si="836"/>
        <v>#VALUE!</v>
      </c>
      <c r="AJ562" s="31" t="e">
        <f t="shared" si="837"/>
        <v>#VALUE!</v>
      </c>
      <c r="AK562" s="31" t="e">
        <f t="shared" si="838"/>
        <v>#VALUE!</v>
      </c>
      <c r="AL562" s="31" t="e">
        <f t="shared" si="839"/>
        <v>#VALUE!</v>
      </c>
      <c r="AM562" s="31" t="e">
        <f t="shared" si="840"/>
        <v>#VALUE!</v>
      </c>
      <c r="AN562" s="32" t="str">
        <f t="shared" si="841"/>
        <v/>
      </c>
      <c r="AO562" s="27" t="str">
        <f t="shared" si="842"/>
        <v/>
      </c>
      <c r="AP562" s="27" t="str">
        <f t="shared" si="843"/>
        <v/>
      </c>
      <c r="AQ562" s="27">
        <f t="shared" si="844"/>
        <v>0</v>
      </c>
      <c r="AR562" s="27">
        <f t="shared" si="845"/>
        <v>0</v>
      </c>
      <c r="AS562" s="33">
        <f t="shared" si="846"/>
        <v>0</v>
      </c>
    </row>
    <row r="563" spans="2:45" hidden="1" x14ac:dyDescent="0.25">
      <c r="B563" s="34">
        <f t="shared" ref="B563:F563" si="862">IF(B562="","",B562)</f>
        <v>1720</v>
      </c>
      <c r="C563" s="26">
        <f t="shared" si="862"/>
        <v>18</v>
      </c>
      <c r="D563" s="26">
        <f t="shared" si="862"/>
        <v>500</v>
      </c>
      <c r="E563" s="26">
        <f t="shared" si="862"/>
        <v>0</v>
      </c>
      <c r="F563" s="26">
        <f t="shared" si="862"/>
        <v>-1150</v>
      </c>
      <c r="G563" s="24"/>
      <c r="H563" s="24"/>
      <c r="I563" s="24"/>
      <c r="J563" s="24"/>
      <c r="K563" s="24"/>
      <c r="L563" s="24"/>
      <c r="M563" s="44" t="str">
        <f t="shared" si="815"/>
        <v/>
      </c>
      <c r="N563" s="26" t="str">
        <f t="shared" si="817"/>
        <v/>
      </c>
      <c r="O563" s="26" t="str">
        <f t="shared" si="818"/>
        <v/>
      </c>
      <c r="P563" s="26" t="str">
        <f t="shared" si="819"/>
        <v/>
      </c>
      <c r="Q563" s="26">
        <f t="shared" si="820"/>
        <v>0</v>
      </c>
      <c r="R563" s="26">
        <f t="shared" si="821"/>
        <v>0</v>
      </c>
      <c r="S563" s="26">
        <f t="shared" si="822"/>
        <v>0</v>
      </c>
      <c r="T563" s="26" t="str">
        <f t="shared" si="823"/>
        <v/>
      </c>
      <c r="U563" s="26" t="str">
        <f t="shared" si="824"/>
        <v/>
      </c>
      <c r="V563" s="26" t="str">
        <f t="shared" si="825"/>
        <v/>
      </c>
      <c r="W563" s="27" t="str">
        <f t="shared" si="826"/>
        <v/>
      </c>
      <c r="X563" s="27" t="str">
        <f t="shared" si="827"/>
        <v/>
      </c>
      <c r="Y563" s="28" t="str">
        <f t="shared" si="828"/>
        <v/>
      </c>
      <c r="Z563" s="27" t="str">
        <f t="shared" si="829"/>
        <v/>
      </c>
      <c r="AA563" s="27" t="str">
        <f t="shared" si="830"/>
        <v/>
      </c>
      <c r="AB563" s="27" t="str">
        <f t="shared" si="831"/>
        <v/>
      </c>
      <c r="AC563" s="27" t="str">
        <f t="shared" si="832"/>
        <v/>
      </c>
      <c r="AD563" s="29" t="str">
        <f t="shared" si="833"/>
        <v/>
      </c>
      <c r="AE563" s="30" t="str">
        <f t="shared" si="834"/>
        <v/>
      </c>
      <c r="AG563" s="4"/>
      <c r="AH563" s="31" t="e">
        <f t="shared" si="835"/>
        <v>#VALUE!</v>
      </c>
      <c r="AI563" s="31" t="e">
        <f t="shared" si="836"/>
        <v>#VALUE!</v>
      </c>
      <c r="AJ563" s="31" t="e">
        <f t="shared" si="837"/>
        <v>#VALUE!</v>
      </c>
      <c r="AK563" s="31" t="e">
        <f t="shared" si="838"/>
        <v>#VALUE!</v>
      </c>
      <c r="AL563" s="31" t="e">
        <f t="shared" si="839"/>
        <v>#VALUE!</v>
      </c>
      <c r="AM563" s="31" t="e">
        <f t="shared" si="840"/>
        <v>#VALUE!</v>
      </c>
      <c r="AN563" s="32" t="str">
        <f t="shared" si="841"/>
        <v/>
      </c>
      <c r="AO563" s="27" t="str">
        <f t="shared" si="842"/>
        <v/>
      </c>
      <c r="AP563" s="27" t="str">
        <f t="shared" si="843"/>
        <v/>
      </c>
      <c r="AQ563" s="27">
        <f t="shared" si="844"/>
        <v>0</v>
      </c>
      <c r="AR563" s="27">
        <f t="shared" si="845"/>
        <v>0</v>
      </c>
      <c r="AS563" s="33">
        <f t="shared" si="846"/>
        <v>0</v>
      </c>
    </row>
    <row r="564" spans="2:45" hidden="1" x14ac:dyDescent="0.25">
      <c r="B564" s="34">
        <f t="shared" ref="B564:F564" si="863">IF(B563="","",B563)</f>
        <v>1720</v>
      </c>
      <c r="C564" s="26">
        <f t="shared" si="863"/>
        <v>18</v>
      </c>
      <c r="D564" s="26">
        <f t="shared" si="863"/>
        <v>500</v>
      </c>
      <c r="E564" s="26">
        <f t="shared" si="863"/>
        <v>0</v>
      </c>
      <c r="F564" s="26">
        <f t="shared" si="863"/>
        <v>-1150</v>
      </c>
      <c r="G564" s="24"/>
      <c r="H564" s="24"/>
      <c r="I564" s="24"/>
      <c r="J564" s="24"/>
      <c r="K564" s="24"/>
      <c r="L564" s="24"/>
      <c r="M564" s="44" t="str">
        <f t="shared" si="815"/>
        <v/>
      </c>
      <c r="N564" s="26" t="str">
        <f t="shared" si="817"/>
        <v/>
      </c>
      <c r="O564" s="26" t="str">
        <f t="shared" si="818"/>
        <v/>
      </c>
      <c r="P564" s="26" t="str">
        <f t="shared" si="819"/>
        <v/>
      </c>
      <c r="Q564" s="26">
        <f t="shared" si="820"/>
        <v>0</v>
      </c>
      <c r="R564" s="26">
        <f t="shared" si="821"/>
        <v>0</v>
      </c>
      <c r="S564" s="26">
        <f t="shared" si="822"/>
        <v>0</v>
      </c>
      <c r="T564" s="26" t="str">
        <f t="shared" si="823"/>
        <v/>
      </c>
      <c r="U564" s="26" t="str">
        <f t="shared" si="824"/>
        <v/>
      </c>
      <c r="V564" s="26" t="str">
        <f t="shared" si="825"/>
        <v/>
      </c>
      <c r="W564" s="27" t="str">
        <f t="shared" si="826"/>
        <v/>
      </c>
      <c r="X564" s="27" t="str">
        <f t="shared" si="827"/>
        <v/>
      </c>
      <c r="Y564" s="28" t="str">
        <f t="shared" si="828"/>
        <v/>
      </c>
      <c r="Z564" s="27" t="str">
        <f t="shared" si="829"/>
        <v/>
      </c>
      <c r="AA564" s="27" t="str">
        <f t="shared" si="830"/>
        <v/>
      </c>
      <c r="AB564" s="27" t="str">
        <f t="shared" si="831"/>
        <v/>
      </c>
      <c r="AC564" s="27" t="str">
        <f t="shared" si="832"/>
        <v/>
      </c>
      <c r="AD564" s="29" t="str">
        <f t="shared" si="833"/>
        <v/>
      </c>
      <c r="AE564" s="30" t="str">
        <f t="shared" si="834"/>
        <v/>
      </c>
      <c r="AG564" s="4"/>
      <c r="AH564" s="31" t="e">
        <f t="shared" si="835"/>
        <v>#VALUE!</v>
      </c>
      <c r="AI564" s="31" t="e">
        <f t="shared" si="836"/>
        <v>#VALUE!</v>
      </c>
      <c r="AJ564" s="31" t="e">
        <f t="shared" si="837"/>
        <v>#VALUE!</v>
      </c>
      <c r="AK564" s="31" t="e">
        <f t="shared" si="838"/>
        <v>#VALUE!</v>
      </c>
      <c r="AL564" s="31" t="e">
        <f t="shared" si="839"/>
        <v>#VALUE!</v>
      </c>
      <c r="AM564" s="31" t="e">
        <f t="shared" si="840"/>
        <v>#VALUE!</v>
      </c>
      <c r="AN564" s="32" t="str">
        <f t="shared" si="841"/>
        <v/>
      </c>
      <c r="AO564" s="27" t="str">
        <f t="shared" si="842"/>
        <v/>
      </c>
      <c r="AP564" s="27" t="str">
        <f t="shared" si="843"/>
        <v/>
      </c>
      <c r="AQ564" s="27">
        <f t="shared" si="844"/>
        <v>0</v>
      </c>
      <c r="AR564" s="27">
        <f t="shared" si="845"/>
        <v>0</v>
      </c>
      <c r="AS564" s="33">
        <f t="shared" si="846"/>
        <v>0</v>
      </c>
    </row>
    <row r="565" spans="2:45" hidden="1" x14ac:dyDescent="0.25">
      <c r="B565" s="34">
        <f t="shared" ref="B565:F565" si="864">IF(B564="","",B564)</f>
        <v>1720</v>
      </c>
      <c r="C565" s="26">
        <f t="shared" si="864"/>
        <v>18</v>
      </c>
      <c r="D565" s="26">
        <f t="shared" si="864"/>
        <v>500</v>
      </c>
      <c r="E565" s="26">
        <f t="shared" si="864"/>
        <v>0</v>
      </c>
      <c r="F565" s="26">
        <f t="shared" si="864"/>
        <v>-1150</v>
      </c>
      <c r="G565" s="24"/>
      <c r="H565" s="24"/>
      <c r="I565" s="24"/>
      <c r="J565" s="24"/>
      <c r="K565" s="24"/>
      <c r="L565" s="24"/>
      <c r="M565" s="44" t="str">
        <f t="shared" si="815"/>
        <v/>
      </c>
      <c r="N565" s="26" t="str">
        <f t="shared" si="817"/>
        <v/>
      </c>
      <c r="O565" s="26" t="str">
        <f t="shared" si="818"/>
        <v/>
      </c>
      <c r="P565" s="26" t="str">
        <f t="shared" si="819"/>
        <v/>
      </c>
      <c r="Q565" s="26">
        <f t="shared" si="820"/>
        <v>0</v>
      </c>
      <c r="R565" s="26">
        <f t="shared" si="821"/>
        <v>0</v>
      </c>
      <c r="S565" s="26">
        <f t="shared" si="822"/>
        <v>0</v>
      </c>
      <c r="T565" s="26" t="str">
        <f t="shared" si="823"/>
        <v/>
      </c>
      <c r="U565" s="26" t="str">
        <f t="shared" si="824"/>
        <v/>
      </c>
      <c r="V565" s="26" t="str">
        <f t="shared" si="825"/>
        <v/>
      </c>
      <c r="W565" s="27" t="str">
        <f t="shared" si="826"/>
        <v/>
      </c>
      <c r="X565" s="27" t="str">
        <f t="shared" si="827"/>
        <v/>
      </c>
      <c r="Y565" s="28" t="str">
        <f t="shared" si="828"/>
        <v/>
      </c>
      <c r="Z565" s="27" t="str">
        <f t="shared" si="829"/>
        <v/>
      </c>
      <c r="AA565" s="27" t="str">
        <f t="shared" si="830"/>
        <v/>
      </c>
      <c r="AB565" s="27" t="str">
        <f t="shared" si="831"/>
        <v/>
      </c>
      <c r="AC565" s="27" t="str">
        <f t="shared" si="832"/>
        <v/>
      </c>
      <c r="AD565" s="29" t="str">
        <f t="shared" si="833"/>
        <v/>
      </c>
      <c r="AE565" s="30" t="str">
        <f t="shared" si="834"/>
        <v/>
      </c>
      <c r="AG565" s="4"/>
      <c r="AH565" s="31" t="e">
        <f t="shared" si="835"/>
        <v>#VALUE!</v>
      </c>
      <c r="AI565" s="31" t="e">
        <f t="shared" si="836"/>
        <v>#VALUE!</v>
      </c>
      <c r="AJ565" s="31" t="e">
        <f t="shared" si="837"/>
        <v>#VALUE!</v>
      </c>
      <c r="AK565" s="31" t="e">
        <f t="shared" si="838"/>
        <v>#VALUE!</v>
      </c>
      <c r="AL565" s="31" t="e">
        <f t="shared" si="839"/>
        <v>#VALUE!</v>
      </c>
      <c r="AM565" s="31" t="e">
        <f t="shared" si="840"/>
        <v>#VALUE!</v>
      </c>
      <c r="AN565" s="32" t="str">
        <f t="shared" si="841"/>
        <v/>
      </c>
      <c r="AO565" s="27" t="str">
        <f t="shared" si="842"/>
        <v/>
      </c>
      <c r="AP565" s="27" t="str">
        <f t="shared" si="843"/>
        <v/>
      </c>
      <c r="AQ565" s="27">
        <f t="shared" si="844"/>
        <v>0</v>
      </c>
      <c r="AR565" s="27">
        <f t="shared" si="845"/>
        <v>0</v>
      </c>
      <c r="AS565" s="33">
        <f t="shared" si="846"/>
        <v>0</v>
      </c>
    </row>
    <row r="566" spans="2:45" hidden="1" x14ac:dyDescent="0.25">
      <c r="B566" s="34">
        <f t="shared" ref="B566:F566" si="865">IF(B565="","",B565)</f>
        <v>1720</v>
      </c>
      <c r="C566" s="26">
        <f t="shared" si="865"/>
        <v>18</v>
      </c>
      <c r="D566" s="26">
        <f t="shared" si="865"/>
        <v>500</v>
      </c>
      <c r="E566" s="26">
        <f t="shared" si="865"/>
        <v>0</v>
      </c>
      <c r="F566" s="26">
        <f t="shared" si="865"/>
        <v>-1150</v>
      </c>
      <c r="G566" s="24"/>
      <c r="H566" s="24"/>
      <c r="I566" s="24"/>
      <c r="J566" s="24"/>
      <c r="K566" s="24"/>
      <c r="L566" s="24"/>
      <c r="M566" s="44" t="str">
        <f t="shared" si="815"/>
        <v/>
      </c>
      <c r="N566" s="26" t="str">
        <f t="shared" si="817"/>
        <v/>
      </c>
      <c r="O566" s="26" t="str">
        <f t="shared" si="818"/>
        <v/>
      </c>
      <c r="P566" s="26" t="str">
        <f t="shared" si="819"/>
        <v/>
      </c>
      <c r="Q566" s="26">
        <f t="shared" si="820"/>
        <v>0</v>
      </c>
      <c r="R566" s="26">
        <f t="shared" si="821"/>
        <v>0</v>
      </c>
      <c r="S566" s="26">
        <f t="shared" si="822"/>
        <v>0</v>
      </c>
      <c r="T566" s="26" t="str">
        <f t="shared" si="823"/>
        <v/>
      </c>
      <c r="U566" s="26" t="str">
        <f t="shared" si="824"/>
        <v/>
      </c>
      <c r="V566" s="26" t="str">
        <f t="shared" si="825"/>
        <v/>
      </c>
      <c r="W566" s="27" t="str">
        <f t="shared" si="826"/>
        <v/>
      </c>
      <c r="X566" s="27" t="str">
        <f t="shared" si="827"/>
        <v/>
      </c>
      <c r="Y566" s="28" t="str">
        <f t="shared" si="828"/>
        <v/>
      </c>
      <c r="Z566" s="27" t="str">
        <f t="shared" si="829"/>
        <v/>
      </c>
      <c r="AA566" s="27" t="str">
        <f t="shared" si="830"/>
        <v/>
      </c>
      <c r="AB566" s="27" t="str">
        <f t="shared" si="831"/>
        <v/>
      </c>
      <c r="AC566" s="27" t="str">
        <f t="shared" si="832"/>
        <v/>
      </c>
      <c r="AD566" s="29" t="str">
        <f t="shared" si="833"/>
        <v/>
      </c>
      <c r="AE566" s="30" t="str">
        <f t="shared" si="834"/>
        <v/>
      </c>
      <c r="AG566" s="4"/>
      <c r="AH566" s="31" t="e">
        <f t="shared" si="835"/>
        <v>#VALUE!</v>
      </c>
      <c r="AI566" s="31" t="e">
        <f t="shared" si="836"/>
        <v>#VALUE!</v>
      </c>
      <c r="AJ566" s="31" t="e">
        <f t="shared" si="837"/>
        <v>#VALUE!</v>
      </c>
      <c r="AK566" s="31" t="e">
        <f t="shared" si="838"/>
        <v>#VALUE!</v>
      </c>
      <c r="AL566" s="31" t="e">
        <f t="shared" si="839"/>
        <v>#VALUE!</v>
      </c>
      <c r="AM566" s="31" t="e">
        <f t="shared" si="840"/>
        <v>#VALUE!</v>
      </c>
      <c r="AN566" s="32" t="str">
        <f t="shared" si="841"/>
        <v/>
      </c>
      <c r="AO566" s="27" t="str">
        <f t="shared" si="842"/>
        <v/>
      </c>
      <c r="AP566" s="27" t="str">
        <f t="shared" si="843"/>
        <v/>
      </c>
      <c r="AQ566" s="27">
        <f t="shared" si="844"/>
        <v>0</v>
      </c>
      <c r="AR566" s="27">
        <f t="shared" si="845"/>
        <v>0</v>
      </c>
      <c r="AS566" s="33">
        <f t="shared" si="846"/>
        <v>0</v>
      </c>
    </row>
    <row r="567" spans="2:45" hidden="1" x14ac:dyDescent="0.25">
      <c r="B567" s="34">
        <f t="shared" ref="B567:F567" si="866">IF(B566="","",B566)</f>
        <v>1720</v>
      </c>
      <c r="C567" s="26">
        <f t="shared" si="866"/>
        <v>18</v>
      </c>
      <c r="D567" s="26">
        <f t="shared" si="866"/>
        <v>500</v>
      </c>
      <c r="E567" s="26">
        <f t="shared" si="866"/>
        <v>0</v>
      </c>
      <c r="F567" s="26">
        <f t="shared" si="866"/>
        <v>-1150</v>
      </c>
      <c r="G567" s="24"/>
      <c r="H567" s="24"/>
      <c r="I567" s="24"/>
      <c r="J567" s="24"/>
      <c r="K567" s="24"/>
      <c r="L567" s="24"/>
      <c r="M567" s="44" t="str">
        <f t="shared" si="815"/>
        <v/>
      </c>
      <c r="N567" s="26" t="str">
        <f t="shared" si="817"/>
        <v/>
      </c>
      <c r="O567" s="26" t="str">
        <f t="shared" si="818"/>
        <v/>
      </c>
      <c r="P567" s="26" t="str">
        <f t="shared" si="819"/>
        <v/>
      </c>
      <c r="Q567" s="26">
        <f t="shared" si="820"/>
        <v>0</v>
      </c>
      <c r="R567" s="26">
        <f t="shared" si="821"/>
        <v>0</v>
      </c>
      <c r="S567" s="26">
        <f t="shared" si="822"/>
        <v>0</v>
      </c>
      <c r="T567" s="26" t="str">
        <f t="shared" si="823"/>
        <v/>
      </c>
      <c r="U567" s="26" t="str">
        <f t="shared" si="824"/>
        <v/>
      </c>
      <c r="V567" s="26" t="str">
        <f t="shared" si="825"/>
        <v/>
      </c>
      <c r="W567" s="27" t="str">
        <f t="shared" si="826"/>
        <v/>
      </c>
      <c r="X567" s="27" t="str">
        <f t="shared" si="827"/>
        <v/>
      </c>
      <c r="Y567" s="28" t="str">
        <f t="shared" si="828"/>
        <v/>
      </c>
      <c r="Z567" s="27" t="str">
        <f t="shared" si="829"/>
        <v/>
      </c>
      <c r="AA567" s="27" t="str">
        <f t="shared" si="830"/>
        <v/>
      </c>
      <c r="AB567" s="27" t="str">
        <f t="shared" si="831"/>
        <v/>
      </c>
      <c r="AC567" s="27" t="str">
        <f t="shared" si="832"/>
        <v/>
      </c>
      <c r="AD567" s="29" t="str">
        <f t="shared" si="833"/>
        <v/>
      </c>
      <c r="AE567" s="30" t="str">
        <f t="shared" si="834"/>
        <v/>
      </c>
      <c r="AG567" s="4"/>
      <c r="AH567" s="31" t="e">
        <f t="shared" si="835"/>
        <v>#VALUE!</v>
      </c>
      <c r="AI567" s="31" t="e">
        <f t="shared" si="836"/>
        <v>#VALUE!</v>
      </c>
      <c r="AJ567" s="31" t="e">
        <f t="shared" si="837"/>
        <v>#VALUE!</v>
      </c>
      <c r="AK567" s="31" t="e">
        <f t="shared" si="838"/>
        <v>#VALUE!</v>
      </c>
      <c r="AL567" s="31" t="e">
        <f t="shared" si="839"/>
        <v>#VALUE!</v>
      </c>
      <c r="AM567" s="31" t="e">
        <f t="shared" si="840"/>
        <v>#VALUE!</v>
      </c>
      <c r="AN567" s="32" t="str">
        <f t="shared" si="841"/>
        <v/>
      </c>
      <c r="AO567" s="27" t="str">
        <f t="shared" si="842"/>
        <v/>
      </c>
      <c r="AP567" s="27" t="str">
        <f t="shared" si="843"/>
        <v/>
      </c>
      <c r="AQ567" s="27">
        <f t="shared" si="844"/>
        <v>0</v>
      </c>
      <c r="AR567" s="27">
        <f t="shared" si="845"/>
        <v>0</v>
      </c>
      <c r="AS567" s="33">
        <f t="shared" si="846"/>
        <v>0</v>
      </c>
    </row>
    <row r="568" spans="2:45" hidden="1" x14ac:dyDescent="0.25">
      <c r="B568" s="34">
        <f t="shared" ref="B568:F568" si="867">IF(B567="","",B567)</f>
        <v>1720</v>
      </c>
      <c r="C568" s="26">
        <f t="shared" si="867"/>
        <v>18</v>
      </c>
      <c r="D568" s="26">
        <f t="shared" si="867"/>
        <v>500</v>
      </c>
      <c r="E568" s="26">
        <f t="shared" si="867"/>
        <v>0</v>
      </c>
      <c r="F568" s="26">
        <f t="shared" si="867"/>
        <v>-1150</v>
      </c>
      <c r="G568" s="24"/>
      <c r="H568" s="24"/>
      <c r="I568" s="24"/>
      <c r="J568" s="24"/>
      <c r="K568" s="24"/>
      <c r="L568" s="24"/>
      <c r="M568" s="44" t="str">
        <f t="shared" si="815"/>
        <v/>
      </c>
      <c r="N568" s="26" t="str">
        <f t="shared" si="817"/>
        <v/>
      </c>
      <c r="O568" s="26" t="str">
        <f t="shared" si="818"/>
        <v/>
      </c>
      <c r="P568" s="26" t="str">
        <f t="shared" si="819"/>
        <v/>
      </c>
      <c r="Q568" s="26">
        <f t="shared" si="820"/>
        <v>0</v>
      </c>
      <c r="R568" s="26">
        <f t="shared" si="821"/>
        <v>0</v>
      </c>
      <c r="S568" s="26">
        <f t="shared" si="822"/>
        <v>0</v>
      </c>
      <c r="T568" s="26" t="str">
        <f t="shared" si="823"/>
        <v/>
      </c>
      <c r="U568" s="26" t="str">
        <f t="shared" si="824"/>
        <v/>
      </c>
      <c r="V568" s="26" t="str">
        <f t="shared" si="825"/>
        <v/>
      </c>
      <c r="W568" s="27" t="str">
        <f t="shared" si="826"/>
        <v/>
      </c>
      <c r="X568" s="27" t="str">
        <f t="shared" si="827"/>
        <v/>
      </c>
      <c r="Y568" s="28" t="str">
        <f t="shared" si="828"/>
        <v/>
      </c>
      <c r="Z568" s="27" t="str">
        <f t="shared" si="829"/>
        <v/>
      </c>
      <c r="AA568" s="27" t="str">
        <f t="shared" si="830"/>
        <v/>
      </c>
      <c r="AB568" s="27" t="str">
        <f t="shared" si="831"/>
        <v/>
      </c>
      <c r="AC568" s="27" t="str">
        <f t="shared" si="832"/>
        <v/>
      </c>
      <c r="AD568" s="29" t="str">
        <f t="shared" si="833"/>
        <v/>
      </c>
      <c r="AE568" s="30" t="str">
        <f t="shared" si="834"/>
        <v/>
      </c>
      <c r="AG568" s="4"/>
      <c r="AH568" s="31" t="e">
        <f t="shared" si="835"/>
        <v>#VALUE!</v>
      </c>
      <c r="AI568" s="31" t="e">
        <f t="shared" si="836"/>
        <v>#VALUE!</v>
      </c>
      <c r="AJ568" s="31" t="e">
        <f t="shared" si="837"/>
        <v>#VALUE!</v>
      </c>
      <c r="AK568" s="31" t="e">
        <f t="shared" si="838"/>
        <v>#VALUE!</v>
      </c>
      <c r="AL568" s="31" t="e">
        <f t="shared" si="839"/>
        <v>#VALUE!</v>
      </c>
      <c r="AM568" s="31" t="e">
        <f t="shared" si="840"/>
        <v>#VALUE!</v>
      </c>
      <c r="AN568" s="32" t="str">
        <f t="shared" si="841"/>
        <v/>
      </c>
      <c r="AO568" s="27" t="str">
        <f t="shared" si="842"/>
        <v/>
      </c>
      <c r="AP568" s="27" t="str">
        <f t="shared" si="843"/>
        <v/>
      </c>
      <c r="AQ568" s="27">
        <f t="shared" si="844"/>
        <v>0</v>
      </c>
      <c r="AR568" s="27">
        <f t="shared" si="845"/>
        <v>0</v>
      </c>
      <c r="AS568" s="33">
        <f t="shared" si="846"/>
        <v>0</v>
      </c>
    </row>
    <row r="569" spans="2:45" hidden="1" x14ac:dyDescent="0.25">
      <c r="B569" s="34">
        <f t="shared" ref="B569:F569" si="868">IF(B568="","",B568)</f>
        <v>1720</v>
      </c>
      <c r="C569" s="26">
        <f t="shared" si="868"/>
        <v>18</v>
      </c>
      <c r="D569" s="26">
        <f t="shared" si="868"/>
        <v>500</v>
      </c>
      <c r="E569" s="26">
        <f t="shared" si="868"/>
        <v>0</v>
      </c>
      <c r="F569" s="26">
        <f t="shared" si="868"/>
        <v>-1150</v>
      </c>
      <c r="G569" s="24"/>
      <c r="H569" s="24"/>
      <c r="I569" s="24"/>
      <c r="J569" s="24"/>
      <c r="K569" s="24"/>
      <c r="L569" s="24"/>
      <c r="M569" s="44" t="str">
        <f t="shared" si="815"/>
        <v/>
      </c>
      <c r="N569" s="26" t="str">
        <f t="shared" si="817"/>
        <v/>
      </c>
      <c r="O569" s="26" t="str">
        <f t="shared" si="818"/>
        <v/>
      </c>
      <c r="P569" s="26" t="str">
        <f t="shared" si="819"/>
        <v/>
      </c>
      <c r="Q569" s="26">
        <f t="shared" si="820"/>
        <v>0</v>
      </c>
      <c r="R569" s="26">
        <f t="shared" si="821"/>
        <v>0</v>
      </c>
      <c r="S569" s="26">
        <f t="shared" si="822"/>
        <v>0</v>
      </c>
      <c r="T569" s="26" t="str">
        <f t="shared" si="823"/>
        <v/>
      </c>
      <c r="U569" s="26" t="str">
        <f t="shared" si="824"/>
        <v/>
      </c>
      <c r="V569" s="26" t="str">
        <f t="shared" si="825"/>
        <v/>
      </c>
      <c r="W569" s="27" t="str">
        <f t="shared" si="826"/>
        <v/>
      </c>
      <c r="X569" s="27" t="str">
        <f t="shared" si="827"/>
        <v/>
      </c>
      <c r="Y569" s="28" t="str">
        <f t="shared" si="828"/>
        <v/>
      </c>
      <c r="Z569" s="27" t="str">
        <f t="shared" si="829"/>
        <v/>
      </c>
      <c r="AA569" s="27" t="str">
        <f t="shared" si="830"/>
        <v/>
      </c>
      <c r="AB569" s="27" t="str">
        <f t="shared" si="831"/>
        <v/>
      </c>
      <c r="AC569" s="27" t="str">
        <f t="shared" si="832"/>
        <v/>
      </c>
      <c r="AD569" s="29" t="str">
        <f t="shared" si="833"/>
        <v/>
      </c>
      <c r="AE569" s="30" t="str">
        <f t="shared" si="834"/>
        <v/>
      </c>
      <c r="AG569" s="4"/>
      <c r="AH569" s="31" t="e">
        <f t="shared" si="835"/>
        <v>#VALUE!</v>
      </c>
      <c r="AI569" s="31" t="e">
        <f t="shared" si="836"/>
        <v>#VALUE!</v>
      </c>
      <c r="AJ569" s="31" t="e">
        <f t="shared" si="837"/>
        <v>#VALUE!</v>
      </c>
      <c r="AK569" s="31" t="e">
        <f t="shared" si="838"/>
        <v>#VALUE!</v>
      </c>
      <c r="AL569" s="31" t="e">
        <f t="shared" si="839"/>
        <v>#VALUE!</v>
      </c>
      <c r="AM569" s="31" t="e">
        <f t="shared" si="840"/>
        <v>#VALUE!</v>
      </c>
      <c r="AN569" s="32" t="str">
        <f t="shared" si="841"/>
        <v/>
      </c>
      <c r="AO569" s="27" t="str">
        <f t="shared" si="842"/>
        <v/>
      </c>
      <c r="AP569" s="27" t="str">
        <f t="shared" si="843"/>
        <v/>
      </c>
      <c r="AQ569" s="27">
        <f t="shared" si="844"/>
        <v>0</v>
      </c>
      <c r="AR569" s="27">
        <f t="shared" si="845"/>
        <v>0</v>
      </c>
      <c r="AS569" s="33">
        <f t="shared" si="846"/>
        <v>0</v>
      </c>
    </row>
    <row r="570" spans="2:45" hidden="1" x14ac:dyDescent="0.25">
      <c r="B570" s="34">
        <f t="shared" ref="B570:F570" si="869">IF(B569="","",B569)</f>
        <v>1720</v>
      </c>
      <c r="C570" s="26">
        <f t="shared" si="869"/>
        <v>18</v>
      </c>
      <c r="D570" s="26">
        <f t="shared" si="869"/>
        <v>500</v>
      </c>
      <c r="E570" s="26">
        <f t="shared" si="869"/>
        <v>0</v>
      </c>
      <c r="F570" s="26">
        <f t="shared" si="869"/>
        <v>-1150</v>
      </c>
      <c r="G570" s="24"/>
      <c r="H570" s="24"/>
      <c r="I570" s="24"/>
      <c r="J570" s="24"/>
      <c r="K570" s="24"/>
      <c r="L570" s="24"/>
      <c r="M570" s="44" t="str">
        <f t="shared" si="815"/>
        <v/>
      </c>
      <c r="N570" s="26" t="str">
        <f t="shared" si="817"/>
        <v/>
      </c>
      <c r="O570" s="26" t="str">
        <f t="shared" si="818"/>
        <v/>
      </c>
      <c r="P570" s="26" t="str">
        <f t="shared" si="819"/>
        <v/>
      </c>
      <c r="Q570" s="26">
        <f t="shared" si="820"/>
        <v>0</v>
      </c>
      <c r="R570" s="26">
        <f t="shared" si="821"/>
        <v>0</v>
      </c>
      <c r="S570" s="26">
        <f t="shared" si="822"/>
        <v>0</v>
      </c>
      <c r="T570" s="26" t="str">
        <f t="shared" si="823"/>
        <v/>
      </c>
      <c r="U570" s="26" t="str">
        <f t="shared" si="824"/>
        <v/>
      </c>
      <c r="V570" s="26" t="str">
        <f t="shared" si="825"/>
        <v/>
      </c>
      <c r="W570" s="27" t="str">
        <f t="shared" si="826"/>
        <v/>
      </c>
      <c r="X570" s="27" t="str">
        <f t="shared" si="827"/>
        <v/>
      </c>
      <c r="Y570" s="28" t="str">
        <f t="shared" si="828"/>
        <v/>
      </c>
      <c r="Z570" s="27" t="str">
        <f t="shared" si="829"/>
        <v/>
      </c>
      <c r="AA570" s="27" t="str">
        <f t="shared" si="830"/>
        <v/>
      </c>
      <c r="AB570" s="27" t="str">
        <f t="shared" si="831"/>
        <v/>
      </c>
      <c r="AC570" s="27" t="str">
        <f t="shared" si="832"/>
        <v/>
      </c>
      <c r="AD570" s="29" t="str">
        <f t="shared" si="833"/>
        <v/>
      </c>
      <c r="AE570" s="30" t="str">
        <f t="shared" si="834"/>
        <v/>
      </c>
      <c r="AG570" s="4"/>
      <c r="AH570" s="31" t="e">
        <f t="shared" si="835"/>
        <v>#VALUE!</v>
      </c>
      <c r="AI570" s="31" t="e">
        <f t="shared" si="836"/>
        <v>#VALUE!</v>
      </c>
      <c r="AJ570" s="31" t="e">
        <f t="shared" si="837"/>
        <v>#VALUE!</v>
      </c>
      <c r="AK570" s="31" t="e">
        <f t="shared" si="838"/>
        <v>#VALUE!</v>
      </c>
      <c r="AL570" s="31" t="e">
        <f t="shared" si="839"/>
        <v>#VALUE!</v>
      </c>
      <c r="AM570" s="31" t="e">
        <f t="shared" si="840"/>
        <v>#VALUE!</v>
      </c>
      <c r="AN570" s="32" t="str">
        <f t="shared" si="841"/>
        <v/>
      </c>
      <c r="AO570" s="27" t="str">
        <f t="shared" si="842"/>
        <v/>
      </c>
      <c r="AP570" s="27" t="str">
        <f t="shared" si="843"/>
        <v/>
      </c>
      <c r="AQ570" s="27">
        <f t="shared" si="844"/>
        <v>0</v>
      </c>
      <c r="AR570" s="27">
        <f t="shared" si="845"/>
        <v>0</v>
      </c>
      <c r="AS570" s="33">
        <f t="shared" si="846"/>
        <v>0</v>
      </c>
    </row>
    <row r="571" spans="2:45" hidden="1" x14ac:dyDescent="0.25">
      <c r="B571" s="34">
        <f t="shared" ref="B571:F571" si="870">IF(B570="","",B570)</f>
        <v>1720</v>
      </c>
      <c r="C571" s="26">
        <f t="shared" si="870"/>
        <v>18</v>
      </c>
      <c r="D571" s="26">
        <f t="shared" si="870"/>
        <v>500</v>
      </c>
      <c r="E571" s="26">
        <f t="shared" si="870"/>
        <v>0</v>
      </c>
      <c r="F571" s="26">
        <f t="shared" si="870"/>
        <v>-1150</v>
      </c>
      <c r="G571" s="24"/>
      <c r="H571" s="24"/>
      <c r="I571" s="24"/>
      <c r="J571" s="24"/>
      <c r="K571" s="24"/>
      <c r="L571" s="24"/>
      <c r="M571" s="44" t="str">
        <f t="shared" si="815"/>
        <v/>
      </c>
      <c r="N571" s="26" t="str">
        <f t="shared" si="817"/>
        <v/>
      </c>
      <c r="O571" s="26" t="str">
        <f t="shared" si="818"/>
        <v/>
      </c>
      <c r="P571" s="26" t="str">
        <f t="shared" si="819"/>
        <v/>
      </c>
      <c r="Q571" s="26">
        <f t="shared" si="820"/>
        <v>0</v>
      </c>
      <c r="R571" s="26">
        <f t="shared" si="821"/>
        <v>0</v>
      </c>
      <c r="S571" s="26">
        <f t="shared" si="822"/>
        <v>0</v>
      </c>
      <c r="T571" s="26" t="str">
        <f t="shared" si="823"/>
        <v/>
      </c>
      <c r="U571" s="26" t="str">
        <f t="shared" si="824"/>
        <v/>
      </c>
      <c r="V571" s="26" t="str">
        <f t="shared" si="825"/>
        <v/>
      </c>
      <c r="W571" s="27" t="str">
        <f t="shared" si="826"/>
        <v/>
      </c>
      <c r="X571" s="27" t="str">
        <f t="shared" si="827"/>
        <v/>
      </c>
      <c r="Y571" s="28" t="str">
        <f t="shared" si="828"/>
        <v/>
      </c>
      <c r="Z571" s="27" t="str">
        <f t="shared" si="829"/>
        <v/>
      </c>
      <c r="AA571" s="27" t="str">
        <f t="shared" si="830"/>
        <v/>
      </c>
      <c r="AB571" s="27" t="str">
        <f t="shared" si="831"/>
        <v/>
      </c>
      <c r="AC571" s="27" t="str">
        <f t="shared" si="832"/>
        <v/>
      </c>
      <c r="AD571" s="29" t="str">
        <f t="shared" si="833"/>
        <v/>
      </c>
      <c r="AE571" s="30" t="str">
        <f t="shared" si="834"/>
        <v/>
      </c>
      <c r="AG571" s="4"/>
      <c r="AH571" s="31" t="e">
        <f t="shared" si="835"/>
        <v>#VALUE!</v>
      </c>
      <c r="AI571" s="31" t="e">
        <f t="shared" si="836"/>
        <v>#VALUE!</v>
      </c>
      <c r="AJ571" s="31" t="e">
        <f t="shared" si="837"/>
        <v>#VALUE!</v>
      </c>
      <c r="AK571" s="31" t="e">
        <f t="shared" si="838"/>
        <v>#VALUE!</v>
      </c>
      <c r="AL571" s="31" t="e">
        <f t="shared" si="839"/>
        <v>#VALUE!</v>
      </c>
      <c r="AM571" s="31" t="e">
        <f t="shared" si="840"/>
        <v>#VALUE!</v>
      </c>
      <c r="AN571" s="32" t="str">
        <f t="shared" si="841"/>
        <v/>
      </c>
      <c r="AO571" s="27" t="str">
        <f t="shared" si="842"/>
        <v/>
      </c>
      <c r="AP571" s="27" t="str">
        <f t="shared" si="843"/>
        <v/>
      </c>
      <c r="AQ571" s="27">
        <f t="shared" si="844"/>
        <v>0</v>
      </c>
      <c r="AR571" s="27">
        <f t="shared" si="845"/>
        <v>0</v>
      </c>
      <c r="AS571" s="33">
        <f t="shared" si="846"/>
        <v>0</v>
      </c>
    </row>
    <row r="572" spans="2:45" hidden="1" x14ac:dyDescent="0.25">
      <c r="B572" s="34">
        <f t="shared" ref="B572:F572" si="871">IF(B571="","",B571)</f>
        <v>1720</v>
      </c>
      <c r="C572" s="26">
        <f t="shared" si="871"/>
        <v>18</v>
      </c>
      <c r="D572" s="26">
        <f t="shared" si="871"/>
        <v>500</v>
      </c>
      <c r="E572" s="26">
        <f t="shared" si="871"/>
        <v>0</v>
      </c>
      <c r="F572" s="26">
        <f t="shared" si="871"/>
        <v>-1150</v>
      </c>
      <c r="G572" s="24"/>
      <c r="H572" s="24"/>
      <c r="I572" s="24"/>
      <c r="J572" s="24"/>
      <c r="K572" s="24"/>
      <c r="L572" s="24"/>
      <c r="M572" s="44" t="str">
        <f t="shared" si="815"/>
        <v/>
      </c>
      <c r="N572" s="26" t="str">
        <f t="shared" si="817"/>
        <v/>
      </c>
      <c r="O572" s="26" t="str">
        <f t="shared" si="818"/>
        <v/>
      </c>
      <c r="P572" s="26" t="str">
        <f t="shared" si="819"/>
        <v/>
      </c>
      <c r="Q572" s="26">
        <f t="shared" si="820"/>
        <v>0</v>
      </c>
      <c r="R572" s="26">
        <f t="shared" si="821"/>
        <v>0</v>
      </c>
      <c r="S572" s="26">
        <f t="shared" si="822"/>
        <v>0</v>
      </c>
      <c r="T572" s="26" t="str">
        <f t="shared" si="823"/>
        <v/>
      </c>
      <c r="U572" s="26" t="str">
        <f t="shared" si="824"/>
        <v/>
      </c>
      <c r="V572" s="26" t="str">
        <f t="shared" si="825"/>
        <v/>
      </c>
      <c r="W572" s="27" t="str">
        <f t="shared" si="826"/>
        <v/>
      </c>
      <c r="X572" s="27" t="str">
        <f t="shared" si="827"/>
        <v/>
      </c>
      <c r="Y572" s="28" t="str">
        <f t="shared" si="828"/>
        <v/>
      </c>
      <c r="Z572" s="27" t="str">
        <f t="shared" si="829"/>
        <v/>
      </c>
      <c r="AA572" s="27" t="str">
        <f t="shared" si="830"/>
        <v/>
      </c>
      <c r="AB572" s="27" t="str">
        <f t="shared" si="831"/>
        <v/>
      </c>
      <c r="AC572" s="27" t="str">
        <f t="shared" si="832"/>
        <v/>
      </c>
      <c r="AD572" s="29" t="str">
        <f t="shared" si="833"/>
        <v/>
      </c>
      <c r="AE572" s="30" t="str">
        <f t="shared" si="834"/>
        <v/>
      </c>
      <c r="AG572" s="4"/>
      <c r="AH572" s="31" t="e">
        <f t="shared" si="835"/>
        <v>#VALUE!</v>
      </c>
      <c r="AI572" s="31" t="e">
        <f t="shared" si="836"/>
        <v>#VALUE!</v>
      </c>
      <c r="AJ572" s="31" t="e">
        <f t="shared" si="837"/>
        <v>#VALUE!</v>
      </c>
      <c r="AK572" s="31" t="e">
        <f t="shared" si="838"/>
        <v>#VALUE!</v>
      </c>
      <c r="AL572" s="31" t="e">
        <f t="shared" si="839"/>
        <v>#VALUE!</v>
      </c>
      <c r="AM572" s="31" t="e">
        <f t="shared" si="840"/>
        <v>#VALUE!</v>
      </c>
      <c r="AN572" s="32" t="str">
        <f t="shared" si="841"/>
        <v/>
      </c>
      <c r="AO572" s="27" t="str">
        <f t="shared" si="842"/>
        <v/>
      </c>
      <c r="AP572" s="27" t="str">
        <f t="shared" si="843"/>
        <v/>
      </c>
      <c r="AQ572" s="27">
        <f t="shared" si="844"/>
        <v>0</v>
      </c>
      <c r="AR572" s="27">
        <f t="shared" si="845"/>
        <v>0</v>
      </c>
      <c r="AS572" s="33">
        <f t="shared" si="846"/>
        <v>0</v>
      </c>
    </row>
    <row r="573" spans="2:45" hidden="1" x14ac:dyDescent="0.25">
      <c r="B573" s="34">
        <f t="shared" ref="B573:F573" si="872">IF(B572="","",B572)</f>
        <v>1720</v>
      </c>
      <c r="C573" s="26">
        <f t="shared" si="872"/>
        <v>18</v>
      </c>
      <c r="D573" s="26">
        <f t="shared" si="872"/>
        <v>500</v>
      </c>
      <c r="E573" s="26">
        <f t="shared" si="872"/>
        <v>0</v>
      </c>
      <c r="F573" s="26">
        <f t="shared" si="872"/>
        <v>-1150</v>
      </c>
      <c r="G573" s="24"/>
      <c r="H573" s="24"/>
      <c r="I573" s="24"/>
      <c r="J573" s="24"/>
      <c r="K573" s="24"/>
      <c r="L573" s="24"/>
      <c r="M573" s="44" t="str">
        <f t="shared" si="815"/>
        <v/>
      </c>
      <c r="N573" s="26" t="str">
        <f t="shared" si="817"/>
        <v/>
      </c>
      <c r="O573" s="26" t="str">
        <f t="shared" si="818"/>
        <v/>
      </c>
      <c r="P573" s="26" t="str">
        <f t="shared" si="819"/>
        <v/>
      </c>
      <c r="Q573" s="26">
        <f t="shared" si="820"/>
        <v>0</v>
      </c>
      <c r="R573" s="26">
        <f t="shared" si="821"/>
        <v>0</v>
      </c>
      <c r="S573" s="26">
        <f t="shared" si="822"/>
        <v>0</v>
      </c>
      <c r="T573" s="26" t="str">
        <f t="shared" si="823"/>
        <v/>
      </c>
      <c r="U573" s="26" t="str">
        <f t="shared" si="824"/>
        <v/>
      </c>
      <c r="V573" s="26" t="str">
        <f t="shared" si="825"/>
        <v/>
      </c>
      <c r="W573" s="27" t="str">
        <f t="shared" si="826"/>
        <v/>
      </c>
      <c r="X573" s="27" t="str">
        <f t="shared" si="827"/>
        <v/>
      </c>
      <c r="Y573" s="28" t="str">
        <f t="shared" si="828"/>
        <v/>
      </c>
      <c r="Z573" s="27" t="str">
        <f t="shared" si="829"/>
        <v/>
      </c>
      <c r="AA573" s="27" t="str">
        <f t="shared" si="830"/>
        <v/>
      </c>
      <c r="AB573" s="27" t="str">
        <f t="shared" si="831"/>
        <v/>
      </c>
      <c r="AC573" s="27" t="str">
        <f t="shared" si="832"/>
        <v/>
      </c>
      <c r="AD573" s="29" t="str">
        <f t="shared" si="833"/>
        <v/>
      </c>
      <c r="AE573" s="30" t="str">
        <f t="shared" si="834"/>
        <v/>
      </c>
      <c r="AG573" s="4"/>
      <c r="AH573" s="31" t="e">
        <f t="shared" si="835"/>
        <v>#VALUE!</v>
      </c>
      <c r="AI573" s="31" t="e">
        <f t="shared" si="836"/>
        <v>#VALUE!</v>
      </c>
      <c r="AJ573" s="31" t="e">
        <f t="shared" si="837"/>
        <v>#VALUE!</v>
      </c>
      <c r="AK573" s="31" t="e">
        <f t="shared" si="838"/>
        <v>#VALUE!</v>
      </c>
      <c r="AL573" s="31" t="e">
        <f t="shared" si="839"/>
        <v>#VALUE!</v>
      </c>
      <c r="AM573" s="31" t="e">
        <f t="shared" si="840"/>
        <v>#VALUE!</v>
      </c>
      <c r="AN573" s="32" t="str">
        <f t="shared" si="841"/>
        <v/>
      </c>
      <c r="AO573" s="27" t="str">
        <f t="shared" si="842"/>
        <v/>
      </c>
      <c r="AP573" s="27" t="str">
        <f t="shared" si="843"/>
        <v/>
      </c>
      <c r="AQ573" s="27">
        <f t="shared" si="844"/>
        <v>0</v>
      </c>
      <c r="AR573" s="27">
        <f t="shared" si="845"/>
        <v>0</v>
      </c>
      <c r="AS573" s="33">
        <f t="shared" si="846"/>
        <v>0</v>
      </c>
    </row>
    <row r="574" spans="2:45" hidden="1" x14ac:dyDescent="0.25">
      <c r="B574" s="34">
        <f t="shared" ref="B574:F574" si="873">IF(B573="","",B573)</f>
        <v>1720</v>
      </c>
      <c r="C574" s="26">
        <f t="shared" si="873"/>
        <v>18</v>
      </c>
      <c r="D574" s="26">
        <f t="shared" si="873"/>
        <v>500</v>
      </c>
      <c r="E574" s="26">
        <f t="shared" si="873"/>
        <v>0</v>
      </c>
      <c r="F574" s="26">
        <f t="shared" si="873"/>
        <v>-1150</v>
      </c>
      <c r="G574" s="24"/>
      <c r="H574" s="24"/>
      <c r="I574" s="24"/>
      <c r="J574" s="24"/>
      <c r="K574" s="24"/>
      <c r="L574" s="24"/>
      <c r="M574" s="44" t="str">
        <f t="shared" si="815"/>
        <v/>
      </c>
      <c r="N574" s="26" t="str">
        <f t="shared" si="817"/>
        <v/>
      </c>
      <c r="O574" s="26" t="str">
        <f t="shared" si="818"/>
        <v/>
      </c>
      <c r="P574" s="26" t="str">
        <f t="shared" si="819"/>
        <v/>
      </c>
      <c r="Q574" s="26">
        <f t="shared" si="820"/>
        <v>0</v>
      </c>
      <c r="R574" s="26">
        <f t="shared" si="821"/>
        <v>0</v>
      </c>
      <c r="S574" s="26">
        <f t="shared" si="822"/>
        <v>0</v>
      </c>
      <c r="T574" s="26" t="str">
        <f t="shared" si="823"/>
        <v/>
      </c>
      <c r="U574" s="26" t="str">
        <f t="shared" si="824"/>
        <v/>
      </c>
      <c r="V574" s="26" t="str">
        <f t="shared" si="825"/>
        <v/>
      </c>
      <c r="W574" s="27" t="str">
        <f t="shared" si="826"/>
        <v/>
      </c>
      <c r="X574" s="27" t="str">
        <f t="shared" si="827"/>
        <v/>
      </c>
      <c r="Y574" s="28" t="str">
        <f t="shared" si="828"/>
        <v/>
      </c>
      <c r="Z574" s="27" t="str">
        <f t="shared" si="829"/>
        <v/>
      </c>
      <c r="AA574" s="27" t="str">
        <f t="shared" si="830"/>
        <v/>
      </c>
      <c r="AB574" s="27" t="str">
        <f t="shared" si="831"/>
        <v/>
      </c>
      <c r="AC574" s="27" t="str">
        <f t="shared" si="832"/>
        <v/>
      </c>
      <c r="AD574" s="29" t="str">
        <f t="shared" si="833"/>
        <v/>
      </c>
      <c r="AE574" s="30" t="str">
        <f t="shared" si="834"/>
        <v/>
      </c>
      <c r="AG574" s="4"/>
      <c r="AH574" s="31" t="e">
        <f t="shared" si="835"/>
        <v>#VALUE!</v>
      </c>
      <c r="AI574" s="31" t="e">
        <f t="shared" si="836"/>
        <v>#VALUE!</v>
      </c>
      <c r="AJ574" s="31" t="e">
        <f t="shared" si="837"/>
        <v>#VALUE!</v>
      </c>
      <c r="AK574" s="31" t="e">
        <f t="shared" si="838"/>
        <v>#VALUE!</v>
      </c>
      <c r="AL574" s="31" t="e">
        <f t="shared" si="839"/>
        <v>#VALUE!</v>
      </c>
      <c r="AM574" s="31" t="e">
        <f t="shared" si="840"/>
        <v>#VALUE!</v>
      </c>
      <c r="AN574" s="32" t="str">
        <f t="shared" si="841"/>
        <v/>
      </c>
      <c r="AO574" s="27" t="str">
        <f t="shared" si="842"/>
        <v/>
      </c>
      <c r="AP574" s="27" t="str">
        <f t="shared" si="843"/>
        <v/>
      </c>
      <c r="AQ574" s="27">
        <f t="shared" si="844"/>
        <v>0</v>
      </c>
      <c r="AR574" s="27">
        <f t="shared" si="845"/>
        <v>0</v>
      </c>
      <c r="AS574" s="33">
        <f t="shared" si="846"/>
        <v>0</v>
      </c>
    </row>
    <row r="575" spans="2:45" hidden="1" x14ac:dyDescent="0.25">
      <c r="B575" s="34">
        <f>IF(B574="","",B574)</f>
        <v>1720</v>
      </c>
      <c r="C575" s="26">
        <f t="shared" ref="C575:F575" si="874">IF(C574="","",C574)</f>
        <v>18</v>
      </c>
      <c r="D575" s="26">
        <f t="shared" si="874"/>
        <v>500</v>
      </c>
      <c r="E575" s="26">
        <f t="shared" si="874"/>
        <v>0</v>
      </c>
      <c r="F575" s="26">
        <f t="shared" si="874"/>
        <v>-1150</v>
      </c>
      <c r="G575" s="24"/>
      <c r="H575" s="24"/>
      <c r="I575" s="24"/>
      <c r="J575" s="24"/>
      <c r="K575" s="24"/>
      <c r="L575" s="24"/>
      <c r="M575" s="44" t="str">
        <f t="shared" si="815"/>
        <v/>
      </c>
      <c r="N575" s="26" t="str">
        <f t="shared" si="817"/>
        <v/>
      </c>
      <c r="O575" s="26" t="str">
        <f t="shared" si="818"/>
        <v/>
      </c>
      <c r="P575" s="26" t="str">
        <f t="shared" si="819"/>
        <v/>
      </c>
      <c r="Q575" s="26">
        <f t="shared" si="820"/>
        <v>0</v>
      </c>
      <c r="R575" s="26">
        <f t="shared" si="821"/>
        <v>0</v>
      </c>
      <c r="S575" s="26">
        <f t="shared" si="822"/>
        <v>0</v>
      </c>
      <c r="T575" s="26" t="str">
        <f t="shared" si="823"/>
        <v/>
      </c>
      <c r="U575" s="26" t="str">
        <f t="shared" si="824"/>
        <v/>
      </c>
      <c r="V575" s="26" t="str">
        <f t="shared" si="825"/>
        <v/>
      </c>
      <c r="W575" s="27" t="str">
        <f t="shared" si="826"/>
        <v/>
      </c>
      <c r="X575" s="27" t="str">
        <f t="shared" si="827"/>
        <v/>
      </c>
      <c r="Y575" s="28" t="str">
        <f t="shared" si="828"/>
        <v/>
      </c>
      <c r="Z575" s="27" t="str">
        <f t="shared" si="829"/>
        <v/>
      </c>
      <c r="AA575" s="27" t="str">
        <f t="shared" si="830"/>
        <v/>
      </c>
      <c r="AB575" s="27" t="str">
        <f t="shared" si="831"/>
        <v/>
      </c>
      <c r="AC575" s="27" t="str">
        <f t="shared" si="832"/>
        <v/>
      </c>
      <c r="AD575" s="29" t="str">
        <f t="shared" si="833"/>
        <v/>
      </c>
      <c r="AE575" s="30" t="str">
        <f t="shared" si="834"/>
        <v/>
      </c>
      <c r="AG575" s="4"/>
      <c r="AH575" s="31" t="e">
        <f t="shared" si="835"/>
        <v>#VALUE!</v>
      </c>
      <c r="AI575" s="31" t="e">
        <f t="shared" si="836"/>
        <v>#VALUE!</v>
      </c>
      <c r="AJ575" s="31" t="e">
        <f t="shared" si="837"/>
        <v>#VALUE!</v>
      </c>
      <c r="AK575" s="31" t="e">
        <f t="shared" si="838"/>
        <v>#VALUE!</v>
      </c>
      <c r="AL575" s="31" t="e">
        <f t="shared" si="839"/>
        <v>#VALUE!</v>
      </c>
      <c r="AM575" s="31" t="e">
        <f t="shared" si="840"/>
        <v>#VALUE!</v>
      </c>
      <c r="AN575" s="32" t="str">
        <f t="shared" si="841"/>
        <v/>
      </c>
      <c r="AO575" s="27" t="str">
        <f t="shared" si="842"/>
        <v/>
      </c>
      <c r="AP575" s="27" t="str">
        <f t="shared" si="843"/>
        <v/>
      </c>
      <c r="AQ575" s="27">
        <f t="shared" si="844"/>
        <v>0</v>
      </c>
      <c r="AR575" s="27">
        <f t="shared" si="845"/>
        <v>0</v>
      </c>
      <c r="AS575" s="33">
        <f t="shared" si="846"/>
        <v>0</v>
      </c>
    </row>
    <row r="576" spans="2:45" hidden="1" x14ac:dyDescent="0.25">
      <c r="B576" s="34">
        <f t="shared" ref="B576:F576" si="875">IF(B561="","",B561)</f>
        <v>1720</v>
      </c>
      <c r="C576" s="26">
        <f t="shared" si="875"/>
        <v>18</v>
      </c>
      <c r="D576" s="26">
        <f t="shared" si="875"/>
        <v>500</v>
      </c>
      <c r="E576" s="26">
        <f t="shared" si="875"/>
        <v>0</v>
      </c>
      <c r="F576" s="26">
        <f t="shared" si="875"/>
        <v>-1150</v>
      </c>
      <c r="G576" s="24"/>
      <c r="H576" s="24"/>
      <c r="I576" s="24"/>
      <c r="J576" s="24"/>
      <c r="K576" s="24"/>
      <c r="L576" s="24"/>
      <c r="M576" s="44" t="str">
        <f t="shared" ref="M576:M607" si="876">IF(B576="","",IF(M406="","",M406))</f>
        <v/>
      </c>
      <c r="N576" s="26" t="str">
        <f t="shared" si="817"/>
        <v/>
      </c>
      <c r="O576" s="26" t="str">
        <f t="shared" si="818"/>
        <v/>
      </c>
      <c r="P576" s="26" t="str">
        <f t="shared" si="819"/>
        <v/>
      </c>
      <c r="Q576" s="26">
        <f t="shared" si="820"/>
        <v>0</v>
      </c>
      <c r="R576" s="26">
        <f t="shared" si="821"/>
        <v>0</v>
      </c>
      <c r="S576" s="26">
        <f t="shared" si="822"/>
        <v>0</v>
      </c>
      <c r="T576" s="26" t="str">
        <f t="shared" si="823"/>
        <v/>
      </c>
      <c r="U576" s="26" t="str">
        <f t="shared" si="824"/>
        <v/>
      </c>
      <c r="V576" s="26" t="str">
        <f t="shared" si="825"/>
        <v/>
      </c>
      <c r="W576" s="27" t="str">
        <f t="shared" si="826"/>
        <v/>
      </c>
      <c r="X576" s="27" t="str">
        <f t="shared" si="827"/>
        <v/>
      </c>
      <c r="Y576" s="28" t="str">
        <f t="shared" si="828"/>
        <v/>
      </c>
      <c r="Z576" s="27" t="str">
        <f t="shared" si="829"/>
        <v/>
      </c>
      <c r="AA576" s="27" t="str">
        <f t="shared" si="830"/>
        <v/>
      </c>
      <c r="AB576" s="27" t="str">
        <f t="shared" si="831"/>
        <v/>
      </c>
      <c r="AC576" s="27" t="str">
        <f t="shared" si="832"/>
        <v/>
      </c>
      <c r="AD576" s="29" t="str">
        <f t="shared" si="833"/>
        <v/>
      </c>
      <c r="AE576" s="30" t="str">
        <f t="shared" si="834"/>
        <v/>
      </c>
      <c r="AG576" s="4"/>
      <c r="AH576" s="31" t="e">
        <f t="shared" si="835"/>
        <v>#VALUE!</v>
      </c>
      <c r="AI576" s="31" t="e">
        <f t="shared" si="836"/>
        <v>#VALUE!</v>
      </c>
      <c r="AJ576" s="31" t="e">
        <f t="shared" si="837"/>
        <v>#VALUE!</v>
      </c>
      <c r="AK576" s="31" t="e">
        <f t="shared" si="838"/>
        <v>#VALUE!</v>
      </c>
      <c r="AL576" s="31" t="e">
        <f t="shared" si="839"/>
        <v>#VALUE!</v>
      </c>
      <c r="AM576" s="31" t="e">
        <f t="shared" si="840"/>
        <v>#VALUE!</v>
      </c>
      <c r="AN576" s="32" t="str">
        <f t="shared" si="841"/>
        <v/>
      </c>
      <c r="AO576" s="27" t="str">
        <f t="shared" si="842"/>
        <v/>
      </c>
      <c r="AP576" s="27" t="str">
        <f t="shared" si="843"/>
        <v/>
      </c>
      <c r="AQ576" s="27">
        <f t="shared" si="844"/>
        <v>0</v>
      </c>
      <c r="AR576" s="27">
        <f t="shared" si="845"/>
        <v>0</v>
      </c>
      <c r="AS576" s="33">
        <f t="shared" si="846"/>
        <v>0</v>
      </c>
    </row>
    <row r="577" spans="2:45" hidden="1" x14ac:dyDescent="0.25">
      <c r="B577" s="34">
        <f t="shared" ref="B577:F577" si="877">IF(B576="","",B576)</f>
        <v>1720</v>
      </c>
      <c r="C577" s="26">
        <f t="shared" si="877"/>
        <v>18</v>
      </c>
      <c r="D577" s="26">
        <f t="shared" si="877"/>
        <v>500</v>
      </c>
      <c r="E577" s="26">
        <f t="shared" si="877"/>
        <v>0</v>
      </c>
      <c r="F577" s="26">
        <f t="shared" si="877"/>
        <v>-1150</v>
      </c>
      <c r="G577" s="24"/>
      <c r="H577" s="24"/>
      <c r="I577" s="24"/>
      <c r="J577" s="24"/>
      <c r="K577" s="24"/>
      <c r="L577" s="24"/>
      <c r="M577" s="44" t="str">
        <f t="shared" si="876"/>
        <v/>
      </c>
      <c r="N577" s="26" t="str">
        <f t="shared" si="817"/>
        <v/>
      </c>
      <c r="O577" s="26" t="str">
        <f t="shared" si="818"/>
        <v/>
      </c>
      <c r="P577" s="26" t="str">
        <f t="shared" si="819"/>
        <v/>
      </c>
      <c r="Q577" s="26">
        <f t="shared" si="820"/>
        <v>0</v>
      </c>
      <c r="R577" s="26">
        <f t="shared" si="821"/>
        <v>0</v>
      </c>
      <c r="S577" s="26">
        <f t="shared" si="822"/>
        <v>0</v>
      </c>
      <c r="T577" s="26" t="str">
        <f t="shared" si="823"/>
        <v/>
      </c>
      <c r="U577" s="26" t="str">
        <f t="shared" si="824"/>
        <v/>
      </c>
      <c r="V577" s="26" t="str">
        <f t="shared" si="825"/>
        <v/>
      </c>
      <c r="W577" s="27" t="str">
        <f t="shared" si="826"/>
        <v/>
      </c>
      <c r="X577" s="27" t="str">
        <f t="shared" si="827"/>
        <v/>
      </c>
      <c r="Y577" s="28" t="str">
        <f t="shared" si="828"/>
        <v/>
      </c>
      <c r="Z577" s="27" t="str">
        <f t="shared" si="829"/>
        <v/>
      </c>
      <c r="AA577" s="27" t="str">
        <f t="shared" si="830"/>
        <v/>
      </c>
      <c r="AB577" s="27" t="str">
        <f t="shared" si="831"/>
        <v/>
      </c>
      <c r="AC577" s="27" t="str">
        <f t="shared" si="832"/>
        <v/>
      </c>
      <c r="AD577" s="29" t="str">
        <f t="shared" si="833"/>
        <v/>
      </c>
      <c r="AE577" s="30" t="str">
        <f t="shared" si="834"/>
        <v/>
      </c>
      <c r="AG577" s="4"/>
      <c r="AH577" s="31" t="e">
        <f t="shared" si="835"/>
        <v>#VALUE!</v>
      </c>
      <c r="AI577" s="31" t="e">
        <f t="shared" si="836"/>
        <v>#VALUE!</v>
      </c>
      <c r="AJ577" s="31" t="e">
        <f t="shared" si="837"/>
        <v>#VALUE!</v>
      </c>
      <c r="AK577" s="31" t="e">
        <f t="shared" si="838"/>
        <v>#VALUE!</v>
      </c>
      <c r="AL577" s="31" t="e">
        <f t="shared" si="839"/>
        <v>#VALUE!</v>
      </c>
      <c r="AM577" s="31" t="e">
        <f t="shared" si="840"/>
        <v>#VALUE!</v>
      </c>
      <c r="AN577" s="32" t="str">
        <f t="shared" si="841"/>
        <v/>
      </c>
      <c r="AO577" s="27" t="str">
        <f t="shared" si="842"/>
        <v/>
      </c>
      <c r="AP577" s="27" t="str">
        <f t="shared" si="843"/>
        <v/>
      </c>
      <c r="AQ577" s="27">
        <f t="shared" si="844"/>
        <v>0</v>
      </c>
      <c r="AR577" s="27">
        <f t="shared" si="845"/>
        <v>0</v>
      </c>
      <c r="AS577" s="33">
        <f t="shared" si="846"/>
        <v>0</v>
      </c>
    </row>
    <row r="578" spans="2:45" hidden="1" x14ac:dyDescent="0.25">
      <c r="B578" s="34">
        <f t="shared" ref="B578:F578" si="878">IF(B577="","",B577)</f>
        <v>1720</v>
      </c>
      <c r="C578" s="26">
        <f t="shared" si="878"/>
        <v>18</v>
      </c>
      <c r="D578" s="26">
        <f t="shared" si="878"/>
        <v>500</v>
      </c>
      <c r="E578" s="26">
        <f t="shared" si="878"/>
        <v>0</v>
      </c>
      <c r="F578" s="26">
        <f t="shared" si="878"/>
        <v>-1150</v>
      </c>
      <c r="G578" s="24"/>
      <c r="H578" s="24"/>
      <c r="I578" s="24"/>
      <c r="J578" s="24"/>
      <c r="K578" s="24"/>
      <c r="L578" s="24"/>
      <c r="M578" s="44" t="str">
        <f t="shared" si="876"/>
        <v/>
      </c>
      <c r="N578" s="26" t="str">
        <f t="shared" si="817"/>
        <v/>
      </c>
      <c r="O578" s="26" t="str">
        <f t="shared" si="818"/>
        <v/>
      </c>
      <c r="P578" s="26" t="str">
        <f t="shared" si="819"/>
        <v/>
      </c>
      <c r="Q578" s="26">
        <f t="shared" si="820"/>
        <v>0</v>
      </c>
      <c r="R578" s="26">
        <f t="shared" si="821"/>
        <v>0</v>
      </c>
      <c r="S578" s="26">
        <f t="shared" si="822"/>
        <v>0</v>
      </c>
      <c r="T578" s="26" t="str">
        <f t="shared" si="823"/>
        <v/>
      </c>
      <c r="U578" s="26" t="str">
        <f t="shared" si="824"/>
        <v/>
      </c>
      <c r="V578" s="26" t="str">
        <f t="shared" si="825"/>
        <v/>
      </c>
      <c r="W578" s="27" t="str">
        <f t="shared" si="826"/>
        <v/>
      </c>
      <c r="X578" s="27" t="str">
        <f t="shared" si="827"/>
        <v/>
      </c>
      <c r="Y578" s="28" t="str">
        <f t="shared" si="828"/>
        <v/>
      </c>
      <c r="Z578" s="27" t="str">
        <f t="shared" si="829"/>
        <v/>
      </c>
      <c r="AA578" s="27" t="str">
        <f t="shared" si="830"/>
        <v/>
      </c>
      <c r="AB578" s="27" t="str">
        <f t="shared" si="831"/>
        <v/>
      </c>
      <c r="AC578" s="27" t="str">
        <f t="shared" si="832"/>
        <v/>
      </c>
      <c r="AD578" s="29" t="str">
        <f t="shared" si="833"/>
        <v/>
      </c>
      <c r="AE578" s="30" t="str">
        <f t="shared" si="834"/>
        <v/>
      </c>
      <c r="AG578" s="4"/>
      <c r="AH578" s="31" t="e">
        <f t="shared" si="835"/>
        <v>#VALUE!</v>
      </c>
      <c r="AI578" s="31" t="e">
        <f t="shared" si="836"/>
        <v>#VALUE!</v>
      </c>
      <c r="AJ578" s="31" t="e">
        <f t="shared" si="837"/>
        <v>#VALUE!</v>
      </c>
      <c r="AK578" s="31" t="e">
        <f t="shared" si="838"/>
        <v>#VALUE!</v>
      </c>
      <c r="AL578" s="31" t="e">
        <f t="shared" si="839"/>
        <v>#VALUE!</v>
      </c>
      <c r="AM578" s="31" t="e">
        <f t="shared" si="840"/>
        <v>#VALUE!</v>
      </c>
      <c r="AN578" s="32" t="str">
        <f t="shared" si="841"/>
        <v/>
      </c>
      <c r="AO578" s="27" t="str">
        <f t="shared" si="842"/>
        <v/>
      </c>
      <c r="AP578" s="27" t="str">
        <f t="shared" si="843"/>
        <v/>
      </c>
      <c r="AQ578" s="27">
        <f t="shared" si="844"/>
        <v>0</v>
      </c>
      <c r="AR578" s="27">
        <f t="shared" si="845"/>
        <v>0</v>
      </c>
      <c r="AS578" s="33">
        <f t="shared" si="846"/>
        <v>0</v>
      </c>
    </row>
    <row r="579" spans="2:45" hidden="1" x14ac:dyDescent="0.25">
      <c r="B579" s="34">
        <f t="shared" ref="B579:F579" si="879">IF(B578="","",B578)</f>
        <v>1720</v>
      </c>
      <c r="C579" s="26">
        <f t="shared" si="879"/>
        <v>18</v>
      </c>
      <c r="D579" s="26">
        <f t="shared" si="879"/>
        <v>500</v>
      </c>
      <c r="E579" s="26">
        <f t="shared" si="879"/>
        <v>0</v>
      </c>
      <c r="F579" s="26">
        <f t="shared" si="879"/>
        <v>-1150</v>
      </c>
      <c r="G579" s="24"/>
      <c r="H579" s="24"/>
      <c r="I579" s="24"/>
      <c r="J579" s="24"/>
      <c r="K579" s="24"/>
      <c r="L579" s="24"/>
      <c r="M579" s="44" t="str">
        <f t="shared" si="876"/>
        <v/>
      </c>
      <c r="N579" s="26" t="str">
        <f t="shared" si="817"/>
        <v/>
      </c>
      <c r="O579" s="26" t="str">
        <f t="shared" si="818"/>
        <v/>
      </c>
      <c r="P579" s="26" t="str">
        <f t="shared" si="819"/>
        <v/>
      </c>
      <c r="Q579" s="26">
        <f t="shared" si="820"/>
        <v>0</v>
      </c>
      <c r="R579" s="26">
        <f t="shared" si="821"/>
        <v>0</v>
      </c>
      <c r="S579" s="26">
        <f t="shared" si="822"/>
        <v>0</v>
      </c>
      <c r="T579" s="26" t="str">
        <f t="shared" si="823"/>
        <v/>
      </c>
      <c r="U579" s="26" t="str">
        <f t="shared" si="824"/>
        <v/>
      </c>
      <c r="V579" s="26" t="str">
        <f t="shared" si="825"/>
        <v/>
      </c>
      <c r="W579" s="27" t="str">
        <f t="shared" si="826"/>
        <v/>
      </c>
      <c r="X579" s="27" t="str">
        <f t="shared" si="827"/>
        <v/>
      </c>
      <c r="Y579" s="28" t="str">
        <f t="shared" si="828"/>
        <v/>
      </c>
      <c r="Z579" s="27" t="str">
        <f t="shared" si="829"/>
        <v/>
      </c>
      <c r="AA579" s="27" t="str">
        <f t="shared" si="830"/>
        <v/>
      </c>
      <c r="AB579" s="27" t="str">
        <f t="shared" si="831"/>
        <v/>
      </c>
      <c r="AC579" s="27" t="str">
        <f t="shared" si="832"/>
        <v/>
      </c>
      <c r="AD579" s="29" t="str">
        <f t="shared" si="833"/>
        <v/>
      </c>
      <c r="AE579" s="30" t="str">
        <f t="shared" si="834"/>
        <v/>
      </c>
      <c r="AG579" s="4"/>
      <c r="AH579" s="31" t="e">
        <f t="shared" si="835"/>
        <v>#VALUE!</v>
      </c>
      <c r="AI579" s="31" t="e">
        <f t="shared" si="836"/>
        <v>#VALUE!</v>
      </c>
      <c r="AJ579" s="31" t="e">
        <f t="shared" si="837"/>
        <v>#VALUE!</v>
      </c>
      <c r="AK579" s="31" t="e">
        <f t="shared" si="838"/>
        <v>#VALUE!</v>
      </c>
      <c r="AL579" s="31" t="e">
        <f t="shared" si="839"/>
        <v>#VALUE!</v>
      </c>
      <c r="AM579" s="31" t="e">
        <f t="shared" si="840"/>
        <v>#VALUE!</v>
      </c>
      <c r="AN579" s="32" t="str">
        <f t="shared" si="841"/>
        <v/>
      </c>
      <c r="AO579" s="27" t="str">
        <f t="shared" si="842"/>
        <v/>
      </c>
      <c r="AP579" s="27" t="str">
        <f t="shared" si="843"/>
        <v/>
      </c>
      <c r="AQ579" s="27">
        <f t="shared" si="844"/>
        <v>0</v>
      </c>
      <c r="AR579" s="27">
        <f t="shared" si="845"/>
        <v>0</v>
      </c>
      <c r="AS579" s="33">
        <f t="shared" si="846"/>
        <v>0</v>
      </c>
    </row>
    <row r="580" spans="2:45" hidden="1" x14ac:dyDescent="0.25">
      <c r="B580" s="34">
        <f t="shared" ref="B580:F580" si="880">IF(B579="","",B579)</f>
        <v>1720</v>
      </c>
      <c r="C580" s="26">
        <f t="shared" si="880"/>
        <v>18</v>
      </c>
      <c r="D580" s="26">
        <f t="shared" si="880"/>
        <v>500</v>
      </c>
      <c r="E580" s="26">
        <f t="shared" si="880"/>
        <v>0</v>
      </c>
      <c r="F580" s="26">
        <f t="shared" si="880"/>
        <v>-1150</v>
      </c>
      <c r="G580" s="24"/>
      <c r="H580" s="24"/>
      <c r="I580" s="24"/>
      <c r="J580" s="24"/>
      <c r="K580" s="24"/>
      <c r="L580" s="24"/>
      <c r="M580" s="44" t="str">
        <f t="shared" si="876"/>
        <v/>
      </c>
      <c r="N580" s="26" t="str">
        <f t="shared" si="817"/>
        <v/>
      </c>
      <c r="O580" s="26" t="str">
        <f t="shared" si="818"/>
        <v/>
      </c>
      <c r="P580" s="26" t="str">
        <f t="shared" si="819"/>
        <v/>
      </c>
      <c r="Q580" s="26">
        <f t="shared" si="820"/>
        <v>0</v>
      </c>
      <c r="R580" s="26">
        <f t="shared" si="821"/>
        <v>0</v>
      </c>
      <c r="S580" s="26">
        <f t="shared" si="822"/>
        <v>0</v>
      </c>
      <c r="T580" s="26" t="str">
        <f t="shared" si="823"/>
        <v/>
      </c>
      <c r="U580" s="26" t="str">
        <f t="shared" si="824"/>
        <v/>
      </c>
      <c r="V580" s="26" t="str">
        <f t="shared" si="825"/>
        <v/>
      </c>
      <c r="W580" s="27" t="str">
        <f t="shared" si="826"/>
        <v/>
      </c>
      <c r="X580" s="27" t="str">
        <f t="shared" si="827"/>
        <v/>
      </c>
      <c r="Y580" s="28" t="str">
        <f t="shared" si="828"/>
        <v/>
      </c>
      <c r="Z580" s="27" t="str">
        <f t="shared" si="829"/>
        <v/>
      </c>
      <c r="AA580" s="27" t="str">
        <f t="shared" si="830"/>
        <v/>
      </c>
      <c r="AB580" s="27" t="str">
        <f t="shared" si="831"/>
        <v/>
      </c>
      <c r="AC580" s="27" t="str">
        <f t="shared" si="832"/>
        <v/>
      </c>
      <c r="AD580" s="29" t="str">
        <f t="shared" si="833"/>
        <v/>
      </c>
      <c r="AE580" s="30" t="str">
        <f t="shared" si="834"/>
        <v/>
      </c>
      <c r="AG580" s="4"/>
      <c r="AH580" s="31" t="e">
        <f t="shared" si="835"/>
        <v>#VALUE!</v>
      </c>
      <c r="AI580" s="31" t="e">
        <f t="shared" si="836"/>
        <v>#VALUE!</v>
      </c>
      <c r="AJ580" s="31" t="e">
        <f t="shared" si="837"/>
        <v>#VALUE!</v>
      </c>
      <c r="AK580" s="31" t="e">
        <f t="shared" si="838"/>
        <v>#VALUE!</v>
      </c>
      <c r="AL580" s="31" t="e">
        <f t="shared" si="839"/>
        <v>#VALUE!</v>
      </c>
      <c r="AM580" s="31" t="e">
        <f t="shared" si="840"/>
        <v>#VALUE!</v>
      </c>
      <c r="AN580" s="32" t="str">
        <f t="shared" si="841"/>
        <v/>
      </c>
      <c r="AO580" s="27" t="str">
        <f t="shared" si="842"/>
        <v/>
      </c>
      <c r="AP580" s="27" t="str">
        <f t="shared" si="843"/>
        <v/>
      </c>
      <c r="AQ580" s="27">
        <f t="shared" si="844"/>
        <v>0</v>
      </c>
      <c r="AR580" s="27">
        <f t="shared" si="845"/>
        <v>0</v>
      </c>
      <c r="AS580" s="33">
        <f t="shared" si="846"/>
        <v>0</v>
      </c>
    </row>
    <row r="581" spans="2:45" hidden="1" x14ac:dyDescent="0.25">
      <c r="B581" s="34">
        <f t="shared" ref="B581:F581" si="881">IF(B580="","",B580)</f>
        <v>1720</v>
      </c>
      <c r="C581" s="26">
        <f t="shared" si="881"/>
        <v>18</v>
      </c>
      <c r="D581" s="26">
        <f t="shared" si="881"/>
        <v>500</v>
      </c>
      <c r="E581" s="26">
        <f t="shared" si="881"/>
        <v>0</v>
      </c>
      <c r="F581" s="26">
        <f t="shared" si="881"/>
        <v>-1150</v>
      </c>
      <c r="G581" s="24"/>
      <c r="H581" s="24"/>
      <c r="I581" s="24"/>
      <c r="J581" s="24"/>
      <c r="K581" s="24"/>
      <c r="L581" s="24"/>
      <c r="M581" s="44" t="str">
        <f t="shared" si="876"/>
        <v/>
      </c>
      <c r="N581" s="26" t="str">
        <f t="shared" si="817"/>
        <v/>
      </c>
      <c r="O581" s="26" t="str">
        <f t="shared" si="818"/>
        <v/>
      </c>
      <c r="P581" s="26" t="str">
        <f t="shared" si="819"/>
        <v/>
      </c>
      <c r="Q581" s="26">
        <f t="shared" si="820"/>
        <v>0</v>
      </c>
      <c r="R581" s="26">
        <f t="shared" si="821"/>
        <v>0</v>
      </c>
      <c r="S581" s="26">
        <f t="shared" si="822"/>
        <v>0</v>
      </c>
      <c r="T581" s="26" t="str">
        <f t="shared" si="823"/>
        <v/>
      </c>
      <c r="U581" s="26" t="str">
        <f t="shared" si="824"/>
        <v/>
      </c>
      <c r="V581" s="26" t="str">
        <f t="shared" si="825"/>
        <v/>
      </c>
      <c r="W581" s="27" t="str">
        <f t="shared" si="826"/>
        <v/>
      </c>
      <c r="X581" s="27" t="str">
        <f t="shared" si="827"/>
        <v/>
      </c>
      <c r="Y581" s="28" t="str">
        <f t="shared" si="828"/>
        <v/>
      </c>
      <c r="Z581" s="27" t="str">
        <f t="shared" si="829"/>
        <v/>
      </c>
      <c r="AA581" s="27" t="str">
        <f t="shared" si="830"/>
        <v/>
      </c>
      <c r="AB581" s="27" t="str">
        <f t="shared" si="831"/>
        <v/>
      </c>
      <c r="AC581" s="27" t="str">
        <f t="shared" si="832"/>
        <v/>
      </c>
      <c r="AD581" s="29" t="str">
        <f t="shared" si="833"/>
        <v/>
      </c>
      <c r="AE581" s="30" t="str">
        <f t="shared" si="834"/>
        <v/>
      </c>
      <c r="AG581" s="4"/>
      <c r="AH581" s="31" t="e">
        <f t="shared" si="835"/>
        <v>#VALUE!</v>
      </c>
      <c r="AI581" s="31" t="e">
        <f t="shared" si="836"/>
        <v>#VALUE!</v>
      </c>
      <c r="AJ581" s="31" t="e">
        <f t="shared" si="837"/>
        <v>#VALUE!</v>
      </c>
      <c r="AK581" s="31" t="e">
        <f t="shared" si="838"/>
        <v>#VALUE!</v>
      </c>
      <c r="AL581" s="31" t="e">
        <f t="shared" si="839"/>
        <v>#VALUE!</v>
      </c>
      <c r="AM581" s="31" t="e">
        <f t="shared" si="840"/>
        <v>#VALUE!</v>
      </c>
      <c r="AN581" s="32" t="str">
        <f t="shared" si="841"/>
        <v/>
      </c>
      <c r="AO581" s="27" t="str">
        <f t="shared" si="842"/>
        <v/>
      </c>
      <c r="AP581" s="27" t="str">
        <f t="shared" si="843"/>
        <v/>
      </c>
      <c r="AQ581" s="27">
        <f t="shared" si="844"/>
        <v>0</v>
      </c>
      <c r="AR581" s="27">
        <f t="shared" si="845"/>
        <v>0</v>
      </c>
      <c r="AS581" s="33">
        <f t="shared" si="846"/>
        <v>0</v>
      </c>
    </row>
    <row r="582" spans="2:45" hidden="1" x14ac:dyDescent="0.25">
      <c r="B582" s="34">
        <f t="shared" ref="B582:F582" si="882">IF(B581="","",B581)</f>
        <v>1720</v>
      </c>
      <c r="C582" s="26">
        <f t="shared" si="882"/>
        <v>18</v>
      </c>
      <c r="D582" s="26">
        <f t="shared" si="882"/>
        <v>500</v>
      </c>
      <c r="E582" s="26">
        <f t="shared" si="882"/>
        <v>0</v>
      </c>
      <c r="F582" s="26">
        <f t="shared" si="882"/>
        <v>-1150</v>
      </c>
      <c r="G582" s="24"/>
      <c r="H582" s="24"/>
      <c r="I582" s="24"/>
      <c r="J582" s="24"/>
      <c r="K582" s="24"/>
      <c r="L582" s="24"/>
      <c r="M582" s="44" t="str">
        <f t="shared" si="876"/>
        <v/>
      </c>
      <c r="N582" s="26" t="str">
        <f t="shared" si="817"/>
        <v/>
      </c>
      <c r="O582" s="26" t="str">
        <f t="shared" si="818"/>
        <v/>
      </c>
      <c r="P582" s="26" t="str">
        <f t="shared" si="819"/>
        <v/>
      </c>
      <c r="Q582" s="26">
        <f t="shared" si="820"/>
        <v>0</v>
      </c>
      <c r="R582" s="26">
        <f t="shared" si="821"/>
        <v>0</v>
      </c>
      <c r="S582" s="26">
        <f t="shared" si="822"/>
        <v>0</v>
      </c>
      <c r="T582" s="26" t="str">
        <f t="shared" si="823"/>
        <v/>
      </c>
      <c r="U582" s="26" t="str">
        <f t="shared" si="824"/>
        <v/>
      </c>
      <c r="V582" s="26" t="str">
        <f t="shared" si="825"/>
        <v/>
      </c>
      <c r="W582" s="27" t="str">
        <f t="shared" si="826"/>
        <v/>
      </c>
      <c r="X582" s="27" t="str">
        <f t="shared" si="827"/>
        <v/>
      </c>
      <c r="Y582" s="28" t="str">
        <f t="shared" si="828"/>
        <v/>
      </c>
      <c r="Z582" s="27" t="str">
        <f t="shared" si="829"/>
        <v/>
      </c>
      <c r="AA582" s="27" t="str">
        <f t="shared" si="830"/>
        <v/>
      </c>
      <c r="AB582" s="27" t="str">
        <f t="shared" si="831"/>
        <v/>
      </c>
      <c r="AC582" s="27" t="str">
        <f t="shared" si="832"/>
        <v/>
      </c>
      <c r="AD582" s="29" t="str">
        <f t="shared" si="833"/>
        <v/>
      </c>
      <c r="AE582" s="30" t="str">
        <f t="shared" si="834"/>
        <v/>
      </c>
      <c r="AG582" s="4"/>
      <c r="AH582" s="31" t="e">
        <f t="shared" si="835"/>
        <v>#VALUE!</v>
      </c>
      <c r="AI582" s="31" t="e">
        <f t="shared" si="836"/>
        <v>#VALUE!</v>
      </c>
      <c r="AJ582" s="31" t="e">
        <f t="shared" si="837"/>
        <v>#VALUE!</v>
      </c>
      <c r="AK582" s="31" t="e">
        <f t="shared" si="838"/>
        <v>#VALUE!</v>
      </c>
      <c r="AL582" s="31" t="e">
        <f t="shared" si="839"/>
        <v>#VALUE!</v>
      </c>
      <c r="AM582" s="31" t="e">
        <f t="shared" si="840"/>
        <v>#VALUE!</v>
      </c>
      <c r="AN582" s="32" t="str">
        <f t="shared" si="841"/>
        <v/>
      </c>
      <c r="AO582" s="27" t="str">
        <f t="shared" si="842"/>
        <v/>
      </c>
      <c r="AP582" s="27" t="str">
        <f t="shared" si="843"/>
        <v/>
      </c>
      <c r="AQ582" s="27">
        <f t="shared" si="844"/>
        <v>0</v>
      </c>
      <c r="AR582" s="27">
        <f t="shared" si="845"/>
        <v>0</v>
      </c>
      <c r="AS582" s="33">
        <f t="shared" si="846"/>
        <v>0</v>
      </c>
    </row>
    <row r="583" spans="2:45" hidden="1" x14ac:dyDescent="0.25">
      <c r="B583" s="34">
        <f t="shared" ref="B583:F583" si="883">IF(B582="","",B582)</f>
        <v>1720</v>
      </c>
      <c r="C583" s="26">
        <f t="shared" si="883"/>
        <v>18</v>
      </c>
      <c r="D583" s="26">
        <f t="shared" si="883"/>
        <v>500</v>
      </c>
      <c r="E583" s="26">
        <f t="shared" si="883"/>
        <v>0</v>
      </c>
      <c r="F583" s="26">
        <f t="shared" si="883"/>
        <v>-1150</v>
      </c>
      <c r="G583" s="24"/>
      <c r="H583" s="24"/>
      <c r="I583" s="24"/>
      <c r="J583" s="24"/>
      <c r="K583" s="24"/>
      <c r="L583" s="24"/>
      <c r="M583" s="44" t="str">
        <f t="shared" si="876"/>
        <v/>
      </c>
      <c r="N583" s="26" t="str">
        <f t="shared" si="817"/>
        <v/>
      </c>
      <c r="O583" s="26" t="str">
        <f t="shared" si="818"/>
        <v/>
      </c>
      <c r="P583" s="26" t="str">
        <f t="shared" si="819"/>
        <v/>
      </c>
      <c r="Q583" s="26">
        <f t="shared" si="820"/>
        <v>0</v>
      </c>
      <c r="R583" s="26">
        <f t="shared" si="821"/>
        <v>0</v>
      </c>
      <c r="S583" s="26">
        <f t="shared" si="822"/>
        <v>0</v>
      </c>
      <c r="T583" s="26" t="str">
        <f t="shared" si="823"/>
        <v/>
      </c>
      <c r="U583" s="26" t="str">
        <f t="shared" si="824"/>
        <v/>
      </c>
      <c r="V583" s="26" t="str">
        <f t="shared" si="825"/>
        <v/>
      </c>
      <c r="W583" s="27" t="str">
        <f t="shared" si="826"/>
        <v/>
      </c>
      <c r="X583" s="27" t="str">
        <f t="shared" si="827"/>
        <v/>
      </c>
      <c r="Y583" s="28" t="str">
        <f t="shared" si="828"/>
        <v/>
      </c>
      <c r="Z583" s="27" t="str">
        <f t="shared" si="829"/>
        <v/>
      </c>
      <c r="AA583" s="27" t="str">
        <f t="shared" si="830"/>
        <v/>
      </c>
      <c r="AB583" s="27" t="str">
        <f t="shared" si="831"/>
        <v/>
      </c>
      <c r="AC583" s="27" t="str">
        <f t="shared" si="832"/>
        <v/>
      </c>
      <c r="AD583" s="29" t="str">
        <f t="shared" si="833"/>
        <v/>
      </c>
      <c r="AE583" s="30" t="str">
        <f t="shared" si="834"/>
        <v/>
      </c>
      <c r="AG583" s="4"/>
      <c r="AH583" s="31" t="e">
        <f t="shared" si="835"/>
        <v>#VALUE!</v>
      </c>
      <c r="AI583" s="31" t="e">
        <f t="shared" si="836"/>
        <v>#VALUE!</v>
      </c>
      <c r="AJ583" s="31" t="e">
        <f t="shared" si="837"/>
        <v>#VALUE!</v>
      </c>
      <c r="AK583" s="31" t="e">
        <f t="shared" si="838"/>
        <v>#VALUE!</v>
      </c>
      <c r="AL583" s="31" t="e">
        <f t="shared" si="839"/>
        <v>#VALUE!</v>
      </c>
      <c r="AM583" s="31" t="e">
        <f t="shared" si="840"/>
        <v>#VALUE!</v>
      </c>
      <c r="AN583" s="32" t="str">
        <f t="shared" si="841"/>
        <v/>
      </c>
      <c r="AO583" s="27" t="str">
        <f t="shared" si="842"/>
        <v/>
      </c>
      <c r="AP583" s="27" t="str">
        <f t="shared" si="843"/>
        <v/>
      </c>
      <c r="AQ583" s="27">
        <f t="shared" si="844"/>
        <v>0</v>
      </c>
      <c r="AR583" s="27">
        <f t="shared" si="845"/>
        <v>0</v>
      </c>
      <c r="AS583" s="33">
        <f t="shared" si="846"/>
        <v>0</v>
      </c>
    </row>
    <row r="584" spans="2:45" hidden="1" x14ac:dyDescent="0.25">
      <c r="B584" s="34">
        <f t="shared" ref="B584:F584" si="884">IF(B583="","",B583)</f>
        <v>1720</v>
      </c>
      <c r="C584" s="26">
        <f t="shared" si="884"/>
        <v>18</v>
      </c>
      <c r="D584" s="26">
        <f t="shared" si="884"/>
        <v>500</v>
      </c>
      <c r="E584" s="26">
        <f t="shared" si="884"/>
        <v>0</v>
      </c>
      <c r="F584" s="26">
        <f t="shared" si="884"/>
        <v>-1150</v>
      </c>
      <c r="G584" s="24"/>
      <c r="H584" s="24"/>
      <c r="I584" s="24"/>
      <c r="J584" s="24"/>
      <c r="K584" s="24"/>
      <c r="L584" s="24"/>
      <c r="M584" s="44" t="str">
        <f t="shared" si="876"/>
        <v/>
      </c>
      <c r="N584" s="26" t="str">
        <f t="shared" si="817"/>
        <v/>
      </c>
      <c r="O584" s="26" t="str">
        <f t="shared" si="818"/>
        <v/>
      </c>
      <c r="P584" s="26" t="str">
        <f t="shared" si="819"/>
        <v/>
      </c>
      <c r="Q584" s="26">
        <f t="shared" si="820"/>
        <v>0</v>
      </c>
      <c r="R584" s="26">
        <f t="shared" si="821"/>
        <v>0</v>
      </c>
      <c r="S584" s="26">
        <f t="shared" si="822"/>
        <v>0</v>
      </c>
      <c r="T584" s="26" t="str">
        <f t="shared" si="823"/>
        <v/>
      </c>
      <c r="U584" s="26" t="str">
        <f t="shared" si="824"/>
        <v/>
      </c>
      <c r="V584" s="26" t="str">
        <f t="shared" si="825"/>
        <v/>
      </c>
      <c r="W584" s="27" t="str">
        <f t="shared" si="826"/>
        <v/>
      </c>
      <c r="X584" s="27" t="str">
        <f t="shared" si="827"/>
        <v/>
      </c>
      <c r="Y584" s="28" t="str">
        <f t="shared" si="828"/>
        <v/>
      </c>
      <c r="Z584" s="27" t="str">
        <f t="shared" si="829"/>
        <v/>
      </c>
      <c r="AA584" s="27" t="str">
        <f t="shared" si="830"/>
        <v/>
      </c>
      <c r="AB584" s="27" t="str">
        <f t="shared" si="831"/>
        <v/>
      </c>
      <c r="AC584" s="27" t="str">
        <f t="shared" si="832"/>
        <v/>
      </c>
      <c r="AD584" s="29" t="str">
        <f t="shared" si="833"/>
        <v/>
      </c>
      <c r="AE584" s="30" t="str">
        <f t="shared" si="834"/>
        <v/>
      </c>
      <c r="AG584" s="4"/>
      <c r="AH584" s="31" t="e">
        <f t="shared" si="835"/>
        <v>#VALUE!</v>
      </c>
      <c r="AI584" s="31" t="e">
        <f t="shared" si="836"/>
        <v>#VALUE!</v>
      </c>
      <c r="AJ584" s="31" t="e">
        <f t="shared" si="837"/>
        <v>#VALUE!</v>
      </c>
      <c r="AK584" s="31" t="e">
        <f t="shared" si="838"/>
        <v>#VALUE!</v>
      </c>
      <c r="AL584" s="31" t="e">
        <f t="shared" si="839"/>
        <v>#VALUE!</v>
      </c>
      <c r="AM584" s="31" t="e">
        <f t="shared" si="840"/>
        <v>#VALUE!</v>
      </c>
      <c r="AN584" s="32" t="str">
        <f t="shared" si="841"/>
        <v/>
      </c>
      <c r="AO584" s="27" t="str">
        <f t="shared" si="842"/>
        <v/>
      </c>
      <c r="AP584" s="27" t="str">
        <f t="shared" si="843"/>
        <v/>
      </c>
      <c r="AQ584" s="27">
        <f t="shared" si="844"/>
        <v>0</v>
      </c>
      <c r="AR584" s="27">
        <f t="shared" si="845"/>
        <v>0</v>
      </c>
      <c r="AS584" s="33">
        <f t="shared" si="846"/>
        <v>0</v>
      </c>
    </row>
    <row r="585" spans="2:45" hidden="1" x14ac:dyDescent="0.25">
      <c r="B585" s="34">
        <f t="shared" ref="B585:F585" si="885">IF(B584="","",B584)</f>
        <v>1720</v>
      </c>
      <c r="C585" s="26">
        <f t="shared" si="885"/>
        <v>18</v>
      </c>
      <c r="D585" s="26">
        <f t="shared" si="885"/>
        <v>500</v>
      </c>
      <c r="E585" s="26">
        <f t="shared" si="885"/>
        <v>0</v>
      </c>
      <c r="F585" s="26">
        <f t="shared" si="885"/>
        <v>-1150</v>
      </c>
      <c r="G585" s="24"/>
      <c r="H585" s="24"/>
      <c r="I585" s="24"/>
      <c r="J585" s="24"/>
      <c r="K585" s="24"/>
      <c r="L585" s="24"/>
      <c r="M585" s="44" t="str">
        <f t="shared" si="876"/>
        <v/>
      </c>
      <c r="N585" s="26" t="str">
        <f t="shared" si="817"/>
        <v/>
      </c>
      <c r="O585" s="26" t="str">
        <f t="shared" si="818"/>
        <v/>
      </c>
      <c r="P585" s="26" t="str">
        <f t="shared" si="819"/>
        <v/>
      </c>
      <c r="Q585" s="26">
        <f t="shared" si="820"/>
        <v>0</v>
      </c>
      <c r="R585" s="26">
        <f t="shared" si="821"/>
        <v>0</v>
      </c>
      <c r="S585" s="26">
        <f t="shared" si="822"/>
        <v>0</v>
      </c>
      <c r="T585" s="26" t="str">
        <f t="shared" si="823"/>
        <v/>
      </c>
      <c r="U585" s="26" t="str">
        <f t="shared" si="824"/>
        <v/>
      </c>
      <c r="V585" s="26" t="str">
        <f t="shared" si="825"/>
        <v/>
      </c>
      <c r="W585" s="27" t="str">
        <f t="shared" si="826"/>
        <v/>
      </c>
      <c r="X585" s="27" t="str">
        <f t="shared" si="827"/>
        <v/>
      </c>
      <c r="Y585" s="28" t="str">
        <f t="shared" si="828"/>
        <v/>
      </c>
      <c r="Z585" s="27" t="str">
        <f t="shared" si="829"/>
        <v/>
      </c>
      <c r="AA585" s="27" t="str">
        <f t="shared" si="830"/>
        <v/>
      </c>
      <c r="AB585" s="27" t="str">
        <f t="shared" si="831"/>
        <v/>
      </c>
      <c r="AC585" s="27" t="str">
        <f t="shared" si="832"/>
        <v/>
      </c>
      <c r="AD585" s="29" t="str">
        <f t="shared" si="833"/>
        <v/>
      </c>
      <c r="AE585" s="30" t="str">
        <f t="shared" si="834"/>
        <v/>
      </c>
      <c r="AG585" s="4"/>
      <c r="AH585" s="31" t="e">
        <f t="shared" si="835"/>
        <v>#VALUE!</v>
      </c>
      <c r="AI585" s="31" t="e">
        <f t="shared" si="836"/>
        <v>#VALUE!</v>
      </c>
      <c r="AJ585" s="31" t="e">
        <f t="shared" si="837"/>
        <v>#VALUE!</v>
      </c>
      <c r="AK585" s="31" t="e">
        <f t="shared" si="838"/>
        <v>#VALUE!</v>
      </c>
      <c r="AL585" s="31" t="e">
        <f t="shared" si="839"/>
        <v>#VALUE!</v>
      </c>
      <c r="AM585" s="31" t="e">
        <f t="shared" si="840"/>
        <v>#VALUE!</v>
      </c>
      <c r="AN585" s="32" t="str">
        <f t="shared" si="841"/>
        <v/>
      </c>
      <c r="AO585" s="27" t="str">
        <f t="shared" si="842"/>
        <v/>
      </c>
      <c r="AP585" s="27" t="str">
        <f t="shared" si="843"/>
        <v/>
      </c>
      <c r="AQ585" s="27">
        <f t="shared" si="844"/>
        <v>0</v>
      </c>
      <c r="AR585" s="27">
        <f t="shared" si="845"/>
        <v>0</v>
      </c>
      <c r="AS585" s="33">
        <f t="shared" si="846"/>
        <v>0</v>
      </c>
    </row>
    <row r="586" spans="2:45" hidden="1" x14ac:dyDescent="0.25">
      <c r="B586" s="34">
        <f t="shared" ref="B586:F586" si="886">IF(B585="","",B585)</f>
        <v>1720</v>
      </c>
      <c r="C586" s="26">
        <f t="shared" si="886"/>
        <v>18</v>
      </c>
      <c r="D586" s="26">
        <f t="shared" si="886"/>
        <v>500</v>
      </c>
      <c r="E586" s="26">
        <f t="shared" si="886"/>
        <v>0</v>
      </c>
      <c r="F586" s="26">
        <f t="shared" si="886"/>
        <v>-1150</v>
      </c>
      <c r="G586" s="24"/>
      <c r="H586" s="24"/>
      <c r="I586" s="24"/>
      <c r="J586" s="24"/>
      <c r="K586" s="24"/>
      <c r="L586" s="24"/>
      <c r="M586" s="44" t="str">
        <f t="shared" si="876"/>
        <v/>
      </c>
      <c r="N586" s="26" t="str">
        <f t="shared" si="817"/>
        <v/>
      </c>
      <c r="O586" s="26" t="str">
        <f t="shared" si="818"/>
        <v/>
      </c>
      <c r="P586" s="26" t="str">
        <f t="shared" si="819"/>
        <v/>
      </c>
      <c r="Q586" s="26">
        <f t="shared" si="820"/>
        <v>0</v>
      </c>
      <c r="R586" s="26">
        <f t="shared" si="821"/>
        <v>0</v>
      </c>
      <c r="S586" s="26">
        <f t="shared" si="822"/>
        <v>0</v>
      </c>
      <c r="T586" s="26" t="str">
        <f t="shared" si="823"/>
        <v/>
      </c>
      <c r="U586" s="26" t="str">
        <f t="shared" si="824"/>
        <v/>
      </c>
      <c r="V586" s="26" t="str">
        <f t="shared" si="825"/>
        <v/>
      </c>
      <c r="W586" s="27" t="str">
        <f t="shared" si="826"/>
        <v/>
      </c>
      <c r="X586" s="27" t="str">
        <f t="shared" si="827"/>
        <v/>
      </c>
      <c r="Y586" s="28" t="str">
        <f t="shared" si="828"/>
        <v/>
      </c>
      <c r="Z586" s="27" t="str">
        <f t="shared" si="829"/>
        <v/>
      </c>
      <c r="AA586" s="27" t="str">
        <f t="shared" si="830"/>
        <v/>
      </c>
      <c r="AB586" s="27" t="str">
        <f t="shared" si="831"/>
        <v/>
      </c>
      <c r="AC586" s="27" t="str">
        <f t="shared" si="832"/>
        <v/>
      </c>
      <c r="AD586" s="29" t="str">
        <f t="shared" si="833"/>
        <v/>
      </c>
      <c r="AE586" s="30" t="str">
        <f t="shared" si="834"/>
        <v/>
      </c>
      <c r="AG586" s="4"/>
      <c r="AH586" s="31" t="e">
        <f t="shared" si="835"/>
        <v>#VALUE!</v>
      </c>
      <c r="AI586" s="31" t="e">
        <f t="shared" si="836"/>
        <v>#VALUE!</v>
      </c>
      <c r="AJ586" s="31" t="e">
        <f t="shared" si="837"/>
        <v>#VALUE!</v>
      </c>
      <c r="AK586" s="31" t="e">
        <f t="shared" si="838"/>
        <v>#VALUE!</v>
      </c>
      <c r="AL586" s="31" t="e">
        <f t="shared" si="839"/>
        <v>#VALUE!</v>
      </c>
      <c r="AM586" s="31" t="e">
        <f t="shared" si="840"/>
        <v>#VALUE!</v>
      </c>
      <c r="AN586" s="32" t="str">
        <f t="shared" si="841"/>
        <v/>
      </c>
      <c r="AO586" s="27" t="str">
        <f t="shared" si="842"/>
        <v/>
      </c>
      <c r="AP586" s="27" t="str">
        <f t="shared" si="843"/>
        <v/>
      </c>
      <c r="AQ586" s="27">
        <f t="shared" si="844"/>
        <v>0</v>
      </c>
      <c r="AR586" s="27">
        <f t="shared" si="845"/>
        <v>0</v>
      </c>
      <c r="AS586" s="33">
        <f t="shared" si="846"/>
        <v>0</v>
      </c>
    </row>
    <row r="587" spans="2:45" hidden="1" x14ac:dyDescent="0.25">
      <c r="B587" s="34">
        <f t="shared" ref="B587:F587" si="887">IF(B586="","",B586)</f>
        <v>1720</v>
      </c>
      <c r="C587" s="26">
        <f t="shared" si="887"/>
        <v>18</v>
      </c>
      <c r="D587" s="26">
        <f t="shared" si="887"/>
        <v>500</v>
      </c>
      <c r="E587" s="26">
        <f t="shared" si="887"/>
        <v>0</v>
      </c>
      <c r="F587" s="26">
        <f t="shared" si="887"/>
        <v>-1150</v>
      </c>
      <c r="G587" s="24"/>
      <c r="H587" s="24"/>
      <c r="I587" s="24"/>
      <c r="J587" s="24"/>
      <c r="K587" s="24"/>
      <c r="L587" s="24"/>
      <c r="M587" s="44" t="str">
        <f t="shared" si="876"/>
        <v/>
      </c>
      <c r="N587" s="26" t="str">
        <f t="shared" si="817"/>
        <v/>
      </c>
      <c r="O587" s="26" t="str">
        <f t="shared" si="818"/>
        <v/>
      </c>
      <c r="P587" s="26" t="str">
        <f t="shared" si="819"/>
        <v/>
      </c>
      <c r="Q587" s="26">
        <f t="shared" si="820"/>
        <v>0</v>
      </c>
      <c r="R587" s="26">
        <f t="shared" si="821"/>
        <v>0</v>
      </c>
      <c r="S587" s="26">
        <f t="shared" si="822"/>
        <v>0</v>
      </c>
      <c r="T587" s="26" t="str">
        <f t="shared" si="823"/>
        <v/>
      </c>
      <c r="U587" s="26" t="str">
        <f t="shared" si="824"/>
        <v/>
      </c>
      <c r="V587" s="26" t="str">
        <f t="shared" si="825"/>
        <v/>
      </c>
      <c r="W587" s="27" t="str">
        <f t="shared" si="826"/>
        <v/>
      </c>
      <c r="X587" s="27" t="str">
        <f t="shared" si="827"/>
        <v/>
      </c>
      <c r="Y587" s="28" t="str">
        <f t="shared" si="828"/>
        <v/>
      </c>
      <c r="Z587" s="27" t="str">
        <f t="shared" si="829"/>
        <v/>
      </c>
      <c r="AA587" s="27" t="str">
        <f t="shared" si="830"/>
        <v/>
      </c>
      <c r="AB587" s="27" t="str">
        <f t="shared" si="831"/>
        <v/>
      </c>
      <c r="AC587" s="27" t="str">
        <f t="shared" si="832"/>
        <v/>
      </c>
      <c r="AD587" s="29" t="str">
        <f t="shared" si="833"/>
        <v/>
      </c>
      <c r="AE587" s="30" t="str">
        <f t="shared" si="834"/>
        <v/>
      </c>
      <c r="AG587" s="4"/>
      <c r="AH587" s="31" t="e">
        <f t="shared" si="835"/>
        <v>#VALUE!</v>
      </c>
      <c r="AI587" s="31" t="e">
        <f t="shared" si="836"/>
        <v>#VALUE!</v>
      </c>
      <c r="AJ587" s="31" t="e">
        <f t="shared" si="837"/>
        <v>#VALUE!</v>
      </c>
      <c r="AK587" s="31" t="e">
        <f t="shared" si="838"/>
        <v>#VALUE!</v>
      </c>
      <c r="AL587" s="31" t="e">
        <f t="shared" si="839"/>
        <v>#VALUE!</v>
      </c>
      <c r="AM587" s="31" t="e">
        <f t="shared" si="840"/>
        <v>#VALUE!</v>
      </c>
      <c r="AN587" s="32" t="str">
        <f t="shared" si="841"/>
        <v/>
      </c>
      <c r="AO587" s="27" t="str">
        <f t="shared" si="842"/>
        <v/>
      </c>
      <c r="AP587" s="27" t="str">
        <f t="shared" si="843"/>
        <v/>
      </c>
      <c r="AQ587" s="27">
        <f t="shared" si="844"/>
        <v>0</v>
      </c>
      <c r="AR587" s="27">
        <f t="shared" si="845"/>
        <v>0</v>
      </c>
      <c r="AS587" s="33">
        <f t="shared" si="846"/>
        <v>0</v>
      </c>
    </row>
    <row r="588" spans="2:45" hidden="1" x14ac:dyDescent="0.25">
      <c r="B588" s="34">
        <f>IF(B587="","",B587)</f>
        <v>1720</v>
      </c>
      <c r="C588" s="26">
        <f t="shared" ref="C588:F588" si="888">IF(C587="","",C587)</f>
        <v>18</v>
      </c>
      <c r="D588" s="26">
        <f t="shared" si="888"/>
        <v>500</v>
      </c>
      <c r="E588" s="26">
        <f t="shared" si="888"/>
        <v>0</v>
      </c>
      <c r="F588" s="26">
        <f t="shared" si="888"/>
        <v>-1150</v>
      </c>
      <c r="G588" s="24"/>
      <c r="H588" s="24"/>
      <c r="I588" s="24"/>
      <c r="J588" s="24"/>
      <c r="K588" s="24"/>
      <c r="L588" s="24"/>
      <c r="M588" s="44" t="str">
        <f t="shared" si="876"/>
        <v/>
      </c>
      <c r="N588" s="26" t="str">
        <f t="shared" si="817"/>
        <v/>
      </c>
      <c r="O588" s="26" t="str">
        <f t="shared" si="818"/>
        <v/>
      </c>
      <c r="P588" s="26" t="str">
        <f t="shared" si="819"/>
        <v/>
      </c>
      <c r="Q588" s="26">
        <f t="shared" si="820"/>
        <v>0</v>
      </c>
      <c r="R588" s="26">
        <f t="shared" si="821"/>
        <v>0</v>
      </c>
      <c r="S588" s="26">
        <f t="shared" si="822"/>
        <v>0</v>
      </c>
      <c r="T588" s="26" t="str">
        <f t="shared" si="823"/>
        <v/>
      </c>
      <c r="U588" s="26" t="str">
        <f t="shared" si="824"/>
        <v/>
      </c>
      <c r="V588" s="26" t="str">
        <f t="shared" si="825"/>
        <v/>
      </c>
      <c r="W588" s="27" t="str">
        <f t="shared" si="826"/>
        <v/>
      </c>
      <c r="X588" s="27" t="str">
        <f t="shared" si="827"/>
        <v/>
      </c>
      <c r="Y588" s="28" t="str">
        <f t="shared" si="828"/>
        <v/>
      </c>
      <c r="Z588" s="27" t="str">
        <f t="shared" si="829"/>
        <v/>
      </c>
      <c r="AA588" s="27" t="str">
        <f t="shared" si="830"/>
        <v/>
      </c>
      <c r="AB588" s="27" t="str">
        <f t="shared" si="831"/>
        <v/>
      </c>
      <c r="AC588" s="27" t="str">
        <f t="shared" si="832"/>
        <v/>
      </c>
      <c r="AD588" s="29" t="str">
        <f t="shared" si="833"/>
        <v/>
      </c>
      <c r="AE588" s="30" t="str">
        <f t="shared" si="834"/>
        <v/>
      </c>
      <c r="AG588" s="4"/>
      <c r="AH588" s="31" t="e">
        <f t="shared" si="835"/>
        <v>#VALUE!</v>
      </c>
      <c r="AI588" s="31" t="e">
        <f t="shared" si="836"/>
        <v>#VALUE!</v>
      </c>
      <c r="AJ588" s="31" t="e">
        <f t="shared" si="837"/>
        <v>#VALUE!</v>
      </c>
      <c r="AK588" s="31" t="e">
        <f t="shared" si="838"/>
        <v>#VALUE!</v>
      </c>
      <c r="AL588" s="31" t="e">
        <f t="shared" si="839"/>
        <v>#VALUE!</v>
      </c>
      <c r="AM588" s="31" t="e">
        <f t="shared" si="840"/>
        <v>#VALUE!</v>
      </c>
      <c r="AN588" s="32" t="str">
        <f t="shared" si="841"/>
        <v/>
      </c>
      <c r="AO588" s="27" t="str">
        <f t="shared" si="842"/>
        <v/>
      </c>
      <c r="AP588" s="27" t="str">
        <f t="shared" si="843"/>
        <v/>
      </c>
      <c r="AQ588" s="27">
        <f t="shared" si="844"/>
        <v>0</v>
      </c>
      <c r="AR588" s="27">
        <f t="shared" si="845"/>
        <v>0</v>
      </c>
      <c r="AS588" s="33">
        <f t="shared" si="846"/>
        <v>0</v>
      </c>
    </row>
    <row r="589" spans="2:45" hidden="1" x14ac:dyDescent="0.25">
      <c r="B589" s="34">
        <f t="shared" ref="B589:F589" si="889">IF(B588="","",B588)</f>
        <v>1720</v>
      </c>
      <c r="C589" s="26">
        <f t="shared" si="889"/>
        <v>18</v>
      </c>
      <c r="D589" s="26">
        <f t="shared" si="889"/>
        <v>500</v>
      </c>
      <c r="E589" s="26">
        <f t="shared" si="889"/>
        <v>0</v>
      </c>
      <c r="F589" s="26">
        <f t="shared" si="889"/>
        <v>-1150</v>
      </c>
      <c r="G589" s="24"/>
      <c r="H589" s="24"/>
      <c r="I589" s="24"/>
      <c r="J589" s="24"/>
      <c r="K589" s="24"/>
      <c r="L589" s="24"/>
      <c r="M589" s="44" t="str">
        <f t="shared" si="876"/>
        <v/>
      </c>
      <c r="N589" s="26" t="str">
        <f t="shared" si="817"/>
        <v/>
      </c>
      <c r="O589" s="26" t="str">
        <f t="shared" si="818"/>
        <v/>
      </c>
      <c r="P589" s="26" t="str">
        <f t="shared" si="819"/>
        <v/>
      </c>
      <c r="Q589" s="26">
        <f t="shared" si="820"/>
        <v>0</v>
      </c>
      <c r="R589" s="26">
        <f t="shared" si="821"/>
        <v>0</v>
      </c>
      <c r="S589" s="26">
        <f t="shared" si="822"/>
        <v>0</v>
      </c>
      <c r="T589" s="26" t="str">
        <f t="shared" si="823"/>
        <v/>
      </c>
      <c r="U589" s="26" t="str">
        <f t="shared" si="824"/>
        <v/>
      </c>
      <c r="V589" s="26" t="str">
        <f t="shared" si="825"/>
        <v/>
      </c>
      <c r="W589" s="27" t="str">
        <f t="shared" si="826"/>
        <v/>
      </c>
      <c r="X589" s="27" t="str">
        <f t="shared" si="827"/>
        <v/>
      </c>
      <c r="Y589" s="28" t="str">
        <f t="shared" si="828"/>
        <v/>
      </c>
      <c r="Z589" s="27" t="str">
        <f t="shared" si="829"/>
        <v/>
      </c>
      <c r="AA589" s="27" t="str">
        <f t="shared" si="830"/>
        <v/>
      </c>
      <c r="AB589" s="27" t="str">
        <f t="shared" si="831"/>
        <v/>
      </c>
      <c r="AC589" s="27" t="str">
        <f t="shared" si="832"/>
        <v/>
      </c>
      <c r="AD589" s="29" t="str">
        <f t="shared" si="833"/>
        <v/>
      </c>
      <c r="AE589" s="30" t="str">
        <f t="shared" si="834"/>
        <v/>
      </c>
      <c r="AG589" s="4"/>
      <c r="AH589" s="31" t="e">
        <f t="shared" si="835"/>
        <v>#VALUE!</v>
      </c>
      <c r="AI589" s="31" t="e">
        <f t="shared" si="836"/>
        <v>#VALUE!</v>
      </c>
      <c r="AJ589" s="31" t="e">
        <f t="shared" si="837"/>
        <v>#VALUE!</v>
      </c>
      <c r="AK589" s="31" t="e">
        <f t="shared" si="838"/>
        <v>#VALUE!</v>
      </c>
      <c r="AL589" s="31" t="e">
        <f t="shared" si="839"/>
        <v>#VALUE!</v>
      </c>
      <c r="AM589" s="31" t="e">
        <f t="shared" si="840"/>
        <v>#VALUE!</v>
      </c>
      <c r="AN589" s="32" t="str">
        <f t="shared" si="841"/>
        <v/>
      </c>
      <c r="AO589" s="27" t="str">
        <f t="shared" si="842"/>
        <v/>
      </c>
      <c r="AP589" s="27" t="str">
        <f t="shared" si="843"/>
        <v/>
      </c>
      <c r="AQ589" s="27">
        <f t="shared" si="844"/>
        <v>0</v>
      </c>
      <c r="AR589" s="27">
        <f t="shared" si="845"/>
        <v>0</v>
      </c>
      <c r="AS589" s="33">
        <f t="shared" si="846"/>
        <v>0</v>
      </c>
    </row>
    <row r="590" spans="2:45" hidden="1" x14ac:dyDescent="0.25">
      <c r="B590" s="34">
        <f t="shared" ref="B590:F590" si="890">IF(B589="","",B589)</f>
        <v>1720</v>
      </c>
      <c r="C590" s="26">
        <f t="shared" si="890"/>
        <v>18</v>
      </c>
      <c r="D590" s="26">
        <f t="shared" si="890"/>
        <v>500</v>
      </c>
      <c r="E590" s="26">
        <f t="shared" si="890"/>
        <v>0</v>
      </c>
      <c r="F590" s="26">
        <f t="shared" si="890"/>
        <v>-1150</v>
      </c>
      <c r="G590" s="24"/>
      <c r="H590" s="24"/>
      <c r="I590" s="24"/>
      <c r="J590" s="24"/>
      <c r="K590" s="24"/>
      <c r="L590" s="24"/>
      <c r="M590" s="44" t="str">
        <f t="shared" si="876"/>
        <v/>
      </c>
      <c r="N590" s="26" t="str">
        <f t="shared" si="817"/>
        <v/>
      </c>
      <c r="O590" s="26" t="str">
        <f t="shared" si="818"/>
        <v/>
      </c>
      <c r="P590" s="26" t="str">
        <f t="shared" si="819"/>
        <v/>
      </c>
      <c r="Q590" s="26">
        <f t="shared" si="820"/>
        <v>0</v>
      </c>
      <c r="R590" s="26">
        <f t="shared" si="821"/>
        <v>0</v>
      </c>
      <c r="S590" s="26">
        <f t="shared" si="822"/>
        <v>0</v>
      </c>
      <c r="T590" s="26" t="str">
        <f t="shared" si="823"/>
        <v/>
      </c>
      <c r="U590" s="26" t="str">
        <f t="shared" si="824"/>
        <v/>
      </c>
      <c r="V590" s="26" t="str">
        <f t="shared" si="825"/>
        <v/>
      </c>
      <c r="W590" s="27" t="str">
        <f t="shared" si="826"/>
        <v/>
      </c>
      <c r="X590" s="27" t="str">
        <f t="shared" si="827"/>
        <v/>
      </c>
      <c r="Y590" s="28" t="str">
        <f t="shared" si="828"/>
        <v/>
      </c>
      <c r="Z590" s="27" t="str">
        <f t="shared" si="829"/>
        <v/>
      </c>
      <c r="AA590" s="27" t="str">
        <f t="shared" si="830"/>
        <v/>
      </c>
      <c r="AB590" s="27" t="str">
        <f t="shared" si="831"/>
        <v/>
      </c>
      <c r="AC590" s="27" t="str">
        <f t="shared" si="832"/>
        <v/>
      </c>
      <c r="AD590" s="29" t="str">
        <f t="shared" si="833"/>
        <v/>
      </c>
      <c r="AE590" s="30" t="str">
        <f t="shared" si="834"/>
        <v/>
      </c>
      <c r="AG590" s="4"/>
      <c r="AH590" s="31" t="e">
        <f t="shared" si="835"/>
        <v>#VALUE!</v>
      </c>
      <c r="AI590" s="31" t="e">
        <f t="shared" si="836"/>
        <v>#VALUE!</v>
      </c>
      <c r="AJ590" s="31" t="e">
        <f t="shared" si="837"/>
        <v>#VALUE!</v>
      </c>
      <c r="AK590" s="31" t="e">
        <f t="shared" si="838"/>
        <v>#VALUE!</v>
      </c>
      <c r="AL590" s="31" t="e">
        <f t="shared" si="839"/>
        <v>#VALUE!</v>
      </c>
      <c r="AM590" s="31" t="e">
        <f t="shared" si="840"/>
        <v>#VALUE!</v>
      </c>
      <c r="AN590" s="32" t="str">
        <f t="shared" si="841"/>
        <v/>
      </c>
      <c r="AO590" s="27" t="str">
        <f t="shared" si="842"/>
        <v/>
      </c>
      <c r="AP590" s="27" t="str">
        <f t="shared" si="843"/>
        <v/>
      </c>
      <c r="AQ590" s="27">
        <f t="shared" si="844"/>
        <v>0</v>
      </c>
      <c r="AR590" s="27">
        <f t="shared" si="845"/>
        <v>0</v>
      </c>
      <c r="AS590" s="33">
        <f t="shared" si="846"/>
        <v>0</v>
      </c>
    </row>
    <row r="591" spans="2:45" hidden="1" x14ac:dyDescent="0.25">
      <c r="B591" s="34">
        <f t="shared" ref="B591:F591" si="891">IF(B590="","",B590)</f>
        <v>1720</v>
      </c>
      <c r="C591" s="26">
        <f t="shared" si="891"/>
        <v>18</v>
      </c>
      <c r="D591" s="26">
        <f t="shared" si="891"/>
        <v>500</v>
      </c>
      <c r="E591" s="26">
        <f t="shared" si="891"/>
        <v>0</v>
      </c>
      <c r="F591" s="26">
        <f t="shared" si="891"/>
        <v>-1150</v>
      </c>
      <c r="G591" s="24"/>
      <c r="H591" s="24"/>
      <c r="I591" s="24"/>
      <c r="J591" s="24"/>
      <c r="K591" s="24"/>
      <c r="L591" s="24"/>
      <c r="M591" s="44" t="str">
        <f t="shared" si="876"/>
        <v/>
      </c>
      <c r="N591" s="26" t="str">
        <f t="shared" si="817"/>
        <v/>
      </c>
      <c r="O591" s="26" t="str">
        <f t="shared" si="818"/>
        <v/>
      </c>
      <c r="P591" s="26" t="str">
        <f t="shared" si="819"/>
        <v/>
      </c>
      <c r="Q591" s="26">
        <f t="shared" si="820"/>
        <v>0</v>
      </c>
      <c r="R591" s="26">
        <f t="shared" si="821"/>
        <v>0</v>
      </c>
      <c r="S591" s="26">
        <f t="shared" si="822"/>
        <v>0</v>
      </c>
      <c r="T591" s="26" t="str">
        <f t="shared" si="823"/>
        <v/>
      </c>
      <c r="U591" s="26" t="str">
        <f t="shared" si="824"/>
        <v/>
      </c>
      <c r="V591" s="26" t="str">
        <f t="shared" si="825"/>
        <v/>
      </c>
      <c r="W591" s="27" t="str">
        <f t="shared" si="826"/>
        <v/>
      </c>
      <c r="X591" s="27" t="str">
        <f t="shared" si="827"/>
        <v/>
      </c>
      <c r="Y591" s="28" t="str">
        <f t="shared" si="828"/>
        <v/>
      </c>
      <c r="Z591" s="27" t="str">
        <f t="shared" si="829"/>
        <v/>
      </c>
      <c r="AA591" s="27" t="str">
        <f t="shared" si="830"/>
        <v/>
      </c>
      <c r="AB591" s="27" t="str">
        <f t="shared" si="831"/>
        <v/>
      </c>
      <c r="AC591" s="27" t="str">
        <f t="shared" si="832"/>
        <v/>
      </c>
      <c r="AD591" s="29" t="str">
        <f t="shared" si="833"/>
        <v/>
      </c>
      <c r="AE591" s="30" t="str">
        <f t="shared" si="834"/>
        <v/>
      </c>
      <c r="AG591" s="4"/>
      <c r="AH591" s="31" t="e">
        <f t="shared" si="835"/>
        <v>#VALUE!</v>
      </c>
      <c r="AI591" s="31" t="e">
        <f t="shared" si="836"/>
        <v>#VALUE!</v>
      </c>
      <c r="AJ591" s="31" t="e">
        <f t="shared" si="837"/>
        <v>#VALUE!</v>
      </c>
      <c r="AK591" s="31" t="e">
        <f t="shared" si="838"/>
        <v>#VALUE!</v>
      </c>
      <c r="AL591" s="31" t="e">
        <f t="shared" si="839"/>
        <v>#VALUE!</v>
      </c>
      <c r="AM591" s="31" t="e">
        <f t="shared" si="840"/>
        <v>#VALUE!</v>
      </c>
      <c r="AN591" s="32" t="str">
        <f t="shared" si="841"/>
        <v/>
      </c>
      <c r="AO591" s="27" t="str">
        <f t="shared" si="842"/>
        <v/>
      </c>
      <c r="AP591" s="27" t="str">
        <f t="shared" si="843"/>
        <v/>
      </c>
      <c r="AQ591" s="27">
        <f t="shared" si="844"/>
        <v>0</v>
      </c>
      <c r="AR591" s="27">
        <f t="shared" si="845"/>
        <v>0</v>
      </c>
      <c r="AS591" s="33">
        <f t="shared" si="846"/>
        <v>0</v>
      </c>
    </row>
    <row r="592" spans="2:45" hidden="1" x14ac:dyDescent="0.25">
      <c r="B592" s="34">
        <f t="shared" ref="B592:F592" si="892">IF(B591="","",B591)</f>
        <v>1720</v>
      </c>
      <c r="C592" s="26">
        <f t="shared" si="892"/>
        <v>18</v>
      </c>
      <c r="D592" s="26">
        <f t="shared" si="892"/>
        <v>500</v>
      </c>
      <c r="E592" s="26">
        <f t="shared" si="892"/>
        <v>0</v>
      </c>
      <c r="F592" s="26">
        <f t="shared" si="892"/>
        <v>-1150</v>
      </c>
      <c r="G592" s="24"/>
      <c r="H592" s="24"/>
      <c r="I592" s="24"/>
      <c r="J592" s="24"/>
      <c r="K592" s="24"/>
      <c r="L592" s="24"/>
      <c r="M592" s="44" t="str">
        <f t="shared" si="876"/>
        <v/>
      </c>
      <c r="N592" s="26" t="str">
        <f t="shared" si="817"/>
        <v/>
      </c>
      <c r="O592" s="26" t="str">
        <f t="shared" si="818"/>
        <v/>
      </c>
      <c r="P592" s="26" t="str">
        <f t="shared" si="819"/>
        <v/>
      </c>
      <c r="Q592" s="26">
        <f t="shared" si="820"/>
        <v>0</v>
      </c>
      <c r="R592" s="26">
        <f t="shared" si="821"/>
        <v>0</v>
      </c>
      <c r="S592" s="26">
        <f t="shared" si="822"/>
        <v>0</v>
      </c>
      <c r="T592" s="26" t="str">
        <f t="shared" si="823"/>
        <v/>
      </c>
      <c r="U592" s="26" t="str">
        <f t="shared" si="824"/>
        <v/>
      </c>
      <c r="V592" s="26" t="str">
        <f t="shared" si="825"/>
        <v/>
      </c>
      <c r="W592" s="27" t="str">
        <f t="shared" si="826"/>
        <v/>
      </c>
      <c r="X592" s="27" t="str">
        <f t="shared" si="827"/>
        <v/>
      </c>
      <c r="Y592" s="28" t="str">
        <f t="shared" si="828"/>
        <v/>
      </c>
      <c r="Z592" s="27" t="str">
        <f t="shared" si="829"/>
        <v/>
      </c>
      <c r="AA592" s="27" t="str">
        <f t="shared" si="830"/>
        <v/>
      </c>
      <c r="AB592" s="27" t="str">
        <f t="shared" si="831"/>
        <v/>
      </c>
      <c r="AC592" s="27" t="str">
        <f t="shared" si="832"/>
        <v/>
      </c>
      <c r="AD592" s="29" t="str">
        <f t="shared" si="833"/>
        <v/>
      </c>
      <c r="AE592" s="30" t="str">
        <f t="shared" si="834"/>
        <v/>
      </c>
      <c r="AG592" s="4"/>
      <c r="AH592" s="31" t="e">
        <f t="shared" si="835"/>
        <v>#VALUE!</v>
      </c>
      <c r="AI592" s="31" t="e">
        <f t="shared" si="836"/>
        <v>#VALUE!</v>
      </c>
      <c r="AJ592" s="31" t="e">
        <f t="shared" si="837"/>
        <v>#VALUE!</v>
      </c>
      <c r="AK592" s="31" t="e">
        <f t="shared" si="838"/>
        <v>#VALUE!</v>
      </c>
      <c r="AL592" s="31" t="e">
        <f t="shared" si="839"/>
        <v>#VALUE!</v>
      </c>
      <c r="AM592" s="31" t="e">
        <f t="shared" si="840"/>
        <v>#VALUE!</v>
      </c>
      <c r="AN592" s="32" t="str">
        <f t="shared" si="841"/>
        <v/>
      </c>
      <c r="AO592" s="27" t="str">
        <f t="shared" si="842"/>
        <v/>
      </c>
      <c r="AP592" s="27" t="str">
        <f t="shared" si="843"/>
        <v/>
      </c>
      <c r="AQ592" s="27">
        <f t="shared" si="844"/>
        <v>0</v>
      </c>
      <c r="AR592" s="27">
        <f t="shared" si="845"/>
        <v>0</v>
      </c>
      <c r="AS592" s="33">
        <f t="shared" si="846"/>
        <v>0</v>
      </c>
    </row>
    <row r="593" spans="2:45" hidden="1" x14ac:dyDescent="0.25">
      <c r="B593" s="34">
        <f t="shared" ref="B593:F593" si="893">IF(B592="","",B592)</f>
        <v>1720</v>
      </c>
      <c r="C593" s="26">
        <f t="shared" si="893"/>
        <v>18</v>
      </c>
      <c r="D593" s="26">
        <f t="shared" si="893"/>
        <v>500</v>
      </c>
      <c r="E593" s="26">
        <f t="shared" si="893"/>
        <v>0</v>
      </c>
      <c r="F593" s="26">
        <f t="shared" si="893"/>
        <v>-1150</v>
      </c>
      <c r="G593" s="24"/>
      <c r="H593" s="24"/>
      <c r="I593" s="24"/>
      <c r="J593" s="24"/>
      <c r="K593" s="24"/>
      <c r="L593" s="24"/>
      <c r="M593" s="44" t="str">
        <f t="shared" si="876"/>
        <v/>
      </c>
      <c r="N593" s="26" t="str">
        <f t="shared" si="817"/>
        <v/>
      </c>
      <c r="O593" s="26" t="str">
        <f t="shared" si="818"/>
        <v/>
      </c>
      <c r="P593" s="26" t="str">
        <f t="shared" si="819"/>
        <v/>
      </c>
      <c r="Q593" s="26">
        <f t="shared" si="820"/>
        <v>0</v>
      </c>
      <c r="R593" s="26">
        <f t="shared" si="821"/>
        <v>0</v>
      </c>
      <c r="S593" s="26">
        <f t="shared" si="822"/>
        <v>0</v>
      </c>
      <c r="T593" s="26" t="str">
        <f t="shared" si="823"/>
        <v/>
      </c>
      <c r="U593" s="26" t="str">
        <f t="shared" si="824"/>
        <v/>
      </c>
      <c r="V593" s="26" t="str">
        <f t="shared" si="825"/>
        <v/>
      </c>
      <c r="W593" s="27" t="str">
        <f t="shared" si="826"/>
        <v/>
      </c>
      <c r="X593" s="27" t="str">
        <f t="shared" si="827"/>
        <v/>
      </c>
      <c r="Y593" s="28" t="str">
        <f t="shared" si="828"/>
        <v/>
      </c>
      <c r="Z593" s="27" t="str">
        <f t="shared" si="829"/>
        <v/>
      </c>
      <c r="AA593" s="27" t="str">
        <f t="shared" si="830"/>
        <v/>
      </c>
      <c r="AB593" s="27" t="str">
        <f t="shared" si="831"/>
        <v/>
      </c>
      <c r="AC593" s="27" t="str">
        <f t="shared" si="832"/>
        <v/>
      </c>
      <c r="AD593" s="29" t="str">
        <f t="shared" si="833"/>
        <v/>
      </c>
      <c r="AE593" s="30" t="str">
        <f t="shared" si="834"/>
        <v/>
      </c>
      <c r="AG593" s="4"/>
      <c r="AH593" s="31" t="e">
        <f t="shared" si="835"/>
        <v>#VALUE!</v>
      </c>
      <c r="AI593" s="31" t="e">
        <f t="shared" si="836"/>
        <v>#VALUE!</v>
      </c>
      <c r="AJ593" s="31" t="e">
        <f t="shared" si="837"/>
        <v>#VALUE!</v>
      </c>
      <c r="AK593" s="31" t="e">
        <f t="shared" si="838"/>
        <v>#VALUE!</v>
      </c>
      <c r="AL593" s="31" t="e">
        <f t="shared" si="839"/>
        <v>#VALUE!</v>
      </c>
      <c r="AM593" s="31" t="e">
        <f t="shared" si="840"/>
        <v>#VALUE!</v>
      </c>
      <c r="AN593" s="32" t="str">
        <f t="shared" si="841"/>
        <v/>
      </c>
      <c r="AO593" s="27" t="str">
        <f t="shared" si="842"/>
        <v/>
      </c>
      <c r="AP593" s="27" t="str">
        <f t="shared" si="843"/>
        <v/>
      </c>
      <c r="AQ593" s="27">
        <f t="shared" si="844"/>
        <v>0</v>
      </c>
      <c r="AR593" s="27">
        <f t="shared" si="845"/>
        <v>0</v>
      </c>
      <c r="AS593" s="33">
        <f t="shared" si="846"/>
        <v>0</v>
      </c>
    </row>
    <row r="594" spans="2:45" hidden="1" x14ac:dyDescent="0.25">
      <c r="B594" s="34">
        <f t="shared" ref="B594:F594" si="894">IF(B593="","",B593)</f>
        <v>1720</v>
      </c>
      <c r="C594" s="26">
        <f t="shared" si="894"/>
        <v>18</v>
      </c>
      <c r="D594" s="26">
        <f t="shared" si="894"/>
        <v>500</v>
      </c>
      <c r="E594" s="26">
        <f t="shared" si="894"/>
        <v>0</v>
      </c>
      <c r="F594" s="26">
        <f t="shared" si="894"/>
        <v>-1150</v>
      </c>
      <c r="G594" s="24"/>
      <c r="H594" s="24"/>
      <c r="I594" s="24"/>
      <c r="J594" s="24"/>
      <c r="K594" s="24"/>
      <c r="L594" s="24"/>
      <c r="M594" s="44" t="str">
        <f t="shared" si="876"/>
        <v/>
      </c>
      <c r="N594" s="26" t="str">
        <f t="shared" si="817"/>
        <v/>
      </c>
      <c r="O594" s="26" t="str">
        <f t="shared" si="818"/>
        <v/>
      </c>
      <c r="P594" s="26" t="str">
        <f t="shared" si="819"/>
        <v/>
      </c>
      <c r="Q594" s="26">
        <f t="shared" si="820"/>
        <v>0</v>
      </c>
      <c r="R594" s="26">
        <f t="shared" si="821"/>
        <v>0</v>
      </c>
      <c r="S594" s="26">
        <f t="shared" si="822"/>
        <v>0</v>
      </c>
      <c r="T594" s="26" t="str">
        <f t="shared" si="823"/>
        <v/>
      </c>
      <c r="U594" s="26" t="str">
        <f t="shared" si="824"/>
        <v/>
      </c>
      <c r="V594" s="26" t="str">
        <f t="shared" si="825"/>
        <v/>
      </c>
      <c r="W594" s="27" t="str">
        <f t="shared" si="826"/>
        <v/>
      </c>
      <c r="X594" s="27" t="str">
        <f t="shared" si="827"/>
        <v/>
      </c>
      <c r="Y594" s="28" t="str">
        <f t="shared" si="828"/>
        <v/>
      </c>
      <c r="Z594" s="27" t="str">
        <f t="shared" si="829"/>
        <v/>
      </c>
      <c r="AA594" s="27" t="str">
        <f t="shared" si="830"/>
        <v/>
      </c>
      <c r="AB594" s="27" t="str">
        <f t="shared" si="831"/>
        <v/>
      </c>
      <c r="AC594" s="27" t="str">
        <f t="shared" si="832"/>
        <v/>
      </c>
      <c r="AD594" s="29" t="str">
        <f t="shared" si="833"/>
        <v/>
      </c>
      <c r="AE594" s="30" t="str">
        <f t="shared" si="834"/>
        <v/>
      </c>
      <c r="AG594" s="4"/>
      <c r="AH594" s="31" t="e">
        <f t="shared" si="835"/>
        <v>#VALUE!</v>
      </c>
      <c r="AI594" s="31" t="e">
        <f t="shared" si="836"/>
        <v>#VALUE!</v>
      </c>
      <c r="AJ594" s="31" t="e">
        <f t="shared" si="837"/>
        <v>#VALUE!</v>
      </c>
      <c r="AK594" s="31" t="e">
        <f t="shared" si="838"/>
        <v>#VALUE!</v>
      </c>
      <c r="AL594" s="31" t="e">
        <f t="shared" si="839"/>
        <v>#VALUE!</v>
      </c>
      <c r="AM594" s="31" t="e">
        <f t="shared" si="840"/>
        <v>#VALUE!</v>
      </c>
      <c r="AN594" s="32" t="str">
        <f t="shared" si="841"/>
        <v/>
      </c>
      <c r="AO594" s="27" t="str">
        <f t="shared" si="842"/>
        <v/>
      </c>
      <c r="AP594" s="27" t="str">
        <f t="shared" si="843"/>
        <v/>
      </c>
      <c r="AQ594" s="27">
        <f t="shared" si="844"/>
        <v>0</v>
      </c>
      <c r="AR594" s="27">
        <f t="shared" si="845"/>
        <v>0</v>
      </c>
      <c r="AS594" s="33">
        <f t="shared" si="846"/>
        <v>0</v>
      </c>
    </row>
    <row r="595" spans="2:45" hidden="1" x14ac:dyDescent="0.25">
      <c r="B595" s="34">
        <f t="shared" ref="B595:F595" si="895">IF(B594="","",B594)</f>
        <v>1720</v>
      </c>
      <c r="C595" s="26">
        <f t="shared" si="895"/>
        <v>18</v>
      </c>
      <c r="D595" s="26">
        <f t="shared" si="895"/>
        <v>500</v>
      </c>
      <c r="E595" s="26">
        <f t="shared" si="895"/>
        <v>0</v>
      </c>
      <c r="F595" s="26">
        <f t="shared" si="895"/>
        <v>-1150</v>
      </c>
      <c r="G595" s="24"/>
      <c r="H595" s="24"/>
      <c r="I595" s="24"/>
      <c r="J595" s="24"/>
      <c r="K595" s="24"/>
      <c r="L595" s="24"/>
      <c r="M595" s="44" t="str">
        <f t="shared" si="876"/>
        <v/>
      </c>
      <c r="N595" s="26" t="str">
        <f t="shared" si="817"/>
        <v/>
      </c>
      <c r="O595" s="26" t="str">
        <f t="shared" si="818"/>
        <v/>
      </c>
      <c r="P595" s="26" t="str">
        <f t="shared" si="819"/>
        <v/>
      </c>
      <c r="Q595" s="26">
        <f t="shared" si="820"/>
        <v>0</v>
      </c>
      <c r="R595" s="26">
        <f t="shared" si="821"/>
        <v>0</v>
      </c>
      <c r="S595" s="26">
        <f t="shared" si="822"/>
        <v>0</v>
      </c>
      <c r="T595" s="26" t="str">
        <f t="shared" si="823"/>
        <v/>
      </c>
      <c r="U595" s="26" t="str">
        <f t="shared" si="824"/>
        <v/>
      </c>
      <c r="V595" s="26" t="str">
        <f t="shared" si="825"/>
        <v/>
      </c>
      <c r="W595" s="27" t="str">
        <f t="shared" si="826"/>
        <v/>
      </c>
      <c r="X595" s="27" t="str">
        <f t="shared" si="827"/>
        <v/>
      </c>
      <c r="Y595" s="28" t="str">
        <f t="shared" si="828"/>
        <v/>
      </c>
      <c r="Z595" s="27" t="str">
        <f t="shared" si="829"/>
        <v/>
      </c>
      <c r="AA595" s="27" t="str">
        <f t="shared" si="830"/>
        <v/>
      </c>
      <c r="AB595" s="27" t="str">
        <f t="shared" si="831"/>
        <v/>
      </c>
      <c r="AC595" s="27" t="str">
        <f t="shared" si="832"/>
        <v/>
      </c>
      <c r="AD595" s="29" t="str">
        <f t="shared" si="833"/>
        <v/>
      </c>
      <c r="AE595" s="30" t="str">
        <f t="shared" si="834"/>
        <v/>
      </c>
      <c r="AG595" s="4"/>
      <c r="AH595" s="31" t="e">
        <f t="shared" si="835"/>
        <v>#VALUE!</v>
      </c>
      <c r="AI595" s="31" t="e">
        <f t="shared" si="836"/>
        <v>#VALUE!</v>
      </c>
      <c r="AJ595" s="31" t="e">
        <f t="shared" si="837"/>
        <v>#VALUE!</v>
      </c>
      <c r="AK595" s="31" t="e">
        <f t="shared" si="838"/>
        <v>#VALUE!</v>
      </c>
      <c r="AL595" s="31" t="e">
        <f t="shared" si="839"/>
        <v>#VALUE!</v>
      </c>
      <c r="AM595" s="31" t="e">
        <f t="shared" si="840"/>
        <v>#VALUE!</v>
      </c>
      <c r="AN595" s="32" t="str">
        <f t="shared" si="841"/>
        <v/>
      </c>
      <c r="AO595" s="27" t="str">
        <f t="shared" si="842"/>
        <v/>
      </c>
      <c r="AP595" s="27" t="str">
        <f t="shared" si="843"/>
        <v/>
      </c>
      <c r="AQ595" s="27">
        <f t="shared" si="844"/>
        <v>0</v>
      </c>
      <c r="AR595" s="27">
        <f t="shared" si="845"/>
        <v>0</v>
      </c>
      <c r="AS595" s="33">
        <f t="shared" si="846"/>
        <v>0</v>
      </c>
    </row>
    <row r="596" spans="2:45" hidden="1" x14ac:dyDescent="0.25">
      <c r="B596" s="34">
        <f t="shared" ref="B596:F596" si="896">IF(B595="","",B595)</f>
        <v>1720</v>
      </c>
      <c r="C596" s="26">
        <f t="shared" si="896"/>
        <v>18</v>
      </c>
      <c r="D596" s="26">
        <f t="shared" si="896"/>
        <v>500</v>
      </c>
      <c r="E596" s="26">
        <f t="shared" si="896"/>
        <v>0</v>
      </c>
      <c r="F596" s="26">
        <f t="shared" si="896"/>
        <v>-1150</v>
      </c>
      <c r="G596" s="24"/>
      <c r="H596" s="24"/>
      <c r="I596" s="24"/>
      <c r="J596" s="24"/>
      <c r="K596" s="24"/>
      <c r="L596" s="24"/>
      <c r="M596" s="44" t="str">
        <f t="shared" si="876"/>
        <v/>
      </c>
      <c r="N596" s="26" t="str">
        <f t="shared" si="817"/>
        <v/>
      </c>
      <c r="O596" s="26" t="str">
        <f t="shared" si="818"/>
        <v/>
      </c>
      <c r="P596" s="26" t="str">
        <f t="shared" si="819"/>
        <v/>
      </c>
      <c r="Q596" s="26">
        <f t="shared" si="820"/>
        <v>0</v>
      </c>
      <c r="R596" s="26">
        <f t="shared" si="821"/>
        <v>0</v>
      </c>
      <c r="S596" s="26">
        <f t="shared" si="822"/>
        <v>0</v>
      </c>
      <c r="T596" s="26" t="str">
        <f t="shared" si="823"/>
        <v/>
      </c>
      <c r="U596" s="26" t="str">
        <f t="shared" si="824"/>
        <v/>
      </c>
      <c r="V596" s="26" t="str">
        <f t="shared" si="825"/>
        <v/>
      </c>
      <c r="W596" s="27" t="str">
        <f t="shared" si="826"/>
        <v/>
      </c>
      <c r="X596" s="27" t="str">
        <f t="shared" si="827"/>
        <v/>
      </c>
      <c r="Y596" s="28" t="str">
        <f t="shared" si="828"/>
        <v/>
      </c>
      <c r="Z596" s="27" t="str">
        <f t="shared" si="829"/>
        <v/>
      </c>
      <c r="AA596" s="27" t="str">
        <f t="shared" si="830"/>
        <v/>
      </c>
      <c r="AB596" s="27" t="str">
        <f t="shared" si="831"/>
        <v/>
      </c>
      <c r="AC596" s="27" t="str">
        <f t="shared" si="832"/>
        <v/>
      </c>
      <c r="AD596" s="29" t="str">
        <f t="shared" si="833"/>
        <v/>
      </c>
      <c r="AE596" s="30" t="str">
        <f t="shared" si="834"/>
        <v/>
      </c>
      <c r="AG596" s="4"/>
      <c r="AH596" s="31" t="e">
        <f t="shared" si="835"/>
        <v>#VALUE!</v>
      </c>
      <c r="AI596" s="31" t="e">
        <f t="shared" si="836"/>
        <v>#VALUE!</v>
      </c>
      <c r="AJ596" s="31" t="e">
        <f t="shared" si="837"/>
        <v>#VALUE!</v>
      </c>
      <c r="AK596" s="31" t="e">
        <f t="shared" si="838"/>
        <v>#VALUE!</v>
      </c>
      <c r="AL596" s="31" t="e">
        <f t="shared" si="839"/>
        <v>#VALUE!</v>
      </c>
      <c r="AM596" s="31" t="e">
        <f t="shared" si="840"/>
        <v>#VALUE!</v>
      </c>
      <c r="AN596" s="32" t="str">
        <f t="shared" si="841"/>
        <v/>
      </c>
      <c r="AO596" s="27" t="str">
        <f t="shared" si="842"/>
        <v/>
      </c>
      <c r="AP596" s="27" t="str">
        <f t="shared" si="843"/>
        <v/>
      </c>
      <c r="AQ596" s="27">
        <f t="shared" si="844"/>
        <v>0</v>
      </c>
      <c r="AR596" s="27">
        <f t="shared" si="845"/>
        <v>0</v>
      </c>
      <c r="AS596" s="33">
        <f t="shared" si="846"/>
        <v>0</v>
      </c>
    </row>
    <row r="597" spans="2:45" hidden="1" x14ac:dyDescent="0.25">
      <c r="B597" s="34">
        <f t="shared" ref="B597:F597" si="897">IF(B596="","",B596)</f>
        <v>1720</v>
      </c>
      <c r="C597" s="26">
        <f t="shared" si="897"/>
        <v>18</v>
      </c>
      <c r="D597" s="26">
        <f t="shared" si="897"/>
        <v>500</v>
      </c>
      <c r="E597" s="26">
        <f t="shared" si="897"/>
        <v>0</v>
      </c>
      <c r="F597" s="26">
        <f t="shared" si="897"/>
        <v>-1150</v>
      </c>
      <c r="G597" s="24"/>
      <c r="H597" s="24"/>
      <c r="I597" s="24"/>
      <c r="J597" s="24"/>
      <c r="K597" s="24"/>
      <c r="L597" s="24"/>
      <c r="M597" s="44" t="str">
        <f t="shared" si="876"/>
        <v/>
      </c>
      <c r="N597" s="26" t="str">
        <f t="shared" si="817"/>
        <v/>
      </c>
      <c r="O597" s="26" t="str">
        <f t="shared" si="818"/>
        <v/>
      </c>
      <c r="P597" s="26" t="str">
        <f t="shared" si="819"/>
        <v/>
      </c>
      <c r="Q597" s="26">
        <f t="shared" si="820"/>
        <v>0</v>
      </c>
      <c r="R597" s="26">
        <f t="shared" si="821"/>
        <v>0</v>
      </c>
      <c r="S597" s="26">
        <f t="shared" si="822"/>
        <v>0</v>
      </c>
      <c r="T597" s="26" t="str">
        <f t="shared" si="823"/>
        <v/>
      </c>
      <c r="U597" s="26" t="str">
        <f t="shared" si="824"/>
        <v/>
      </c>
      <c r="V597" s="26" t="str">
        <f t="shared" si="825"/>
        <v/>
      </c>
      <c r="W597" s="27" t="str">
        <f t="shared" si="826"/>
        <v/>
      </c>
      <c r="X597" s="27" t="str">
        <f t="shared" si="827"/>
        <v/>
      </c>
      <c r="Y597" s="28" t="str">
        <f t="shared" si="828"/>
        <v/>
      </c>
      <c r="Z597" s="27" t="str">
        <f t="shared" si="829"/>
        <v/>
      </c>
      <c r="AA597" s="27" t="str">
        <f t="shared" si="830"/>
        <v/>
      </c>
      <c r="AB597" s="27" t="str">
        <f t="shared" si="831"/>
        <v/>
      </c>
      <c r="AC597" s="27" t="str">
        <f t="shared" si="832"/>
        <v/>
      </c>
      <c r="AD597" s="29" t="str">
        <f t="shared" si="833"/>
        <v/>
      </c>
      <c r="AE597" s="30" t="str">
        <f t="shared" si="834"/>
        <v/>
      </c>
      <c r="AG597" s="4"/>
      <c r="AH597" s="31" t="e">
        <f t="shared" si="835"/>
        <v>#VALUE!</v>
      </c>
      <c r="AI597" s="31" t="e">
        <f t="shared" si="836"/>
        <v>#VALUE!</v>
      </c>
      <c r="AJ597" s="31" t="e">
        <f t="shared" si="837"/>
        <v>#VALUE!</v>
      </c>
      <c r="AK597" s="31" t="e">
        <f t="shared" si="838"/>
        <v>#VALUE!</v>
      </c>
      <c r="AL597" s="31" t="e">
        <f t="shared" si="839"/>
        <v>#VALUE!</v>
      </c>
      <c r="AM597" s="31" t="e">
        <f t="shared" si="840"/>
        <v>#VALUE!</v>
      </c>
      <c r="AN597" s="32" t="str">
        <f t="shared" si="841"/>
        <v/>
      </c>
      <c r="AO597" s="27" t="str">
        <f t="shared" si="842"/>
        <v/>
      </c>
      <c r="AP597" s="27" t="str">
        <f t="shared" si="843"/>
        <v/>
      </c>
      <c r="AQ597" s="27">
        <f t="shared" si="844"/>
        <v>0</v>
      </c>
      <c r="AR597" s="27">
        <f t="shared" si="845"/>
        <v>0</v>
      </c>
      <c r="AS597" s="33">
        <f t="shared" si="846"/>
        <v>0</v>
      </c>
    </row>
    <row r="598" spans="2:45" hidden="1" x14ac:dyDescent="0.25">
      <c r="B598" s="34">
        <f t="shared" ref="B598:F598" si="898">IF(B597="","",B597)</f>
        <v>1720</v>
      </c>
      <c r="C598" s="26">
        <f t="shared" si="898"/>
        <v>18</v>
      </c>
      <c r="D598" s="26">
        <f t="shared" si="898"/>
        <v>500</v>
      </c>
      <c r="E598" s="26">
        <f t="shared" si="898"/>
        <v>0</v>
      </c>
      <c r="F598" s="26">
        <f t="shared" si="898"/>
        <v>-1150</v>
      </c>
      <c r="G598" s="24"/>
      <c r="H598" s="24"/>
      <c r="I598" s="24"/>
      <c r="J598" s="24"/>
      <c r="K598" s="24"/>
      <c r="L598" s="24"/>
      <c r="M598" s="44" t="str">
        <f t="shared" si="876"/>
        <v/>
      </c>
      <c r="N598" s="26" t="str">
        <f t="shared" si="817"/>
        <v/>
      </c>
      <c r="O598" s="26" t="str">
        <f t="shared" si="818"/>
        <v/>
      </c>
      <c r="P598" s="26" t="str">
        <f t="shared" si="819"/>
        <v/>
      </c>
      <c r="Q598" s="26">
        <f t="shared" si="820"/>
        <v>0</v>
      </c>
      <c r="R598" s="26">
        <f t="shared" si="821"/>
        <v>0</v>
      </c>
      <c r="S598" s="26">
        <f t="shared" si="822"/>
        <v>0</v>
      </c>
      <c r="T598" s="26" t="str">
        <f t="shared" si="823"/>
        <v/>
      </c>
      <c r="U598" s="26" t="str">
        <f t="shared" si="824"/>
        <v/>
      </c>
      <c r="V598" s="26" t="str">
        <f t="shared" si="825"/>
        <v/>
      </c>
      <c r="W598" s="27" t="str">
        <f t="shared" si="826"/>
        <v/>
      </c>
      <c r="X598" s="27" t="str">
        <f t="shared" si="827"/>
        <v/>
      </c>
      <c r="Y598" s="28" t="str">
        <f t="shared" si="828"/>
        <v/>
      </c>
      <c r="Z598" s="27" t="str">
        <f t="shared" si="829"/>
        <v/>
      </c>
      <c r="AA598" s="27" t="str">
        <f t="shared" si="830"/>
        <v/>
      </c>
      <c r="AB598" s="27" t="str">
        <f t="shared" si="831"/>
        <v/>
      </c>
      <c r="AC598" s="27" t="str">
        <f t="shared" si="832"/>
        <v/>
      </c>
      <c r="AD598" s="29" t="str">
        <f t="shared" si="833"/>
        <v/>
      </c>
      <c r="AE598" s="30" t="str">
        <f t="shared" si="834"/>
        <v/>
      </c>
      <c r="AG598" s="4"/>
      <c r="AH598" s="31" t="e">
        <f t="shared" si="835"/>
        <v>#VALUE!</v>
      </c>
      <c r="AI598" s="31" t="e">
        <f t="shared" si="836"/>
        <v>#VALUE!</v>
      </c>
      <c r="AJ598" s="31" t="e">
        <f t="shared" si="837"/>
        <v>#VALUE!</v>
      </c>
      <c r="AK598" s="31" t="e">
        <f t="shared" si="838"/>
        <v>#VALUE!</v>
      </c>
      <c r="AL598" s="31" t="e">
        <f t="shared" si="839"/>
        <v>#VALUE!</v>
      </c>
      <c r="AM598" s="31" t="e">
        <f t="shared" si="840"/>
        <v>#VALUE!</v>
      </c>
      <c r="AN598" s="32" t="str">
        <f t="shared" si="841"/>
        <v/>
      </c>
      <c r="AO598" s="27" t="str">
        <f t="shared" si="842"/>
        <v/>
      </c>
      <c r="AP598" s="27" t="str">
        <f t="shared" si="843"/>
        <v/>
      </c>
      <c r="AQ598" s="27">
        <f t="shared" si="844"/>
        <v>0</v>
      </c>
      <c r="AR598" s="27">
        <f t="shared" si="845"/>
        <v>0</v>
      </c>
      <c r="AS598" s="33">
        <f t="shared" si="846"/>
        <v>0</v>
      </c>
    </row>
    <row r="599" spans="2:45" hidden="1" x14ac:dyDescent="0.25">
      <c r="B599" s="34">
        <f t="shared" ref="B599:F599" si="899">IF(B598="","",B598)</f>
        <v>1720</v>
      </c>
      <c r="C599" s="26">
        <f t="shared" si="899"/>
        <v>18</v>
      </c>
      <c r="D599" s="26">
        <f t="shared" si="899"/>
        <v>500</v>
      </c>
      <c r="E599" s="26">
        <f t="shared" si="899"/>
        <v>0</v>
      </c>
      <c r="F599" s="26">
        <f t="shared" si="899"/>
        <v>-1150</v>
      </c>
      <c r="G599" s="24"/>
      <c r="H599" s="24"/>
      <c r="I599" s="24"/>
      <c r="J599" s="24"/>
      <c r="K599" s="24"/>
      <c r="L599" s="24"/>
      <c r="M599" s="44" t="str">
        <f t="shared" si="876"/>
        <v/>
      </c>
      <c r="N599" s="26" t="str">
        <f t="shared" si="817"/>
        <v/>
      </c>
      <c r="O599" s="26" t="str">
        <f t="shared" si="818"/>
        <v/>
      </c>
      <c r="P599" s="26" t="str">
        <f t="shared" si="819"/>
        <v/>
      </c>
      <c r="Q599" s="26">
        <f t="shared" si="820"/>
        <v>0</v>
      </c>
      <c r="R599" s="26">
        <f t="shared" si="821"/>
        <v>0</v>
      </c>
      <c r="S599" s="26">
        <f t="shared" si="822"/>
        <v>0</v>
      </c>
      <c r="T599" s="26" t="str">
        <f t="shared" si="823"/>
        <v/>
      </c>
      <c r="U599" s="26" t="str">
        <f t="shared" si="824"/>
        <v/>
      </c>
      <c r="V599" s="26" t="str">
        <f t="shared" si="825"/>
        <v/>
      </c>
      <c r="W599" s="27" t="str">
        <f t="shared" si="826"/>
        <v/>
      </c>
      <c r="X599" s="27" t="str">
        <f t="shared" si="827"/>
        <v/>
      </c>
      <c r="Y599" s="28" t="str">
        <f t="shared" si="828"/>
        <v/>
      </c>
      <c r="Z599" s="27" t="str">
        <f t="shared" si="829"/>
        <v/>
      </c>
      <c r="AA599" s="27" t="str">
        <f t="shared" si="830"/>
        <v/>
      </c>
      <c r="AB599" s="27" t="str">
        <f t="shared" si="831"/>
        <v/>
      </c>
      <c r="AC599" s="27" t="str">
        <f t="shared" si="832"/>
        <v/>
      </c>
      <c r="AD599" s="29" t="str">
        <f t="shared" si="833"/>
        <v/>
      </c>
      <c r="AE599" s="30" t="str">
        <f t="shared" si="834"/>
        <v/>
      </c>
      <c r="AG599" s="4"/>
      <c r="AH599" s="31" t="e">
        <f t="shared" si="835"/>
        <v>#VALUE!</v>
      </c>
      <c r="AI599" s="31" t="e">
        <f t="shared" si="836"/>
        <v>#VALUE!</v>
      </c>
      <c r="AJ599" s="31" t="e">
        <f t="shared" si="837"/>
        <v>#VALUE!</v>
      </c>
      <c r="AK599" s="31" t="e">
        <f t="shared" si="838"/>
        <v>#VALUE!</v>
      </c>
      <c r="AL599" s="31" t="e">
        <f t="shared" si="839"/>
        <v>#VALUE!</v>
      </c>
      <c r="AM599" s="31" t="e">
        <f t="shared" si="840"/>
        <v>#VALUE!</v>
      </c>
      <c r="AN599" s="32" t="str">
        <f t="shared" si="841"/>
        <v/>
      </c>
      <c r="AO599" s="27" t="str">
        <f t="shared" si="842"/>
        <v/>
      </c>
      <c r="AP599" s="27" t="str">
        <f t="shared" si="843"/>
        <v/>
      </c>
      <c r="AQ599" s="27">
        <f t="shared" si="844"/>
        <v>0</v>
      </c>
      <c r="AR599" s="27">
        <f t="shared" si="845"/>
        <v>0</v>
      </c>
      <c r="AS599" s="33">
        <f t="shared" si="846"/>
        <v>0</v>
      </c>
    </row>
    <row r="600" spans="2:45" hidden="1" x14ac:dyDescent="0.25">
      <c r="B600" s="34">
        <f t="shared" ref="B600:F600" si="900">IF(B599="","",B599)</f>
        <v>1720</v>
      </c>
      <c r="C600" s="26">
        <f t="shared" si="900"/>
        <v>18</v>
      </c>
      <c r="D600" s="26">
        <f t="shared" si="900"/>
        <v>500</v>
      </c>
      <c r="E600" s="26">
        <f t="shared" si="900"/>
        <v>0</v>
      </c>
      <c r="F600" s="26">
        <f t="shared" si="900"/>
        <v>-1150</v>
      </c>
      <c r="G600" s="24"/>
      <c r="H600" s="24"/>
      <c r="I600" s="24"/>
      <c r="J600" s="24"/>
      <c r="K600" s="24"/>
      <c r="L600" s="24"/>
      <c r="M600" s="44" t="str">
        <f t="shared" si="876"/>
        <v/>
      </c>
      <c r="N600" s="26" t="str">
        <f t="shared" si="817"/>
        <v/>
      </c>
      <c r="O600" s="26" t="str">
        <f t="shared" si="818"/>
        <v/>
      </c>
      <c r="P600" s="26" t="str">
        <f t="shared" si="819"/>
        <v/>
      </c>
      <c r="Q600" s="26">
        <f t="shared" si="820"/>
        <v>0</v>
      </c>
      <c r="R600" s="26">
        <f t="shared" si="821"/>
        <v>0</v>
      </c>
      <c r="S600" s="26">
        <f t="shared" si="822"/>
        <v>0</v>
      </c>
      <c r="T600" s="26" t="str">
        <f t="shared" si="823"/>
        <v/>
      </c>
      <c r="U600" s="26" t="str">
        <f t="shared" si="824"/>
        <v/>
      </c>
      <c r="V600" s="26" t="str">
        <f t="shared" si="825"/>
        <v/>
      </c>
      <c r="W600" s="27" t="str">
        <f t="shared" si="826"/>
        <v/>
      </c>
      <c r="X600" s="27" t="str">
        <f t="shared" si="827"/>
        <v/>
      </c>
      <c r="Y600" s="28" t="str">
        <f t="shared" si="828"/>
        <v/>
      </c>
      <c r="Z600" s="27" t="str">
        <f t="shared" si="829"/>
        <v/>
      </c>
      <c r="AA600" s="27" t="str">
        <f t="shared" si="830"/>
        <v/>
      </c>
      <c r="AB600" s="27" t="str">
        <f t="shared" si="831"/>
        <v/>
      </c>
      <c r="AC600" s="27" t="str">
        <f t="shared" si="832"/>
        <v/>
      </c>
      <c r="AD600" s="29" t="str">
        <f t="shared" si="833"/>
        <v/>
      </c>
      <c r="AE600" s="30" t="str">
        <f t="shared" si="834"/>
        <v/>
      </c>
      <c r="AG600" s="4"/>
      <c r="AH600" s="31" t="e">
        <f t="shared" si="835"/>
        <v>#VALUE!</v>
      </c>
      <c r="AI600" s="31" t="e">
        <f t="shared" si="836"/>
        <v>#VALUE!</v>
      </c>
      <c r="AJ600" s="31" t="e">
        <f t="shared" si="837"/>
        <v>#VALUE!</v>
      </c>
      <c r="AK600" s="31" t="e">
        <f t="shared" si="838"/>
        <v>#VALUE!</v>
      </c>
      <c r="AL600" s="31" t="e">
        <f t="shared" si="839"/>
        <v>#VALUE!</v>
      </c>
      <c r="AM600" s="31" t="e">
        <f t="shared" si="840"/>
        <v>#VALUE!</v>
      </c>
      <c r="AN600" s="32" t="str">
        <f t="shared" si="841"/>
        <v/>
      </c>
      <c r="AO600" s="27" t="str">
        <f t="shared" si="842"/>
        <v/>
      </c>
      <c r="AP600" s="27" t="str">
        <f t="shared" si="843"/>
        <v/>
      </c>
      <c r="AQ600" s="27">
        <f t="shared" si="844"/>
        <v>0</v>
      </c>
      <c r="AR600" s="27">
        <f t="shared" si="845"/>
        <v>0</v>
      </c>
      <c r="AS600" s="33">
        <f t="shared" si="846"/>
        <v>0</v>
      </c>
    </row>
    <row r="601" spans="2:45" hidden="1" x14ac:dyDescent="0.25">
      <c r="B601" s="34">
        <f>IF(B600="","",B600)</f>
        <v>1720</v>
      </c>
      <c r="C601" s="26">
        <f t="shared" ref="C601:F601" si="901">IF(C600="","",C600)</f>
        <v>18</v>
      </c>
      <c r="D601" s="26">
        <f t="shared" si="901"/>
        <v>500</v>
      </c>
      <c r="E601" s="26">
        <f t="shared" si="901"/>
        <v>0</v>
      </c>
      <c r="F601" s="26">
        <f t="shared" si="901"/>
        <v>-1150</v>
      </c>
      <c r="G601" s="24"/>
      <c r="H601" s="24"/>
      <c r="I601" s="24"/>
      <c r="J601" s="24"/>
      <c r="K601" s="24"/>
      <c r="L601" s="24"/>
      <c r="M601" s="44" t="str">
        <f t="shared" si="876"/>
        <v/>
      </c>
      <c r="N601" s="26" t="str">
        <f t="shared" si="817"/>
        <v/>
      </c>
      <c r="O601" s="26" t="str">
        <f t="shared" si="818"/>
        <v/>
      </c>
      <c r="P601" s="26" t="str">
        <f t="shared" si="819"/>
        <v/>
      </c>
      <c r="Q601" s="26">
        <f t="shared" si="820"/>
        <v>0</v>
      </c>
      <c r="R601" s="26">
        <f t="shared" si="821"/>
        <v>0</v>
      </c>
      <c r="S601" s="26">
        <f t="shared" si="822"/>
        <v>0</v>
      </c>
      <c r="T601" s="26" t="str">
        <f t="shared" si="823"/>
        <v/>
      </c>
      <c r="U601" s="26" t="str">
        <f t="shared" si="824"/>
        <v/>
      </c>
      <c r="V601" s="26" t="str">
        <f t="shared" si="825"/>
        <v/>
      </c>
      <c r="W601" s="27" t="str">
        <f t="shared" si="826"/>
        <v/>
      </c>
      <c r="X601" s="27" t="str">
        <f t="shared" si="827"/>
        <v/>
      </c>
      <c r="Y601" s="28" t="str">
        <f t="shared" si="828"/>
        <v/>
      </c>
      <c r="Z601" s="27" t="str">
        <f t="shared" si="829"/>
        <v/>
      </c>
      <c r="AA601" s="27" t="str">
        <f t="shared" si="830"/>
        <v/>
      </c>
      <c r="AB601" s="27" t="str">
        <f t="shared" si="831"/>
        <v/>
      </c>
      <c r="AC601" s="27" t="str">
        <f t="shared" si="832"/>
        <v/>
      </c>
      <c r="AD601" s="29" t="str">
        <f t="shared" si="833"/>
        <v/>
      </c>
      <c r="AE601" s="30" t="str">
        <f t="shared" si="834"/>
        <v/>
      </c>
      <c r="AG601" s="4"/>
      <c r="AH601" s="31" t="e">
        <f t="shared" si="835"/>
        <v>#VALUE!</v>
      </c>
      <c r="AI601" s="31" t="e">
        <f t="shared" si="836"/>
        <v>#VALUE!</v>
      </c>
      <c r="AJ601" s="31" t="e">
        <f t="shared" si="837"/>
        <v>#VALUE!</v>
      </c>
      <c r="AK601" s="31" t="e">
        <f t="shared" si="838"/>
        <v>#VALUE!</v>
      </c>
      <c r="AL601" s="31" t="e">
        <f t="shared" si="839"/>
        <v>#VALUE!</v>
      </c>
      <c r="AM601" s="31" t="e">
        <f t="shared" si="840"/>
        <v>#VALUE!</v>
      </c>
      <c r="AN601" s="32" t="str">
        <f t="shared" si="841"/>
        <v/>
      </c>
      <c r="AO601" s="27" t="str">
        <f t="shared" si="842"/>
        <v/>
      </c>
      <c r="AP601" s="27" t="str">
        <f t="shared" si="843"/>
        <v/>
      </c>
      <c r="AQ601" s="27">
        <f t="shared" si="844"/>
        <v>0</v>
      </c>
      <c r="AR601" s="27">
        <f t="shared" si="845"/>
        <v>0</v>
      </c>
      <c r="AS601" s="33">
        <f t="shared" si="846"/>
        <v>0</v>
      </c>
    </row>
    <row r="602" spans="2:45" hidden="1" x14ac:dyDescent="0.25">
      <c r="B602" s="34">
        <f t="shared" ref="B602:F602" si="902">IF(B601="","",B601)</f>
        <v>1720</v>
      </c>
      <c r="C602" s="26">
        <f t="shared" si="902"/>
        <v>18</v>
      </c>
      <c r="D602" s="26">
        <f t="shared" si="902"/>
        <v>500</v>
      </c>
      <c r="E602" s="26">
        <f t="shared" si="902"/>
        <v>0</v>
      </c>
      <c r="F602" s="26">
        <f t="shared" si="902"/>
        <v>-1150</v>
      </c>
      <c r="G602" s="24"/>
      <c r="H602" s="24"/>
      <c r="I602" s="24"/>
      <c r="J602" s="24"/>
      <c r="K602" s="24"/>
      <c r="L602" s="24"/>
      <c r="M602" s="44" t="str">
        <f t="shared" si="876"/>
        <v/>
      </c>
      <c r="N602" s="26" t="str">
        <f t="shared" si="817"/>
        <v/>
      </c>
      <c r="O602" s="26" t="str">
        <f t="shared" si="818"/>
        <v/>
      </c>
      <c r="P602" s="26" t="str">
        <f t="shared" si="819"/>
        <v/>
      </c>
      <c r="Q602" s="26">
        <f t="shared" si="820"/>
        <v>0</v>
      </c>
      <c r="R602" s="26">
        <f t="shared" si="821"/>
        <v>0</v>
      </c>
      <c r="S602" s="26">
        <f t="shared" si="822"/>
        <v>0</v>
      </c>
      <c r="T602" s="26" t="str">
        <f t="shared" si="823"/>
        <v/>
      </c>
      <c r="U602" s="26" t="str">
        <f t="shared" si="824"/>
        <v/>
      </c>
      <c r="V602" s="26" t="str">
        <f t="shared" si="825"/>
        <v/>
      </c>
      <c r="W602" s="27" t="str">
        <f t="shared" si="826"/>
        <v/>
      </c>
      <c r="X602" s="27" t="str">
        <f t="shared" si="827"/>
        <v/>
      </c>
      <c r="Y602" s="28" t="str">
        <f t="shared" si="828"/>
        <v/>
      </c>
      <c r="Z602" s="27" t="str">
        <f t="shared" si="829"/>
        <v/>
      </c>
      <c r="AA602" s="27" t="str">
        <f t="shared" si="830"/>
        <v/>
      </c>
      <c r="AB602" s="27" t="str">
        <f t="shared" si="831"/>
        <v/>
      </c>
      <c r="AC602" s="27" t="str">
        <f t="shared" si="832"/>
        <v/>
      </c>
      <c r="AD602" s="29" t="str">
        <f t="shared" si="833"/>
        <v/>
      </c>
      <c r="AE602" s="30" t="str">
        <f t="shared" si="834"/>
        <v/>
      </c>
      <c r="AG602" s="4"/>
      <c r="AH602" s="31" t="e">
        <f t="shared" si="835"/>
        <v>#VALUE!</v>
      </c>
      <c r="AI602" s="31" t="e">
        <f t="shared" si="836"/>
        <v>#VALUE!</v>
      </c>
      <c r="AJ602" s="31" t="e">
        <f t="shared" si="837"/>
        <v>#VALUE!</v>
      </c>
      <c r="AK602" s="31" t="e">
        <f t="shared" si="838"/>
        <v>#VALUE!</v>
      </c>
      <c r="AL602" s="31" t="e">
        <f t="shared" si="839"/>
        <v>#VALUE!</v>
      </c>
      <c r="AM602" s="31" t="e">
        <f t="shared" si="840"/>
        <v>#VALUE!</v>
      </c>
      <c r="AN602" s="32" t="str">
        <f t="shared" si="841"/>
        <v/>
      </c>
      <c r="AO602" s="27" t="str">
        <f t="shared" si="842"/>
        <v/>
      </c>
      <c r="AP602" s="27" t="str">
        <f t="shared" si="843"/>
        <v/>
      </c>
      <c r="AQ602" s="27">
        <f t="shared" si="844"/>
        <v>0</v>
      </c>
      <c r="AR602" s="27">
        <f t="shared" si="845"/>
        <v>0</v>
      </c>
      <c r="AS602" s="33">
        <f t="shared" si="846"/>
        <v>0</v>
      </c>
    </row>
    <row r="603" spans="2:45" hidden="1" x14ac:dyDescent="0.25">
      <c r="B603" s="34">
        <f t="shared" ref="B603:F603" si="903">IF(B602="","",B602)</f>
        <v>1720</v>
      </c>
      <c r="C603" s="26">
        <f t="shared" si="903"/>
        <v>18</v>
      </c>
      <c r="D603" s="26">
        <f t="shared" si="903"/>
        <v>500</v>
      </c>
      <c r="E603" s="26">
        <f t="shared" si="903"/>
        <v>0</v>
      </c>
      <c r="F603" s="26">
        <f t="shared" si="903"/>
        <v>-1150</v>
      </c>
      <c r="G603" s="24"/>
      <c r="H603" s="24"/>
      <c r="I603" s="24"/>
      <c r="J603" s="24"/>
      <c r="K603" s="24"/>
      <c r="L603" s="24"/>
      <c r="M603" s="44" t="str">
        <f t="shared" si="876"/>
        <v/>
      </c>
      <c r="N603" s="26" t="str">
        <f t="shared" si="817"/>
        <v/>
      </c>
      <c r="O603" s="26" t="str">
        <f t="shared" si="818"/>
        <v/>
      </c>
      <c r="P603" s="26" t="str">
        <f t="shared" si="819"/>
        <v/>
      </c>
      <c r="Q603" s="26">
        <f t="shared" si="820"/>
        <v>0</v>
      </c>
      <c r="R603" s="26">
        <f t="shared" si="821"/>
        <v>0</v>
      </c>
      <c r="S603" s="26">
        <f t="shared" si="822"/>
        <v>0</v>
      </c>
      <c r="T603" s="26" t="str">
        <f t="shared" si="823"/>
        <v/>
      </c>
      <c r="U603" s="26" t="str">
        <f t="shared" si="824"/>
        <v/>
      </c>
      <c r="V603" s="26" t="str">
        <f t="shared" si="825"/>
        <v/>
      </c>
      <c r="W603" s="27" t="str">
        <f t="shared" si="826"/>
        <v/>
      </c>
      <c r="X603" s="27" t="str">
        <f t="shared" si="827"/>
        <v/>
      </c>
      <c r="Y603" s="28" t="str">
        <f t="shared" si="828"/>
        <v/>
      </c>
      <c r="Z603" s="27" t="str">
        <f t="shared" si="829"/>
        <v/>
      </c>
      <c r="AA603" s="27" t="str">
        <f t="shared" si="830"/>
        <v/>
      </c>
      <c r="AB603" s="27" t="str">
        <f t="shared" si="831"/>
        <v/>
      </c>
      <c r="AC603" s="27" t="str">
        <f t="shared" si="832"/>
        <v/>
      </c>
      <c r="AD603" s="29" t="str">
        <f t="shared" si="833"/>
        <v/>
      </c>
      <c r="AE603" s="30" t="str">
        <f t="shared" si="834"/>
        <v/>
      </c>
      <c r="AG603" s="4"/>
      <c r="AH603" s="31" t="e">
        <f t="shared" si="835"/>
        <v>#VALUE!</v>
      </c>
      <c r="AI603" s="31" t="e">
        <f t="shared" si="836"/>
        <v>#VALUE!</v>
      </c>
      <c r="AJ603" s="31" t="e">
        <f t="shared" si="837"/>
        <v>#VALUE!</v>
      </c>
      <c r="AK603" s="31" t="e">
        <f t="shared" si="838"/>
        <v>#VALUE!</v>
      </c>
      <c r="AL603" s="31" t="e">
        <f t="shared" si="839"/>
        <v>#VALUE!</v>
      </c>
      <c r="AM603" s="31" t="e">
        <f t="shared" si="840"/>
        <v>#VALUE!</v>
      </c>
      <c r="AN603" s="32" t="str">
        <f t="shared" si="841"/>
        <v/>
      </c>
      <c r="AO603" s="27" t="str">
        <f t="shared" si="842"/>
        <v/>
      </c>
      <c r="AP603" s="27" t="str">
        <f t="shared" si="843"/>
        <v/>
      </c>
      <c r="AQ603" s="27">
        <f t="shared" si="844"/>
        <v>0</v>
      </c>
      <c r="AR603" s="27">
        <f t="shared" si="845"/>
        <v>0</v>
      </c>
      <c r="AS603" s="33">
        <f t="shared" si="846"/>
        <v>0</v>
      </c>
    </row>
    <row r="604" spans="2:45" hidden="1" x14ac:dyDescent="0.25">
      <c r="B604" s="34">
        <f t="shared" ref="B604:F604" si="904">IF(B603="","",B603)</f>
        <v>1720</v>
      </c>
      <c r="C604" s="26">
        <f t="shared" si="904"/>
        <v>18</v>
      </c>
      <c r="D604" s="26">
        <f t="shared" si="904"/>
        <v>500</v>
      </c>
      <c r="E604" s="26">
        <f t="shared" si="904"/>
        <v>0</v>
      </c>
      <c r="F604" s="26">
        <f t="shared" si="904"/>
        <v>-1150</v>
      </c>
      <c r="G604" s="24"/>
      <c r="H604" s="24"/>
      <c r="I604" s="24"/>
      <c r="J604" s="24"/>
      <c r="K604" s="24"/>
      <c r="L604" s="24"/>
      <c r="M604" s="44" t="str">
        <f t="shared" si="876"/>
        <v/>
      </c>
      <c r="N604" s="26" t="str">
        <f t="shared" si="817"/>
        <v/>
      </c>
      <c r="O604" s="26" t="str">
        <f t="shared" si="818"/>
        <v/>
      </c>
      <c r="P604" s="26" t="str">
        <f t="shared" si="819"/>
        <v/>
      </c>
      <c r="Q604" s="26">
        <f t="shared" si="820"/>
        <v>0</v>
      </c>
      <c r="R604" s="26">
        <f t="shared" si="821"/>
        <v>0</v>
      </c>
      <c r="S604" s="26">
        <f t="shared" si="822"/>
        <v>0</v>
      </c>
      <c r="T604" s="26" t="str">
        <f t="shared" si="823"/>
        <v/>
      </c>
      <c r="U604" s="26" t="str">
        <f t="shared" si="824"/>
        <v/>
      </c>
      <c r="V604" s="26" t="str">
        <f t="shared" si="825"/>
        <v/>
      </c>
      <c r="W604" s="27" t="str">
        <f t="shared" si="826"/>
        <v/>
      </c>
      <c r="X604" s="27" t="str">
        <f t="shared" si="827"/>
        <v/>
      </c>
      <c r="Y604" s="28" t="str">
        <f t="shared" si="828"/>
        <v/>
      </c>
      <c r="Z604" s="27" t="str">
        <f t="shared" si="829"/>
        <v/>
      </c>
      <c r="AA604" s="27" t="str">
        <f t="shared" si="830"/>
        <v/>
      </c>
      <c r="AB604" s="27" t="str">
        <f t="shared" si="831"/>
        <v/>
      </c>
      <c r="AC604" s="27" t="str">
        <f t="shared" si="832"/>
        <v/>
      </c>
      <c r="AD604" s="29" t="str">
        <f t="shared" si="833"/>
        <v/>
      </c>
      <c r="AE604" s="30" t="str">
        <f t="shared" si="834"/>
        <v/>
      </c>
      <c r="AG604" s="4"/>
      <c r="AH604" s="31" t="e">
        <f t="shared" si="835"/>
        <v>#VALUE!</v>
      </c>
      <c r="AI604" s="31" t="e">
        <f t="shared" si="836"/>
        <v>#VALUE!</v>
      </c>
      <c r="AJ604" s="31" t="e">
        <f t="shared" si="837"/>
        <v>#VALUE!</v>
      </c>
      <c r="AK604" s="31" t="e">
        <f t="shared" si="838"/>
        <v>#VALUE!</v>
      </c>
      <c r="AL604" s="31" t="e">
        <f t="shared" si="839"/>
        <v>#VALUE!</v>
      </c>
      <c r="AM604" s="31" t="e">
        <f t="shared" si="840"/>
        <v>#VALUE!</v>
      </c>
      <c r="AN604" s="32" t="str">
        <f t="shared" si="841"/>
        <v/>
      </c>
      <c r="AO604" s="27" t="str">
        <f t="shared" si="842"/>
        <v/>
      </c>
      <c r="AP604" s="27" t="str">
        <f t="shared" si="843"/>
        <v/>
      </c>
      <c r="AQ604" s="27">
        <f t="shared" si="844"/>
        <v>0</v>
      </c>
      <c r="AR604" s="27">
        <f t="shared" si="845"/>
        <v>0</v>
      </c>
      <c r="AS604" s="33">
        <f t="shared" si="846"/>
        <v>0</v>
      </c>
    </row>
    <row r="605" spans="2:45" hidden="1" x14ac:dyDescent="0.25">
      <c r="B605" s="34">
        <f t="shared" ref="B605:F605" si="905">IF(B604="","",B604)</f>
        <v>1720</v>
      </c>
      <c r="C605" s="26">
        <f t="shared" si="905"/>
        <v>18</v>
      </c>
      <c r="D605" s="26">
        <f t="shared" si="905"/>
        <v>500</v>
      </c>
      <c r="E605" s="26">
        <f t="shared" si="905"/>
        <v>0</v>
      </c>
      <c r="F605" s="26">
        <f t="shared" si="905"/>
        <v>-1150</v>
      </c>
      <c r="G605" s="24"/>
      <c r="H605" s="24"/>
      <c r="I605" s="24"/>
      <c r="J605" s="24"/>
      <c r="K605" s="24"/>
      <c r="L605" s="24"/>
      <c r="M605" s="44" t="str">
        <f t="shared" si="876"/>
        <v/>
      </c>
      <c r="N605" s="26" t="str">
        <f t="shared" si="817"/>
        <v/>
      </c>
      <c r="O605" s="26" t="str">
        <f t="shared" si="818"/>
        <v/>
      </c>
      <c r="P605" s="26" t="str">
        <f t="shared" si="819"/>
        <v/>
      </c>
      <c r="Q605" s="26">
        <f t="shared" si="820"/>
        <v>0</v>
      </c>
      <c r="R605" s="26">
        <f t="shared" si="821"/>
        <v>0</v>
      </c>
      <c r="S605" s="26">
        <f t="shared" si="822"/>
        <v>0</v>
      </c>
      <c r="T605" s="26" t="str">
        <f t="shared" si="823"/>
        <v/>
      </c>
      <c r="U605" s="26" t="str">
        <f t="shared" si="824"/>
        <v/>
      </c>
      <c r="V605" s="26" t="str">
        <f t="shared" si="825"/>
        <v/>
      </c>
      <c r="W605" s="27" t="str">
        <f t="shared" si="826"/>
        <v/>
      </c>
      <c r="X605" s="27" t="str">
        <f t="shared" si="827"/>
        <v/>
      </c>
      <c r="Y605" s="28" t="str">
        <f t="shared" si="828"/>
        <v/>
      </c>
      <c r="Z605" s="27" t="str">
        <f t="shared" si="829"/>
        <v/>
      </c>
      <c r="AA605" s="27" t="str">
        <f t="shared" si="830"/>
        <v/>
      </c>
      <c r="AB605" s="27" t="str">
        <f t="shared" si="831"/>
        <v/>
      </c>
      <c r="AC605" s="27" t="str">
        <f t="shared" si="832"/>
        <v/>
      </c>
      <c r="AD605" s="29" t="str">
        <f t="shared" si="833"/>
        <v/>
      </c>
      <c r="AE605" s="30" t="str">
        <f t="shared" si="834"/>
        <v/>
      </c>
      <c r="AG605" s="4"/>
      <c r="AH605" s="31" t="e">
        <f t="shared" si="835"/>
        <v>#VALUE!</v>
      </c>
      <c r="AI605" s="31" t="e">
        <f t="shared" si="836"/>
        <v>#VALUE!</v>
      </c>
      <c r="AJ605" s="31" t="e">
        <f t="shared" si="837"/>
        <v>#VALUE!</v>
      </c>
      <c r="AK605" s="31" t="e">
        <f t="shared" si="838"/>
        <v>#VALUE!</v>
      </c>
      <c r="AL605" s="31" t="e">
        <f t="shared" si="839"/>
        <v>#VALUE!</v>
      </c>
      <c r="AM605" s="31" t="e">
        <f t="shared" si="840"/>
        <v>#VALUE!</v>
      </c>
      <c r="AN605" s="32" t="str">
        <f t="shared" si="841"/>
        <v/>
      </c>
      <c r="AO605" s="27" t="str">
        <f t="shared" si="842"/>
        <v/>
      </c>
      <c r="AP605" s="27" t="str">
        <f t="shared" si="843"/>
        <v/>
      </c>
      <c r="AQ605" s="27">
        <f t="shared" si="844"/>
        <v>0</v>
      </c>
      <c r="AR605" s="27">
        <f t="shared" si="845"/>
        <v>0</v>
      </c>
      <c r="AS605" s="33">
        <f t="shared" si="846"/>
        <v>0</v>
      </c>
    </row>
    <row r="606" spans="2:45" hidden="1" x14ac:dyDescent="0.25">
      <c r="B606" s="34">
        <f t="shared" ref="B606:F606" si="906">IF(B605="","",B605)</f>
        <v>1720</v>
      </c>
      <c r="C606" s="26">
        <f t="shared" si="906"/>
        <v>18</v>
      </c>
      <c r="D606" s="26">
        <f t="shared" si="906"/>
        <v>500</v>
      </c>
      <c r="E606" s="26">
        <f t="shared" si="906"/>
        <v>0</v>
      </c>
      <c r="F606" s="26">
        <f t="shared" si="906"/>
        <v>-1150</v>
      </c>
      <c r="G606" s="24"/>
      <c r="H606" s="24"/>
      <c r="I606" s="24"/>
      <c r="J606" s="24"/>
      <c r="K606" s="24"/>
      <c r="L606" s="24"/>
      <c r="M606" s="44" t="str">
        <f t="shared" si="876"/>
        <v/>
      </c>
      <c r="N606" s="26" t="str">
        <f t="shared" si="817"/>
        <v/>
      </c>
      <c r="O606" s="26" t="str">
        <f t="shared" si="818"/>
        <v/>
      </c>
      <c r="P606" s="26" t="str">
        <f t="shared" si="819"/>
        <v/>
      </c>
      <c r="Q606" s="26">
        <f t="shared" si="820"/>
        <v>0</v>
      </c>
      <c r="R606" s="26">
        <f t="shared" si="821"/>
        <v>0</v>
      </c>
      <c r="S606" s="26">
        <f t="shared" si="822"/>
        <v>0</v>
      </c>
      <c r="T606" s="26" t="str">
        <f t="shared" si="823"/>
        <v/>
      </c>
      <c r="U606" s="26" t="str">
        <f t="shared" si="824"/>
        <v/>
      </c>
      <c r="V606" s="26" t="str">
        <f t="shared" si="825"/>
        <v/>
      </c>
      <c r="W606" s="27" t="str">
        <f t="shared" si="826"/>
        <v/>
      </c>
      <c r="X606" s="27" t="str">
        <f t="shared" si="827"/>
        <v/>
      </c>
      <c r="Y606" s="28" t="str">
        <f t="shared" si="828"/>
        <v/>
      </c>
      <c r="Z606" s="27" t="str">
        <f t="shared" si="829"/>
        <v/>
      </c>
      <c r="AA606" s="27" t="str">
        <f t="shared" si="830"/>
        <v/>
      </c>
      <c r="AB606" s="27" t="str">
        <f t="shared" si="831"/>
        <v/>
      </c>
      <c r="AC606" s="27" t="str">
        <f t="shared" si="832"/>
        <v/>
      </c>
      <c r="AD606" s="29" t="str">
        <f t="shared" si="833"/>
        <v/>
      </c>
      <c r="AE606" s="30" t="str">
        <f t="shared" si="834"/>
        <v/>
      </c>
      <c r="AG606" s="4"/>
      <c r="AH606" s="31" t="e">
        <f t="shared" si="835"/>
        <v>#VALUE!</v>
      </c>
      <c r="AI606" s="31" t="e">
        <f t="shared" si="836"/>
        <v>#VALUE!</v>
      </c>
      <c r="AJ606" s="31" t="e">
        <f t="shared" si="837"/>
        <v>#VALUE!</v>
      </c>
      <c r="AK606" s="31" t="e">
        <f t="shared" si="838"/>
        <v>#VALUE!</v>
      </c>
      <c r="AL606" s="31" t="e">
        <f t="shared" si="839"/>
        <v>#VALUE!</v>
      </c>
      <c r="AM606" s="31" t="e">
        <f t="shared" si="840"/>
        <v>#VALUE!</v>
      </c>
      <c r="AN606" s="32" t="str">
        <f t="shared" si="841"/>
        <v/>
      </c>
      <c r="AO606" s="27" t="str">
        <f t="shared" si="842"/>
        <v/>
      </c>
      <c r="AP606" s="27" t="str">
        <f t="shared" si="843"/>
        <v/>
      </c>
      <c r="AQ606" s="27">
        <f t="shared" si="844"/>
        <v>0</v>
      </c>
      <c r="AR606" s="27">
        <f t="shared" si="845"/>
        <v>0</v>
      </c>
      <c r="AS606" s="33">
        <f t="shared" si="846"/>
        <v>0</v>
      </c>
    </row>
    <row r="607" spans="2:45" hidden="1" x14ac:dyDescent="0.25">
      <c r="B607" s="34">
        <f t="shared" ref="B607:F607" si="907">IF(B606="","",B606)</f>
        <v>1720</v>
      </c>
      <c r="C607" s="26">
        <f t="shared" si="907"/>
        <v>18</v>
      </c>
      <c r="D607" s="26">
        <f t="shared" si="907"/>
        <v>500</v>
      </c>
      <c r="E607" s="26">
        <f t="shared" si="907"/>
        <v>0</v>
      </c>
      <c r="F607" s="26">
        <f t="shared" si="907"/>
        <v>-1150</v>
      </c>
      <c r="G607" s="24"/>
      <c r="H607" s="24"/>
      <c r="I607" s="24"/>
      <c r="J607" s="24"/>
      <c r="K607" s="24"/>
      <c r="L607" s="24"/>
      <c r="M607" s="44" t="str">
        <f t="shared" si="876"/>
        <v/>
      </c>
      <c r="N607" s="26" t="str">
        <f t="shared" si="817"/>
        <v/>
      </c>
      <c r="O607" s="26" t="str">
        <f t="shared" si="818"/>
        <v/>
      </c>
      <c r="P607" s="26" t="str">
        <f t="shared" si="819"/>
        <v/>
      </c>
      <c r="Q607" s="26">
        <f t="shared" si="820"/>
        <v>0</v>
      </c>
      <c r="R607" s="26">
        <f t="shared" si="821"/>
        <v>0</v>
      </c>
      <c r="S607" s="26">
        <f t="shared" si="822"/>
        <v>0</v>
      </c>
      <c r="T607" s="26" t="str">
        <f t="shared" si="823"/>
        <v/>
      </c>
      <c r="U607" s="26" t="str">
        <f t="shared" si="824"/>
        <v/>
      </c>
      <c r="V607" s="26" t="str">
        <f t="shared" si="825"/>
        <v/>
      </c>
      <c r="W607" s="27" t="str">
        <f t="shared" si="826"/>
        <v/>
      </c>
      <c r="X607" s="27" t="str">
        <f t="shared" si="827"/>
        <v/>
      </c>
      <c r="Y607" s="28" t="str">
        <f t="shared" si="828"/>
        <v/>
      </c>
      <c r="Z607" s="27" t="str">
        <f t="shared" si="829"/>
        <v/>
      </c>
      <c r="AA607" s="27" t="str">
        <f t="shared" si="830"/>
        <v/>
      </c>
      <c r="AB607" s="27" t="str">
        <f t="shared" si="831"/>
        <v/>
      </c>
      <c r="AC607" s="27" t="str">
        <f t="shared" si="832"/>
        <v/>
      </c>
      <c r="AD607" s="29" t="str">
        <f t="shared" si="833"/>
        <v/>
      </c>
      <c r="AE607" s="30" t="str">
        <f t="shared" si="834"/>
        <v/>
      </c>
      <c r="AG607" s="4"/>
      <c r="AH607" s="31" t="e">
        <f t="shared" si="835"/>
        <v>#VALUE!</v>
      </c>
      <c r="AI607" s="31" t="e">
        <f t="shared" si="836"/>
        <v>#VALUE!</v>
      </c>
      <c r="AJ607" s="31" t="e">
        <f t="shared" si="837"/>
        <v>#VALUE!</v>
      </c>
      <c r="AK607" s="31" t="e">
        <f t="shared" si="838"/>
        <v>#VALUE!</v>
      </c>
      <c r="AL607" s="31" t="e">
        <f t="shared" si="839"/>
        <v>#VALUE!</v>
      </c>
      <c r="AM607" s="31" t="e">
        <f t="shared" si="840"/>
        <v>#VALUE!</v>
      </c>
      <c r="AN607" s="32" t="str">
        <f t="shared" si="841"/>
        <v/>
      </c>
      <c r="AO607" s="27" t="str">
        <f t="shared" si="842"/>
        <v/>
      </c>
      <c r="AP607" s="27" t="str">
        <f t="shared" si="843"/>
        <v/>
      </c>
      <c r="AQ607" s="27">
        <f t="shared" si="844"/>
        <v>0</v>
      </c>
      <c r="AR607" s="27">
        <f t="shared" si="845"/>
        <v>0</v>
      </c>
      <c r="AS607" s="33">
        <f t="shared" si="846"/>
        <v>0</v>
      </c>
    </row>
    <row r="608" spans="2:45" hidden="1" x14ac:dyDescent="0.25">
      <c r="B608" s="34">
        <f t="shared" ref="B608:F608" si="908">IF(B607="","",B607)</f>
        <v>1720</v>
      </c>
      <c r="C608" s="26">
        <f t="shared" si="908"/>
        <v>18</v>
      </c>
      <c r="D608" s="26">
        <f t="shared" si="908"/>
        <v>500</v>
      </c>
      <c r="E608" s="26">
        <f t="shared" si="908"/>
        <v>0</v>
      </c>
      <c r="F608" s="26">
        <f t="shared" si="908"/>
        <v>-1150</v>
      </c>
      <c r="G608" s="24"/>
      <c r="H608" s="24"/>
      <c r="I608" s="24"/>
      <c r="J608" s="24"/>
      <c r="K608" s="24"/>
      <c r="L608" s="24"/>
      <c r="M608" s="44" t="str">
        <f t="shared" ref="M608:M630" si="909">IF(B608="","",IF(M438="","",M438))</f>
        <v/>
      </c>
      <c r="N608" s="26" t="str">
        <f t="shared" si="817"/>
        <v/>
      </c>
      <c r="O608" s="26" t="str">
        <f t="shared" si="818"/>
        <v/>
      </c>
      <c r="P608" s="26" t="str">
        <f t="shared" si="819"/>
        <v/>
      </c>
      <c r="Q608" s="26">
        <f t="shared" si="820"/>
        <v>0</v>
      </c>
      <c r="R608" s="26">
        <f t="shared" si="821"/>
        <v>0</v>
      </c>
      <c r="S608" s="26">
        <f t="shared" si="822"/>
        <v>0</v>
      </c>
      <c r="T608" s="26" t="str">
        <f t="shared" si="823"/>
        <v/>
      </c>
      <c r="U608" s="26" t="str">
        <f t="shared" si="824"/>
        <v/>
      </c>
      <c r="V608" s="26" t="str">
        <f t="shared" si="825"/>
        <v/>
      </c>
      <c r="W608" s="27" t="str">
        <f t="shared" si="826"/>
        <v/>
      </c>
      <c r="X608" s="27" t="str">
        <f t="shared" si="827"/>
        <v/>
      </c>
      <c r="Y608" s="28" t="str">
        <f t="shared" si="828"/>
        <v/>
      </c>
      <c r="Z608" s="27" t="str">
        <f t="shared" si="829"/>
        <v/>
      </c>
      <c r="AA608" s="27" t="str">
        <f t="shared" si="830"/>
        <v/>
      </c>
      <c r="AB608" s="27" t="str">
        <f t="shared" si="831"/>
        <v/>
      </c>
      <c r="AC608" s="27" t="str">
        <f t="shared" si="832"/>
        <v/>
      </c>
      <c r="AD608" s="29" t="str">
        <f t="shared" si="833"/>
        <v/>
      </c>
      <c r="AE608" s="30" t="str">
        <f t="shared" si="834"/>
        <v/>
      </c>
      <c r="AG608" s="4"/>
      <c r="AH608" s="31" t="e">
        <f t="shared" si="835"/>
        <v>#VALUE!</v>
      </c>
      <c r="AI608" s="31" t="e">
        <f t="shared" si="836"/>
        <v>#VALUE!</v>
      </c>
      <c r="AJ608" s="31" t="e">
        <f t="shared" si="837"/>
        <v>#VALUE!</v>
      </c>
      <c r="AK608" s="31" t="e">
        <f t="shared" si="838"/>
        <v>#VALUE!</v>
      </c>
      <c r="AL608" s="31" t="e">
        <f t="shared" si="839"/>
        <v>#VALUE!</v>
      </c>
      <c r="AM608" s="31" t="e">
        <f t="shared" si="840"/>
        <v>#VALUE!</v>
      </c>
      <c r="AN608" s="32" t="str">
        <f t="shared" si="841"/>
        <v/>
      </c>
      <c r="AO608" s="27" t="str">
        <f t="shared" si="842"/>
        <v/>
      </c>
      <c r="AP608" s="27" t="str">
        <f t="shared" si="843"/>
        <v/>
      </c>
      <c r="AQ608" s="27">
        <f t="shared" si="844"/>
        <v>0</v>
      </c>
      <c r="AR608" s="27">
        <f t="shared" si="845"/>
        <v>0</v>
      </c>
      <c r="AS608" s="33">
        <f t="shared" si="846"/>
        <v>0</v>
      </c>
    </row>
    <row r="609" spans="2:45" hidden="1" x14ac:dyDescent="0.25">
      <c r="B609" s="34">
        <f t="shared" ref="B609:F609" si="910">IF(B608="","",B608)</f>
        <v>1720</v>
      </c>
      <c r="C609" s="26">
        <f t="shared" si="910"/>
        <v>18</v>
      </c>
      <c r="D609" s="26">
        <f t="shared" si="910"/>
        <v>500</v>
      </c>
      <c r="E609" s="26">
        <f t="shared" si="910"/>
        <v>0</v>
      </c>
      <c r="F609" s="26">
        <f t="shared" si="910"/>
        <v>-1150</v>
      </c>
      <c r="G609" s="24"/>
      <c r="H609" s="24"/>
      <c r="I609" s="24"/>
      <c r="J609" s="24"/>
      <c r="K609" s="24"/>
      <c r="L609" s="24"/>
      <c r="M609" s="44" t="str">
        <f t="shared" si="909"/>
        <v/>
      </c>
      <c r="N609" s="26" t="str">
        <f t="shared" si="817"/>
        <v/>
      </c>
      <c r="O609" s="26" t="str">
        <f t="shared" si="818"/>
        <v/>
      </c>
      <c r="P609" s="26" t="str">
        <f t="shared" si="819"/>
        <v/>
      </c>
      <c r="Q609" s="26">
        <f t="shared" si="820"/>
        <v>0</v>
      </c>
      <c r="R609" s="26">
        <f t="shared" si="821"/>
        <v>0</v>
      </c>
      <c r="S609" s="26">
        <f t="shared" si="822"/>
        <v>0</v>
      </c>
      <c r="T609" s="26" t="str">
        <f t="shared" si="823"/>
        <v/>
      </c>
      <c r="U609" s="26" t="str">
        <f t="shared" si="824"/>
        <v/>
      </c>
      <c r="V609" s="26" t="str">
        <f t="shared" si="825"/>
        <v/>
      </c>
      <c r="W609" s="27" t="str">
        <f t="shared" si="826"/>
        <v/>
      </c>
      <c r="X609" s="27" t="str">
        <f t="shared" si="827"/>
        <v/>
      </c>
      <c r="Y609" s="28" t="str">
        <f t="shared" si="828"/>
        <v/>
      </c>
      <c r="Z609" s="27" t="str">
        <f t="shared" si="829"/>
        <v/>
      </c>
      <c r="AA609" s="27" t="str">
        <f t="shared" si="830"/>
        <v/>
      </c>
      <c r="AB609" s="27" t="str">
        <f t="shared" si="831"/>
        <v/>
      </c>
      <c r="AC609" s="27" t="str">
        <f t="shared" si="832"/>
        <v/>
      </c>
      <c r="AD609" s="29" t="str">
        <f t="shared" si="833"/>
        <v/>
      </c>
      <c r="AE609" s="30" t="str">
        <f t="shared" si="834"/>
        <v/>
      </c>
      <c r="AG609" s="4"/>
      <c r="AH609" s="31" t="e">
        <f t="shared" si="835"/>
        <v>#VALUE!</v>
      </c>
      <c r="AI609" s="31" t="e">
        <f t="shared" si="836"/>
        <v>#VALUE!</v>
      </c>
      <c r="AJ609" s="31" t="e">
        <f t="shared" si="837"/>
        <v>#VALUE!</v>
      </c>
      <c r="AK609" s="31" t="e">
        <f t="shared" si="838"/>
        <v>#VALUE!</v>
      </c>
      <c r="AL609" s="31" t="e">
        <f t="shared" si="839"/>
        <v>#VALUE!</v>
      </c>
      <c r="AM609" s="31" t="e">
        <f t="shared" si="840"/>
        <v>#VALUE!</v>
      </c>
      <c r="AN609" s="32" t="str">
        <f t="shared" si="841"/>
        <v/>
      </c>
      <c r="AO609" s="27" t="str">
        <f t="shared" si="842"/>
        <v/>
      </c>
      <c r="AP609" s="27" t="str">
        <f t="shared" si="843"/>
        <v/>
      </c>
      <c r="AQ609" s="27">
        <f t="shared" si="844"/>
        <v>0</v>
      </c>
      <c r="AR609" s="27">
        <f t="shared" si="845"/>
        <v>0</v>
      </c>
      <c r="AS609" s="33">
        <f t="shared" si="846"/>
        <v>0</v>
      </c>
    </row>
    <row r="610" spans="2:45" hidden="1" x14ac:dyDescent="0.25">
      <c r="B610" s="34">
        <f t="shared" ref="B610:F610" si="911">IF(B609="","",B609)</f>
        <v>1720</v>
      </c>
      <c r="C610" s="26">
        <f t="shared" si="911"/>
        <v>18</v>
      </c>
      <c r="D610" s="26">
        <f t="shared" si="911"/>
        <v>500</v>
      </c>
      <c r="E610" s="26">
        <f t="shared" si="911"/>
        <v>0</v>
      </c>
      <c r="F610" s="26">
        <f t="shared" si="911"/>
        <v>-1150</v>
      </c>
      <c r="G610" s="24"/>
      <c r="H610" s="24"/>
      <c r="I610" s="24"/>
      <c r="J610" s="24"/>
      <c r="K610" s="24"/>
      <c r="L610" s="24"/>
      <c r="M610" s="44" t="str">
        <f t="shared" si="909"/>
        <v/>
      </c>
      <c r="N610" s="26" t="str">
        <f t="shared" si="817"/>
        <v/>
      </c>
      <c r="O610" s="26" t="str">
        <f t="shared" si="818"/>
        <v/>
      </c>
      <c r="P610" s="26" t="str">
        <f t="shared" si="819"/>
        <v/>
      </c>
      <c r="Q610" s="26">
        <f t="shared" si="820"/>
        <v>0</v>
      </c>
      <c r="R610" s="26">
        <f t="shared" si="821"/>
        <v>0</v>
      </c>
      <c r="S610" s="26">
        <f t="shared" si="822"/>
        <v>0</v>
      </c>
      <c r="T610" s="26" t="str">
        <f t="shared" si="823"/>
        <v/>
      </c>
      <c r="U610" s="26" t="str">
        <f t="shared" si="824"/>
        <v/>
      </c>
      <c r="V610" s="26" t="str">
        <f t="shared" si="825"/>
        <v/>
      </c>
      <c r="W610" s="27" t="str">
        <f t="shared" si="826"/>
        <v/>
      </c>
      <c r="X610" s="27" t="str">
        <f t="shared" si="827"/>
        <v/>
      </c>
      <c r="Y610" s="28" t="str">
        <f t="shared" si="828"/>
        <v/>
      </c>
      <c r="Z610" s="27" t="str">
        <f t="shared" si="829"/>
        <v/>
      </c>
      <c r="AA610" s="27" t="str">
        <f t="shared" si="830"/>
        <v/>
      </c>
      <c r="AB610" s="27" t="str">
        <f t="shared" si="831"/>
        <v/>
      </c>
      <c r="AC610" s="27" t="str">
        <f t="shared" si="832"/>
        <v/>
      </c>
      <c r="AD610" s="29" t="str">
        <f t="shared" si="833"/>
        <v/>
      </c>
      <c r="AE610" s="30" t="str">
        <f t="shared" si="834"/>
        <v/>
      </c>
      <c r="AG610" s="4"/>
      <c r="AH610" s="31" t="e">
        <f t="shared" si="835"/>
        <v>#VALUE!</v>
      </c>
      <c r="AI610" s="31" t="e">
        <f t="shared" si="836"/>
        <v>#VALUE!</v>
      </c>
      <c r="AJ610" s="31" t="e">
        <f t="shared" si="837"/>
        <v>#VALUE!</v>
      </c>
      <c r="AK610" s="31" t="e">
        <f t="shared" si="838"/>
        <v>#VALUE!</v>
      </c>
      <c r="AL610" s="31" t="e">
        <f t="shared" si="839"/>
        <v>#VALUE!</v>
      </c>
      <c r="AM610" s="31" t="e">
        <f t="shared" si="840"/>
        <v>#VALUE!</v>
      </c>
      <c r="AN610" s="32" t="str">
        <f t="shared" si="841"/>
        <v/>
      </c>
      <c r="AO610" s="27" t="str">
        <f t="shared" si="842"/>
        <v/>
      </c>
      <c r="AP610" s="27" t="str">
        <f t="shared" si="843"/>
        <v/>
      </c>
      <c r="AQ610" s="27">
        <f t="shared" si="844"/>
        <v>0</v>
      </c>
      <c r="AR610" s="27">
        <f t="shared" si="845"/>
        <v>0</v>
      </c>
      <c r="AS610" s="33">
        <f t="shared" si="846"/>
        <v>0</v>
      </c>
    </row>
    <row r="611" spans="2:45" hidden="1" x14ac:dyDescent="0.25">
      <c r="B611" s="34">
        <f t="shared" ref="B611:F611" si="912">IF(B610="","",B610)</f>
        <v>1720</v>
      </c>
      <c r="C611" s="26">
        <f t="shared" si="912"/>
        <v>18</v>
      </c>
      <c r="D611" s="26">
        <f t="shared" si="912"/>
        <v>500</v>
      </c>
      <c r="E611" s="26">
        <f t="shared" si="912"/>
        <v>0</v>
      </c>
      <c r="F611" s="26">
        <f t="shared" si="912"/>
        <v>-1150</v>
      </c>
      <c r="G611" s="24"/>
      <c r="H611" s="24"/>
      <c r="I611" s="24"/>
      <c r="J611" s="24"/>
      <c r="K611" s="24"/>
      <c r="L611" s="24"/>
      <c r="M611" s="44" t="str">
        <f t="shared" si="909"/>
        <v/>
      </c>
      <c r="N611" s="26" t="str">
        <f t="shared" ref="N611:N631" si="913">IF($J$7="NO",IF(M611="","",IF($E$7="+X",D611,IF($E$7="-X",-D611,IF($E$7="+Z",F611,IF($E$7="-Z",-F611))))),IF(M611="","",IF($E$7="+X",D611,IF($E$7="-X",-D611,IF($E$7="+Y",E611,IF($E$7="-Y",-E611))))))</f>
        <v/>
      </c>
      <c r="O611" s="26" t="str">
        <f t="shared" ref="O611:O631" si="914">IF($J$7="NO",IF(M611="","",E611),IF(M611="","",F611))</f>
        <v/>
      </c>
      <c r="P611" s="26" t="str">
        <f t="shared" ref="P611:P631" si="915">IF($J$7="NO",IF(M611="","",IF($E$7="+X",F611,IF($E$7="-X",-F611,IF($E$7="+Z",-D611,IF($E$7="-Z",D611))))),IF(M611="","",IF($E$7="+X",-E611,IF($E$7="-X",E611,IF($E$7="+Y",D611,IF($E$7="-Y",-D611))))))</f>
        <v/>
      </c>
      <c r="Q611" s="26">
        <f t="shared" ref="Q611:Q631" si="916">IF($J$7="NO",IF(M611="",0,IF($E$7="+X",G611,IF($E$7="-X",-G611,IF($E$7="+Z",I611,IF($E$7="-Z",-I611))))),IF(M611="",0,IF($E$7="+X",G611,IF($E$7="-X",-G611,IF($E$7="+Y",H611,IF($E$7="-Y",-H611))))))</f>
        <v>0</v>
      </c>
      <c r="R611" s="26">
        <f t="shared" ref="R611:R631" si="917">IF($J$7="NO",IF(M611="",0,H611),IF(M611="",0,I611))</f>
        <v>0</v>
      </c>
      <c r="S611" s="26">
        <f t="shared" ref="S611:S631" si="918">IF($J$7="NO",IF(M611="",0,IF($E$7="+X",I611,IF($E$7="-X",-I611,IF($E$7="+Z",-G611,IF($E$7="-Z",G611))))),IF(M611="",0,IF($E$7="+X",-H611,IF($E$7="-X",H611,IF($E$7="+Y",G611,IF($E$7="-Y",-G611))))))</f>
        <v>0</v>
      </c>
      <c r="T611" s="26" t="str">
        <f t="shared" ref="T611:T631" si="919">IF($J$7="NO",IF(M611="","",IF($E$7="+X",J611,IF($E$7="-X",-J611,IF($E$7="+Z",L611,IF($E$7="-Z",-L611))))),IF(M611="","",IF($E$7="+X",J611,IF($E$7="-X",-J611,IF($E$7="+Y",K611,IF($E$7="-Y",-K611))))))</f>
        <v/>
      </c>
      <c r="U611" s="26" t="str">
        <f t="shared" ref="U611:U631" si="920">IF($J$7="NO",IF(M611="","",K611),IF(M611="","",L611))</f>
        <v/>
      </c>
      <c r="V611" s="26" t="str">
        <f t="shared" ref="V611:V631" si="921">IF($J$7="NO",IF(M611="","",IF($E$7="+X",L611,IF($E$7="-X",-L611,IF($E$7="+Z",-J611,IF($E$7="-Z",J611))))),IF(M611="","",IF($E$7="+X",-K611,IF($E$7="-X",K611,IF($E$7="+Y",J611,IF($E$7="-Y",-J611))))))</f>
        <v/>
      </c>
      <c r="W611" s="27" t="str">
        <f t="shared" ref="W611:W631" si="922">IF(M611="","",SQRT(Q611^2+R611^2+S611^2))</f>
        <v/>
      </c>
      <c r="X611" s="27" t="str">
        <f t="shared" ref="X611:X631" si="923">IF(M611="","",SQRT(T611^2+U611^2+V611^2))</f>
        <v/>
      </c>
      <c r="Y611" s="28" t="str">
        <f t="shared" ref="Y611:Y631" si="924">IF(M611="","",IF($C611&lt;=8,$C611,(16+$C611)/3))</f>
        <v/>
      </c>
      <c r="Z611" s="27" t="str">
        <f t="shared" ref="Z611:Z631" si="925">IF(M611="","",W611*0.224808)</f>
        <v/>
      </c>
      <c r="AA611" s="27" t="str">
        <f t="shared" ref="AA611:AA631" si="926">IF(M611="","",X611*0.737562)</f>
        <v/>
      </c>
      <c r="AB611" s="27" t="str">
        <f t="shared" ref="AB611:AB631" si="927">IF(M611="","",3*Z611+AA611)</f>
        <v/>
      </c>
      <c r="AC611" s="27" t="str">
        <f t="shared" ref="AC611:AC631" si="928">IF(M611="","",IF(M611="","",500*Y611*$O$7))</f>
        <v/>
      </c>
      <c r="AD611" s="29" t="str">
        <f t="shared" ref="AD611:AD631" si="929">IF(M611="","",IF(M611="","",AB611/AC611)*100)</f>
        <v/>
      </c>
      <c r="AE611" s="30" t="str">
        <f t="shared" ref="AE611:AE631" si="930">IF(M611="","",IF(AD611&lt;=100, "PASS","FAIL"))</f>
        <v/>
      </c>
      <c r="AG611" s="4"/>
      <c r="AH611" s="31" t="e">
        <f t="shared" ref="AH611:AH631" si="931">Q611*O611/1000*VLOOKUP(_xlfn.CONCAT($AH$13,IF(Q611&gt;0,"+","-"),IF(O611&gt;0,"+","-")),$AV:$BA,6,0)</f>
        <v>#VALUE!</v>
      </c>
      <c r="AI611" s="31" t="e">
        <f t="shared" ref="AI611:AI631" si="932">Q611*P611/1000*VLOOKUP(_xlfn.CONCAT($AI$13,IF(Q611&gt;0,"+","-"),IF(P611&gt;0,"+","-")),$AV:$BA,6,0)</f>
        <v>#VALUE!</v>
      </c>
      <c r="AJ611" s="31" t="e">
        <f t="shared" ref="AJ611:AJ631" si="933">R611*N611/1000*VLOOKUP(_xlfn.CONCAT($AJ$13,IF(R611&gt;0,"+","-"),IF(N611&gt;0,"+","-")),$AV:$BA,6,0)</f>
        <v>#VALUE!</v>
      </c>
      <c r="AK611" s="31" t="e">
        <f t="shared" ref="AK611:AK631" si="934">R611*P611/1000*VLOOKUP(_xlfn.CONCAT($AK$13,IF(R611&gt;0,"+","-"),IF(P611&gt;0,"+","-")),$AV:$BA,6,0)</f>
        <v>#VALUE!</v>
      </c>
      <c r="AL611" s="31" t="e">
        <f t="shared" ref="AL611:AL631" si="935">S611*N611/1000*VLOOKUP(_xlfn.CONCAT($AL$13,IF(S611&gt;0,"+","-"),IF(N611&gt;0,"+","-")),$AV:$BA,6,0)</f>
        <v>#VALUE!</v>
      </c>
      <c r="AM611" s="31" t="e">
        <f t="shared" ref="AM611:AM631" si="936">S611*O611/1000*VLOOKUP(_xlfn.CONCAT($AM$13,IF(S611&gt;0,"+","-"),IF(O611&gt;0,"+","-")),$AV:$BA,6,0)</f>
        <v>#VALUE!</v>
      </c>
      <c r="AN611" s="32" t="str">
        <f t="shared" ref="AN611:AN631" si="937">IF($M611="","",AK611+AM611)</f>
        <v/>
      </c>
      <c r="AO611" s="27" t="str">
        <f t="shared" ref="AO611:AO631" si="938">IF($M611="","",AI611+AL611)</f>
        <v/>
      </c>
      <c r="AP611" s="27" t="str">
        <f t="shared" ref="AP611:AP631" si="939">IF($M611="","",AH611+AJ611)</f>
        <v/>
      </c>
      <c r="AQ611" s="27">
        <f t="shared" ref="AQ611:AQ631" si="940">IF(M611="",0,AN611+T611)</f>
        <v>0</v>
      </c>
      <c r="AR611" s="27">
        <f t="shared" ref="AR611:AR631" si="941">IF(M611="",0,AO611+U611)</f>
        <v>0</v>
      </c>
      <c r="AS611" s="33">
        <f t="shared" ref="AS611:AS631" si="942">IF(M611="",0,AP611+V611)</f>
        <v>0</v>
      </c>
    </row>
    <row r="612" spans="2:45" hidden="1" x14ac:dyDescent="0.25">
      <c r="B612" s="34">
        <f t="shared" ref="B612:F612" si="943">IF(B611="","",B611)</f>
        <v>1720</v>
      </c>
      <c r="C612" s="26">
        <f t="shared" si="943"/>
        <v>18</v>
      </c>
      <c r="D612" s="26">
        <f t="shared" si="943"/>
        <v>500</v>
      </c>
      <c r="E612" s="26">
        <f t="shared" si="943"/>
        <v>0</v>
      </c>
      <c r="F612" s="26">
        <f t="shared" si="943"/>
        <v>-1150</v>
      </c>
      <c r="G612" s="24"/>
      <c r="H612" s="24"/>
      <c r="I612" s="24"/>
      <c r="J612" s="24"/>
      <c r="K612" s="24"/>
      <c r="L612" s="24"/>
      <c r="M612" s="44" t="str">
        <f t="shared" si="909"/>
        <v/>
      </c>
      <c r="N612" s="26" t="str">
        <f t="shared" si="913"/>
        <v/>
      </c>
      <c r="O612" s="26" t="str">
        <f t="shared" si="914"/>
        <v/>
      </c>
      <c r="P612" s="26" t="str">
        <f t="shared" si="915"/>
        <v/>
      </c>
      <c r="Q612" s="26">
        <f t="shared" si="916"/>
        <v>0</v>
      </c>
      <c r="R612" s="26">
        <f t="shared" si="917"/>
        <v>0</v>
      </c>
      <c r="S612" s="26">
        <f t="shared" si="918"/>
        <v>0</v>
      </c>
      <c r="T612" s="26" t="str">
        <f t="shared" si="919"/>
        <v/>
      </c>
      <c r="U612" s="26" t="str">
        <f t="shared" si="920"/>
        <v/>
      </c>
      <c r="V612" s="26" t="str">
        <f t="shared" si="921"/>
        <v/>
      </c>
      <c r="W612" s="27" t="str">
        <f t="shared" si="922"/>
        <v/>
      </c>
      <c r="X612" s="27" t="str">
        <f t="shared" si="923"/>
        <v/>
      </c>
      <c r="Y612" s="28" t="str">
        <f t="shared" si="924"/>
        <v/>
      </c>
      <c r="Z612" s="27" t="str">
        <f t="shared" si="925"/>
        <v/>
      </c>
      <c r="AA612" s="27" t="str">
        <f t="shared" si="926"/>
        <v/>
      </c>
      <c r="AB612" s="27" t="str">
        <f t="shared" si="927"/>
        <v/>
      </c>
      <c r="AC612" s="27" t="str">
        <f t="shared" si="928"/>
        <v/>
      </c>
      <c r="AD612" s="29" t="str">
        <f t="shared" si="929"/>
        <v/>
      </c>
      <c r="AE612" s="30" t="str">
        <f t="shared" si="930"/>
        <v/>
      </c>
      <c r="AG612" s="4"/>
      <c r="AH612" s="31" t="e">
        <f t="shared" si="931"/>
        <v>#VALUE!</v>
      </c>
      <c r="AI612" s="31" t="e">
        <f t="shared" si="932"/>
        <v>#VALUE!</v>
      </c>
      <c r="AJ612" s="31" t="e">
        <f t="shared" si="933"/>
        <v>#VALUE!</v>
      </c>
      <c r="AK612" s="31" t="e">
        <f t="shared" si="934"/>
        <v>#VALUE!</v>
      </c>
      <c r="AL612" s="31" t="e">
        <f t="shared" si="935"/>
        <v>#VALUE!</v>
      </c>
      <c r="AM612" s="31" t="e">
        <f t="shared" si="936"/>
        <v>#VALUE!</v>
      </c>
      <c r="AN612" s="32" t="str">
        <f t="shared" si="937"/>
        <v/>
      </c>
      <c r="AO612" s="27" t="str">
        <f t="shared" si="938"/>
        <v/>
      </c>
      <c r="AP612" s="27" t="str">
        <f t="shared" si="939"/>
        <v/>
      </c>
      <c r="AQ612" s="27">
        <f t="shared" si="940"/>
        <v>0</v>
      </c>
      <c r="AR612" s="27">
        <f t="shared" si="941"/>
        <v>0</v>
      </c>
      <c r="AS612" s="33">
        <f t="shared" si="942"/>
        <v>0</v>
      </c>
    </row>
    <row r="613" spans="2:45" hidden="1" x14ac:dyDescent="0.25">
      <c r="B613" s="34">
        <f t="shared" ref="B613:F613" si="944">IF(B612="","",B612)</f>
        <v>1720</v>
      </c>
      <c r="C613" s="26">
        <f t="shared" si="944"/>
        <v>18</v>
      </c>
      <c r="D613" s="26">
        <f t="shared" si="944"/>
        <v>500</v>
      </c>
      <c r="E613" s="26">
        <f t="shared" si="944"/>
        <v>0</v>
      </c>
      <c r="F613" s="26">
        <f t="shared" si="944"/>
        <v>-1150</v>
      </c>
      <c r="G613" s="24"/>
      <c r="H613" s="24"/>
      <c r="I613" s="24"/>
      <c r="J613" s="24"/>
      <c r="K613" s="24"/>
      <c r="L613" s="24"/>
      <c r="M613" s="44" t="str">
        <f t="shared" si="909"/>
        <v/>
      </c>
      <c r="N613" s="26" t="str">
        <f t="shared" si="913"/>
        <v/>
      </c>
      <c r="O613" s="26" t="str">
        <f t="shared" si="914"/>
        <v/>
      </c>
      <c r="P613" s="26" t="str">
        <f t="shared" si="915"/>
        <v/>
      </c>
      <c r="Q613" s="26">
        <f t="shared" si="916"/>
        <v>0</v>
      </c>
      <c r="R613" s="26">
        <f t="shared" si="917"/>
        <v>0</v>
      </c>
      <c r="S613" s="26">
        <f t="shared" si="918"/>
        <v>0</v>
      </c>
      <c r="T613" s="26" t="str">
        <f t="shared" si="919"/>
        <v/>
      </c>
      <c r="U613" s="26" t="str">
        <f t="shared" si="920"/>
        <v/>
      </c>
      <c r="V613" s="26" t="str">
        <f t="shared" si="921"/>
        <v/>
      </c>
      <c r="W613" s="27" t="str">
        <f t="shared" si="922"/>
        <v/>
      </c>
      <c r="X613" s="27" t="str">
        <f t="shared" si="923"/>
        <v/>
      </c>
      <c r="Y613" s="28" t="str">
        <f t="shared" si="924"/>
        <v/>
      </c>
      <c r="Z613" s="27" t="str">
        <f t="shared" si="925"/>
        <v/>
      </c>
      <c r="AA613" s="27" t="str">
        <f t="shared" si="926"/>
        <v/>
      </c>
      <c r="AB613" s="27" t="str">
        <f t="shared" si="927"/>
        <v/>
      </c>
      <c r="AC613" s="27" t="str">
        <f t="shared" si="928"/>
        <v/>
      </c>
      <c r="AD613" s="29" t="str">
        <f t="shared" si="929"/>
        <v/>
      </c>
      <c r="AE613" s="30" t="str">
        <f t="shared" si="930"/>
        <v/>
      </c>
      <c r="AG613" s="4"/>
      <c r="AH613" s="31" t="e">
        <f t="shared" si="931"/>
        <v>#VALUE!</v>
      </c>
      <c r="AI613" s="31" t="e">
        <f t="shared" si="932"/>
        <v>#VALUE!</v>
      </c>
      <c r="AJ613" s="31" t="e">
        <f t="shared" si="933"/>
        <v>#VALUE!</v>
      </c>
      <c r="AK613" s="31" t="e">
        <f t="shared" si="934"/>
        <v>#VALUE!</v>
      </c>
      <c r="AL613" s="31" t="e">
        <f t="shared" si="935"/>
        <v>#VALUE!</v>
      </c>
      <c r="AM613" s="31" t="e">
        <f t="shared" si="936"/>
        <v>#VALUE!</v>
      </c>
      <c r="AN613" s="32" t="str">
        <f t="shared" si="937"/>
        <v/>
      </c>
      <c r="AO613" s="27" t="str">
        <f t="shared" si="938"/>
        <v/>
      </c>
      <c r="AP613" s="27" t="str">
        <f t="shared" si="939"/>
        <v/>
      </c>
      <c r="AQ613" s="27">
        <f t="shared" si="940"/>
        <v>0</v>
      </c>
      <c r="AR613" s="27">
        <f t="shared" si="941"/>
        <v>0</v>
      </c>
      <c r="AS613" s="33">
        <f t="shared" si="942"/>
        <v>0</v>
      </c>
    </row>
    <row r="614" spans="2:45" hidden="1" x14ac:dyDescent="0.25">
      <c r="B614" s="34">
        <f>IF(B613="","",B613)</f>
        <v>1720</v>
      </c>
      <c r="C614" s="26">
        <f t="shared" ref="C614:F614" si="945">IF(C613="","",C613)</f>
        <v>18</v>
      </c>
      <c r="D614" s="26">
        <f t="shared" si="945"/>
        <v>500</v>
      </c>
      <c r="E614" s="26">
        <f t="shared" si="945"/>
        <v>0</v>
      </c>
      <c r="F614" s="26">
        <f t="shared" si="945"/>
        <v>-1150</v>
      </c>
      <c r="G614" s="24"/>
      <c r="H614" s="24"/>
      <c r="I614" s="24"/>
      <c r="J614" s="24"/>
      <c r="K614" s="24"/>
      <c r="L614" s="24"/>
      <c r="M614" s="44" t="str">
        <f t="shared" si="909"/>
        <v/>
      </c>
      <c r="N614" s="26" t="str">
        <f t="shared" si="913"/>
        <v/>
      </c>
      <c r="O614" s="26" t="str">
        <f t="shared" si="914"/>
        <v/>
      </c>
      <c r="P614" s="26" t="str">
        <f t="shared" si="915"/>
        <v/>
      </c>
      <c r="Q614" s="26">
        <f t="shared" si="916"/>
        <v>0</v>
      </c>
      <c r="R614" s="26">
        <f t="shared" si="917"/>
        <v>0</v>
      </c>
      <c r="S614" s="26">
        <f t="shared" si="918"/>
        <v>0</v>
      </c>
      <c r="T614" s="26" t="str">
        <f t="shared" si="919"/>
        <v/>
      </c>
      <c r="U614" s="26" t="str">
        <f t="shared" si="920"/>
        <v/>
      </c>
      <c r="V614" s="26" t="str">
        <f t="shared" si="921"/>
        <v/>
      </c>
      <c r="W614" s="27" t="str">
        <f t="shared" si="922"/>
        <v/>
      </c>
      <c r="X614" s="27" t="str">
        <f t="shared" si="923"/>
        <v/>
      </c>
      <c r="Y614" s="28" t="str">
        <f t="shared" si="924"/>
        <v/>
      </c>
      <c r="Z614" s="27" t="str">
        <f t="shared" si="925"/>
        <v/>
      </c>
      <c r="AA614" s="27" t="str">
        <f t="shared" si="926"/>
        <v/>
      </c>
      <c r="AB614" s="27" t="str">
        <f t="shared" si="927"/>
        <v/>
      </c>
      <c r="AC614" s="27" t="str">
        <f t="shared" si="928"/>
        <v/>
      </c>
      <c r="AD614" s="29" t="str">
        <f t="shared" si="929"/>
        <v/>
      </c>
      <c r="AE614" s="30" t="str">
        <f t="shared" si="930"/>
        <v/>
      </c>
      <c r="AG614" s="4"/>
      <c r="AH614" s="31" t="e">
        <f t="shared" si="931"/>
        <v>#VALUE!</v>
      </c>
      <c r="AI614" s="31" t="e">
        <f t="shared" si="932"/>
        <v>#VALUE!</v>
      </c>
      <c r="AJ614" s="31" t="e">
        <f t="shared" si="933"/>
        <v>#VALUE!</v>
      </c>
      <c r="AK614" s="31" t="e">
        <f t="shared" si="934"/>
        <v>#VALUE!</v>
      </c>
      <c r="AL614" s="31" t="e">
        <f t="shared" si="935"/>
        <v>#VALUE!</v>
      </c>
      <c r="AM614" s="31" t="e">
        <f t="shared" si="936"/>
        <v>#VALUE!</v>
      </c>
      <c r="AN614" s="32" t="str">
        <f t="shared" si="937"/>
        <v/>
      </c>
      <c r="AO614" s="27" t="str">
        <f t="shared" si="938"/>
        <v/>
      </c>
      <c r="AP614" s="27" t="str">
        <f t="shared" si="939"/>
        <v/>
      </c>
      <c r="AQ614" s="27">
        <f t="shared" si="940"/>
        <v>0</v>
      </c>
      <c r="AR614" s="27">
        <f t="shared" si="941"/>
        <v>0</v>
      </c>
      <c r="AS614" s="33">
        <f t="shared" si="942"/>
        <v>0</v>
      </c>
    </row>
    <row r="615" spans="2:45" hidden="1" x14ac:dyDescent="0.25">
      <c r="B615" s="34">
        <f t="shared" ref="B615:F615" si="946">IF(B614="","",B614)</f>
        <v>1720</v>
      </c>
      <c r="C615" s="26">
        <f t="shared" si="946"/>
        <v>18</v>
      </c>
      <c r="D615" s="26">
        <f t="shared" si="946"/>
        <v>500</v>
      </c>
      <c r="E615" s="26">
        <f t="shared" si="946"/>
        <v>0</v>
      </c>
      <c r="F615" s="26">
        <f t="shared" si="946"/>
        <v>-1150</v>
      </c>
      <c r="G615" s="24"/>
      <c r="H615" s="24"/>
      <c r="I615" s="24"/>
      <c r="J615" s="24"/>
      <c r="K615" s="24"/>
      <c r="L615" s="24"/>
      <c r="M615" s="44" t="str">
        <f t="shared" si="909"/>
        <v/>
      </c>
      <c r="N615" s="26" t="str">
        <f t="shared" si="913"/>
        <v/>
      </c>
      <c r="O615" s="26" t="str">
        <f t="shared" si="914"/>
        <v/>
      </c>
      <c r="P615" s="26" t="str">
        <f t="shared" si="915"/>
        <v/>
      </c>
      <c r="Q615" s="26">
        <f t="shared" si="916"/>
        <v>0</v>
      </c>
      <c r="R615" s="26">
        <f t="shared" si="917"/>
        <v>0</v>
      </c>
      <c r="S615" s="26">
        <f t="shared" si="918"/>
        <v>0</v>
      </c>
      <c r="T615" s="26" t="str">
        <f t="shared" si="919"/>
        <v/>
      </c>
      <c r="U615" s="26" t="str">
        <f t="shared" si="920"/>
        <v/>
      </c>
      <c r="V615" s="26" t="str">
        <f t="shared" si="921"/>
        <v/>
      </c>
      <c r="W615" s="27" t="str">
        <f t="shared" si="922"/>
        <v/>
      </c>
      <c r="X615" s="27" t="str">
        <f t="shared" si="923"/>
        <v/>
      </c>
      <c r="Y615" s="28" t="str">
        <f t="shared" si="924"/>
        <v/>
      </c>
      <c r="Z615" s="27" t="str">
        <f t="shared" si="925"/>
        <v/>
      </c>
      <c r="AA615" s="27" t="str">
        <f t="shared" si="926"/>
        <v/>
      </c>
      <c r="AB615" s="27" t="str">
        <f t="shared" si="927"/>
        <v/>
      </c>
      <c r="AC615" s="27" t="str">
        <f t="shared" si="928"/>
        <v/>
      </c>
      <c r="AD615" s="29" t="str">
        <f t="shared" si="929"/>
        <v/>
      </c>
      <c r="AE615" s="30" t="str">
        <f t="shared" si="930"/>
        <v/>
      </c>
      <c r="AG615" s="4"/>
      <c r="AH615" s="31" t="e">
        <f t="shared" si="931"/>
        <v>#VALUE!</v>
      </c>
      <c r="AI615" s="31" t="e">
        <f t="shared" si="932"/>
        <v>#VALUE!</v>
      </c>
      <c r="AJ615" s="31" t="e">
        <f t="shared" si="933"/>
        <v>#VALUE!</v>
      </c>
      <c r="AK615" s="31" t="e">
        <f t="shared" si="934"/>
        <v>#VALUE!</v>
      </c>
      <c r="AL615" s="31" t="e">
        <f t="shared" si="935"/>
        <v>#VALUE!</v>
      </c>
      <c r="AM615" s="31" t="e">
        <f t="shared" si="936"/>
        <v>#VALUE!</v>
      </c>
      <c r="AN615" s="32" t="str">
        <f t="shared" si="937"/>
        <v/>
      </c>
      <c r="AO615" s="27" t="str">
        <f t="shared" si="938"/>
        <v/>
      </c>
      <c r="AP615" s="27" t="str">
        <f t="shared" si="939"/>
        <v/>
      </c>
      <c r="AQ615" s="27">
        <f t="shared" si="940"/>
        <v>0</v>
      </c>
      <c r="AR615" s="27">
        <f t="shared" si="941"/>
        <v>0</v>
      </c>
      <c r="AS615" s="33">
        <f t="shared" si="942"/>
        <v>0</v>
      </c>
    </row>
    <row r="616" spans="2:45" hidden="1" x14ac:dyDescent="0.25">
      <c r="B616" s="34">
        <f t="shared" ref="B616:F616" si="947">IF(B615="","",B615)</f>
        <v>1720</v>
      </c>
      <c r="C616" s="26">
        <f t="shared" si="947"/>
        <v>18</v>
      </c>
      <c r="D616" s="26">
        <f t="shared" si="947"/>
        <v>500</v>
      </c>
      <c r="E616" s="26">
        <f t="shared" si="947"/>
        <v>0</v>
      </c>
      <c r="F616" s="26">
        <f t="shared" si="947"/>
        <v>-1150</v>
      </c>
      <c r="G616" s="24"/>
      <c r="H616" s="24"/>
      <c r="I616" s="24"/>
      <c r="J616" s="24"/>
      <c r="K616" s="24"/>
      <c r="L616" s="24"/>
      <c r="M616" s="44" t="str">
        <f t="shared" si="909"/>
        <v/>
      </c>
      <c r="N616" s="26" t="str">
        <f t="shared" si="913"/>
        <v/>
      </c>
      <c r="O616" s="26" t="str">
        <f t="shared" si="914"/>
        <v/>
      </c>
      <c r="P616" s="26" t="str">
        <f t="shared" si="915"/>
        <v/>
      </c>
      <c r="Q616" s="26">
        <f t="shared" si="916"/>
        <v>0</v>
      </c>
      <c r="R616" s="26">
        <f t="shared" si="917"/>
        <v>0</v>
      </c>
      <c r="S616" s="26">
        <f t="shared" si="918"/>
        <v>0</v>
      </c>
      <c r="T616" s="26" t="str">
        <f t="shared" si="919"/>
        <v/>
      </c>
      <c r="U616" s="26" t="str">
        <f t="shared" si="920"/>
        <v/>
      </c>
      <c r="V616" s="26" t="str">
        <f t="shared" si="921"/>
        <v/>
      </c>
      <c r="W616" s="27" t="str">
        <f t="shared" si="922"/>
        <v/>
      </c>
      <c r="X616" s="27" t="str">
        <f t="shared" si="923"/>
        <v/>
      </c>
      <c r="Y616" s="28" t="str">
        <f t="shared" si="924"/>
        <v/>
      </c>
      <c r="Z616" s="27" t="str">
        <f t="shared" si="925"/>
        <v/>
      </c>
      <c r="AA616" s="27" t="str">
        <f t="shared" si="926"/>
        <v/>
      </c>
      <c r="AB616" s="27" t="str">
        <f t="shared" si="927"/>
        <v/>
      </c>
      <c r="AC616" s="27" t="str">
        <f t="shared" si="928"/>
        <v/>
      </c>
      <c r="AD616" s="29" t="str">
        <f t="shared" si="929"/>
        <v/>
      </c>
      <c r="AE616" s="30" t="str">
        <f t="shared" si="930"/>
        <v/>
      </c>
      <c r="AG616" s="4"/>
      <c r="AH616" s="31" t="e">
        <f t="shared" si="931"/>
        <v>#VALUE!</v>
      </c>
      <c r="AI616" s="31" t="e">
        <f t="shared" si="932"/>
        <v>#VALUE!</v>
      </c>
      <c r="AJ616" s="31" t="e">
        <f t="shared" si="933"/>
        <v>#VALUE!</v>
      </c>
      <c r="AK616" s="31" t="e">
        <f t="shared" si="934"/>
        <v>#VALUE!</v>
      </c>
      <c r="AL616" s="31" t="e">
        <f t="shared" si="935"/>
        <v>#VALUE!</v>
      </c>
      <c r="AM616" s="31" t="e">
        <f t="shared" si="936"/>
        <v>#VALUE!</v>
      </c>
      <c r="AN616" s="32" t="str">
        <f t="shared" si="937"/>
        <v/>
      </c>
      <c r="AO616" s="27" t="str">
        <f t="shared" si="938"/>
        <v/>
      </c>
      <c r="AP616" s="27" t="str">
        <f t="shared" si="939"/>
        <v/>
      </c>
      <c r="AQ616" s="27">
        <f t="shared" si="940"/>
        <v>0</v>
      </c>
      <c r="AR616" s="27">
        <f t="shared" si="941"/>
        <v>0</v>
      </c>
      <c r="AS616" s="33">
        <f t="shared" si="942"/>
        <v>0</v>
      </c>
    </row>
    <row r="617" spans="2:45" hidden="1" x14ac:dyDescent="0.25">
      <c r="B617" s="34">
        <f t="shared" ref="B617:F617" si="948">IF(B616="","",B616)</f>
        <v>1720</v>
      </c>
      <c r="C617" s="26">
        <f t="shared" si="948"/>
        <v>18</v>
      </c>
      <c r="D617" s="26">
        <f t="shared" si="948"/>
        <v>500</v>
      </c>
      <c r="E617" s="26">
        <f t="shared" si="948"/>
        <v>0</v>
      </c>
      <c r="F617" s="26">
        <f t="shared" si="948"/>
        <v>-1150</v>
      </c>
      <c r="G617" s="24"/>
      <c r="H617" s="24"/>
      <c r="I617" s="24"/>
      <c r="J617" s="24"/>
      <c r="K617" s="24"/>
      <c r="L617" s="24"/>
      <c r="M617" s="44" t="str">
        <f t="shared" si="909"/>
        <v/>
      </c>
      <c r="N617" s="26" t="str">
        <f t="shared" si="913"/>
        <v/>
      </c>
      <c r="O617" s="26" t="str">
        <f t="shared" si="914"/>
        <v/>
      </c>
      <c r="P617" s="26" t="str">
        <f t="shared" si="915"/>
        <v/>
      </c>
      <c r="Q617" s="26">
        <f t="shared" si="916"/>
        <v>0</v>
      </c>
      <c r="R617" s="26">
        <f t="shared" si="917"/>
        <v>0</v>
      </c>
      <c r="S617" s="26">
        <f t="shared" si="918"/>
        <v>0</v>
      </c>
      <c r="T617" s="26" t="str">
        <f t="shared" si="919"/>
        <v/>
      </c>
      <c r="U617" s="26" t="str">
        <f t="shared" si="920"/>
        <v/>
      </c>
      <c r="V617" s="26" t="str">
        <f t="shared" si="921"/>
        <v/>
      </c>
      <c r="W617" s="27" t="str">
        <f t="shared" si="922"/>
        <v/>
      </c>
      <c r="X617" s="27" t="str">
        <f t="shared" si="923"/>
        <v/>
      </c>
      <c r="Y617" s="28" t="str">
        <f t="shared" si="924"/>
        <v/>
      </c>
      <c r="Z617" s="27" t="str">
        <f t="shared" si="925"/>
        <v/>
      </c>
      <c r="AA617" s="27" t="str">
        <f t="shared" si="926"/>
        <v/>
      </c>
      <c r="AB617" s="27" t="str">
        <f t="shared" si="927"/>
        <v/>
      </c>
      <c r="AC617" s="27" t="str">
        <f t="shared" si="928"/>
        <v/>
      </c>
      <c r="AD617" s="29" t="str">
        <f t="shared" si="929"/>
        <v/>
      </c>
      <c r="AE617" s="30" t="str">
        <f t="shared" si="930"/>
        <v/>
      </c>
      <c r="AG617" s="4"/>
      <c r="AH617" s="31" t="e">
        <f t="shared" si="931"/>
        <v>#VALUE!</v>
      </c>
      <c r="AI617" s="31" t="e">
        <f t="shared" si="932"/>
        <v>#VALUE!</v>
      </c>
      <c r="AJ617" s="31" t="e">
        <f t="shared" si="933"/>
        <v>#VALUE!</v>
      </c>
      <c r="AK617" s="31" t="e">
        <f t="shared" si="934"/>
        <v>#VALUE!</v>
      </c>
      <c r="AL617" s="31" t="e">
        <f t="shared" si="935"/>
        <v>#VALUE!</v>
      </c>
      <c r="AM617" s="31" t="e">
        <f t="shared" si="936"/>
        <v>#VALUE!</v>
      </c>
      <c r="AN617" s="32" t="str">
        <f t="shared" si="937"/>
        <v/>
      </c>
      <c r="AO617" s="27" t="str">
        <f t="shared" si="938"/>
        <v/>
      </c>
      <c r="AP617" s="27" t="str">
        <f t="shared" si="939"/>
        <v/>
      </c>
      <c r="AQ617" s="27">
        <f t="shared" si="940"/>
        <v>0</v>
      </c>
      <c r="AR617" s="27">
        <f t="shared" si="941"/>
        <v>0</v>
      </c>
      <c r="AS617" s="33">
        <f t="shared" si="942"/>
        <v>0</v>
      </c>
    </row>
    <row r="618" spans="2:45" hidden="1" x14ac:dyDescent="0.25">
      <c r="B618" s="34">
        <f t="shared" ref="B618:F618" si="949">IF(B617="","",B617)</f>
        <v>1720</v>
      </c>
      <c r="C618" s="26">
        <f t="shared" si="949"/>
        <v>18</v>
      </c>
      <c r="D618" s="26">
        <f t="shared" si="949"/>
        <v>500</v>
      </c>
      <c r="E618" s="26">
        <f t="shared" si="949"/>
        <v>0</v>
      </c>
      <c r="F618" s="26">
        <f t="shared" si="949"/>
        <v>-1150</v>
      </c>
      <c r="G618" s="24"/>
      <c r="H618" s="24"/>
      <c r="I618" s="24"/>
      <c r="J618" s="24"/>
      <c r="K618" s="24"/>
      <c r="L618" s="24"/>
      <c r="M618" s="44" t="str">
        <f t="shared" si="909"/>
        <v/>
      </c>
      <c r="N618" s="26" t="str">
        <f t="shared" si="913"/>
        <v/>
      </c>
      <c r="O618" s="26" t="str">
        <f t="shared" si="914"/>
        <v/>
      </c>
      <c r="P618" s="26" t="str">
        <f t="shared" si="915"/>
        <v/>
      </c>
      <c r="Q618" s="26">
        <f t="shared" si="916"/>
        <v>0</v>
      </c>
      <c r="R618" s="26">
        <f t="shared" si="917"/>
        <v>0</v>
      </c>
      <c r="S618" s="26">
        <f t="shared" si="918"/>
        <v>0</v>
      </c>
      <c r="T618" s="26" t="str">
        <f t="shared" si="919"/>
        <v/>
      </c>
      <c r="U618" s="26" t="str">
        <f t="shared" si="920"/>
        <v/>
      </c>
      <c r="V618" s="26" t="str">
        <f t="shared" si="921"/>
        <v/>
      </c>
      <c r="W618" s="27" t="str">
        <f t="shared" si="922"/>
        <v/>
      </c>
      <c r="X618" s="27" t="str">
        <f t="shared" si="923"/>
        <v/>
      </c>
      <c r="Y618" s="28" t="str">
        <f t="shared" si="924"/>
        <v/>
      </c>
      <c r="Z618" s="27" t="str">
        <f t="shared" si="925"/>
        <v/>
      </c>
      <c r="AA618" s="27" t="str">
        <f t="shared" si="926"/>
        <v/>
      </c>
      <c r="AB618" s="27" t="str">
        <f t="shared" si="927"/>
        <v/>
      </c>
      <c r="AC618" s="27" t="str">
        <f t="shared" si="928"/>
        <v/>
      </c>
      <c r="AD618" s="29" t="str">
        <f t="shared" si="929"/>
        <v/>
      </c>
      <c r="AE618" s="30" t="str">
        <f t="shared" si="930"/>
        <v/>
      </c>
      <c r="AG618" s="4"/>
      <c r="AH618" s="31" t="e">
        <f t="shared" si="931"/>
        <v>#VALUE!</v>
      </c>
      <c r="AI618" s="31" t="e">
        <f t="shared" si="932"/>
        <v>#VALUE!</v>
      </c>
      <c r="AJ618" s="31" t="e">
        <f t="shared" si="933"/>
        <v>#VALUE!</v>
      </c>
      <c r="AK618" s="31" t="e">
        <f t="shared" si="934"/>
        <v>#VALUE!</v>
      </c>
      <c r="AL618" s="31" t="e">
        <f t="shared" si="935"/>
        <v>#VALUE!</v>
      </c>
      <c r="AM618" s="31" t="e">
        <f t="shared" si="936"/>
        <v>#VALUE!</v>
      </c>
      <c r="AN618" s="32" t="str">
        <f t="shared" si="937"/>
        <v/>
      </c>
      <c r="AO618" s="27" t="str">
        <f t="shared" si="938"/>
        <v/>
      </c>
      <c r="AP618" s="27" t="str">
        <f t="shared" si="939"/>
        <v/>
      </c>
      <c r="AQ618" s="27">
        <f t="shared" si="940"/>
        <v>0</v>
      </c>
      <c r="AR618" s="27">
        <f t="shared" si="941"/>
        <v>0</v>
      </c>
      <c r="AS618" s="33">
        <f t="shared" si="942"/>
        <v>0</v>
      </c>
    </row>
    <row r="619" spans="2:45" hidden="1" x14ac:dyDescent="0.25">
      <c r="B619" s="34">
        <f t="shared" ref="B619:F619" si="950">IF(B618="","",B618)</f>
        <v>1720</v>
      </c>
      <c r="C619" s="26">
        <f t="shared" si="950"/>
        <v>18</v>
      </c>
      <c r="D619" s="26">
        <f t="shared" si="950"/>
        <v>500</v>
      </c>
      <c r="E619" s="26">
        <f t="shared" si="950"/>
        <v>0</v>
      </c>
      <c r="F619" s="26">
        <f t="shared" si="950"/>
        <v>-1150</v>
      </c>
      <c r="G619" s="24"/>
      <c r="H619" s="24"/>
      <c r="I619" s="24"/>
      <c r="J619" s="24"/>
      <c r="K619" s="24"/>
      <c r="L619" s="24"/>
      <c r="M619" s="44" t="str">
        <f t="shared" si="909"/>
        <v/>
      </c>
      <c r="N619" s="26" t="str">
        <f t="shared" si="913"/>
        <v/>
      </c>
      <c r="O619" s="26" t="str">
        <f t="shared" si="914"/>
        <v/>
      </c>
      <c r="P619" s="26" t="str">
        <f t="shared" si="915"/>
        <v/>
      </c>
      <c r="Q619" s="26">
        <f t="shared" si="916"/>
        <v>0</v>
      </c>
      <c r="R619" s="26">
        <f t="shared" si="917"/>
        <v>0</v>
      </c>
      <c r="S619" s="26">
        <f t="shared" si="918"/>
        <v>0</v>
      </c>
      <c r="T619" s="26" t="str">
        <f t="shared" si="919"/>
        <v/>
      </c>
      <c r="U619" s="26" t="str">
        <f t="shared" si="920"/>
        <v/>
      </c>
      <c r="V619" s="26" t="str">
        <f t="shared" si="921"/>
        <v/>
      </c>
      <c r="W619" s="27" t="str">
        <f t="shared" si="922"/>
        <v/>
      </c>
      <c r="X619" s="27" t="str">
        <f t="shared" si="923"/>
        <v/>
      </c>
      <c r="Y619" s="28" t="str">
        <f t="shared" si="924"/>
        <v/>
      </c>
      <c r="Z619" s="27" t="str">
        <f t="shared" si="925"/>
        <v/>
      </c>
      <c r="AA619" s="27" t="str">
        <f t="shared" si="926"/>
        <v/>
      </c>
      <c r="AB619" s="27" t="str">
        <f t="shared" si="927"/>
        <v/>
      </c>
      <c r="AC619" s="27" t="str">
        <f t="shared" si="928"/>
        <v/>
      </c>
      <c r="AD619" s="29" t="str">
        <f t="shared" si="929"/>
        <v/>
      </c>
      <c r="AE619" s="30" t="str">
        <f t="shared" si="930"/>
        <v/>
      </c>
      <c r="AG619" s="4"/>
      <c r="AH619" s="31" t="e">
        <f t="shared" si="931"/>
        <v>#VALUE!</v>
      </c>
      <c r="AI619" s="31" t="e">
        <f t="shared" si="932"/>
        <v>#VALUE!</v>
      </c>
      <c r="AJ619" s="31" t="e">
        <f t="shared" si="933"/>
        <v>#VALUE!</v>
      </c>
      <c r="AK619" s="31" t="e">
        <f t="shared" si="934"/>
        <v>#VALUE!</v>
      </c>
      <c r="AL619" s="31" t="e">
        <f t="shared" si="935"/>
        <v>#VALUE!</v>
      </c>
      <c r="AM619" s="31" t="e">
        <f t="shared" si="936"/>
        <v>#VALUE!</v>
      </c>
      <c r="AN619" s="32" t="str">
        <f t="shared" si="937"/>
        <v/>
      </c>
      <c r="AO619" s="27" t="str">
        <f t="shared" si="938"/>
        <v/>
      </c>
      <c r="AP619" s="27" t="str">
        <f t="shared" si="939"/>
        <v/>
      </c>
      <c r="AQ619" s="27">
        <f t="shared" si="940"/>
        <v>0</v>
      </c>
      <c r="AR619" s="27">
        <f t="shared" si="941"/>
        <v>0</v>
      </c>
      <c r="AS619" s="33">
        <f t="shared" si="942"/>
        <v>0</v>
      </c>
    </row>
    <row r="620" spans="2:45" hidden="1" x14ac:dyDescent="0.25">
      <c r="B620" s="34">
        <f t="shared" ref="B620:F620" si="951">IF(B619="","",B619)</f>
        <v>1720</v>
      </c>
      <c r="C620" s="26">
        <f t="shared" si="951"/>
        <v>18</v>
      </c>
      <c r="D620" s="26">
        <f t="shared" si="951"/>
        <v>500</v>
      </c>
      <c r="E620" s="26">
        <f t="shared" si="951"/>
        <v>0</v>
      </c>
      <c r="F620" s="26">
        <f t="shared" si="951"/>
        <v>-1150</v>
      </c>
      <c r="G620" s="24"/>
      <c r="H620" s="24"/>
      <c r="I620" s="24"/>
      <c r="J620" s="24"/>
      <c r="K620" s="24"/>
      <c r="L620" s="24"/>
      <c r="M620" s="44" t="str">
        <f t="shared" si="909"/>
        <v/>
      </c>
      <c r="N620" s="26" t="str">
        <f t="shared" si="913"/>
        <v/>
      </c>
      <c r="O620" s="26" t="str">
        <f t="shared" si="914"/>
        <v/>
      </c>
      <c r="P620" s="26" t="str">
        <f t="shared" si="915"/>
        <v/>
      </c>
      <c r="Q620" s="26">
        <f t="shared" si="916"/>
        <v>0</v>
      </c>
      <c r="R620" s="26">
        <f t="shared" si="917"/>
        <v>0</v>
      </c>
      <c r="S620" s="26">
        <f t="shared" si="918"/>
        <v>0</v>
      </c>
      <c r="T620" s="26" t="str">
        <f t="shared" si="919"/>
        <v/>
      </c>
      <c r="U620" s="26" t="str">
        <f t="shared" si="920"/>
        <v/>
      </c>
      <c r="V620" s="26" t="str">
        <f t="shared" si="921"/>
        <v/>
      </c>
      <c r="W620" s="27" t="str">
        <f t="shared" si="922"/>
        <v/>
      </c>
      <c r="X620" s="27" t="str">
        <f t="shared" si="923"/>
        <v/>
      </c>
      <c r="Y620" s="28" t="str">
        <f t="shared" si="924"/>
        <v/>
      </c>
      <c r="Z620" s="27" t="str">
        <f t="shared" si="925"/>
        <v/>
      </c>
      <c r="AA620" s="27" t="str">
        <f t="shared" si="926"/>
        <v/>
      </c>
      <c r="AB620" s="27" t="str">
        <f t="shared" si="927"/>
        <v/>
      </c>
      <c r="AC620" s="27" t="str">
        <f t="shared" si="928"/>
        <v/>
      </c>
      <c r="AD620" s="29" t="str">
        <f t="shared" si="929"/>
        <v/>
      </c>
      <c r="AE620" s="30" t="str">
        <f t="shared" si="930"/>
        <v/>
      </c>
      <c r="AG620" s="4"/>
      <c r="AH620" s="31" t="e">
        <f t="shared" si="931"/>
        <v>#VALUE!</v>
      </c>
      <c r="AI620" s="31" t="e">
        <f t="shared" si="932"/>
        <v>#VALUE!</v>
      </c>
      <c r="AJ620" s="31" t="e">
        <f t="shared" si="933"/>
        <v>#VALUE!</v>
      </c>
      <c r="AK620" s="31" t="e">
        <f t="shared" si="934"/>
        <v>#VALUE!</v>
      </c>
      <c r="AL620" s="31" t="e">
        <f t="shared" si="935"/>
        <v>#VALUE!</v>
      </c>
      <c r="AM620" s="31" t="e">
        <f t="shared" si="936"/>
        <v>#VALUE!</v>
      </c>
      <c r="AN620" s="32" t="str">
        <f t="shared" si="937"/>
        <v/>
      </c>
      <c r="AO620" s="27" t="str">
        <f t="shared" si="938"/>
        <v/>
      </c>
      <c r="AP620" s="27" t="str">
        <f t="shared" si="939"/>
        <v/>
      </c>
      <c r="AQ620" s="27">
        <f t="shared" si="940"/>
        <v>0</v>
      </c>
      <c r="AR620" s="27">
        <f t="shared" si="941"/>
        <v>0</v>
      </c>
      <c r="AS620" s="33">
        <f t="shared" si="942"/>
        <v>0</v>
      </c>
    </row>
    <row r="621" spans="2:45" hidden="1" x14ac:dyDescent="0.25">
      <c r="B621" s="34">
        <f t="shared" ref="B621:F621" si="952">IF(B620="","",B620)</f>
        <v>1720</v>
      </c>
      <c r="C621" s="26">
        <f t="shared" si="952"/>
        <v>18</v>
      </c>
      <c r="D621" s="26">
        <f t="shared" si="952"/>
        <v>500</v>
      </c>
      <c r="E621" s="26">
        <f t="shared" si="952"/>
        <v>0</v>
      </c>
      <c r="F621" s="26">
        <f t="shared" si="952"/>
        <v>-1150</v>
      </c>
      <c r="G621" s="24"/>
      <c r="H621" s="24"/>
      <c r="I621" s="24"/>
      <c r="J621" s="24"/>
      <c r="K621" s="24"/>
      <c r="L621" s="24"/>
      <c r="M621" s="44" t="str">
        <f t="shared" si="909"/>
        <v/>
      </c>
      <c r="N621" s="26" t="str">
        <f t="shared" si="913"/>
        <v/>
      </c>
      <c r="O621" s="26" t="str">
        <f t="shared" si="914"/>
        <v/>
      </c>
      <c r="P621" s="26" t="str">
        <f t="shared" si="915"/>
        <v/>
      </c>
      <c r="Q621" s="26">
        <f t="shared" si="916"/>
        <v>0</v>
      </c>
      <c r="R621" s="26">
        <f t="shared" si="917"/>
        <v>0</v>
      </c>
      <c r="S621" s="26">
        <f t="shared" si="918"/>
        <v>0</v>
      </c>
      <c r="T621" s="26" t="str">
        <f t="shared" si="919"/>
        <v/>
      </c>
      <c r="U621" s="26" t="str">
        <f t="shared" si="920"/>
        <v/>
      </c>
      <c r="V621" s="26" t="str">
        <f t="shared" si="921"/>
        <v/>
      </c>
      <c r="W621" s="27" t="str">
        <f t="shared" si="922"/>
        <v/>
      </c>
      <c r="X621" s="27" t="str">
        <f t="shared" si="923"/>
        <v/>
      </c>
      <c r="Y621" s="28" t="str">
        <f t="shared" si="924"/>
        <v/>
      </c>
      <c r="Z621" s="27" t="str">
        <f t="shared" si="925"/>
        <v/>
      </c>
      <c r="AA621" s="27" t="str">
        <f t="shared" si="926"/>
        <v/>
      </c>
      <c r="AB621" s="27" t="str">
        <f t="shared" si="927"/>
        <v/>
      </c>
      <c r="AC621" s="27" t="str">
        <f t="shared" si="928"/>
        <v/>
      </c>
      <c r="AD621" s="29" t="str">
        <f t="shared" si="929"/>
        <v/>
      </c>
      <c r="AE621" s="30" t="str">
        <f t="shared" si="930"/>
        <v/>
      </c>
      <c r="AG621" s="4"/>
      <c r="AH621" s="31" t="e">
        <f t="shared" si="931"/>
        <v>#VALUE!</v>
      </c>
      <c r="AI621" s="31" t="e">
        <f t="shared" si="932"/>
        <v>#VALUE!</v>
      </c>
      <c r="AJ621" s="31" t="e">
        <f t="shared" si="933"/>
        <v>#VALUE!</v>
      </c>
      <c r="AK621" s="31" t="e">
        <f t="shared" si="934"/>
        <v>#VALUE!</v>
      </c>
      <c r="AL621" s="31" t="e">
        <f t="shared" si="935"/>
        <v>#VALUE!</v>
      </c>
      <c r="AM621" s="31" t="e">
        <f t="shared" si="936"/>
        <v>#VALUE!</v>
      </c>
      <c r="AN621" s="32" t="str">
        <f t="shared" si="937"/>
        <v/>
      </c>
      <c r="AO621" s="27" t="str">
        <f t="shared" si="938"/>
        <v/>
      </c>
      <c r="AP621" s="27" t="str">
        <f t="shared" si="939"/>
        <v/>
      </c>
      <c r="AQ621" s="27">
        <f t="shared" si="940"/>
        <v>0</v>
      </c>
      <c r="AR621" s="27">
        <f t="shared" si="941"/>
        <v>0</v>
      </c>
      <c r="AS621" s="33">
        <f t="shared" si="942"/>
        <v>0</v>
      </c>
    </row>
    <row r="622" spans="2:45" hidden="1" x14ac:dyDescent="0.25">
      <c r="B622" s="34">
        <f t="shared" ref="B622:F622" si="953">IF(B621="","",B621)</f>
        <v>1720</v>
      </c>
      <c r="C622" s="26">
        <f t="shared" si="953"/>
        <v>18</v>
      </c>
      <c r="D622" s="26">
        <f t="shared" si="953"/>
        <v>500</v>
      </c>
      <c r="E622" s="26">
        <f t="shared" si="953"/>
        <v>0</v>
      </c>
      <c r="F622" s="26">
        <f t="shared" si="953"/>
        <v>-1150</v>
      </c>
      <c r="G622" s="24"/>
      <c r="H622" s="24"/>
      <c r="I622" s="24"/>
      <c r="J622" s="24"/>
      <c r="K622" s="24"/>
      <c r="L622" s="24"/>
      <c r="M622" s="44" t="str">
        <f t="shared" si="909"/>
        <v/>
      </c>
      <c r="N622" s="26" t="str">
        <f t="shared" si="913"/>
        <v/>
      </c>
      <c r="O622" s="26" t="str">
        <f t="shared" si="914"/>
        <v/>
      </c>
      <c r="P622" s="26" t="str">
        <f t="shared" si="915"/>
        <v/>
      </c>
      <c r="Q622" s="26">
        <f t="shared" si="916"/>
        <v>0</v>
      </c>
      <c r="R622" s="26">
        <f t="shared" si="917"/>
        <v>0</v>
      </c>
      <c r="S622" s="26">
        <f t="shared" si="918"/>
        <v>0</v>
      </c>
      <c r="T622" s="26" t="str">
        <f t="shared" si="919"/>
        <v/>
      </c>
      <c r="U622" s="26" t="str">
        <f t="shared" si="920"/>
        <v/>
      </c>
      <c r="V622" s="26" t="str">
        <f t="shared" si="921"/>
        <v/>
      </c>
      <c r="W622" s="27" t="str">
        <f t="shared" si="922"/>
        <v/>
      </c>
      <c r="X622" s="27" t="str">
        <f t="shared" si="923"/>
        <v/>
      </c>
      <c r="Y622" s="28" t="str">
        <f t="shared" si="924"/>
        <v/>
      </c>
      <c r="Z622" s="27" t="str">
        <f t="shared" si="925"/>
        <v/>
      </c>
      <c r="AA622" s="27" t="str">
        <f t="shared" si="926"/>
        <v/>
      </c>
      <c r="AB622" s="27" t="str">
        <f t="shared" si="927"/>
        <v/>
      </c>
      <c r="AC622" s="27" t="str">
        <f t="shared" si="928"/>
        <v/>
      </c>
      <c r="AD622" s="29" t="str">
        <f t="shared" si="929"/>
        <v/>
      </c>
      <c r="AE622" s="30" t="str">
        <f t="shared" si="930"/>
        <v/>
      </c>
      <c r="AG622" s="4"/>
      <c r="AH622" s="31" t="e">
        <f t="shared" si="931"/>
        <v>#VALUE!</v>
      </c>
      <c r="AI622" s="31" t="e">
        <f t="shared" si="932"/>
        <v>#VALUE!</v>
      </c>
      <c r="AJ622" s="31" t="e">
        <f t="shared" si="933"/>
        <v>#VALUE!</v>
      </c>
      <c r="AK622" s="31" t="e">
        <f t="shared" si="934"/>
        <v>#VALUE!</v>
      </c>
      <c r="AL622" s="31" t="e">
        <f t="shared" si="935"/>
        <v>#VALUE!</v>
      </c>
      <c r="AM622" s="31" t="e">
        <f t="shared" si="936"/>
        <v>#VALUE!</v>
      </c>
      <c r="AN622" s="32" t="str">
        <f t="shared" si="937"/>
        <v/>
      </c>
      <c r="AO622" s="27" t="str">
        <f t="shared" si="938"/>
        <v/>
      </c>
      <c r="AP622" s="27" t="str">
        <f t="shared" si="939"/>
        <v/>
      </c>
      <c r="AQ622" s="27">
        <f t="shared" si="940"/>
        <v>0</v>
      </c>
      <c r="AR622" s="27">
        <f t="shared" si="941"/>
        <v>0</v>
      </c>
      <c r="AS622" s="33">
        <f t="shared" si="942"/>
        <v>0</v>
      </c>
    </row>
    <row r="623" spans="2:45" hidden="1" x14ac:dyDescent="0.25">
      <c r="B623" s="34">
        <f t="shared" ref="B623:F623" si="954">IF(B622="","",B622)</f>
        <v>1720</v>
      </c>
      <c r="C623" s="26">
        <f t="shared" si="954"/>
        <v>18</v>
      </c>
      <c r="D623" s="26">
        <f t="shared" si="954"/>
        <v>500</v>
      </c>
      <c r="E623" s="26">
        <f t="shared" si="954"/>
        <v>0</v>
      </c>
      <c r="F623" s="26">
        <f t="shared" si="954"/>
        <v>-1150</v>
      </c>
      <c r="G623" s="24"/>
      <c r="H623" s="24"/>
      <c r="I623" s="24"/>
      <c r="J623" s="24"/>
      <c r="K623" s="24"/>
      <c r="L623" s="24"/>
      <c r="M623" s="44" t="str">
        <f t="shared" si="909"/>
        <v/>
      </c>
      <c r="N623" s="26" t="str">
        <f t="shared" si="913"/>
        <v/>
      </c>
      <c r="O623" s="26" t="str">
        <f t="shared" si="914"/>
        <v/>
      </c>
      <c r="P623" s="26" t="str">
        <f t="shared" si="915"/>
        <v/>
      </c>
      <c r="Q623" s="26">
        <f t="shared" si="916"/>
        <v>0</v>
      </c>
      <c r="R623" s="26">
        <f t="shared" si="917"/>
        <v>0</v>
      </c>
      <c r="S623" s="26">
        <f t="shared" si="918"/>
        <v>0</v>
      </c>
      <c r="T623" s="26" t="str">
        <f t="shared" si="919"/>
        <v/>
      </c>
      <c r="U623" s="26" t="str">
        <f t="shared" si="920"/>
        <v/>
      </c>
      <c r="V623" s="26" t="str">
        <f t="shared" si="921"/>
        <v/>
      </c>
      <c r="W623" s="27" t="str">
        <f t="shared" si="922"/>
        <v/>
      </c>
      <c r="X623" s="27" t="str">
        <f t="shared" si="923"/>
        <v/>
      </c>
      <c r="Y623" s="28" t="str">
        <f t="shared" si="924"/>
        <v/>
      </c>
      <c r="Z623" s="27" t="str">
        <f t="shared" si="925"/>
        <v/>
      </c>
      <c r="AA623" s="27" t="str">
        <f t="shared" si="926"/>
        <v/>
      </c>
      <c r="AB623" s="27" t="str">
        <f t="shared" si="927"/>
        <v/>
      </c>
      <c r="AC623" s="27" t="str">
        <f t="shared" si="928"/>
        <v/>
      </c>
      <c r="AD623" s="29" t="str">
        <f t="shared" si="929"/>
        <v/>
      </c>
      <c r="AE623" s="30" t="str">
        <f t="shared" si="930"/>
        <v/>
      </c>
      <c r="AG623" s="4"/>
      <c r="AH623" s="31" t="e">
        <f t="shared" si="931"/>
        <v>#VALUE!</v>
      </c>
      <c r="AI623" s="31" t="e">
        <f t="shared" si="932"/>
        <v>#VALUE!</v>
      </c>
      <c r="AJ623" s="31" t="e">
        <f t="shared" si="933"/>
        <v>#VALUE!</v>
      </c>
      <c r="AK623" s="31" t="e">
        <f t="shared" si="934"/>
        <v>#VALUE!</v>
      </c>
      <c r="AL623" s="31" t="e">
        <f t="shared" si="935"/>
        <v>#VALUE!</v>
      </c>
      <c r="AM623" s="31" t="e">
        <f t="shared" si="936"/>
        <v>#VALUE!</v>
      </c>
      <c r="AN623" s="32" t="str">
        <f t="shared" si="937"/>
        <v/>
      </c>
      <c r="AO623" s="27" t="str">
        <f t="shared" si="938"/>
        <v/>
      </c>
      <c r="AP623" s="27" t="str">
        <f t="shared" si="939"/>
        <v/>
      </c>
      <c r="AQ623" s="27">
        <f t="shared" si="940"/>
        <v>0</v>
      </c>
      <c r="AR623" s="27">
        <f t="shared" si="941"/>
        <v>0</v>
      </c>
      <c r="AS623" s="33">
        <f t="shared" si="942"/>
        <v>0</v>
      </c>
    </row>
    <row r="624" spans="2:45" hidden="1" x14ac:dyDescent="0.25">
      <c r="B624" s="34">
        <f t="shared" ref="B624:F624" si="955">IF(B623="","",B623)</f>
        <v>1720</v>
      </c>
      <c r="C624" s="26">
        <f t="shared" si="955"/>
        <v>18</v>
      </c>
      <c r="D624" s="26">
        <f t="shared" si="955"/>
        <v>500</v>
      </c>
      <c r="E624" s="26">
        <f t="shared" si="955"/>
        <v>0</v>
      </c>
      <c r="F624" s="26">
        <f t="shared" si="955"/>
        <v>-1150</v>
      </c>
      <c r="G624" s="24"/>
      <c r="H624" s="24"/>
      <c r="I624" s="24"/>
      <c r="J624" s="24"/>
      <c r="K624" s="24"/>
      <c r="L624" s="24"/>
      <c r="M624" s="44" t="str">
        <f t="shared" si="909"/>
        <v/>
      </c>
      <c r="N624" s="26" t="str">
        <f t="shared" si="913"/>
        <v/>
      </c>
      <c r="O624" s="26" t="str">
        <f t="shared" si="914"/>
        <v/>
      </c>
      <c r="P624" s="26" t="str">
        <f t="shared" si="915"/>
        <v/>
      </c>
      <c r="Q624" s="26">
        <f t="shared" si="916"/>
        <v>0</v>
      </c>
      <c r="R624" s="26">
        <f t="shared" si="917"/>
        <v>0</v>
      </c>
      <c r="S624" s="26">
        <f t="shared" si="918"/>
        <v>0</v>
      </c>
      <c r="T624" s="26" t="str">
        <f t="shared" si="919"/>
        <v/>
      </c>
      <c r="U624" s="26" t="str">
        <f t="shared" si="920"/>
        <v/>
      </c>
      <c r="V624" s="26" t="str">
        <f t="shared" si="921"/>
        <v/>
      </c>
      <c r="W624" s="27" t="str">
        <f t="shared" si="922"/>
        <v/>
      </c>
      <c r="X624" s="27" t="str">
        <f t="shared" si="923"/>
        <v/>
      </c>
      <c r="Y624" s="28" t="str">
        <f t="shared" si="924"/>
        <v/>
      </c>
      <c r="Z624" s="27" t="str">
        <f t="shared" si="925"/>
        <v/>
      </c>
      <c r="AA624" s="27" t="str">
        <f t="shared" si="926"/>
        <v/>
      </c>
      <c r="AB624" s="27" t="str">
        <f t="shared" si="927"/>
        <v/>
      </c>
      <c r="AC624" s="27" t="str">
        <f t="shared" si="928"/>
        <v/>
      </c>
      <c r="AD624" s="29" t="str">
        <f t="shared" si="929"/>
        <v/>
      </c>
      <c r="AE624" s="30" t="str">
        <f t="shared" si="930"/>
        <v/>
      </c>
      <c r="AG624" s="4"/>
      <c r="AH624" s="31" t="e">
        <f t="shared" si="931"/>
        <v>#VALUE!</v>
      </c>
      <c r="AI624" s="31" t="e">
        <f t="shared" si="932"/>
        <v>#VALUE!</v>
      </c>
      <c r="AJ624" s="31" t="e">
        <f t="shared" si="933"/>
        <v>#VALUE!</v>
      </c>
      <c r="AK624" s="31" t="e">
        <f t="shared" si="934"/>
        <v>#VALUE!</v>
      </c>
      <c r="AL624" s="31" t="e">
        <f t="shared" si="935"/>
        <v>#VALUE!</v>
      </c>
      <c r="AM624" s="31" t="e">
        <f t="shared" si="936"/>
        <v>#VALUE!</v>
      </c>
      <c r="AN624" s="32" t="str">
        <f t="shared" si="937"/>
        <v/>
      </c>
      <c r="AO624" s="27" t="str">
        <f t="shared" si="938"/>
        <v/>
      </c>
      <c r="AP624" s="27" t="str">
        <f t="shared" si="939"/>
        <v/>
      </c>
      <c r="AQ624" s="27">
        <f t="shared" si="940"/>
        <v>0</v>
      </c>
      <c r="AR624" s="27">
        <f t="shared" si="941"/>
        <v>0</v>
      </c>
      <c r="AS624" s="33">
        <f t="shared" si="942"/>
        <v>0</v>
      </c>
    </row>
    <row r="625" spans="2:45" hidden="1" x14ac:dyDescent="0.25">
      <c r="B625" s="34">
        <f t="shared" ref="B625:F625" si="956">IF(B624="","",B624)</f>
        <v>1720</v>
      </c>
      <c r="C625" s="26">
        <f t="shared" si="956"/>
        <v>18</v>
      </c>
      <c r="D625" s="26">
        <f t="shared" si="956"/>
        <v>500</v>
      </c>
      <c r="E625" s="26">
        <f t="shared" si="956"/>
        <v>0</v>
      </c>
      <c r="F625" s="26">
        <f t="shared" si="956"/>
        <v>-1150</v>
      </c>
      <c r="G625" s="24"/>
      <c r="H625" s="24"/>
      <c r="I625" s="24"/>
      <c r="J625" s="24"/>
      <c r="K625" s="24"/>
      <c r="L625" s="24"/>
      <c r="M625" s="44" t="str">
        <f t="shared" si="909"/>
        <v/>
      </c>
      <c r="N625" s="26" t="str">
        <f t="shared" si="913"/>
        <v/>
      </c>
      <c r="O625" s="26" t="str">
        <f t="shared" si="914"/>
        <v/>
      </c>
      <c r="P625" s="26" t="str">
        <f t="shared" si="915"/>
        <v/>
      </c>
      <c r="Q625" s="26">
        <f t="shared" si="916"/>
        <v>0</v>
      </c>
      <c r="R625" s="26">
        <f t="shared" si="917"/>
        <v>0</v>
      </c>
      <c r="S625" s="26">
        <f t="shared" si="918"/>
        <v>0</v>
      </c>
      <c r="T625" s="26" t="str">
        <f t="shared" si="919"/>
        <v/>
      </c>
      <c r="U625" s="26" t="str">
        <f t="shared" si="920"/>
        <v/>
      </c>
      <c r="V625" s="26" t="str">
        <f t="shared" si="921"/>
        <v/>
      </c>
      <c r="W625" s="27" t="str">
        <f t="shared" si="922"/>
        <v/>
      </c>
      <c r="X625" s="27" t="str">
        <f t="shared" si="923"/>
        <v/>
      </c>
      <c r="Y625" s="28" t="str">
        <f t="shared" si="924"/>
        <v/>
      </c>
      <c r="Z625" s="27" t="str">
        <f t="shared" si="925"/>
        <v/>
      </c>
      <c r="AA625" s="27" t="str">
        <f t="shared" si="926"/>
        <v/>
      </c>
      <c r="AB625" s="27" t="str">
        <f t="shared" si="927"/>
        <v/>
      </c>
      <c r="AC625" s="27" t="str">
        <f t="shared" si="928"/>
        <v/>
      </c>
      <c r="AD625" s="29" t="str">
        <f t="shared" si="929"/>
        <v/>
      </c>
      <c r="AE625" s="30" t="str">
        <f t="shared" si="930"/>
        <v/>
      </c>
      <c r="AG625" s="4"/>
      <c r="AH625" s="31" t="e">
        <f t="shared" si="931"/>
        <v>#VALUE!</v>
      </c>
      <c r="AI625" s="31" t="e">
        <f t="shared" si="932"/>
        <v>#VALUE!</v>
      </c>
      <c r="AJ625" s="31" t="e">
        <f t="shared" si="933"/>
        <v>#VALUE!</v>
      </c>
      <c r="AK625" s="31" t="e">
        <f t="shared" si="934"/>
        <v>#VALUE!</v>
      </c>
      <c r="AL625" s="31" t="e">
        <f t="shared" si="935"/>
        <v>#VALUE!</v>
      </c>
      <c r="AM625" s="31" t="e">
        <f t="shared" si="936"/>
        <v>#VALUE!</v>
      </c>
      <c r="AN625" s="32" t="str">
        <f t="shared" si="937"/>
        <v/>
      </c>
      <c r="AO625" s="27" t="str">
        <f t="shared" si="938"/>
        <v/>
      </c>
      <c r="AP625" s="27" t="str">
        <f t="shared" si="939"/>
        <v/>
      </c>
      <c r="AQ625" s="27">
        <f t="shared" si="940"/>
        <v>0</v>
      </c>
      <c r="AR625" s="27">
        <f t="shared" si="941"/>
        <v>0</v>
      </c>
      <c r="AS625" s="33">
        <f t="shared" si="942"/>
        <v>0</v>
      </c>
    </row>
    <row r="626" spans="2:45" hidden="1" x14ac:dyDescent="0.25">
      <c r="B626" s="34">
        <f t="shared" ref="B626:F626" si="957">IF(B625="","",B625)</f>
        <v>1720</v>
      </c>
      <c r="C626" s="26">
        <f t="shared" si="957"/>
        <v>18</v>
      </c>
      <c r="D626" s="26">
        <f t="shared" si="957"/>
        <v>500</v>
      </c>
      <c r="E626" s="26">
        <f t="shared" si="957"/>
        <v>0</v>
      </c>
      <c r="F626" s="26">
        <f t="shared" si="957"/>
        <v>-1150</v>
      </c>
      <c r="G626" s="24"/>
      <c r="H626" s="24"/>
      <c r="I626" s="24"/>
      <c r="J626" s="24"/>
      <c r="K626" s="24"/>
      <c r="L626" s="24"/>
      <c r="M626" s="44" t="str">
        <f t="shared" si="909"/>
        <v/>
      </c>
      <c r="N626" s="26" t="str">
        <f t="shared" si="913"/>
        <v/>
      </c>
      <c r="O626" s="26" t="str">
        <f t="shared" si="914"/>
        <v/>
      </c>
      <c r="P626" s="26" t="str">
        <f t="shared" si="915"/>
        <v/>
      </c>
      <c r="Q626" s="26">
        <f t="shared" si="916"/>
        <v>0</v>
      </c>
      <c r="R626" s="26">
        <f t="shared" si="917"/>
        <v>0</v>
      </c>
      <c r="S626" s="26">
        <f t="shared" si="918"/>
        <v>0</v>
      </c>
      <c r="T626" s="26" t="str">
        <f t="shared" si="919"/>
        <v/>
      </c>
      <c r="U626" s="26" t="str">
        <f t="shared" si="920"/>
        <v/>
      </c>
      <c r="V626" s="26" t="str">
        <f t="shared" si="921"/>
        <v/>
      </c>
      <c r="W626" s="27" t="str">
        <f t="shared" si="922"/>
        <v/>
      </c>
      <c r="X626" s="27" t="str">
        <f t="shared" si="923"/>
        <v/>
      </c>
      <c r="Y626" s="28" t="str">
        <f t="shared" si="924"/>
        <v/>
      </c>
      <c r="Z626" s="27" t="str">
        <f t="shared" si="925"/>
        <v/>
      </c>
      <c r="AA626" s="27" t="str">
        <f t="shared" si="926"/>
        <v/>
      </c>
      <c r="AB626" s="27" t="str">
        <f t="shared" si="927"/>
        <v/>
      </c>
      <c r="AC626" s="27" t="str">
        <f t="shared" si="928"/>
        <v/>
      </c>
      <c r="AD626" s="29" t="str">
        <f t="shared" si="929"/>
        <v/>
      </c>
      <c r="AE626" s="30" t="str">
        <f t="shared" si="930"/>
        <v/>
      </c>
      <c r="AG626" s="4"/>
      <c r="AH626" s="31" t="e">
        <f t="shared" si="931"/>
        <v>#VALUE!</v>
      </c>
      <c r="AI626" s="31" t="e">
        <f t="shared" si="932"/>
        <v>#VALUE!</v>
      </c>
      <c r="AJ626" s="31" t="e">
        <f t="shared" si="933"/>
        <v>#VALUE!</v>
      </c>
      <c r="AK626" s="31" t="e">
        <f t="shared" si="934"/>
        <v>#VALUE!</v>
      </c>
      <c r="AL626" s="31" t="e">
        <f t="shared" si="935"/>
        <v>#VALUE!</v>
      </c>
      <c r="AM626" s="31" t="e">
        <f t="shared" si="936"/>
        <v>#VALUE!</v>
      </c>
      <c r="AN626" s="32" t="str">
        <f t="shared" si="937"/>
        <v/>
      </c>
      <c r="AO626" s="27" t="str">
        <f t="shared" si="938"/>
        <v/>
      </c>
      <c r="AP626" s="27" t="str">
        <f t="shared" si="939"/>
        <v/>
      </c>
      <c r="AQ626" s="27">
        <f t="shared" si="940"/>
        <v>0</v>
      </c>
      <c r="AR626" s="27">
        <f t="shared" si="941"/>
        <v>0</v>
      </c>
      <c r="AS626" s="33">
        <f t="shared" si="942"/>
        <v>0</v>
      </c>
    </row>
    <row r="627" spans="2:45" hidden="1" x14ac:dyDescent="0.25">
      <c r="B627" s="34">
        <f t="shared" ref="B627:F627" si="958">IF(B626="","",B626)</f>
        <v>1720</v>
      </c>
      <c r="C627" s="26">
        <f t="shared" si="958"/>
        <v>18</v>
      </c>
      <c r="D627" s="26">
        <f t="shared" si="958"/>
        <v>500</v>
      </c>
      <c r="E627" s="26">
        <f t="shared" si="958"/>
        <v>0</v>
      </c>
      <c r="F627" s="26">
        <f t="shared" si="958"/>
        <v>-1150</v>
      </c>
      <c r="G627" s="24"/>
      <c r="H627" s="24"/>
      <c r="I627" s="24"/>
      <c r="J627" s="24"/>
      <c r="K627" s="24"/>
      <c r="L627" s="24"/>
      <c r="M627" s="44" t="str">
        <f t="shared" si="909"/>
        <v/>
      </c>
      <c r="N627" s="26" t="str">
        <f t="shared" si="913"/>
        <v/>
      </c>
      <c r="O627" s="26" t="str">
        <f t="shared" si="914"/>
        <v/>
      </c>
      <c r="P627" s="26" t="str">
        <f t="shared" si="915"/>
        <v/>
      </c>
      <c r="Q627" s="26">
        <f t="shared" si="916"/>
        <v>0</v>
      </c>
      <c r="R627" s="26">
        <f t="shared" si="917"/>
        <v>0</v>
      </c>
      <c r="S627" s="26">
        <f t="shared" si="918"/>
        <v>0</v>
      </c>
      <c r="T627" s="26" t="str">
        <f t="shared" si="919"/>
        <v/>
      </c>
      <c r="U627" s="26" t="str">
        <f t="shared" si="920"/>
        <v/>
      </c>
      <c r="V627" s="26" t="str">
        <f t="shared" si="921"/>
        <v/>
      </c>
      <c r="W627" s="27" t="str">
        <f t="shared" si="922"/>
        <v/>
      </c>
      <c r="X627" s="27" t="str">
        <f t="shared" si="923"/>
        <v/>
      </c>
      <c r="Y627" s="28" t="str">
        <f t="shared" si="924"/>
        <v/>
      </c>
      <c r="Z627" s="27" t="str">
        <f t="shared" si="925"/>
        <v/>
      </c>
      <c r="AA627" s="27" t="str">
        <f t="shared" si="926"/>
        <v/>
      </c>
      <c r="AB627" s="27" t="str">
        <f t="shared" si="927"/>
        <v/>
      </c>
      <c r="AC627" s="27" t="str">
        <f t="shared" si="928"/>
        <v/>
      </c>
      <c r="AD627" s="29" t="str">
        <f t="shared" si="929"/>
        <v/>
      </c>
      <c r="AE627" s="30" t="str">
        <f t="shared" si="930"/>
        <v/>
      </c>
      <c r="AG627" s="4"/>
      <c r="AH627" s="31" t="e">
        <f t="shared" si="931"/>
        <v>#VALUE!</v>
      </c>
      <c r="AI627" s="31" t="e">
        <f t="shared" si="932"/>
        <v>#VALUE!</v>
      </c>
      <c r="AJ627" s="31" t="e">
        <f t="shared" si="933"/>
        <v>#VALUE!</v>
      </c>
      <c r="AK627" s="31" t="e">
        <f t="shared" si="934"/>
        <v>#VALUE!</v>
      </c>
      <c r="AL627" s="31" t="e">
        <f t="shared" si="935"/>
        <v>#VALUE!</v>
      </c>
      <c r="AM627" s="31" t="e">
        <f t="shared" si="936"/>
        <v>#VALUE!</v>
      </c>
      <c r="AN627" s="32" t="str">
        <f t="shared" si="937"/>
        <v/>
      </c>
      <c r="AO627" s="27" t="str">
        <f t="shared" si="938"/>
        <v/>
      </c>
      <c r="AP627" s="27" t="str">
        <f t="shared" si="939"/>
        <v/>
      </c>
      <c r="AQ627" s="27">
        <f t="shared" si="940"/>
        <v>0</v>
      </c>
      <c r="AR627" s="27">
        <f t="shared" si="941"/>
        <v>0</v>
      </c>
      <c r="AS627" s="33">
        <f t="shared" si="942"/>
        <v>0</v>
      </c>
    </row>
    <row r="628" spans="2:45" hidden="1" x14ac:dyDescent="0.25">
      <c r="B628" s="34">
        <f t="shared" ref="B628:F628" si="959">IF(B627="","",B627)</f>
        <v>1720</v>
      </c>
      <c r="C628" s="26">
        <f t="shared" si="959"/>
        <v>18</v>
      </c>
      <c r="D628" s="26">
        <f t="shared" si="959"/>
        <v>500</v>
      </c>
      <c r="E628" s="26">
        <f t="shared" si="959"/>
        <v>0</v>
      </c>
      <c r="F628" s="26">
        <f t="shared" si="959"/>
        <v>-1150</v>
      </c>
      <c r="G628" s="24"/>
      <c r="H628" s="24"/>
      <c r="I628" s="24"/>
      <c r="J628" s="24"/>
      <c r="K628" s="24"/>
      <c r="L628" s="24"/>
      <c r="M628" s="44" t="str">
        <f t="shared" si="909"/>
        <v/>
      </c>
      <c r="N628" s="26" t="str">
        <f t="shared" si="913"/>
        <v/>
      </c>
      <c r="O628" s="26" t="str">
        <f t="shared" si="914"/>
        <v/>
      </c>
      <c r="P628" s="26" t="str">
        <f t="shared" si="915"/>
        <v/>
      </c>
      <c r="Q628" s="26">
        <f t="shared" si="916"/>
        <v>0</v>
      </c>
      <c r="R628" s="26">
        <f t="shared" si="917"/>
        <v>0</v>
      </c>
      <c r="S628" s="26">
        <f t="shared" si="918"/>
        <v>0</v>
      </c>
      <c r="T628" s="26" t="str">
        <f t="shared" si="919"/>
        <v/>
      </c>
      <c r="U628" s="26" t="str">
        <f t="shared" si="920"/>
        <v/>
      </c>
      <c r="V628" s="26" t="str">
        <f t="shared" si="921"/>
        <v/>
      </c>
      <c r="W628" s="27" t="str">
        <f t="shared" si="922"/>
        <v/>
      </c>
      <c r="X628" s="27" t="str">
        <f t="shared" si="923"/>
        <v/>
      </c>
      <c r="Y628" s="28" t="str">
        <f t="shared" si="924"/>
        <v/>
      </c>
      <c r="Z628" s="27" t="str">
        <f t="shared" si="925"/>
        <v/>
      </c>
      <c r="AA628" s="27" t="str">
        <f t="shared" si="926"/>
        <v/>
      </c>
      <c r="AB628" s="27" t="str">
        <f t="shared" si="927"/>
        <v/>
      </c>
      <c r="AC628" s="27" t="str">
        <f t="shared" si="928"/>
        <v/>
      </c>
      <c r="AD628" s="29" t="str">
        <f t="shared" si="929"/>
        <v/>
      </c>
      <c r="AE628" s="30" t="str">
        <f t="shared" si="930"/>
        <v/>
      </c>
      <c r="AG628" s="4"/>
      <c r="AH628" s="31" t="e">
        <f t="shared" si="931"/>
        <v>#VALUE!</v>
      </c>
      <c r="AI628" s="31" t="e">
        <f t="shared" si="932"/>
        <v>#VALUE!</v>
      </c>
      <c r="AJ628" s="31" t="e">
        <f t="shared" si="933"/>
        <v>#VALUE!</v>
      </c>
      <c r="AK628" s="31" t="e">
        <f t="shared" si="934"/>
        <v>#VALUE!</v>
      </c>
      <c r="AL628" s="31" t="e">
        <f t="shared" si="935"/>
        <v>#VALUE!</v>
      </c>
      <c r="AM628" s="31" t="e">
        <f t="shared" si="936"/>
        <v>#VALUE!</v>
      </c>
      <c r="AN628" s="32" t="str">
        <f t="shared" si="937"/>
        <v/>
      </c>
      <c r="AO628" s="27" t="str">
        <f t="shared" si="938"/>
        <v/>
      </c>
      <c r="AP628" s="27" t="str">
        <f t="shared" si="939"/>
        <v/>
      </c>
      <c r="AQ628" s="27">
        <f t="shared" si="940"/>
        <v>0</v>
      </c>
      <c r="AR628" s="27">
        <f t="shared" si="941"/>
        <v>0</v>
      </c>
      <c r="AS628" s="33">
        <f t="shared" si="942"/>
        <v>0</v>
      </c>
    </row>
    <row r="629" spans="2:45" hidden="1" x14ac:dyDescent="0.25">
      <c r="B629" s="34">
        <f t="shared" ref="B629:F629" si="960">IF(B628="","",B628)</f>
        <v>1720</v>
      </c>
      <c r="C629" s="26">
        <f t="shared" si="960"/>
        <v>18</v>
      </c>
      <c r="D629" s="26">
        <f t="shared" si="960"/>
        <v>500</v>
      </c>
      <c r="E629" s="26">
        <f t="shared" si="960"/>
        <v>0</v>
      </c>
      <c r="F629" s="26">
        <f t="shared" si="960"/>
        <v>-1150</v>
      </c>
      <c r="G629" s="24"/>
      <c r="H629" s="24"/>
      <c r="I629" s="24"/>
      <c r="J629" s="24"/>
      <c r="K629" s="24"/>
      <c r="L629" s="24"/>
      <c r="M629" s="44" t="str">
        <f t="shared" si="909"/>
        <v/>
      </c>
      <c r="N629" s="26" t="str">
        <f t="shared" si="913"/>
        <v/>
      </c>
      <c r="O629" s="26" t="str">
        <f t="shared" si="914"/>
        <v/>
      </c>
      <c r="P629" s="26" t="str">
        <f t="shared" si="915"/>
        <v/>
      </c>
      <c r="Q629" s="26">
        <f t="shared" si="916"/>
        <v>0</v>
      </c>
      <c r="R629" s="26">
        <f t="shared" si="917"/>
        <v>0</v>
      </c>
      <c r="S629" s="26">
        <f t="shared" si="918"/>
        <v>0</v>
      </c>
      <c r="T629" s="26" t="str">
        <f t="shared" si="919"/>
        <v/>
      </c>
      <c r="U629" s="26" t="str">
        <f t="shared" si="920"/>
        <v/>
      </c>
      <c r="V629" s="26" t="str">
        <f t="shared" si="921"/>
        <v/>
      </c>
      <c r="W629" s="27" t="str">
        <f t="shared" si="922"/>
        <v/>
      </c>
      <c r="X629" s="27" t="str">
        <f t="shared" si="923"/>
        <v/>
      </c>
      <c r="Y629" s="28" t="str">
        <f t="shared" si="924"/>
        <v/>
      </c>
      <c r="Z629" s="27" t="str">
        <f t="shared" si="925"/>
        <v/>
      </c>
      <c r="AA629" s="27" t="str">
        <f t="shared" si="926"/>
        <v/>
      </c>
      <c r="AB629" s="27" t="str">
        <f t="shared" si="927"/>
        <v/>
      </c>
      <c r="AC629" s="27" t="str">
        <f t="shared" si="928"/>
        <v/>
      </c>
      <c r="AD629" s="29" t="str">
        <f t="shared" si="929"/>
        <v/>
      </c>
      <c r="AE629" s="30" t="str">
        <f t="shared" si="930"/>
        <v/>
      </c>
      <c r="AG629" s="4"/>
      <c r="AH629" s="31" t="e">
        <f t="shared" si="931"/>
        <v>#VALUE!</v>
      </c>
      <c r="AI629" s="31" t="e">
        <f t="shared" si="932"/>
        <v>#VALUE!</v>
      </c>
      <c r="AJ629" s="31" t="e">
        <f t="shared" si="933"/>
        <v>#VALUE!</v>
      </c>
      <c r="AK629" s="31" t="e">
        <f t="shared" si="934"/>
        <v>#VALUE!</v>
      </c>
      <c r="AL629" s="31" t="e">
        <f t="shared" si="935"/>
        <v>#VALUE!</v>
      </c>
      <c r="AM629" s="31" t="e">
        <f t="shared" si="936"/>
        <v>#VALUE!</v>
      </c>
      <c r="AN629" s="32" t="str">
        <f t="shared" si="937"/>
        <v/>
      </c>
      <c r="AO629" s="27" t="str">
        <f t="shared" si="938"/>
        <v/>
      </c>
      <c r="AP629" s="27" t="str">
        <f t="shared" si="939"/>
        <v/>
      </c>
      <c r="AQ629" s="27">
        <f t="shared" si="940"/>
        <v>0</v>
      </c>
      <c r="AR629" s="27">
        <f t="shared" si="941"/>
        <v>0</v>
      </c>
      <c r="AS629" s="33">
        <f t="shared" si="942"/>
        <v>0</v>
      </c>
    </row>
    <row r="630" spans="2:45" hidden="1" x14ac:dyDescent="0.25">
      <c r="B630" s="34">
        <f t="shared" ref="B630:F630" si="961">IF(B629="","",B629)</f>
        <v>1720</v>
      </c>
      <c r="C630" s="26">
        <f t="shared" si="961"/>
        <v>18</v>
      </c>
      <c r="D630" s="26">
        <f t="shared" si="961"/>
        <v>500</v>
      </c>
      <c r="E630" s="26">
        <f t="shared" si="961"/>
        <v>0</v>
      </c>
      <c r="F630" s="26">
        <f t="shared" si="961"/>
        <v>-1150</v>
      </c>
      <c r="G630" s="24"/>
      <c r="H630" s="24"/>
      <c r="I630" s="24"/>
      <c r="J630" s="24"/>
      <c r="K630" s="24"/>
      <c r="L630" s="24"/>
      <c r="M630" s="44" t="str">
        <f t="shared" si="909"/>
        <v/>
      </c>
      <c r="N630" s="26" t="str">
        <f t="shared" si="913"/>
        <v/>
      </c>
      <c r="O630" s="26" t="str">
        <f t="shared" si="914"/>
        <v/>
      </c>
      <c r="P630" s="26" t="str">
        <f t="shared" si="915"/>
        <v/>
      </c>
      <c r="Q630" s="26">
        <f t="shared" si="916"/>
        <v>0</v>
      </c>
      <c r="R630" s="26">
        <f t="shared" si="917"/>
        <v>0</v>
      </c>
      <c r="S630" s="26">
        <f t="shared" si="918"/>
        <v>0</v>
      </c>
      <c r="T630" s="26" t="str">
        <f t="shared" si="919"/>
        <v/>
      </c>
      <c r="U630" s="26" t="str">
        <f t="shared" si="920"/>
        <v/>
      </c>
      <c r="V630" s="26" t="str">
        <f t="shared" si="921"/>
        <v/>
      </c>
      <c r="W630" s="27" t="str">
        <f t="shared" si="922"/>
        <v/>
      </c>
      <c r="X630" s="27" t="str">
        <f t="shared" si="923"/>
        <v/>
      </c>
      <c r="Y630" s="28" t="str">
        <f t="shared" si="924"/>
        <v/>
      </c>
      <c r="Z630" s="27" t="str">
        <f t="shared" si="925"/>
        <v/>
      </c>
      <c r="AA630" s="27" t="str">
        <f t="shared" si="926"/>
        <v/>
      </c>
      <c r="AB630" s="27" t="str">
        <f t="shared" si="927"/>
        <v/>
      </c>
      <c r="AC630" s="27" t="str">
        <f t="shared" si="928"/>
        <v/>
      </c>
      <c r="AD630" s="29" t="str">
        <f t="shared" si="929"/>
        <v/>
      </c>
      <c r="AE630" s="30" t="str">
        <f t="shared" si="930"/>
        <v/>
      </c>
      <c r="AG630" s="4"/>
      <c r="AH630" s="31" t="e">
        <f t="shared" si="931"/>
        <v>#VALUE!</v>
      </c>
      <c r="AI630" s="31" t="e">
        <f t="shared" si="932"/>
        <v>#VALUE!</v>
      </c>
      <c r="AJ630" s="31" t="e">
        <f t="shared" si="933"/>
        <v>#VALUE!</v>
      </c>
      <c r="AK630" s="31" t="e">
        <f t="shared" si="934"/>
        <v>#VALUE!</v>
      </c>
      <c r="AL630" s="31" t="e">
        <f t="shared" si="935"/>
        <v>#VALUE!</v>
      </c>
      <c r="AM630" s="31" t="e">
        <f t="shared" si="936"/>
        <v>#VALUE!</v>
      </c>
      <c r="AN630" s="32" t="str">
        <f t="shared" si="937"/>
        <v/>
      </c>
      <c r="AO630" s="27" t="str">
        <f t="shared" si="938"/>
        <v/>
      </c>
      <c r="AP630" s="27" t="str">
        <f t="shared" si="939"/>
        <v/>
      </c>
      <c r="AQ630" s="27">
        <f t="shared" si="940"/>
        <v>0</v>
      </c>
      <c r="AR630" s="27">
        <f t="shared" si="941"/>
        <v>0</v>
      </c>
      <c r="AS630" s="33">
        <f t="shared" si="942"/>
        <v>0</v>
      </c>
    </row>
    <row r="631" spans="2:45" ht="16.5" hidden="1" thickBot="1" x14ac:dyDescent="0.3">
      <c r="B631" s="35">
        <f>IF(B495="","",B495)</f>
        <v>1720</v>
      </c>
      <c r="C631" s="36">
        <f>IF(C495="","",C495)</f>
        <v>18</v>
      </c>
      <c r="D631" s="36">
        <f>IF(D495="","",D495)</f>
        <v>500</v>
      </c>
      <c r="E631" s="36">
        <f>IF(E495="","",E495)</f>
        <v>0</v>
      </c>
      <c r="F631" s="36">
        <f>IF(F495="","",F495)</f>
        <v>-1150</v>
      </c>
      <c r="G631" s="37"/>
      <c r="H631" s="37"/>
      <c r="I631" s="37"/>
      <c r="J631" s="37"/>
      <c r="K631" s="37"/>
      <c r="L631" s="37"/>
      <c r="M631" s="45" t="str">
        <f t="shared" ref="M631" si="962">IF(B631="","",IF(M475="","",M475))</f>
        <v/>
      </c>
      <c r="N631" s="36" t="str">
        <f t="shared" si="913"/>
        <v/>
      </c>
      <c r="O631" s="36" t="str">
        <f t="shared" si="914"/>
        <v/>
      </c>
      <c r="P631" s="36" t="str">
        <f t="shared" si="915"/>
        <v/>
      </c>
      <c r="Q631" s="36">
        <f t="shared" si="916"/>
        <v>0</v>
      </c>
      <c r="R631" s="36">
        <f t="shared" si="917"/>
        <v>0</v>
      </c>
      <c r="S631" s="36">
        <f t="shared" si="918"/>
        <v>0</v>
      </c>
      <c r="T631" s="36" t="str">
        <f t="shared" si="919"/>
        <v/>
      </c>
      <c r="U631" s="36" t="str">
        <f t="shared" si="920"/>
        <v/>
      </c>
      <c r="V631" s="36" t="str">
        <f t="shared" si="921"/>
        <v/>
      </c>
      <c r="W631" s="39" t="str">
        <f t="shared" si="922"/>
        <v/>
      </c>
      <c r="X631" s="39" t="str">
        <f t="shared" si="923"/>
        <v/>
      </c>
      <c r="Y631" s="40" t="str">
        <f t="shared" si="924"/>
        <v/>
      </c>
      <c r="Z631" s="39" t="str">
        <f t="shared" si="925"/>
        <v/>
      </c>
      <c r="AA631" s="39" t="str">
        <f t="shared" si="926"/>
        <v/>
      </c>
      <c r="AB631" s="39" t="str">
        <f t="shared" si="927"/>
        <v/>
      </c>
      <c r="AC631" s="39" t="str">
        <f t="shared" si="928"/>
        <v/>
      </c>
      <c r="AD631" s="65" t="str">
        <f t="shared" si="929"/>
        <v/>
      </c>
      <c r="AE631" s="41" t="str">
        <f t="shared" si="930"/>
        <v/>
      </c>
      <c r="AG631" s="4"/>
      <c r="AH631" s="31" t="e">
        <f t="shared" si="931"/>
        <v>#VALUE!</v>
      </c>
      <c r="AI631" s="31" t="e">
        <f t="shared" si="932"/>
        <v>#VALUE!</v>
      </c>
      <c r="AJ631" s="31" t="e">
        <f t="shared" si="933"/>
        <v>#VALUE!</v>
      </c>
      <c r="AK631" s="31" t="e">
        <f t="shared" si="934"/>
        <v>#VALUE!</v>
      </c>
      <c r="AL631" s="31" t="e">
        <f t="shared" si="935"/>
        <v>#VALUE!</v>
      </c>
      <c r="AM631" s="31" t="e">
        <f t="shared" si="936"/>
        <v>#VALUE!</v>
      </c>
      <c r="AN631" s="42" t="str">
        <f t="shared" si="937"/>
        <v/>
      </c>
      <c r="AO631" s="39" t="str">
        <f t="shared" si="938"/>
        <v/>
      </c>
      <c r="AP631" s="39" t="str">
        <f t="shared" si="939"/>
        <v/>
      </c>
      <c r="AQ631" s="39">
        <f t="shared" si="940"/>
        <v>0</v>
      </c>
      <c r="AR631" s="39">
        <f t="shared" si="941"/>
        <v>0</v>
      </c>
      <c r="AS631" s="43">
        <f t="shared" si="942"/>
        <v>0</v>
      </c>
    </row>
    <row r="632" spans="2:45" hidden="1" x14ac:dyDescent="0.25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N632" s="3"/>
      <c r="AO632" s="3"/>
      <c r="AP632" s="3"/>
      <c r="AQ632" s="3"/>
      <c r="AR632" s="3"/>
      <c r="AS632" s="3"/>
    </row>
    <row r="633" spans="2:45" ht="16.5" hidden="1" thickBot="1" x14ac:dyDescent="0.3"/>
    <row r="634" spans="2:45" ht="16.5" hidden="1" thickBot="1" x14ac:dyDescent="0.3">
      <c r="B634" s="107" t="s">
        <v>61</v>
      </c>
      <c r="C634" s="108"/>
      <c r="D634" s="109"/>
      <c r="E634" s="110"/>
      <c r="F634" s="111"/>
      <c r="G634" s="112" t="s">
        <v>62</v>
      </c>
      <c r="H634" s="108"/>
      <c r="I634" s="113"/>
      <c r="J634" s="114"/>
      <c r="K634" s="114"/>
      <c r="L634" s="115"/>
      <c r="M634" s="66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2:45" hidden="1" x14ac:dyDescent="0.25">
      <c r="B635" s="116" t="s">
        <v>14</v>
      </c>
      <c r="C635" s="119" t="s">
        <v>48</v>
      </c>
      <c r="D635" s="122" t="s">
        <v>16</v>
      </c>
      <c r="E635" s="122"/>
      <c r="F635" s="122"/>
      <c r="G635" s="122"/>
      <c r="H635" s="122"/>
      <c r="I635" s="122"/>
      <c r="J635" s="122"/>
      <c r="K635" s="122"/>
      <c r="L635" s="122"/>
      <c r="M635" s="119" t="s">
        <v>47</v>
      </c>
      <c r="N635" s="122" t="s">
        <v>17</v>
      </c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3" t="s">
        <v>63</v>
      </c>
      <c r="Z635" s="124"/>
      <c r="AA635" s="124"/>
      <c r="AB635" s="124"/>
      <c r="AC635" s="124"/>
      <c r="AD635" s="124"/>
      <c r="AE635" s="125"/>
      <c r="AF635" s="18"/>
      <c r="AG635" s="16"/>
      <c r="AH635" s="16"/>
      <c r="AI635" s="16"/>
      <c r="AJ635" s="16"/>
      <c r="AK635" s="16"/>
      <c r="AL635" s="16"/>
      <c r="AM635" s="16"/>
      <c r="AN635" s="130" t="s">
        <v>20</v>
      </c>
      <c r="AO635" s="131"/>
      <c r="AP635" s="132"/>
      <c r="AQ635" s="136" t="s">
        <v>31</v>
      </c>
      <c r="AR635" s="131"/>
      <c r="AS635" s="137"/>
    </row>
    <row r="636" spans="2:45" hidden="1" x14ac:dyDescent="0.25">
      <c r="B636" s="117"/>
      <c r="C636" s="120"/>
      <c r="D636" s="140" t="s">
        <v>18</v>
      </c>
      <c r="E636" s="140"/>
      <c r="F636" s="140"/>
      <c r="G636" s="141" t="s">
        <v>19</v>
      </c>
      <c r="H636" s="141"/>
      <c r="I636" s="141"/>
      <c r="J636" s="141"/>
      <c r="K636" s="141"/>
      <c r="L636" s="141"/>
      <c r="M636" s="120"/>
      <c r="N636" s="140" t="s">
        <v>18</v>
      </c>
      <c r="O636" s="140"/>
      <c r="P636" s="140"/>
      <c r="Q636" s="141" t="s">
        <v>19</v>
      </c>
      <c r="R636" s="141"/>
      <c r="S636" s="141"/>
      <c r="T636" s="141"/>
      <c r="U636" s="141"/>
      <c r="V636" s="141"/>
      <c r="W636" s="141"/>
      <c r="X636" s="141"/>
      <c r="Y636" s="126" t="s">
        <v>32</v>
      </c>
      <c r="Z636" s="126" t="s">
        <v>45</v>
      </c>
      <c r="AA636" s="126" t="s">
        <v>46</v>
      </c>
      <c r="AB636" s="142" t="s">
        <v>15</v>
      </c>
      <c r="AC636" s="126" t="s">
        <v>54</v>
      </c>
      <c r="AD636" s="126" t="s">
        <v>39</v>
      </c>
      <c r="AE636" s="128" t="s">
        <v>40</v>
      </c>
      <c r="AF636" s="18"/>
      <c r="AG636" s="16"/>
      <c r="AH636" s="16"/>
      <c r="AI636" s="16"/>
      <c r="AJ636" s="16"/>
      <c r="AK636" s="16"/>
      <c r="AL636" s="16"/>
      <c r="AM636" s="16"/>
      <c r="AN636" s="133"/>
      <c r="AO636" s="134"/>
      <c r="AP636" s="135"/>
      <c r="AQ636" s="138"/>
      <c r="AR636" s="134"/>
      <c r="AS636" s="139"/>
    </row>
    <row r="637" spans="2:45" hidden="1" x14ac:dyDescent="0.25">
      <c r="B637" s="118"/>
      <c r="C637" s="121"/>
      <c r="D637" s="19" t="s">
        <v>0</v>
      </c>
      <c r="E637" s="19" t="s">
        <v>1</v>
      </c>
      <c r="F637" s="19" t="s">
        <v>2</v>
      </c>
      <c r="G637" s="20" t="s">
        <v>4</v>
      </c>
      <c r="H637" s="20" t="s">
        <v>5</v>
      </c>
      <c r="I637" s="20" t="s">
        <v>6</v>
      </c>
      <c r="J637" s="20" t="s">
        <v>7</v>
      </c>
      <c r="K637" s="20" t="s">
        <v>8</v>
      </c>
      <c r="L637" s="20" t="s">
        <v>9</v>
      </c>
      <c r="M637" s="121"/>
      <c r="N637" s="19" t="s">
        <v>0</v>
      </c>
      <c r="O637" s="19" t="s">
        <v>1</v>
      </c>
      <c r="P637" s="19" t="s">
        <v>2</v>
      </c>
      <c r="Q637" s="20" t="s">
        <v>4</v>
      </c>
      <c r="R637" s="20" t="s">
        <v>5</v>
      </c>
      <c r="S637" s="20" t="s">
        <v>6</v>
      </c>
      <c r="T637" s="20" t="s">
        <v>7</v>
      </c>
      <c r="U637" s="20" t="s">
        <v>8</v>
      </c>
      <c r="V637" s="20" t="s">
        <v>9</v>
      </c>
      <c r="W637" s="20" t="s">
        <v>10</v>
      </c>
      <c r="X637" s="20" t="s">
        <v>11</v>
      </c>
      <c r="Y637" s="121"/>
      <c r="Z637" s="121"/>
      <c r="AA637" s="121"/>
      <c r="AB637" s="127"/>
      <c r="AC637" s="127"/>
      <c r="AD637" s="121"/>
      <c r="AE637" s="129"/>
      <c r="AF637" s="15"/>
      <c r="AG637" s="13"/>
      <c r="AH637" s="14" t="s">
        <v>55</v>
      </c>
      <c r="AI637" s="14" t="s">
        <v>56</v>
      </c>
      <c r="AJ637" s="14" t="s">
        <v>57</v>
      </c>
      <c r="AK637" s="14" t="s">
        <v>58</v>
      </c>
      <c r="AL637" s="14" t="s">
        <v>59</v>
      </c>
      <c r="AM637" s="14" t="s">
        <v>60</v>
      </c>
      <c r="AN637" s="21" t="s">
        <v>7</v>
      </c>
      <c r="AO637" s="20" t="s">
        <v>8</v>
      </c>
      <c r="AP637" s="20" t="s">
        <v>9</v>
      </c>
      <c r="AQ637" s="20" t="s">
        <v>7</v>
      </c>
      <c r="AR637" s="20" t="s">
        <v>8</v>
      </c>
      <c r="AS637" s="22" t="s">
        <v>9</v>
      </c>
    </row>
    <row r="638" spans="2:45" hidden="1" x14ac:dyDescent="0.25">
      <c r="B638" s="23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44" t="str">
        <f t="shared" ref="M638:M669" si="963">IF(B638="","",IF(M482="","",M482))</f>
        <v/>
      </c>
      <c r="N638" s="26" t="str">
        <f>IF($J$7="NO",IF(M638="","",IF($E$7="+X",D638,IF($E$7="-X",-D638,IF($E$7="+Z",F638,IF($E$7="-Z",-F638))))),IF(M638="","",IF($E$7="+X",D638,IF($E$7="-X",-D638,IF($E$7="+Y",E638,IF($E$7="-Y",-E638))))))</f>
        <v/>
      </c>
      <c r="O638" s="26" t="str">
        <f>IF($J$7="NO",IF(M638="","",E638),IF(M638="","",F638))</f>
        <v/>
      </c>
      <c r="P638" s="26" t="str">
        <f>IF($J$7="NO",IF(M638="","",IF($E$7="+X",F638,IF($E$7="-X",-F638,IF($E$7="+Z",-D638,IF($E$7="-Z",D638))))),IF(M638="","",IF($E$7="+X",-E638,IF($E$7="-X",E638,IF($E$7="+Y",D638,IF($E$7="-Y",-D638))))))</f>
        <v/>
      </c>
      <c r="Q638" s="26">
        <f>IF($J$7="NO",IF(M638="",0,IF($E$7="+X",G638,IF($E$7="-X",-G638,IF($E$7="+Z",I638,IF($E$7="-Z",-I638))))),IF(M638="",0,IF($E$7="+X",G638,IF($E$7="-X",-G638,IF($E$7="+Y",H638,IF($E$7="-Y",-H638))))))</f>
        <v>0</v>
      </c>
      <c r="R638" s="26">
        <f>IF($J$7="NO",IF(M638="",0,H638),IF(M638="",0,I638))</f>
        <v>0</v>
      </c>
      <c r="S638" s="26">
        <f>IF($J$7="NO",IF(M638="",0,IF($E$7="+X",I638,IF($E$7="-X",-I638,IF($E$7="+Z",-G638,IF($E$7="-Z",G638))))),IF(M638="",0,IF($E$7="+X",-H638,IF($E$7="-X",H638,IF($E$7="+Y",G638,IF($E$7="-Y",-G638))))))</f>
        <v>0</v>
      </c>
      <c r="T638" s="26" t="str">
        <f>IF($J$7="NO",IF(M638="","",IF($E$7="+X",J638,IF($E$7="-X",-J638,IF($E$7="+Z",L638,IF($E$7="-Z",-L638))))),IF(M638="","",IF($E$7="+X",J638,IF($E$7="-X",-J638,IF($E$7="+Y",K638,IF($E$7="-Y",-K638))))))</f>
        <v/>
      </c>
      <c r="U638" s="26" t="str">
        <f>IF($J$7="NO",IF(M638="","",K638),IF(M638="","",L638))</f>
        <v/>
      </c>
      <c r="V638" s="26" t="str">
        <f>IF($J$7="NO",IF(M638="","",IF($E$7="+X",L638,IF($E$7="-X",-L638,IF($E$7="+Z",-J638,IF($E$7="-Z",J638))))),IF(M638="","",IF($E$7="+X",-K638,IF($E$7="-X",K638,IF($E$7="+Y",J638,IF($E$7="-Y",-J638))))))</f>
        <v/>
      </c>
      <c r="W638" s="27" t="str">
        <f>IF(M638="","",SQRT(Q638^2+R638^2+S638^2))</f>
        <v/>
      </c>
      <c r="X638" s="27" t="str">
        <f>IF(M638="","",SQRT(T638^2+U638^2+V638^2))</f>
        <v/>
      </c>
      <c r="Y638" s="28" t="str">
        <f t="shared" ref="Y638" si="964">IF(M638="","",IF($C638&lt;=8,$C638,(16+$C638)/3))</f>
        <v/>
      </c>
      <c r="Z638" s="27" t="str">
        <f>IF(M638="","",W638*0.224808)</f>
        <v/>
      </c>
      <c r="AA638" s="27" t="str">
        <f>IF(M638="","",X638*0.737562)</f>
        <v/>
      </c>
      <c r="AB638" s="27" t="str">
        <f t="shared" ref="AB638" si="965">IF(M638="","",3*Z638+AA638)</f>
        <v/>
      </c>
      <c r="AC638" s="27" t="str">
        <f t="shared" ref="AC638" si="966">IF(M638="","",IF(M638="","",500*Y638*$O$7))</f>
        <v/>
      </c>
      <c r="AD638" s="29" t="str">
        <f t="shared" ref="AD638" si="967">IF(M638="","",IF(M638="","",AB638/AC638)*100)</f>
        <v/>
      </c>
      <c r="AE638" s="30" t="str">
        <f t="shared" ref="AE638" si="968">IF(M638="","",IF(AD638&lt;=100, "PASS","FAIL"))</f>
        <v/>
      </c>
      <c r="AG638" s="4"/>
      <c r="AH638" s="31" t="e">
        <f>Q638*O638/1000*VLOOKUP(_xlfn.CONCAT($AH$13,IF(Q638&gt;0,"+","-"),IF(O638&gt;0,"+","-")),$AV:$BA,6,0)</f>
        <v>#VALUE!</v>
      </c>
      <c r="AI638" s="31" t="e">
        <f>Q638*P638/1000*VLOOKUP(_xlfn.CONCAT($AI$13,IF(Q638&gt;0,"+","-"),IF(P638&gt;0,"+","-")),$AV:$BA,6,0)</f>
        <v>#VALUE!</v>
      </c>
      <c r="AJ638" s="31" t="e">
        <f>R638*N638/1000*VLOOKUP(_xlfn.CONCAT($AJ$13,IF(R638&gt;0,"+","-"),IF(N638&gt;0,"+","-")),$AV:$BA,6,0)</f>
        <v>#VALUE!</v>
      </c>
      <c r="AK638" s="31" t="e">
        <f>R638*P638/1000*VLOOKUP(_xlfn.CONCAT($AK$13,IF(R638&gt;0,"+","-"),IF(P638&gt;0,"+","-")),$AV:$BA,6,0)</f>
        <v>#VALUE!</v>
      </c>
      <c r="AL638" s="31" t="e">
        <f>S638*N638/1000*VLOOKUP(_xlfn.CONCAT($AL$13,IF(S638&gt;0,"+","-"),IF(N638&gt;0,"+","-")),$AV:$BA,6,0)</f>
        <v>#VALUE!</v>
      </c>
      <c r="AM638" s="31" t="e">
        <f>S638*O638/1000*VLOOKUP(_xlfn.CONCAT($AM$13,IF(S638&gt;0,"+","-"),IF(O638&gt;0,"+","-")),$AV:$BA,6,0)</f>
        <v>#VALUE!</v>
      </c>
      <c r="AN638" s="32" t="str">
        <f>IF($M638="","",AK638+AM638)</f>
        <v/>
      </c>
      <c r="AO638" s="27" t="str">
        <f>IF($M638="","",AI638+AL638)</f>
        <v/>
      </c>
      <c r="AP638" s="27" t="str">
        <f>IF($M638="","",AH638+AJ638)</f>
        <v/>
      </c>
      <c r="AQ638" s="27">
        <f t="shared" ref="AQ638" si="969">IF(M638="",0,AN638+T638)</f>
        <v>0</v>
      </c>
      <c r="AR638" s="27">
        <f t="shared" ref="AR638" si="970">IF(M638="",0,AO638+U638)</f>
        <v>0</v>
      </c>
      <c r="AS638" s="33">
        <f t="shared" ref="AS638" si="971">IF(M638="",0,AP638+V638)</f>
        <v>0</v>
      </c>
    </row>
    <row r="639" spans="2:45" hidden="1" x14ac:dyDescent="0.25">
      <c r="B639" s="34" t="str">
        <f>IF(B638="","",B638)</f>
        <v/>
      </c>
      <c r="C639" s="26" t="str">
        <f t="shared" ref="C639:F639" si="972">IF(C638="","",C638)</f>
        <v/>
      </c>
      <c r="D639" s="26" t="str">
        <f t="shared" si="972"/>
        <v/>
      </c>
      <c r="E639" s="26" t="str">
        <f t="shared" si="972"/>
        <v/>
      </c>
      <c r="F639" s="26" t="str">
        <f t="shared" si="972"/>
        <v/>
      </c>
      <c r="G639" s="24"/>
      <c r="H639" s="24"/>
      <c r="I639" s="24"/>
      <c r="J639" s="24"/>
      <c r="K639" s="24"/>
      <c r="L639" s="24"/>
      <c r="M639" s="44" t="str">
        <f t="shared" si="963"/>
        <v/>
      </c>
      <c r="N639" s="26" t="str">
        <f t="shared" ref="N639:N702" si="973">IF($J$7="NO",IF(M639="","",IF($E$7="+X",D639,IF($E$7="-X",-D639,IF($E$7="+Z",F639,IF($E$7="-Z",-F639))))),IF(M639="","",IF($E$7="+X",D639,IF($E$7="-X",-D639,IF($E$7="+Y",E639,IF($E$7="-Y",-E639))))))</f>
        <v/>
      </c>
      <c r="O639" s="26" t="str">
        <f t="shared" ref="O639:O702" si="974">IF($J$7="NO",IF(M639="","",E639),IF(M639="","",F639))</f>
        <v/>
      </c>
      <c r="P639" s="26" t="str">
        <f t="shared" ref="P639:P702" si="975">IF($J$7="NO",IF(M639="","",IF($E$7="+X",F639,IF($E$7="-X",-F639,IF($E$7="+Z",-D639,IF($E$7="-Z",D639))))),IF(M639="","",IF($E$7="+X",-E639,IF($E$7="-X",E639,IF($E$7="+Y",D639,IF($E$7="-Y",-D639))))))</f>
        <v/>
      </c>
      <c r="Q639" s="26">
        <f t="shared" ref="Q639:Q702" si="976">IF($J$7="NO",IF(M639="",0,IF($E$7="+X",G639,IF($E$7="-X",-G639,IF($E$7="+Z",I639,IF($E$7="-Z",-I639))))),IF(M639="",0,IF($E$7="+X",G639,IF($E$7="-X",-G639,IF($E$7="+Y",H639,IF($E$7="-Y",-H639))))))</f>
        <v>0</v>
      </c>
      <c r="R639" s="26">
        <f t="shared" ref="R639:R702" si="977">IF($J$7="NO",IF(M639="",0,H639),IF(M639="",0,I639))</f>
        <v>0</v>
      </c>
      <c r="S639" s="26">
        <f t="shared" ref="S639:S702" si="978">IF($J$7="NO",IF(M639="",0,IF($E$7="+X",I639,IF($E$7="-X",-I639,IF($E$7="+Z",-G639,IF($E$7="-Z",G639))))),IF(M639="",0,IF($E$7="+X",-H639,IF($E$7="-X",H639,IF($E$7="+Y",G639,IF($E$7="-Y",-G639))))))</f>
        <v>0</v>
      </c>
      <c r="T639" s="26" t="str">
        <f t="shared" ref="T639:T702" si="979">IF($J$7="NO",IF(M639="","",IF($E$7="+X",J639,IF($E$7="-X",-J639,IF($E$7="+Z",L639,IF($E$7="-Z",-L639))))),IF(M639="","",IF($E$7="+X",J639,IF($E$7="-X",-J639,IF($E$7="+Y",K639,IF($E$7="-Y",-K639))))))</f>
        <v/>
      </c>
      <c r="U639" s="26" t="str">
        <f t="shared" ref="U639:U702" si="980">IF($J$7="NO",IF(M639="","",K639),IF(M639="","",L639))</f>
        <v/>
      </c>
      <c r="V639" s="26" t="str">
        <f t="shared" ref="V639:V702" si="981">IF($J$7="NO",IF(M639="","",IF($E$7="+X",L639,IF($E$7="-X",-L639,IF($E$7="+Z",-J639,IF($E$7="-Z",J639))))),IF(M639="","",IF($E$7="+X",-K639,IF($E$7="-X",K639,IF($E$7="+Y",J639,IF($E$7="-Y",-J639))))))</f>
        <v/>
      </c>
      <c r="W639" s="27" t="str">
        <f t="shared" ref="W639:W702" si="982">IF(M639="","",SQRT(Q639^2+R639^2+S639^2))</f>
        <v/>
      </c>
      <c r="X639" s="27" t="str">
        <f t="shared" ref="X639:X702" si="983">IF(M639="","",SQRT(T639^2+U639^2+V639^2))</f>
        <v/>
      </c>
      <c r="Y639" s="28" t="str">
        <f t="shared" ref="Y639:Y702" si="984">IF(M639="","",IF($C639&lt;=8,$C639,(16+$C639)/3))</f>
        <v/>
      </c>
      <c r="Z639" s="27" t="str">
        <f t="shared" ref="Z639:Z702" si="985">IF(M639="","",W639*0.224808)</f>
        <v/>
      </c>
      <c r="AA639" s="27" t="str">
        <f t="shared" ref="AA639:AA702" si="986">IF(M639="","",X639*0.737562)</f>
        <v/>
      </c>
      <c r="AB639" s="27" t="str">
        <f t="shared" ref="AB639:AB702" si="987">IF(M639="","",3*Z639+AA639)</f>
        <v/>
      </c>
      <c r="AC639" s="27" t="str">
        <f t="shared" ref="AC639:AC702" si="988">IF(M639="","",IF(M639="","",500*Y639*$O$7))</f>
        <v/>
      </c>
      <c r="AD639" s="29" t="str">
        <f t="shared" ref="AD639:AD702" si="989">IF(M639="","",IF(M639="","",AB639/AC639)*100)</f>
        <v/>
      </c>
      <c r="AE639" s="30" t="str">
        <f t="shared" ref="AE639:AE702" si="990">IF(M639="","",IF(AD639&lt;=100, "PASS","FAIL"))</f>
        <v/>
      </c>
      <c r="AG639" s="4"/>
      <c r="AH639" s="31" t="e">
        <f t="shared" ref="AH639:AH702" si="991">Q639*O639/1000*VLOOKUP(_xlfn.CONCAT($AH$13,IF(Q639&gt;0,"+","-"),IF(O639&gt;0,"+","-")),$AV:$BA,6,0)</f>
        <v>#VALUE!</v>
      </c>
      <c r="AI639" s="31" t="e">
        <f t="shared" ref="AI639:AI702" si="992">Q639*P639/1000*VLOOKUP(_xlfn.CONCAT($AI$13,IF(Q639&gt;0,"+","-"),IF(P639&gt;0,"+","-")),$AV:$BA,6,0)</f>
        <v>#VALUE!</v>
      </c>
      <c r="AJ639" s="31" t="e">
        <f t="shared" ref="AJ639:AJ702" si="993">R639*N639/1000*VLOOKUP(_xlfn.CONCAT($AJ$13,IF(R639&gt;0,"+","-"),IF(N639&gt;0,"+","-")),$AV:$BA,6,0)</f>
        <v>#VALUE!</v>
      </c>
      <c r="AK639" s="31" t="e">
        <f t="shared" ref="AK639:AK702" si="994">R639*P639/1000*VLOOKUP(_xlfn.CONCAT($AK$13,IF(R639&gt;0,"+","-"),IF(P639&gt;0,"+","-")),$AV:$BA,6,0)</f>
        <v>#VALUE!</v>
      </c>
      <c r="AL639" s="31" t="e">
        <f t="shared" ref="AL639:AL702" si="995">S639*N639/1000*VLOOKUP(_xlfn.CONCAT($AL$13,IF(S639&gt;0,"+","-"),IF(N639&gt;0,"+","-")),$AV:$BA,6,0)</f>
        <v>#VALUE!</v>
      </c>
      <c r="AM639" s="31" t="e">
        <f t="shared" ref="AM639:AM702" si="996">S639*O639/1000*VLOOKUP(_xlfn.CONCAT($AM$13,IF(S639&gt;0,"+","-"),IF(O639&gt;0,"+","-")),$AV:$BA,6,0)</f>
        <v>#VALUE!</v>
      </c>
      <c r="AN639" s="32" t="str">
        <f t="shared" ref="AN639:AN702" si="997">IF($M639="","",AK639+AM639)</f>
        <v/>
      </c>
      <c r="AO639" s="27" t="str">
        <f t="shared" ref="AO639:AO702" si="998">IF($M639="","",AI639+AL639)</f>
        <v/>
      </c>
      <c r="AP639" s="27" t="str">
        <f t="shared" ref="AP639:AP702" si="999">IF($M639="","",AH639+AJ639)</f>
        <v/>
      </c>
      <c r="AQ639" s="27">
        <f t="shared" ref="AQ639:AQ702" si="1000">IF(M639="",0,AN639+T639)</f>
        <v>0</v>
      </c>
      <c r="AR639" s="27">
        <f t="shared" ref="AR639:AR702" si="1001">IF(M639="",0,AO639+U639)</f>
        <v>0</v>
      </c>
      <c r="AS639" s="33">
        <f t="shared" ref="AS639:AS702" si="1002">IF(M639="",0,AP639+V639)</f>
        <v>0</v>
      </c>
    </row>
    <row r="640" spans="2:45" hidden="1" x14ac:dyDescent="0.25">
      <c r="B640" s="34" t="str">
        <f t="shared" ref="B640:F651" si="1003">IF(B639="","",B639)</f>
        <v/>
      </c>
      <c r="C640" s="26" t="str">
        <f t="shared" si="1003"/>
        <v/>
      </c>
      <c r="D640" s="26" t="str">
        <f t="shared" si="1003"/>
        <v/>
      </c>
      <c r="E640" s="26" t="str">
        <f t="shared" si="1003"/>
        <v/>
      </c>
      <c r="F640" s="26" t="str">
        <f t="shared" si="1003"/>
        <v/>
      </c>
      <c r="G640" s="24"/>
      <c r="H640" s="24"/>
      <c r="I640" s="24"/>
      <c r="J640" s="24"/>
      <c r="K640" s="24"/>
      <c r="L640" s="24"/>
      <c r="M640" s="44" t="str">
        <f t="shared" si="963"/>
        <v/>
      </c>
      <c r="N640" s="26" t="str">
        <f t="shared" si="973"/>
        <v/>
      </c>
      <c r="O640" s="26" t="str">
        <f t="shared" si="974"/>
        <v/>
      </c>
      <c r="P640" s="26" t="str">
        <f t="shared" si="975"/>
        <v/>
      </c>
      <c r="Q640" s="26">
        <f t="shared" si="976"/>
        <v>0</v>
      </c>
      <c r="R640" s="26">
        <f t="shared" si="977"/>
        <v>0</v>
      </c>
      <c r="S640" s="26">
        <f t="shared" si="978"/>
        <v>0</v>
      </c>
      <c r="T640" s="26" t="str">
        <f t="shared" si="979"/>
        <v/>
      </c>
      <c r="U640" s="26" t="str">
        <f t="shared" si="980"/>
        <v/>
      </c>
      <c r="V640" s="26" t="str">
        <f t="shared" si="981"/>
        <v/>
      </c>
      <c r="W640" s="27" t="str">
        <f t="shared" si="982"/>
        <v/>
      </c>
      <c r="X640" s="27" t="str">
        <f t="shared" si="983"/>
        <v/>
      </c>
      <c r="Y640" s="28" t="str">
        <f t="shared" si="984"/>
        <v/>
      </c>
      <c r="Z640" s="27" t="str">
        <f t="shared" si="985"/>
        <v/>
      </c>
      <c r="AA640" s="27" t="str">
        <f t="shared" si="986"/>
        <v/>
      </c>
      <c r="AB640" s="27" t="str">
        <f t="shared" si="987"/>
        <v/>
      </c>
      <c r="AC640" s="27" t="str">
        <f t="shared" si="988"/>
        <v/>
      </c>
      <c r="AD640" s="29" t="str">
        <f t="shared" si="989"/>
        <v/>
      </c>
      <c r="AE640" s="30" t="str">
        <f t="shared" si="990"/>
        <v/>
      </c>
      <c r="AG640" s="4"/>
      <c r="AH640" s="31" t="e">
        <f t="shared" si="991"/>
        <v>#VALUE!</v>
      </c>
      <c r="AI640" s="31" t="e">
        <f t="shared" si="992"/>
        <v>#VALUE!</v>
      </c>
      <c r="AJ640" s="31" t="e">
        <f t="shared" si="993"/>
        <v>#VALUE!</v>
      </c>
      <c r="AK640" s="31" t="e">
        <f t="shared" si="994"/>
        <v>#VALUE!</v>
      </c>
      <c r="AL640" s="31" t="e">
        <f t="shared" si="995"/>
        <v>#VALUE!</v>
      </c>
      <c r="AM640" s="31" t="e">
        <f t="shared" si="996"/>
        <v>#VALUE!</v>
      </c>
      <c r="AN640" s="32" t="str">
        <f t="shared" si="997"/>
        <v/>
      </c>
      <c r="AO640" s="27" t="str">
        <f t="shared" si="998"/>
        <v/>
      </c>
      <c r="AP640" s="27" t="str">
        <f t="shared" si="999"/>
        <v/>
      </c>
      <c r="AQ640" s="27">
        <f t="shared" si="1000"/>
        <v>0</v>
      </c>
      <c r="AR640" s="27">
        <f t="shared" si="1001"/>
        <v>0</v>
      </c>
      <c r="AS640" s="33">
        <f t="shared" si="1002"/>
        <v>0</v>
      </c>
    </row>
    <row r="641" spans="2:45" hidden="1" x14ac:dyDescent="0.25">
      <c r="B641" s="34" t="str">
        <f t="shared" si="1003"/>
        <v/>
      </c>
      <c r="C641" s="26" t="str">
        <f t="shared" si="1003"/>
        <v/>
      </c>
      <c r="D641" s="26" t="str">
        <f t="shared" si="1003"/>
        <v/>
      </c>
      <c r="E641" s="26" t="str">
        <f t="shared" si="1003"/>
        <v/>
      </c>
      <c r="F641" s="26" t="str">
        <f t="shared" si="1003"/>
        <v/>
      </c>
      <c r="G641" s="24"/>
      <c r="H641" s="24"/>
      <c r="I641" s="24"/>
      <c r="J641" s="24"/>
      <c r="K641" s="24"/>
      <c r="L641" s="24"/>
      <c r="M641" s="44" t="str">
        <f t="shared" si="963"/>
        <v/>
      </c>
      <c r="N641" s="26" t="str">
        <f t="shared" si="973"/>
        <v/>
      </c>
      <c r="O641" s="26" t="str">
        <f t="shared" si="974"/>
        <v/>
      </c>
      <c r="P641" s="26" t="str">
        <f t="shared" si="975"/>
        <v/>
      </c>
      <c r="Q641" s="26">
        <f t="shared" si="976"/>
        <v>0</v>
      </c>
      <c r="R641" s="26">
        <f t="shared" si="977"/>
        <v>0</v>
      </c>
      <c r="S641" s="26">
        <f t="shared" si="978"/>
        <v>0</v>
      </c>
      <c r="T641" s="26" t="str">
        <f t="shared" si="979"/>
        <v/>
      </c>
      <c r="U641" s="26" t="str">
        <f t="shared" si="980"/>
        <v/>
      </c>
      <c r="V641" s="26" t="str">
        <f t="shared" si="981"/>
        <v/>
      </c>
      <c r="W641" s="27" t="str">
        <f t="shared" si="982"/>
        <v/>
      </c>
      <c r="X641" s="27" t="str">
        <f t="shared" si="983"/>
        <v/>
      </c>
      <c r="Y641" s="28" t="str">
        <f t="shared" si="984"/>
        <v/>
      </c>
      <c r="Z641" s="27" t="str">
        <f t="shared" si="985"/>
        <v/>
      </c>
      <c r="AA641" s="27" t="str">
        <f t="shared" si="986"/>
        <v/>
      </c>
      <c r="AB641" s="27" t="str">
        <f t="shared" si="987"/>
        <v/>
      </c>
      <c r="AC641" s="27" t="str">
        <f t="shared" si="988"/>
        <v/>
      </c>
      <c r="AD641" s="29" t="str">
        <f t="shared" si="989"/>
        <v/>
      </c>
      <c r="AE641" s="30" t="str">
        <f t="shared" si="990"/>
        <v/>
      </c>
      <c r="AG641" s="4"/>
      <c r="AH641" s="31" t="e">
        <f t="shared" si="991"/>
        <v>#VALUE!</v>
      </c>
      <c r="AI641" s="31" t="e">
        <f t="shared" si="992"/>
        <v>#VALUE!</v>
      </c>
      <c r="AJ641" s="31" t="e">
        <f t="shared" si="993"/>
        <v>#VALUE!</v>
      </c>
      <c r="AK641" s="31" t="e">
        <f t="shared" si="994"/>
        <v>#VALUE!</v>
      </c>
      <c r="AL641" s="31" t="e">
        <f t="shared" si="995"/>
        <v>#VALUE!</v>
      </c>
      <c r="AM641" s="31" t="e">
        <f t="shared" si="996"/>
        <v>#VALUE!</v>
      </c>
      <c r="AN641" s="32" t="str">
        <f t="shared" si="997"/>
        <v/>
      </c>
      <c r="AO641" s="27" t="str">
        <f t="shared" si="998"/>
        <v/>
      </c>
      <c r="AP641" s="27" t="str">
        <f t="shared" si="999"/>
        <v/>
      </c>
      <c r="AQ641" s="27">
        <f t="shared" si="1000"/>
        <v>0</v>
      </c>
      <c r="AR641" s="27">
        <f t="shared" si="1001"/>
        <v>0</v>
      </c>
      <c r="AS641" s="33">
        <f t="shared" si="1002"/>
        <v>0</v>
      </c>
    </row>
    <row r="642" spans="2:45" hidden="1" x14ac:dyDescent="0.25">
      <c r="B642" s="34" t="str">
        <f t="shared" si="1003"/>
        <v/>
      </c>
      <c r="C642" s="26" t="str">
        <f t="shared" si="1003"/>
        <v/>
      </c>
      <c r="D642" s="26" t="str">
        <f t="shared" si="1003"/>
        <v/>
      </c>
      <c r="E642" s="26" t="str">
        <f t="shared" si="1003"/>
        <v/>
      </c>
      <c r="F642" s="26" t="str">
        <f t="shared" si="1003"/>
        <v/>
      </c>
      <c r="G642" s="24"/>
      <c r="H642" s="24"/>
      <c r="I642" s="24"/>
      <c r="J642" s="24"/>
      <c r="K642" s="24"/>
      <c r="L642" s="24"/>
      <c r="M642" s="44" t="str">
        <f t="shared" si="963"/>
        <v/>
      </c>
      <c r="N642" s="26" t="str">
        <f t="shared" si="973"/>
        <v/>
      </c>
      <c r="O642" s="26" t="str">
        <f t="shared" si="974"/>
        <v/>
      </c>
      <c r="P642" s="26" t="str">
        <f t="shared" si="975"/>
        <v/>
      </c>
      <c r="Q642" s="26">
        <f t="shared" si="976"/>
        <v>0</v>
      </c>
      <c r="R642" s="26">
        <f t="shared" si="977"/>
        <v>0</v>
      </c>
      <c r="S642" s="26">
        <f t="shared" si="978"/>
        <v>0</v>
      </c>
      <c r="T642" s="26" t="str">
        <f t="shared" si="979"/>
        <v/>
      </c>
      <c r="U642" s="26" t="str">
        <f t="shared" si="980"/>
        <v/>
      </c>
      <c r="V642" s="26" t="str">
        <f t="shared" si="981"/>
        <v/>
      </c>
      <c r="W642" s="27" t="str">
        <f t="shared" si="982"/>
        <v/>
      </c>
      <c r="X642" s="27" t="str">
        <f t="shared" si="983"/>
        <v/>
      </c>
      <c r="Y642" s="28" t="str">
        <f t="shared" si="984"/>
        <v/>
      </c>
      <c r="Z642" s="27" t="str">
        <f t="shared" si="985"/>
        <v/>
      </c>
      <c r="AA642" s="27" t="str">
        <f t="shared" si="986"/>
        <v/>
      </c>
      <c r="AB642" s="27" t="str">
        <f t="shared" si="987"/>
        <v/>
      </c>
      <c r="AC642" s="27" t="str">
        <f t="shared" si="988"/>
        <v/>
      </c>
      <c r="AD642" s="29" t="str">
        <f t="shared" si="989"/>
        <v/>
      </c>
      <c r="AE642" s="30" t="str">
        <f t="shared" si="990"/>
        <v/>
      </c>
      <c r="AG642" s="4"/>
      <c r="AH642" s="31" t="e">
        <f t="shared" si="991"/>
        <v>#VALUE!</v>
      </c>
      <c r="AI642" s="31" t="e">
        <f t="shared" si="992"/>
        <v>#VALUE!</v>
      </c>
      <c r="AJ642" s="31" t="e">
        <f t="shared" si="993"/>
        <v>#VALUE!</v>
      </c>
      <c r="AK642" s="31" t="e">
        <f t="shared" si="994"/>
        <v>#VALUE!</v>
      </c>
      <c r="AL642" s="31" t="e">
        <f t="shared" si="995"/>
        <v>#VALUE!</v>
      </c>
      <c r="AM642" s="31" t="e">
        <f t="shared" si="996"/>
        <v>#VALUE!</v>
      </c>
      <c r="AN642" s="32" t="str">
        <f t="shared" si="997"/>
        <v/>
      </c>
      <c r="AO642" s="27" t="str">
        <f t="shared" si="998"/>
        <v/>
      </c>
      <c r="AP642" s="27" t="str">
        <f t="shared" si="999"/>
        <v/>
      </c>
      <c r="AQ642" s="27">
        <f t="shared" si="1000"/>
        <v>0</v>
      </c>
      <c r="AR642" s="27">
        <f t="shared" si="1001"/>
        <v>0</v>
      </c>
      <c r="AS642" s="33">
        <f t="shared" si="1002"/>
        <v>0</v>
      </c>
    </row>
    <row r="643" spans="2:45" hidden="1" x14ac:dyDescent="0.25">
      <c r="B643" s="34" t="str">
        <f t="shared" si="1003"/>
        <v/>
      </c>
      <c r="C643" s="26" t="str">
        <f t="shared" si="1003"/>
        <v/>
      </c>
      <c r="D643" s="26" t="str">
        <f t="shared" si="1003"/>
        <v/>
      </c>
      <c r="E643" s="26" t="str">
        <f t="shared" si="1003"/>
        <v/>
      </c>
      <c r="F643" s="26" t="str">
        <f t="shared" si="1003"/>
        <v/>
      </c>
      <c r="G643" s="24"/>
      <c r="H643" s="24"/>
      <c r="I643" s="24"/>
      <c r="J643" s="24"/>
      <c r="K643" s="24"/>
      <c r="L643" s="24"/>
      <c r="M643" s="44" t="str">
        <f t="shared" si="963"/>
        <v/>
      </c>
      <c r="N643" s="26" t="str">
        <f t="shared" si="973"/>
        <v/>
      </c>
      <c r="O643" s="26" t="str">
        <f t="shared" si="974"/>
        <v/>
      </c>
      <c r="P643" s="26" t="str">
        <f t="shared" si="975"/>
        <v/>
      </c>
      <c r="Q643" s="26">
        <f t="shared" si="976"/>
        <v>0</v>
      </c>
      <c r="R643" s="26">
        <f t="shared" si="977"/>
        <v>0</v>
      </c>
      <c r="S643" s="26">
        <f t="shared" si="978"/>
        <v>0</v>
      </c>
      <c r="T643" s="26" t="str">
        <f t="shared" si="979"/>
        <v/>
      </c>
      <c r="U643" s="26" t="str">
        <f t="shared" si="980"/>
        <v/>
      </c>
      <c r="V643" s="26" t="str">
        <f t="shared" si="981"/>
        <v/>
      </c>
      <c r="W643" s="27" t="str">
        <f t="shared" si="982"/>
        <v/>
      </c>
      <c r="X643" s="27" t="str">
        <f t="shared" si="983"/>
        <v/>
      </c>
      <c r="Y643" s="28" t="str">
        <f t="shared" si="984"/>
        <v/>
      </c>
      <c r="Z643" s="27" t="str">
        <f t="shared" si="985"/>
        <v/>
      </c>
      <c r="AA643" s="27" t="str">
        <f t="shared" si="986"/>
        <v/>
      </c>
      <c r="AB643" s="27" t="str">
        <f t="shared" si="987"/>
        <v/>
      </c>
      <c r="AC643" s="27" t="str">
        <f t="shared" si="988"/>
        <v/>
      </c>
      <c r="AD643" s="29" t="str">
        <f t="shared" si="989"/>
        <v/>
      </c>
      <c r="AE643" s="30" t="str">
        <f t="shared" si="990"/>
        <v/>
      </c>
      <c r="AG643" s="4"/>
      <c r="AH643" s="31" t="e">
        <f t="shared" si="991"/>
        <v>#VALUE!</v>
      </c>
      <c r="AI643" s="31" t="e">
        <f t="shared" si="992"/>
        <v>#VALUE!</v>
      </c>
      <c r="AJ643" s="31" t="e">
        <f t="shared" si="993"/>
        <v>#VALUE!</v>
      </c>
      <c r="AK643" s="31" t="e">
        <f t="shared" si="994"/>
        <v>#VALUE!</v>
      </c>
      <c r="AL643" s="31" t="e">
        <f t="shared" si="995"/>
        <v>#VALUE!</v>
      </c>
      <c r="AM643" s="31" t="e">
        <f t="shared" si="996"/>
        <v>#VALUE!</v>
      </c>
      <c r="AN643" s="32" t="str">
        <f t="shared" si="997"/>
        <v/>
      </c>
      <c r="AO643" s="27" t="str">
        <f t="shared" si="998"/>
        <v/>
      </c>
      <c r="AP643" s="27" t="str">
        <f t="shared" si="999"/>
        <v/>
      </c>
      <c r="AQ643" s="27">
        <f t="shared" si="1000"/>
        <v>0</v>
      </c>
      <c r="AR643" s="27">
        <f t="shared" si="1001"/>
        <v>0</v>
      </c>
      <c r="AS643" s="33">
        <f t="shared" si="1002"/>
        <v>0</v>
      </c>
    </row>
    <row r="644" spans="2:45" hidden="1" x14ac:dyDescent="0.25">
      <c r="B644" s="34" t="str">
        <f t="shared" si="1003"/>
        <v/>
      </c>
      <c r="C644" s="26" t="str">
        <f t="shared" si="1003"/>
        <v/>
      </c>
      <c r="D644" s="26" t="str">
        <f t="shared" si="1003"/>
        <v/>
      </c>
      <c r="E644" s="26" t="str">
        <f t="shared" si="1003"/>
        <v/>
      </c>
      <c r="F644" s="26" t="str">
        <f t="shared" si="1003"/>
        <v/>
      </c>
      <c r="G644" s="24"/>
      <c r="H644" s="24"/>
      <c r="I644" s="24"/>
      <c r="J644" s="24"/>
      <c r="K644" s="24"/>
      <c r="L644" s="24"/>
      <c r="M644" s="44" t="str">
        <f t="shared" si="963"/>
        <v/>
      </c>
      <c r="N644" s="26" t="str">
        <f t="shared" si="973"/>
        <v/>
      </c>
      <c r="O644" s="26" t="str">
        <f t="shared" si="974"/>
        <v/>
      </c>
      <c r="P644" s="26" t="str">
        <f t="shared" si="975"/>
        <v/>
      </c>
      <c r="Q644" s="26">
        <f t="shared" si="976"/>
        <v>0</v>
      </c>
      <c r="R644" s="26">
        <f t="shared" si="977"/>
        <v>0</v>
      </c>
      <c r="S644" s="26">
        <f t="shared" si="978"/>
        <v>0</v>
      </c>
      <c r="T644" s="26" t="str">
        <f t="shared" si="979"/>
        <v/>
      </c>
      <c r="U644" s="26" t="str">
        <f t="shared" si="980"/>
        <v/>
      </c>
      <c r="V644" s="26" t="str">
        <f t="shared" si="981"/>
        <v/>
      </c>
      <c r="W644" s="27" t="str">
        <f t="shared" si="982"/>
        <v/>
      </c>
      <c r="X644" s="27" t="str">
        <f t="shared" si="983"/>
        <v/>
      </c>
      <c r="Y644" s="28" t="str">
        <f t="shared" si="984"/>
        <v/>
      </c>
      <c r="Z644" s="27" t="str">
        <f t="shared" si="985"/>
        <v/>
      </c>
      <c r="AA644" s="27" t="str">
        <f t="shared" si="986"/>
        <v/>
      </c>
      <c r="AB644" s="27" t="str">
        <f t="shared" si="987"/>
        <v/>
      </c>
      <c r="AC644" s="27" t="str">
        <f t="shared" si="988"/>
        <v/>
      </c>
      <c r="AD644" s="29" t="str">
        <f t="shared" si="989"/>
        <v/>
      </c>
      <c r="AE644" s="30" t="str">
        <f t="shared" si="990"/>
        <v/>
      </c>
      <c r="AG644" s="4"/>
      <c r="AH644" s="31" t="e">
        <f t="shared" si="991"/>
        <v>#VALUE!</v>
      </c>
      <c r="AI644" s="31" t="e">
        <f t="shared" si="992"/>
        <v>#VALUE!</v>
      </c>
      <c r="AJ644" s="31" t="e">
        <f t="shared" si="993"/>
        <v>#VALUE!</v>
      </c>
      <c r="AK644" s="31" t="e">
        <f t="shared" si="994"/>
        <v>#VALUE!</v>
      </c>
      <c r="AL644" s="31" t="e">
        <f t="shared" si="995"/>
        <v>#VALUE!</v>
      </c>
      <c r="AM644" s="31" t="e">
        <f t="shared" si="996"/>
        <v>#VALUE!</v>
      </c>
      <c r="AN644" s="32" t="str">
        <f t="shared" si="997"/>
        <v/>
      </c>
      <c r="AO644" s="27" t="str">
        <f t="shared" si="998"/>
        <v/>
      </c>
      <c r="AP644" s="27" t="str">
        <f t="shared" si="999"/>
        <v/>
      </c>
      <c r="AQ644" s="27">
        <f t="shared" si="1000"/>
        <v>0</v>
      </c>
      <c r="AR644" s="27">
        <f t="shared" si="1001"/>
        <v>0</v>
      </c>
      <c r="AS644" s="33">
        <f t="shared" si="1002"/>
        <v>0</v>
      </c>
    </row>
    <row r="645" spans="2:45" hidden="1" x14ac:dyDescent="0.25">
      <c r="B645" s="34" t="str">
        <f t="shared" si="1003"/>
        <v/>
      </c>
      <c r="C645" s="26" t="str">
        <f t="shared" si="1003"/>
        <v/>
      </c>
      <c r="D645" s="26" t="str">
        <f t="shared" si="1003"/>
        <v/>
      </c>
      <c r="E645" s="26" t="str">
        <f t="shared" si="1003"/>
        <v/>
      </c>
      <c r="F645" s="26" t="str">
        <f t="shared" si="1003"/>
        <v/>
      </c>
      <c r="G645" s="24"/>
      <c r="H645" s="24"/>
      <c r="I645" s="24"/>
      <c r="J645" s="24"/>
      <c r="K645" s="24"/>
      <c r="L645" s="24"/>
      <c r="M645" s="44" t="str">
        <f t="shared" si="963"/>
        <v/>
      </c>
      <c r="N645" s="26" t="str">
        <f t="shared" si="973"/>
        <v/>
      </c>
      <c r="O645" s="26" t="str">
        <f t="shared" si="974"/>
        <v/>
      </c>
      <c r="P645" s="26" t="str">
        <f t="shared" si="975"/>
        <v/>
      </c>
      <c r="Q645" s="26">
        <f t="shared" si="976"/>
        <v>0</v>
      </c>
      <c r="R645" s="26">
        <f t="shared" si="977"/>
        <v>0</v>
      </c>
      <c r="S645" s="26">
        <f t="shared" si="978"/>
        <v>0</v>
      </c>
      <c r="T645" s="26" t="str">
        <f t="shared" si="979"/>
        <v/>
      </c>
      <c r="U645" s="26" t="str">
        <f t="shared" si="980"/>
        <v/>
      </c>
      <c r="V645" s="26" t="str">
        <f t="shared" si="981"/>
        <v/>
      </c>
      <c r="W645" s="27" t="str">
        <f t="shared" si="982"/>
        <v/>
      </c>
      <c r="X645" s="27" t="str">
        <f t="shared" si="983"/>
        <v/>
      </c>
      <c r="Y645" s="28" t="str">
        <f t="shared" si="984"/>
        <v/>
      </c>
      <c r="Z645" s="27" t="str">
        <f t="shared" si="985"/>
        <v/>
      </c>
      <c r="AA645" s="27" t="str">
        <f t="shared" si="986"/>
        <v/>
      </c>
      <c r="AB645" s="27" t="str">
        <f t="shared" si="987"/>
        <v/>
      </c>
      <c r="AC645" s="27" t="str">
        <f t="shared" si="988"/>
        <v/>
      </c>
      <c r="AD645" s="29" t="str">
        <f t="shared" si="989"/>
        <v/>
      </c>
      <c r="AE645" s="30" t="str">
        <f t="shared" si="990"/>
        <v/>
      </c>
      <c r="AG645" s="4"/>
      <c r="AH645" s="31" t="e">
        <f t="shared" si="991"/>
        <v>#VALUE!</v>
      </c>
      <c r="AI645" s="31" t="e">
        <f t="shared" si="992"/>
        <v>#VALUE!</v>
      </c>
      <c r="AJ645" s="31" t="e">
        <f t="shared" si="993"/>
        <v>#VALUE!</v>
      </c>
      <c r="AK645" s="31" t="e">
        <f t="shared" si="994"/>
        <v>#VALUE!</v>
      </c>
      <c r="AL645" s="31" t="e">
        <f t="shared" si="995"/>
        <v>#VALUE!</v>
      </c>
      <c r="AM645" s="31" t="e">
        <f t="shared" si="996"/>
        <v>#VALUE!</v>
      </c>
      <c r="AN645" s="32" t="str">
        <f t="shared" si="997"/>
        <v/>
      </c>
      <c r="AO645" s="27" t="str">
        <f t="shared" si="998"/>
        <v/>
      </c>
      <c r="AP645" s="27" t="str">
        <f t="shared" si="999"/>
        <v/>
      </c>
      <c r="AQ645" s="27">
        <f t="shared" si="1000"/>
        <v>0</v>
      </c>
      <c r="AR645" s="27">
        <f t="shared" si="1001"/>
        <v>0</v>
      </c>
      <c r="AS645" s="33">
        <f t="shared" si="1002"/>
        <v>0</v>
      </c>
    </row>
    <row r="646" spans="2:45" hidden="1" x14ac:dyDescent="0.25">
      <c r="B646" s="34" t="str">
        <f t="shared" si="1003"/>
        <v/>
      </c>
      <c r="C646" s="26" t="str">
        <f t="shared" si="1003"/>
        <v/>
      </c>
      <c r="D646" s="26" t="str">
        <f t="shared" si="1003"/>
        <v/>
      </c>
      <c r="E646" s="26" t="str">
        <f t="shared" si="1003"/>
        <v/>
      </c>
      <c r="F646" s="26" t="str">
        <f t="shared" si="1003"/>
        <v/>
      </c>
      <c r="G646" s="24"/>
      <c r="H646" s="24"/>
      <c r="I646" s="24"/>
      <c r="J646" s="24"/>
      <c r="K646" s="24"/>
      <c r="L646" s="24"/>
      <c r="M646" s="44" t="str">
        <f t="shared" si="963"/>
        <v/>
      </c>
      <c r="N646" s="26" t="str">
        <f t="shared" si="973"/>
        <v/>
      </c>
      <c r="O646" s="26" t="str">
        <f t="shared" si="974"/>
        <v/>
      </c>
      <c r="P646" s="26" t="str">
        <f t="shared" si="975"/>
        <v/>
      </c>
      <c r="Q646" s="26">
        <f t="shared" si="976"/>
        <v>0</v>
      </c>
      <c r="R646" s="26">
        <f t="shared" si="977"/>
        <v>0</v>
      </c>
      <c r="S646" s="26">
        <f t="shared" si="978"/>
        <v>0</v>
      </c>
      <c r="T646" s="26" t="str">
        <f t="shared" si="979"/>
        <v/>
      </c>
      <c r="U646" s="26" t="str">
        <f t="shared" si="980"/>
        <v/>
      </c>
      <c r="V646" s="26" t="str">
        <f t="shared" si="981"/>
        <v/>
      </c>
      <c r="W646" s="27" t="str">
        <f t="shared" si="982"/>
        <v/>
      </c>
      <c r="X646" s="27" t="str">
        <f t="shared" si="983"/>
        <v/>
      </c>
      <c r="Y646" s="28" t="str">
        <f t="shared" si="984"/>
        <v/>
      </c>
      <c r="Z646" s="27" t="str">
        <f t="shared" si="985"/>
        <v/>
      </c>
      <c r="AA646" s="27" t="str">
        <f t="shared" si="986"/>
        <v/>
      </c>
      <c r="AB646" s="27" t="str">
        <f t="shared" si="987"/>
        <v/>
      </c>
      <c r="AC646" s="27" t="str">
        <f t="shared" si="988"/>
        <v/>
      </c>
      <c r="AD646" s="29" t="str">
        <f t="shared" si="989"/>
        <v/>
      </c>
      <c r="AE646" s="30" t="str">
        <f t="shared" si="990"/>
        <v/>
      </c>
      <c r="AG646" s="4"/>
      <c r="AH646" s="31" t="e">
        <f t="shared" si="991"/>
        <v>#VALUE!</v>
      </c>
      <c r="AI646" s="31" t="e">
        <f t="shared" si="992"/>
        <v>#VALUE!</v>
      </c>
      <c r="AJ646" s="31" t="e">
        <f t="shared" si="993"/>
        <v>#VALUE!</v>
      </c>
      <c r="AK646" s="31" t="e">
        <f t="shared" si="994"/>
        <v>#VALUE!</v>
      </c>
      <c r="AL646" s="31" t="e">
        <f t="shared" si="995"/>
        <v>#VALUE!</v>
      </c>
      <c r="AM646" s="31" t="e">
        <f t="shared" si="996"/>
        <v>#VALUE!</v>
      </c>
      <c r="AN646" s="32" t="str">
        <f t="shared" si="997"/>
        <v/>
      </c>
      <c r="AO646" s="27" t="str">
        <f t="shared" si="998"/>
        <v/>
      </c>
      <c r="AP646" s="27" t="str">
        <f t="shared" si="999"/>
        <v/>
      </c>
      <c r="AQ646" s="27">
        <f t="shared" si="1000"/>
        <v>0</v>
      </c>
      <c r="AR646" s="27">
        <f t="shared" si="1001"/>
        <v>0</v>
      </c>
      <c r="AS646" s="33">
        <f t="shared" si="1002"/>
        <v>0</v>
      </c>
    </row>
    <row r="647" spans="2:45" hidden="1" x14ac:dyDescent="0.25">
      <c r="B647" s="34" t="str">
        <f t="shared" si="1003"/>
        <v/>
      </c>
      <c r="C647" s="26" t="str">
        <f t="shared" si="1003"/>
        <v/>
      </c>
      <c r="D647" s="26" t="str">
        <f t="shared" si="1003"/>
        <v/>
      </c>
      <c r="E647" s="26" t="str">
        <f t="shared" si="1003"/>
        <v/>
      </c>
      <c r="F647" s="26" t="str">
        <f t="shared" si="1003"/>
        <v/>
      </c>
      <c r="G647" s="24"/>
      <c r="H647" s="24"/>
      <c r="I647" s="24"/>
      <c r="J647" s="24"/>
      <c r="K647" s="24"/>
      <c r="L647" s="24"/>
      <c r="M647" s="44" t="str">
        <f t="shared" si="963"/>
        <v/>
      </c>
      <c r="N647" s="26" t="str">
        <f t="shared" si="973"/>
        <v/>
      </c>
      <c r="O647" s="26" t="str">
        <f t="shared" si="974"/>
        <v/>
      </c>
      <c r="P647" s="26" t="str">
        <f t="shared" si="975"/>
        <v/>
      </c>
      <c r="Q647" s="26">
        <f t="shared" si="976"/>
        <v>0</v>
      </c>
      <c r="R647" s="26">
        <f t="shared" si="977"/>
        <v>0</v>
      </c>
      <c r="S647" s="26">
        <f t="shared" si="978"/>
        <v>0</v>
      </c>
      <c r="T647" s="26" t="str">
        <f t="shared" si="979"/>
        <v/>
      </c>
      <c r="U647" s="26" t="str">
        <f t="shared" si="980"/>
        <v/>
      </c>
      <c r="V647" s="26" t="str">
        <f t="shared" si="981"/>
        <v/>
      </c>
      <c r="W647" s="27" t="str">
        <f t="shared" si="982"/>
        <v/>
      </c>
      <c r="X647" s="27" t="str">
        <f t="shared" si="983"/>
        <v/>
      </c>
      <c r="Y647" s="28" t="str">
        <f t="shared" si="984"/>
        <v/>
      </c>
      <c r="Z647" s="27" t="str">
        <f t="shared" si="985"/>
        <v/>
      </c>
      <c r="AA647" s="27" t="str">
        <f t="shared" si="986"/>
        <v/>
      </c>
      <c r="AB647" s="27" t="str">
        <f t="shared" si="987"/>
        <v/>
      </c>
      <c r="AC647" s="27" t="str">
        <f t="shared" si="988"/>
        <v/>
      </c>
      <c r="AD647" s="29" t="str">
        <f t="shared" si="989"/>
        <v/>
      </c>
      <c r="AE647" s="30" t="str">
        <f t="shared" si="990"/>
        <v/>
      </c>
      <c r="AG647" s="4"/>
      <c r="AH647" s="31" t="e">
        <f t="shared" si="991"/>
        <v>#VALUE!</v>
      </c>
      <c r="AI647" s="31" t="e">
        <f t="shared" si="992"/>
        <v>#VALUE!</v>
      </c>
      <c r="AJ647" s="31" t="e">
        <f t="shared" si="993"/>
        <v>#VALUE!</v>
      </c>
      <c r="AK647" s="31" t="e">
        <f t="shared" si="994"/>
        <v>#VALUE!</v>
      </c>
      <c r="AL647" s="31" t="e">
        <f t="shared" si="995"/>
        <v>#VALUE!</v>
      </c>
      <c r="AM647" s="31" t="e">
        <f t="shared" si="996"/>
        <v>#VALUE!</v>
      </c>
      <c r="AN647" s="32" t="str">
        <f t="shared" si="997"/>
        <v/>
      </c>
      <c r="AO647" s="27" t="str">
        <f t="shared" si="998"/>
        <v/>
      </c>
      <c r="AP647" s="27" t="str">
        <f t="shared" si="999"/>
        <v/>
      </c>
      <c r="AQ647" s="27">
        <f t="shared" si="1000"/>
        <v>0</v>
      </c>
      <c r="AR647" s="27">
        <f t="shared" si="1001"/>
        <v>0</v>
      </c>
      <c r="AS647" s="33">
        <f t="shared" si="1002"/>
        <v>0</v>
      </c>
    </row>
    <row r="648" spans="2:45" hidden="1" x14ac:dyDescent="0.25">
      <c r="B648" s="34" t="str">
        <f t="shared" si="1003"/>
        <v/>
      </c>
      <c r="C648" s="26" t="str">
        <f t="shared" si="1003"/>
        <v/>
      </c>
      <c r="D648" s="26" t="str">
        <f t="shared" si="1003"/>
        <v/>
      </c>
      <c r="E648" s="26" t="str">
        <f t="shared" si="1003"/>
        <v/>
      </c>
      <c r="F648" s="26" t="str">
        <f t="shared" si="1003"/>
        <v/>
      </c>
      <c r="G648" s="24"/>
      <c r="H648" s="24"/>
      <c r="I648" s="24"/>
      <c r="J648" s="24"/>
      <c r="K648" s="24"/>
      <c r="L648" s="24"/>
      <c r="M648" s="44" t="str">
        <f t="shared" si="963"/>
        <v/>
      </c>
      <c r="N648" s="26" t="str">
        <f t="shared" si="973"/>
        <v/>
      </c>
      <c r="O648" s="26" t="str">
        <f t="shared" si="974"/>
        <v/>
      </c>
      <c r="P648" s="26" t="str">
        <f t="shared" si="975"/>
        <v/>
      </c>
      <c r="Q648" s="26">
        <f t="shared" si="976"/>
        <v>0</v>
      </c>
      <c r="R648" s="26">
        <f t="shared" si="977"/>
        <v>0</v>
      </c>
      <c r="S648" s="26">
        <f t="shared" si="978"/>
        <v>0</v>
      </c>
      <c r="T648" s="26" t="str">
        <f t="shared" si="979"/>
        <v/>
      </c>
      <c r="U648" s="26" t="str">
        <f t="shared" si="980"/>
        <v/>
      </c>
      <c r="V648" s="26" t="str">
        <f t="shared" si="981"/>
        <v/>
      </c>
      <c r="W648" s="27" t="str">
        <f t="shared" si="982"/>
        <v/>
      </c>
      <c r="X648" s="27" t="str">
        <f t="shared" si="983"/>
        <v/>
      </c>
      <c r="Y648" s="28" t="str">
        <f t="shared" si="984"/>
        <v/>
      </c>
      <c r="Z648" s="27" t="str">
        <f t="shared" si="985"/>
        <v/>
      </c>
      <c r="AA648" s="27" t="str">
        <f t="shared" si="986"/>
        <v/>
      </c>
      <c r="AB648" s="27" t="str">
        <f t="shared" si="987"/>
        <v/>
      </c>
      <c r="AC648" s="27" t="str">
        <f t="shared" si="988"/>
        <v/>
      </c>
      <c r="AD648" s="29" t="str">
        <f t="shared" si="989"/>
        <v/>
      </c>
      <c r="AE648" s="30" t="str">
        <f t="shared" si="990"/>
        <v/>
      </c>
      <c r="AG648" s="4"/>
      <c r="AH648" s="31" t="e">
        <f t="shared" si="991"/>
        <v>#VALUE!</v>
      </c>
      <c r="AI648" s="31" t="e">
        <f t="shared" si="992"/>
        <v>#VALUE!</v>
      </c>
      <c r="AJ648" s="31" t="e">
        <f t="shared" si="993"/>
        <v>#VALUE!</v>
      </c>
      <c r="AK648" s="31" t="e">
        <f t="shared" si="994"/>
        <v>#VALUE!</v>
      </c>
      <c r="AL648" s="31" t="e">
        <f t="shared" si="995"/>
        <v>#VALUE!</v>
      </c>
      <c r="AM648" s="31" t="e">
        <f t="shared" si="996"/>
        <v>#VALUE!</v>
      </c>
      <c r="AN648" s="32" t="str">
        <f t="shared" si="997"/>
        <v/>
      </c>
      <c r="AO648" s="27" t="str">
        <f t="shared" si="998"/>
        <v/>
      </c>
      <c r="AP648" s="27" t="str">
        <f t="shared" si="999"/>
        <v/>
      </c>
      <c r="AQ648" s="27">
        <f t="shared" si="1000"/>
        <v>0</v>
      </c>
      <c r="AR648" s="27">
        <f t="shared" si="1001"/>
        <v>0</v>
      </c>
      <c r="AS648" s="33">
        <f t="shared" si="1002"/>
        <v>0</v>
      </c>
    </row>
    <row r="649" spans="2:45" hidden="1" x14ac:dyDescent="0.25">
      <c r="B649" s="34" t="str">
        <f t="shared" si="1003"/>
        <v/>
      </c>
      <c r="C649" s="26" t="str">
        <f t="shared" si="1003"/>
        <v/>
      </c>
      <c r="D649" s="26" t="str">
        <f t="shared" si="1003"/>
        <v/>
      </c>
      <c r="E649" s="26" t="str">
        <f t="shared" si="1003"/>
        <v/>
      </c>
      <c r="F649" s="26" t="str">
        <f t="shared" si="1003"/>
        <v/>
      </c>
      <c r="G649" s="24"/>
      <c r="H649" s="24"/>
      <c r="I649" s="24"/>
      <c r="J649" s="24"/>
      <c r="K649" s="24"/>
      <c r="L649" s="24"/>
      <c r="M649" s="44" t="str">
        <f t="shared" si="963"/>
        <v/>
      </c>
      <c r="N649" s="26" t="str">
        <f t="shared" si="973"/>
        <v/>
      </c>
      <c r="O649" s="26" t="str">
        <f t="shared" si="974"/>
        <v/>
      </c>
      <c r="P649" s="26" t="str">
        <f t="shared" si="975"/>
        <v/>
      </c>
      <c r="Q649" s="26">
        <f t="shared" si="976"/>
        <v>0</v>
      </c>
      <c r="R649" s="26">
        <f t="shared" si="977"/>
        <v>0</v>
      </c>
      <c r="S649" s="26">
        <f t="shared" si="978"/>
        <v>0</v>
      </c>
      <c r="T649" s="26" t="str">
        <f t="shared" si="979"/>
        <v/>
      </c>
      <c r="U649" s="26" t="str">
        <f t="shared" si="980"/>
        <v/>
      </c>
      <c r="V649" s="26" t="str">
        <f t="shared" si="981"/>
        <v/>
      </c>
      <c r="W649" s="27" t="str">
        <f t="shared" si="982"/>
        <v/>
      </c>
      <c r="X649" s="27" t="str">
        <f t="shared" si="983"/>
        <v/>
      </c>
      <c r="Y649" s="28" t="str">
        <f t="shared" si="984"/>
        <v/>
      </c>
      <c r="Z649" s="27" t="str">
        <f t="shared" si="985"/>
        <v/>
      </c>
      <c r="AA649" s="27" t="str">
        <f t="shared" si="986"/>
        <v/>
      </c>
      <c r="AB649" s="27" t="str">
        <f t="shared" si="987"/>
        <v/>
      </c>
      <c r="AC649" s="27" t="str">
        <f t="shared" si="988"/>
        <v/>
      </c>
      <c r="AD649" s="29" t="str">
        <f t="shared" si="989"/>
        <v/>
      </c>
      <c r="AE649" s="30" t="str">
        <f t="shared" si="990"/>
        <v/>
      </c>
      <c r="AG649" s="4"/>
      <c r="AH649" s="31" t="e">
        <f t="shared" si="991"/>
        <v>#VALUE!</v>
      </c>
      <c r="AI649" s="31" t="e">
        <f t="shared" si="992"/>
        <v>#VALUE!</v>
      </c>
      <c r="AJ649" s="31" t="e">
        <f t="shared" si="993"/>
        <v>#VALUE!</v>
      </c>
      <c r="AK649" s="31" t="e">
        <f t="shared" si="994"/>
        <v>#VALUE!</v>
      </c>
      <c r="AL649" s="31" t="e">
        <f t="shared" si="995"/>
        <v>#VALUE!</v>
      </c>
      <c r="AM649" s="31" t="e">
        <f t="shared" si="996"/>
        <v>#VALUE!</v>
      </c>
      <c r="AN649" s="32" t="str">
        <f t="shared" si="997"/>
        <v/>
      </c>
      <c r="AO649" s="27" t="str">
        <f t="shared" si="998"/>
        <v/>
      </c>
      <c r="AP649" s="27" t="str">
        <f t="shared" si="999"/>
        <v/>
      </c>
      <c r="AQ649" s="27">
        <f t="shared" si="1000"/>
        <v>0</v>
      </c>
      <c r="AR649" s="27">
        <f t="shared" si="1001"/>
        <v>0</v>
      </c>
      <c r="AS649" s="33">
        <f t="shared" si="1002"/>
        <v>0</v>
      </c>
    </row>
    <row r="650" spans="2:45" hidden="1" x14ac:dyDescent="0.25">
      <c r="B650" s="34" t="str">
        <f t="shared" si="1003"/>
        <v/>
      </c>
      <c r="C650" s="26" t="str">
        <f t="shared" si="1003"/>
        <v/>
      </c>
      <c r="D650" s="26" t="str">
        <f t="shared" si="1003"/>
        <v/>
      </c>
      <c r="E650" s="26" t="str">
        <f t="shared" si="1003"/>
        <v/>
      </c>
      <c r="F650" s="26" t="str">
        <f t="shared" si="1003"/>
        <v/>
      </c>
      <c r="G650" s="24"/>
      <c r="H650" s="24"/>
      <c r="I650" s="24"/>
      <c r="J650" s="24"/>
      <c r="K650" s="24"/>
      <c r="L650" s="24"/>
      <c r="M650" s="44" t="str">
        <f t="shared" si="963"/>
        <v/>
      </c>
      <c r="N650" s="26" t="str">
        <f t="shared" si="973"/>
        <v/>
      </c>
      <c r="O650" s="26" t="str">
        <f t="shared" si="974"/>
        <v/>
      </c>
      <c r="P650" s="26" t="str">
        <f t="shared" si="975"/>
        <v/>
      </c>
      <c r="Q650" s="26">
        <f t="shared" si="976"/>
        <v>0</v>
      </c>
      <c r="R650" s="26">
        <f t="shared" si="977"/>
        <v>0</v>
      </c>
      <c r="S650" s="26">
        <f t="shared" si="978"/>
        <v>0</v>
      </c>
      <c r="T650" s="26" t="str">
        <f t="shared" si="979"/>
        <v/>
      </c>
      <c r="U650" s="26" t="str">
        <f t="shared" si="980"/>
        <v/>
      </c>
      <c r="V650" s="26" t="str">
        <f t="shared" si="981"/>
        <v/>
      </c>
      <c r="W650" s="27" t="str">
        <f t="shared" si="982"/>
        <v/>
      </c>
      <c r="X650" s="27" t="str">
        <f t="shared" si="983"/>
        <v/>
      </c>
      <c r="Y650" s="28" t="str">
        <f t="shared" si="984"/>
        <v/>
      </c>
      <c r="Z650" s="27" t="str">
        <f t="shared" si="985"/>
        <v/>
      </c>
      <c r="AA650" s="27" t="str">
        <f t="shared" si="986"/>
        <v/>
      </c>
      <c r="AB650" s="27" t="str">
        <f t="shared" si="987"/>
        <v/>
      </c>
      <c r="AC650" s="27" t="str">
        <f t="shared" si="988"/>
        <v/>
      </c>
      <c r="AD650" s="29" t="str">
        <f t="shared" si="989"/>
        <v/>
      </c>
      <c r="AE650" s="30" t="str">
        <f t="shared" si="990"/>
        <v/>
      </c>
      <c r="AG650" s="4"/>
      <c r="AH650" s="31" t="e">
        <f t="shared" si="991"/>
        <v>#VALUE!</v>
      </c>
      <c r="AI650" s="31" t="e">
        <f t="shared" si="992"/>
        <v>#VALUE!</v>
      </c>
      <c r="AJ650" s="31" t="e">
        <f t="shared" si="993"/>
        <v>#VALUE!</v>
      </c>
      <c r="AK650" s="31" t="e">
        <f t="shared" si="994"/>
        <v>#VALUE!</v>
      </c>
      <c r="AL650" s="31" t="e">
        <f t="shared" si="995"/>
        <v>#VALUE!</v>
      </c>
      <c r="AM650" s="31" t="e">
        <f t="shared" si="996"/>
        <v>#VALUE!</v>
      </c>
      <c r="AN650" s="32" t="str">
        <f t="shared" si="997"/>
        <v/>
      </c>
      <c r="AO650" s="27" t="str">
        <f t="shared" si="998"/>
        <v/>
      </c>
      <c r="AP650" s="27" t="str">
        <f t="shared" si="999"/>
        <v/>
      </c>
      <c r="AQ650" s="27">
        <f t="shared" si="1000"/>
        <v>0</v>
      </c>
      <c r="AR650" s="27">
        <f t="shared" si="1001"/>
        <v>0</v>
      </c>
      <c r="AS650" s="33">
        <f t="shared" si="1002"/>
        <v>0</v>
      </c>
    </row>
    <row r="651" spans="2:45" hidden="1" x14ac:dyDescent="0.25">
      <c r="B651" s="34" t="str">
        <f t="shared" si="1003"/>
        <v/>
      </c>
      <c r="C651" s="26" t="str">
        <f t="shared" si="1003"/>
        <v/>
      </c>
      <c r="D651" s="26" t="str">
        <f t="shared" si="1003"/>
        <v/>
      </c>
      <c r="E651" s="26" t="str">
        <f t="shared" si="1003"/>
        <v/>
      </c>
      <c r="F651" s="26" t="str">
        <f t="shared" si="1003"/>
        <v/>
      </c>
      <c r="G651" s="24"/>
      <c r="H651" s="24"/>
      <c r="I651" s="24"/>
      <c r="J651" s="24"/>
      <c r="K651" s="24"/>
      <c r="L651" s="24"/>
      <c r="M651" s="44" t="str">
        <f t="shared" si="963"/>
        <v/>
      </c>
      <c r="N651" s="26" t="str">
        <f t="shared" si="973"/>
        <v/>
      </c>
      <c r="O651" s="26" t="str">
        <f t="shared" si="974"/>
        <v/>
      </c>
      <c r="P651" s="26" t="str">
        <f t="shared" si="975"/>
        <v/>
      </c>
      <c r="Q651" s="26">
        <f t="shared" si="976"/>
        <v>0</v>
      </c>
      <c r="R651" s="26">
        <f t="shared" si="977"/>
        <v>0</v>
      </c>
      <c r="S651" s="26">
        <f t="shared" si="978"/>
        <v>0</v>
      </c>
      <c r="T651" s="26" t="str">
        <f t="shared" si="979"/>
        <v/>
      </c>
      <c r="U651" s="26" t="str">
        <f t="shared" si="980"/>
        <v/>
      </c>
      <c r="V651" s="26" t="str">
        <f t="shared" si="981"/>
        <v/>
      </c>
      <c r="W651" s="27" t="str">
        <f t="shared" si="982"/>
        <v/>
      </c>
      <c r="X651" s="27" t="str">
        <f t="shared" si="983"/>
        <v/>
      </c>
      <c r="Y651" s="28" t="str">
        <f t="shared" si="984"/>
        <v/>
      </c>
      <c r="Z651" s="27" t="str">
        <f t="shared" si="985"/>
        <v/>
      </c>
      <c r="AA651" s="27" t="str">
        <f t="shared" si="986"/>
        <v/>
      </c>
      <c r="AB651" s="27" t="str">
        <f t="shared" si="987"/>
        <v/>
      </c>
      <c r="AC651" s="27" t="str">
        <f t="shared" si="988"/>
        <v/>
      </c>
      <c r="AD651" s="29" t="str">
        <f t="shared" si="989"/>
        <v/>
      </c>
      <c r="AE651" s="30" t="str">
        <f t="shared" si="990"/>
        <v/>
      </c>
      <c r="AG651" s="4"/>
      <c r="AH651" s="31" t="e">
        <f t="shared" si="991"/>
        <v>#VALUE!</v>
      </c>
      <c r="AI651" s="31" t="e">
        <f t="shared" si="992"/>
        <v>#VALUE!</v>
      </c>
      <c r="AJ651" s="31" t="e">
        <f t="shared" si="993"/>
        <v>#VALUE!</v>
      </c>
      <c r="AK651" s="31" t="e">
        <f t="shared" si="994"/>
        <v>#VALUE!</v>
      </c>
      <c r="AL651" s="31" t="e">
        <f t="shared" si="995"/>
        <v>#VALUE!</v>
      </c>
      <c r="AM651" s="31" t="e">
        <f t="shared" si="996"/>
        <v>#VALUE!</v>
      </c>
      <c r="AN651" s="32" t="str">
        <f t="shared" si="997"/>
        <v/>
      </c>
      <c r="AO651" s="27" t="str">
        <f t="shared" si="998"/>
        <v/>
      </c>
      <c r="AP651" s="27" t="str">
        <f t="shared" si="999"/>
        <v/>
      </c>
      <c r="AQ651" s="27">
        <f t="shared" si="1000"/>
        <v>0</v>
      </c>
      <c r="AR651" s="27">
        <f t="shared" si="1001"/>
        <v>0</v>
      </c>
      <c r="AS651" s="33">
        <f t="shared" si="1002"/>
        <v>0</v>
      </c>
    </row>
    <row r="652" spans="2:45" hidden="1" x14ac:dyDescent="0.25">
      <c r="B652" s="34" t="str">
        <f>IF(B651="","",B651)</f>
        <v/>
      </c>
      <c r="C652" s="26" t="str">
        <f t="shared" ref="C652:F652" si="1004">IF(C651="","",C651)</f>
        <v/>
      </c>
      <c r="D652" s="26" t="str">
        <f t="shared" si="1004"/>
        <v/>
      </c>
      <c r="E652" s="26" t="str">
        <f t="shared" si="1004"/>
        <v/>
      </c>
      <c r="F652" s="26" t="str">
        <f t="shared" si="1004"/>
        <v/>
      </c>
      <c r="G652" s="24"/>
      <c r="H652" s="24"/>
      <c r="I652" s="24"/>
      <c r="J652" s="24"/>
      <c r="K652" s="24"/>
      <c r="L652" s="24"/>
      <c r="M652" s="44" t="str">
        <f t="shared" si="963"/>
        <v/>
      </c>
      <c r="N652" s="26" t="str">
        <f t="shared" si="973"/>
        <v/>
      </c>
      <c r="O652" s="26" t="str">
        <f t="shared" si="974"/>
        <v/>
      </c>
      <c r="P652" s="26" t="str">
        <f t="shared" si="975"/>
        <v/>
      </c>
      <c r="Q652" s="26">
        <f t="shared" si="976"/>
        <v>0</v>
      </c>
      <c r="R652" s="26">
        <f t="shared" si="977"/>
        <v>0</v>
      </c>
      <c r="S652" s="26">
        <f t="shared" si="978"/>
        <v>0</v>
      </c>
      <c r="T652" s="26" t="str">
        <f t="shared" si="979"/>
        <v/>
      </c>
      <c r="U652" s="26" t="str">
        <f t="shared" si="980"/>
        <v/>
      </c>
      <c r="V652" s="26" t="str">
        <f t="shared" si="981"/>
        <v/>
      </c>
      <c r="W652" s="27" t="str">
        <f t="shared" si="982"/>
        <v/>
      </c>
      <c r="X652" s="27" t="str">
        <f t="shared" si="983"/>
        <v/>
      </c>
      <c r="Y652" s="28" t="str">
        <f t="shared" si="984"/>
        <v/>
      </c>
      <c r="Z652" s="27" t="str">
        <f t="shared" si="985"/>
        <v/>
      </c>
      <c r="AA652" s="27" t="str">
        <f t="shared" si="986"/>
        <v/>
      </c>
      <c r="AB652" s="27" t="str">
        <f t="shared" si="987"/>
        <v/>
      </c>
      <c r="AC652" s="27" t="str">
        <f t="shared" si="988"/>
        <v/>
      </c>
      <c r="AD652" s="29" t="str">
        <f t="shared" si="989"/>
        <v/>
      </c>
      <c r="AE652" s="30" t="str">
        <f t="shared" si="990"/>
        <v/>
      </c>
      <c r="AG652" s="4"/>
      <c r="AH652" s="31" t="e">
        <f t="shared" si="991"/>
        <v>#VALUE!</v>
      </c>
      <c r="AI652" s="31" t="e">
        <f t="shared" si="992"/>
        <v>#VALUE!</v>
      </c>
      <c r="AJ652" s="31" t="e">
        <f t="shared" si="993"/>
        <v>#VALUE!</v>
      </c>
      <c r="AK652" s="31" t="e">
        <f t="shared" si="994"/>
        <v>#VALUE!</v>
      </c>
      <c r="AL652" s="31" t="e">
        <f t="shared" si="995"/>
        <v>#VALUE!</v>
      </c>
      <c r="AM652" s="31" t="e">
        <f t="shared" si="996"/>
        <v>#VALUE!</v>
      </c>
      <c r="AN652" s="32" t="str">
        <f t="shared" si="997"/>
        <v/>
      </c>
      <c r="AO652" s="27" t="str">
        <f t="shared" si="998"/>
        <v/>
      </c>
      <c r="AP652" s="27" t="str">
        <f t="shared" si="999"/>
        <v/>
      </c>
      <c r="AQ652" s="27">
        <f t="shared" si="1000"/>
        <v>0</v>
      </c>
      <c r="AR652" s="27">
        <f t="shared" si="1001"/>
        <v>0</v>
      </c>
      <c r="AS652" s="33">
        <f t="shared" si="1002"/>
        <v>0</v>
      </c>
    </row>
    <row r="653" spans="2:45" hidden="1" x14ac:dyDescent="0.25">
      <c r="B653" s="34" t="str">
        <f t="shared" ref="B653:F653" si="1005">IF(B652="","",B652)</f>
        <v/>
      </c>
      <c r="C653" s="26" t="str">
        <f t="shared" si="1005"/>
        <v/>
      </c>
      <c r="D653" s="26" t="str">
        <f t="shared" si="1005"/>
        <v/>
      </c>
      <c r="E653" s="26" t="str">
        <f t="shared" si="1005"/>
        <v/>
      </c>
      <c r="F653" s="26" t="str">
        <f t="shared" si="1005"/>
        <v/>
      </c>
      <c r="G653" s="24"/>
      <c r="H653" s="24"/>
      <c r="I653" s="24"/>
      <c r="J653" s="24"/>
      <c r="K653" s="24"/>
      <c r="L653" s="24"/>
      <c r="M653" s="44" t="str">
        <f t="shared" si="963"/>
        <v/>
      </c>
      <c r="N653" s="26" t="str">
        <f t="shared" si="973"/>
        <v/>
      </c>
      <c r="O653" s="26" t="str">
        <f t="shared" si="974"/>
        <v/>
      </c>
      <c r="P653" s="26" t="str">
        <f t="shared" si="975"/>
        <v/>
      </c>
      <c r="Q653" s="26">
        <f t="shared" si="976"/>
        <v>0</v>
      </c>
      <c r="R653" s="26">
        <f t="shared" si="977"/>
        <v>0</v>
      </c>
      <c r="S653" s="26">
        <f t="shared" si="978"/>
        <v>0</v>
      </c>
      <c r="T653" s="26" t="str">
        <f t="shared" si="979"/>
        <v/>
      </c>
      <c r="U653" s="26" t="str">
        <f t="shared" si="980"/>
        <v/>
      </c>
      <c r="V653" s="26" t="str">
        <f t="shared" si="981"/>
        <v/>
      </c>
      <c r="W653" s="27" t="str">
        <f t="shared" si="982"/>
        <v/>
      </c>
      <c r="X653" s="27" t="str">
        <f t="shared" si="983"/>
        <v/>
      </c>
      <c r="Y653" s="28" t="str">
        <f t="shared" si="984"/>
        <v/>
      </c>
      <c r="Z653" s="27" t="str">
        <f t="shared" si="985"/>
        <v/>
      </c>
      <c r="AA653" s="27" t="str">
        <f t="shared" si="986"/>
        <v/>
      </c>
      <c r="AB653" s="27" t="str">
        <f t="shared" si="987"/>
        <v/>
      </c>
      <c r="AC653" s="27" t="str">
        <f t="shared" si="988"/>
        <v/>
      </c>
      <c r="AD653" s="29" t="str">
        <f t="shared" si="989"/>
        <v/>
      </c>
      <c r="AE653" s="30" t="str">
        <f t="shared" si="990"/>
        <v/>
      </c>
      <c r="AG653" s="4"/>
      <c r="AH653" s="31" t="e">
        <f t="shared" si="991"/>
        <v>#VALUE!</v>
      </c>
      <c r="AI653" s="31" t="e">
        <f t="shared" si="992"/>
        <v>#VALUE!</v>
      </c>
      <c r="AJ653" s="31" t="e">
        <f t="shared" si="993"/>
        <v>#VALUE!</v>
      </c>
      <c r="AK653" s="31" t="e">
        <f t="shared" si="994"/>
        <v>#VALUE!</v>
      </c>
      <c r="AL653" s="31" t="e">
        <f t="shared" si="995"/>
        <v>#VALUE!</v>
      </c>
      <c r="AM653" s="31" t="e">
        <f t="shared" si="996"/>
        <v>#VALUE!</v>
      </c>
      <c r="AN653" s="32" t="str">
        <f t="shared" si="997"/>
        <v/>
      </c>
      <c r="AO653" s="27" t="str">
        <f t="shared" si="998"/>
        <v/>
      </c>
      <c r="AP653" s="27" t="str">
        <f t="shared" si="999"/>
        <v/>
      </c>
      <c r="AQ653" s="27">
        <f t="shared" si="1000"/>
        <v>0</v>
      </c>
      <c r="AR653" s="27">
        <f t="shared" si="1001"/>
        <v>0</v>
      </c>
      <c r="AS653" s="33">
        <f t="shared" si="1002"/>
        <v>0</v>
      </c>
    </row>
    <row r="654" spans="2:45" hidden="1" x14ac:dyDescent="0.25">
      <c r="B654" s="34" t="str">
        <f t="shared" ref="B654:F654" si="1006">IF(B653="","",B653)</f>
        <v/>
      </c>
      <c r="C654" s="26" t="str">
        <f t="shared" si="1006"/>
        <v/>
      </c>
      <c r="D654" s="26" t="str">
        <f t="shared" si="1006"/>
        <v/>
      </c>
      <c r="E654" s="26" t="str">
        <f t="shared" si="1006"/>
        <v/>
      </c>
      <c r="F654" s="26" t="str">
        <f t="shared" si="1006"/>
        <v/>
      </c>
      <c r="G654" s="24"/>
      <c r="H654" s="24"/>
      <c r="I654" s="24"/>
      <c r="J654" s="24"/>
      <c r="K654" s="24"/>
      <c r="L654" s="24"/>
      <c r="M654" s="44" t="str">
        <f t="shared" si="963"/>
        <v/>
      </c>
      <c r="N654" s="26" t="str">
        <f t="shared" si="973"/>
        <v/>
      </c>
      <c r="O654" s="26" t="str">
        <f t="shared" si="974"/>
        <v/>
      </c>
      <c r="P654" s="26" t="str">
        <f t="shared" si="975"/>
        <v/>
      </c>
      <c r="Q654" s="26">
        <f t="shared" si="976"/>
        <v>0</v>
      </c>
      <c r="R654" s="26">
        <f t="shared" si="977"/>
        <v>0</v>
      </c>
      <c r="S654" s="26">
        <f t="shared" si="978"/>
        <v>0</v>
      </c>
      <c r="T654" s="26" t="str">
        <f t="shared" si="979"/>
        <v/>
      </c>
      <c r="U654" s="26" t="str">
        <f t="shared" si="980"/>
        <v/>
      </c>
      <c r="V654" s="26" t="str">
        <f t="shared" si="981"/>
        <v/>
      </c>
      <c r="W654" s="27" t="str">
        <f t="shared" si="982"/>
        <v/>
      </c>
      <c r="X654" s="27" t="str">
        <f t="shared" si="983"/>
        <v/>
      </c>
      <c r="Y654" s="28" t="str">
        <f t="shared" si="984"/>
        <v/>
      </c>
      <c r="Z654" s="27" t="str">
        <f t="shared" si="985"/>
        <v/>
      </c>
      <c r="AA654" s="27" t="str">
        <f t="shared" si="986"/>
        <v/>
      </c>
      <c r="AB654" s="27" t="str">
        <f t="shared" si="987"/>
        <v/>
      </c>
      <c r="AC654" s="27" t="str">
        <f t="shared" si="988"/>
        <v/>
      </c>
      <c r="AD654" s="29" t="str">
        <f t="shared" si="989"/>
        <v/>
      </c>
      <c r="AE654" s="30" t="str">
        <f t="shared" si="990"/>
        <v/>
      </c>
      <c r="AG654" s="4"/>
      <c r="AH654" s="31" t="e">
        <f t="shared" si="991"/>
        <v>#VALUE!</v>
      </c>
      <c r="AI654" s="31" t="e">
        <f t="shared" si="992"/>
        <v>#VALUE!</v>
      </c>
      <c r="AJ654" s="31" t="e">
        <f t="shared" si="993"/>
        <v>#VALUE!</v>
      </c>
      <c r="AK654" s="31" t="e">
        <f t="shared" si="994"/>
        <v>#VALUE!</v>
      </c>
      <c r="AL654" s="31" t="e">
        <f t="shared" si="995"/>
        <v>#VALUE!</v>
      </c>
      <c r="AM654" s="31" t="e">
        <f t="shared" si="996"/>
        <v>#VALUE!</v>
      </c>
      <c r="AN654" s="32" t="str">
        <f t="shared" si="997"/>
        <v/>
      </c>
      <c r="AO654" s="27" t="str">
        <f t="shared" si="998"/>
        <v/>
      </c>
      <c r="AP654" s="27" t="str">
        <f t="shared" si="999"/>
        <v/>
      </c>
      <c r="AQ654" s="27">
        <f t="shared" si="1000"/>
        <v>0</v>
      </c>
      <c r="AR654" s="27">
        <f t="shared" si="1001"/>
        <v>0</v>
      </c>
      <c r="AS654" s="33">
        <f t="shared" si="1002"/>
        <v>0</v>
      </c>
    </row>
    <row r="655" spans="2:45" hidden="1" x14ac:dyDescent="0.25">
      <c r="B655" s="34" t="str">
        <f t="shared" ref="B655:F655" si="1007">IF(B654="","",B654)</f>
        <v/>
      </c>
      <c r="C655" s="26" t="str">
        <f t="shared" si="1007"/>
        <v/>
      </c>
      <c r="D655" s="26" t="str">
        <f t="shared" si="1007"/>
        <v/>
      </c>
      <c r="E655" s="26" t="str">
        <f t="shared" si="1007"/>
        <v/>
      </c>
      <c r="F655" s="26" t="str">
        <f t="shared" si="1007"/>
        <v/>
      </c>
      <c r="G655" s="24"/>
      <c r="H655" s="24"/>
      <c r="I655" s="24"/>
      <c r="J655" s="24"/>
      <c r="K655" s="24"/>
      <c r="L655" s="24"/>
      <c r="M655" s="44" t="str">
        <f t="shared" si="963"/>
        <v/>
      </c>
      <c r="N655" s="26" t="str">
        <f t="shared" si="973"/>
        <v/>
      </c>
      <c r="O655" s="26" t="str">
        <f t="shared" si="974"/>
        <v/>
      </c>
      <c r="P655" s="26" t="str">
        <f t="shared" si="975"/>
        <v/>
      </c>
      <c r="Q655" s="26">
        <f t="shared" si="976"/>
        <v>0</v>
      </c>
      <c r="R655" s="26">
        <f t="shared" si="977"/>
        <v>0</v>
      </c>
      <c r="S655" s="26">
        <f t="shared" si="978"/>
        <v>0</v>
      </c>
      <c r="T655" s="26" t="str">
        <f t="shared" si="979"/>
        <v/>
      </c>
      <c r="U655" s="26" t="str">
        <f t="shared" si="980"/>
        <v/>
      </c>
      <c r="V655" s="26" t="str">
        <f t="shared" si="981"/>
        <v/>
      </c>
      <c r="W655" s="27" t="str">
        <f t="shared" si="982"/>
        <v/>
      </c>
      <c r="X655" s="27" t="str">
        <f t="shared" si="983"/>
        <v/>
      </c>
      <c r="Y655" s="28" t="str">
        <f t="shared" si="984"/>
        <v/>
      </c>
      <c r="Z655" s="27" t="str">
        <f t="shared" si="985"/>
        <v/>
      </c>
      <c r="AA655" s="27" t="str">
        <f t="shared" si="986"/>
        <v/>
      </c>
      <c r="AB655" s="27" t="str">
        <f t="shared" si="987"/>
        <v/>
      </c>
      <c r="AC655" s="27" t="str">
        <f t="shared" si="988"/>
        <v/>
      </c>
      <c r="AD655" s="29" t="str">
        <f t="shared" si="989"/>
        <v/>
      </c>
      <c r="AE655" s="30" t="str">
        <f t="shared" si="990"/>
        <v/>
      </c>
      <c r="AG655" s="4"/>
      <c r="AH655" s="31" t="e">
        <f t="shared" si="991"/>
        <v>#VALUE!</v>
      </c>
      <c r="AI655" s="31" t="e">
        <f t="shared" si="992"/>
        <v>#VALUE!</v>
      </c>
      <c r="AJ655" s="31" t="e">
        <f t="shared" si="993"/>
        <v>#VALUE!</v>
      </c>
      <c r="AK655" s="31" t="e">
        <f t="shared" si="994"/>
        <v>#VALUE!</v>
      </c>
      <c r="AL655" s="31" t="e">
        <f t="shared" si="995"/>
        <v>#VALUE!</v>
      </c>
      <c r="AM655" s="31" t="e">
        <f t="shared" si="996"/>
        <v>#VALUE!</v>
      </c>
      <c r="AN655" s="32" t="str">
        <f t="shared" si="997"/>
        <v/>
      </c>
      <c r="AO655" s="27" t="str">
        <f t="shared" si="998"/>
        <v/>
      </c>
      <c r="AP655" s="27" t="str">
        <f t="shared" si="999"/>
        <v/>
      </c>
      <c r="AQ655" s="27">
        <f t="shared" si="1000"/>
        <v>0</v>
      </c>
      <c r="AR655" s="27">
        <f t="shared" si="1001"/>
        <v>0</v>
      </c>
      <c r="AS655" s="33">
        <f t="shared" si="1002"/>
        <v>0</v>
      </c>
    </row>
    <row r="656" spans="2:45" hidden="1" x14ac:dyDescent="0.25">
      <c r="B656" s="34" t="str">
        <f t="shared" ref="B656:F656" si="1008">IF(B655="","",B655)</f>
        <v/>
      </c>
      <c r="C656" s="26" t="str">
        <f t="shared" si="1008"/>
        <v/>
      </c>
      <c r="D656" s="26" t="str">
        <f t="shared" si="1008"/>
        <v/>
      </c>
      <c r="E656" s="26" t="str">
        <f t="shared" si="1008"/>
        <v/>
      </c>
      <c r="F656" s="26" t="str">
        <f t="shared" si="1008"/>
        <v/>
      </c>
      <c r="G656" s="24"/>
      <c r="H656" s="24"/>
      <c r="I656" s="24"/>
      <c r="J656" s="24"/>
      <c r="K656" s="24"/>
      <c r="L656" s="24"/>
      <c r="M656" s="44" t="str">
        <f t="shared" si="963"/>
        <v/>
      </c>
      <c r="N656" s="26" t="str">
        <f t="shared" si="973"/>
        <v/>
      </c>
      <c r="O656" s="26" t="str">
        <f t="shared" si="974"/>
        <v/>
      </c>
      <c r="P656" s="26" t="str">
        <f t="shared" si="975"/>
        <v/>
      </c>
      <c r="Q656" s="26">
        <f t="shared" si="976"/>
        <v>0</v>
      </c>
      <c r="R656" s="26">
        <f t="shared" si="977"/>
        <v>0</v>
      </c>
      <c r="S656" s="26">
        <f t="shared" si="978"/>
        <v>0</v>
      </c>
      <c r="T656" s="26" t="str">
        <f t="shared" si="979"/>
        <v/>
      </c>
      <c r="U656" s="26" t="str">
        <f t="shared" si="980"/>
        <v/>
      </c>
      <c r="V656" s="26" t="str">
        <f t="shared" si="981"/>
        <v/>
      </c>
      <c r="W656" s="27" t="str">
        <f t="shared" si="982"/>
        <v/>
      </c>
      <c r="X656" s="27" t="str">
        <f t="shared" si="983"/>
        <v/>
      </c>
      <c r="Y656" s="28" t="str">
        <f t="shared" si="984"/>
        <v/>
      </c>
      <c r="Z656" s="27" t="str">
        <f t="shared" si="985"/>
        <v/>
      </c>
      <c r="AA656" s="27" t="str">
        <f t="shared" si="986"/>
        <v/>
      </c>
      <c r="AB656" s="27" t="str">
        <f t="shared" si="987"/>
        <v/>
      </c>
      <c r="AC656" s="27" t="str">
        <f t="shared" si="988"/>
        <v/>
      </c>
      <c r="AD656" s="29" t="str">
        <f t="shared" si="989"/>
        <v/>
      </c>
      <c r="AE656" s="30" t="str">
        <f t="shared" si="990"/>
        <v/>
      </c>
      <c r="AG656" s="4"/>
      <c r="AH656" s="31" t="e">
        <f t="shared" si="991"/>
        <v>#VALUE!</v>
      </c>
      <c r="AI656" s="31" t="e">
        <f t="shared" si="992"/>
        <v>#VALUE!</v>
      </c>
      <c r="AJ656" s="31" t="e">
        <f t="shared" si="993"/>
        <v>#VALUE!</v>
      </c>
      <c r="AK656" s="31" t="e">
        <f t="shared" si="994"/>
        <v>#VALUE!</v>
      </c>
      <c r="AL656" s="31" t="e">
        <f t="shared" si="995"/>
        <v>#VALUE!</v>
      </c>
      <c r="AM656" s="31" t="e">
        <f t="shared" si="996"/>
        <v>#VALUE!</v>
      </c>
      <c r="AN656" s="32" t="str">
        <f t="shared" si="997"/>
        <v/>
      </c>
      <c r="AO656" s="27" t="str">
        <f t="shared" si="998"/>
        <v/>
      </c>
      <c r="AP656" s="27" t="str">
        <f t="shared" si="999"/>
        <v/>
      </c>
      <c r="AQ656" s="27">
        <f t="shared" si="1000"/>
        <v>0</v>
      </c>
      <c r="AR656" s="27">
        <f t="shared" si="1001"/>
        <v>0</v>
      </c>
      <c r="AS656" s="33">
        <f t="shared" si="1002"/>
        <v>0</v>
      </c>
    </row>
    <row r="657" spans="2:45" hidden="1" x14ac:dyDescent="0.25">
      <c r="B657" s="34" t="str">
        <f t="shared" ref="B657:F657" si="1009">IF(B656="","",B656)</f>
        <v/>
      </c>
      <c r="C657" s="26" t="str">
        <f t="shared" si="1009"/>
        <v/>
      </c>
      <c r="D657" s="26" t="str">
        <f t="shared" si="1009"/>
        <v/>
      </c>
      <c r="E657" s="26" t="str">
        <f t="shared" si="1009"/>
        <v/>
      </c>
      <c r="F657" s="26" t="str">
        <f t="shared" si="1009"/>
        <v/>
      </c>
      <c r="G657" s="24"/>
      <c r="H657" s="24"/>
      <c r="I657" s="24"/>
      <c r="J657" s="24"/>
      <c r="K657" s="24"/>
      <c r="L657" s="24"/>
      <c r="M657" s="44" t="str">
        <f t="shared" si="963"/>
        <v/>
      </c>
      <c r="N657" s="26" t="str">
        <f t="shared" si="973"/>
        <v/>
      </c>
      <c r="O657" s="26" t="str">
        <f t="shared" si="974"/>
        <v/>
      </c>
      <c r="P657" s="26" t="str">
        <f t="shared" si="975"/>
        <v/>
      </c>
      <c r="Q657" s="26">
        <f t="shared" si="976"/>
        <v>0</v>
      </c>
      <c r="R657" s="26">
        <f t="shared" si="977"/>
        <v>0</v>
      </c>
      <c r="S657" s="26">
        <f t="shared" si="978"/>
        <v>0</v>
      </c>
      <c r="T657" s="26" t="str">
        <f t="shared" si="979"/>
        <v/>
      </c>
      <c r="U657" s="26" t="str">
        <f t="shared" si="980"/>
        <v/>
      </c>
      <c r="V657" s="26" t="str">
        <f t="shared" si="981"/>
        <v/>
      </c>
      <c r="W657" s="27" t="str">
        <f t="shared" si="982"/>
        <v/>
      </c>
      <c r="X657" s="27" t="str">
        <f t="shared" si="983"/>
        <v/>
      </c>
      <c r="Y657" s="28" t="str">
        <f t="shared" si="984"/>
        <v/>
      </c>
      <c r="Z657" s="27" t="str">
        <f t="shared" si="985"/>
        <v/>
      </c>
      <c r="AA657" s="27" t="str">
        <f t="shared" si="986"/>
        <v/>
      </c>
      <c r="AB657" s="27" t="str">
        <f t="shared" si="987"/>
        <v/>
      </c>
      <c r="AC657" s="27" t="str">
        <f t="shared" si="988"/>
        <v/>
      </c>
      <c r="AD657" s="29" t="str">
        <f t="shared" si="989"/>
        <v/>
      </c>
      <c r="AE657" s="30" t="str">
        <f t="shared" si="990"/>
        <v/>
      </c>
      <c r="AG657" s="4"/>
      <c r="AH657" s="31" t="e">
        <f t="shared" si="991"/>
        <v>#VALUE!</v>
      </c>
      <c r="AI657" s="31" t="e">
        <f t="shared" si="992"/>
        <v>#VALUE!</v>
      </c>
      <c r="AJ657" s="31" t="e">
        <f t="shared" si="993"/>
        <v>#VALUE!</v>
      </c>
      <c r="AK657" s="31" t="e">
        <f t="shared" si="994"/>
        <v>#VALUE!</v>
      </c>
      <c r="AL657" s="31" t="e">
        <f t="shared" si="995"/>
        <v>#VALUE!</v>
      </c>
      <c r="AM657" s="31" t="e">
        <f t="shared" si="996"/>
        <v>#VALUE!</v>
      </c>
      <c r="AN657" s="32" t="str">
        <f t="shared" si="997"/>
        <v/>
      </c>
      <c r="AO657" s="27" t="str">
        <f t="shared" si="998"/>
        <v/>
      </c>
      <c r="AP657" s="27" t="str">
        <f t="shared" si="999"/>
        <v/>
      </c>
      <c r="AQ657" s="27">
        <f t="shared" si="1000"/>
        <v>0</v>
      </c>
      <c r="AR657" s="27">
        <f t="shared" si="1001"/>
        <v>0</v>
      </c>
      <c r="AS657" s="33">
        <f t="shared" si="1002"/>
        <v>0</v>
      </c>
    </row>
    <row r="658" spans="2:45" hidden="1" x14ac:dyDescent="0.25">
      <c r="B658" s="34" t="str">
        <f t="shared" ref="B658:F658" si="1010">IF(B657="","",B657)</f>
        <v/>
      </c>
      <c r="C658" s="26" t="str">
        <f t="shared" si="1010"/>
        <v/>
      </c>
      <c r="D658" s="26" t="str">
        <f t="shared" si="1010"/>
        <v/>
      </c>
      <c r="E658" s="26" t="str">
        <f t="shared" si="1010"/>
        <v/>
      </c>
      <c r="F658" s="26" t="str">
        <f t="shared" si="1010"/>
        <v/>
      </c>
      <c r="G658" s="24"/>
      <c r="H658" s="24"/>
      <c r="I658" s="24"/>
      <c r="J658" s="24"/>
      <c r="K658" s="24"/>
      <c r="L658" s="24"/>
      <c r="M658" s="44" t="str">
        <f t="shared" si="963"/>
        <v/>
      </c>
      <c r="N658" s="26" t="str">
        <f t="shared" si="973"/>
        <v/>
      </c>
      <c r="O658" s="26" t="str">
        <f t="shared" si="974"/>
        <v/>
      </c>
      <c r="P658" s="26" t="str">
        <f t="shared" si="975"/>
        <v/>
      </c>
      <c r="Q658" s="26">
        <f t="shared" si="976"/>
        <v>0</v>
      </c>
      <c r="R658" s="26">
        <f t="shared" si="977"/>
        <v>0</v>
      </c>
      <c r="S658" s="26">
        <f t="shared" si="978"/>
        <v>0</v>
      </c>
      <c r="T658" s="26" t="str">
        <f t="shared" si="979"/>
        <v/>
      </c>
      <c r="U658" s="26" t="str">
        <f t="shared" si="980"/>
        <v/>
      </c>
      <c r="V658" s="26" t="str">
        <f t="shared" si="981"/>
        <v/>
      </c>
      <c r="W658" s="27" t="str">
        <f t="shared" si="982"/>
        <v/>
      </c>
      <c r="X658" s="27" t="str">
        <f t="shared" si="983"/>
        <v/>
      </c>
      <c r="Y658" s="28" t="str">
        <f t="shared" si="984"/>
        <v/>
      </c>
      <c r="Z658" s="27" t="str">
        <f t="shared" si="985"/>
        <v/>
      </c>
      <c r="AA658" s="27" t="str">
        <f t="shared" si="986"/>
        <v/>
      </c>
      <c r="AB658" s="27" t="str">
        <f t="shared" si="987"/>
        <v/>
      </c>
      <c r="AC658" s="27" t="str">
        <f t="shared" si="988"/>
        <v/>
      </c>
      <c r="AD658" s="29" t="str">
        <f t="shared" si="989"/>
        <v/>
      </c>
      <c r="AE658" s="30" t="str">
        <f t="shared" si="990"/>
        <v/>
      </c>
      <c r="AG658" s="4"/>
      <c r="AH658" s="31" t="e">
        <f t="shared" si="991"/>
        <v>#VALUE!</v>
      </c>
      <c r="AI658" s="31" t="e">
        <f t="shared" si="992"/>
        <v>#VALUE!</v>
      </c>
      <c r="AJ658" s="31" t="e">
        <f t="shared" si="993"/>
        <v>#VALUE!</v>
      </c>
      <c r="AK658" s="31" t="e">
        <f t="shared" si="994"/>
        <v>#VALUE!</v>
      </c>
      <c r="AL658" s="31" t="e">
        <f t="shared" si="995"/>
        <v>#VALUE!</v>
      </c>
      <c r="AM658" s="31" t="e">
        <f t="shared" si="996"/>
        <v>#VALUE!</v>
      </c>
      <c r="AN658" s="32" t="str">
        <f t="shared" si="997"/>
        <v/>
      </c>
      <c r="AO658" s="27" t="str">
        <f t="shared" si="998"/>
        <v/>
      </c>
      <c r="AP658" s="27" t="str">
        <f t="shared" si="999"/>
        <v/>
      </c>
      <c r="AQ658" s="27">
        <f t="shared" si="1000"/>
        <v>0</v>
      </c>
      <c r="AR658" s="27">
        <f t="shared" si="1001"/>
        <v>0</v>
      </c>
      <c r="AS658" s="33">
        <f t="shared" si="1002"/>
        <v>0</v>
      </c>
    </row>
    <row r="659" spans="2:45" hidden="1" x14ac:dyDescent="0.25">
      <c r="B659" s="34" t="str">
        <f t="shared" ref="B659:F659" si="1011">IF(B658="","",B658)</f>
        <v/>
      </c>
      <c r="C659" s="26" t="str">
        <f t="shared" si="1011"/>
        <v/>
      </c>
      <c r="D659" s="26" t="str">
        <f t="shared" si="1011"/>
        <v/>
      </c>
      <c r="E659" s="26" t="str">
        <f t="shared" si="1011"/>
        <v/>
      </c>
      <c r="F659" s="26" t="str">
        <f t="shared" si="1011"/>
        <v/>
      </c>
      <c r="G659" s="24"/>
      <c r="H659" s="24"/>
      <c r="I659" s="24"/>
      <c r="J659" s="24"/>
      <c r="K659" s="24"/>
      <c r="L659" s="24"/>
      <c r="M659" s="44" t="str">
        <f t="shared" si="963"/>
        <v/>
      </c>
      <c r="N659" s="26" t="str">
        <f t="shared" si="973"/>
        <v/>
      </c>
      <c r="O659" s="26" t="str">
        <f t="shared" si="974"/>
        <v/>
      </c>
      <c r="P659" s="26" t="str">
        <f t="shared" si="975"/>
        <v/>
      </c>
      <c r="Q659" s="26">
        <f t="shared" si="976"/>
        <v>0</v>
      </c>
      <c r="R659" s="26">
        <f t="shared" si="977"/>
        <v>0</v>
      </c>
      <c r="S659" s="26">
        <f t="shared" si="978"/>
        <v>0</v>
      </c>
      <c r="T659" s="26" t="str">
        <f t="shared" si="979"/>
        <v/>
      </c>
      <c r="U659" s="26" t="str">
        <f t="shared" si="980"/>
        <v/>
      </c>
      <c r="V659" s="26" t="str">
        <f t="shared" si="981"/>
        <v/>
      </c>
      <c r="W659" s="27" t="str">
        <f t="shared" si="982"/>
        <v/>
      </c>
      <c r="X659" s="27" t="str">
        <f t="shared" si="983"/>
        <v/>
      </c>
      <c r="Y659" s="28" t="str">
        <f t="shared" si="984"/>
        <v/>
      </c>
      <c r="Z659" s="27" t="str">
        <f t="shared" si="985"/>
        <v/>
      </c>
      <c r="AA659" s="27" t="str">
        <f t="shared" si="986"/>
        <v/>
      </c>
      <c r="AB659" s="27" t="str">
        <f t="shared" si="987"/>
        <v/>
      </c>
      <c r="AC659" s="27" t="str">
        <f t="shared" si="988"/>
        <v/>
      </c>
      <c r="AD659" s="29" t="str">
        <f t="shared" si="989"/>
        <v/>
      </c>
      <c r="AE659" s="30" t="str">
        <f t="shared" si="990"/>
        <v/>
      </c>
      <c r="AG659" s="4"/>
      <c r="AH659" s="31" t="e">
        <f t="shared" si="991"/>
        <v>#VALUE!</v>
      </c>
      <c r="AI659" s="31" t="e">
        <f t="shared" si="992"/>
        <v>#VALUE!</v>
      </c>
      <c r="AJ659" s="31" t="e">
        <f t="shared" si="993"/>
        <v>#VALUE!</v>
      </c>
      <c r="AK659" s="31" t="e">
        <f t="shared" si="994"/>
        <v>#VALUE!</v>
      </c>
      <c r="AL659" s="31" t="e">
        <f t="shared" si="995"/>
        <v>#VALUE!</v>
      </c>
      <c r="AM659" s="31" t="e">
        <f t="shared" si="996"/>
        <v>#VALUE!</v>
      </c>
      <c r="AN659" s="32" t="str">
        <f t="shared" si="997"/>
        <v/>
      </c>
      <c r="AO659" s="27" t="str">
        <f t="shared" si="998"/>
        <v/>
      </c>
      <c r="AP659" s="27" t="str">
        <f t="shared" si="999"/>
        <v/>
      </c>
      <c r="AQ659" s="27">
        <f t="shared" si="1000"/>
        <v>0</v>
      </c>
      <c r="AR659" s="27">
        <f t="shared" si="1001"/>
        <v>0</v>
      </c>
      <c r="AS659" s="33">
        <f t="shared" si="1002"/>
        <v>0</v>
      </c>
    </row>
    <row r="660" spans="2:45" hidden="1" x14ac:dyDescent="0.25">
      <c r="B660" s="34" t="str">
        <f t="shared" ref="B660:F660" si="1012">IF(B659="","",B659)</f>
        <v/>
      </c>
      <c r="C660" s="26" t="str">
        <f t="shared" si="1012"/>
        <v/>
      </c>
      <c r="D660" s="26" t="str">
        <f t="shared" si="1012"/>
        <v/>
      </c>
      <c r="E660" s="26" t="str">
        <f t="shared" si="1012"/>
        <v/>
      </c>
      <c r="F660" s="26" t="str">
        <f t="shared" si="1012"/>
        <v/>
      </c>
      <c r="G660" s="24"/>
      <c r="H660" s="24"/>
      <c r="I660" s="24"/>
      <c r="J660" s="24"/>
      <c r="K660" s="24"/>
      <c r="L660" s="24"/>
      <c r="M660" s="44" t="str">
        <f t="shared" si="963"/>
        <v/>
      </c>
      <c r="N660" s="26" t="str">
        <f t="shared" si="973"/>
        <v/>
      </c>
      <c r="O660" s="26" t="str">
        <f t="shared" si="974"/>
        <v/>
      </c>
      <c r="P660" s="26" t="str">
        <f t="shared" si="975"/>
        <v/>
      </c>
      <c r="Q660" s="26">
        <f t="shared" si="976"/>
        <v>0</v>
      </c>
      <c r="R660" s="26">
        <f t="shared" si="977"/>
        <v>0</v>
      </c>
      <c r="S660" s="26">
        <f t="shared" si="978"/>
        <v>0</v>
      </c>
      <c r="T660" s="26" t="str">
        <f t="shared" si="979"/>
        <v/>
      </c>
      <c r="U660" s="26" t="str">
        <f t="shared" si="980"/>
        <v/>
      </c>
      <c r="V660" s="26" t="str">
        <f t="shared" si="981"/>
        <v/>
      </c>
      <c r="W660" s="27" t="str">
        <f t="shared" si="982"/>
        <v/>
      </c>
      <c r="X660" s="27" t="str">
        <f t="shared" si="983"/>
        <v/>
      </c>
      <c r="Y660" s="28" t="str">
        <f t="shared" si="984"/>
        <v/>
      </c>
      <c r="Z660" s="27" t="str">
        <f t="shared" si="985"/>
        <v/>
      </c>
      <c r="AA660" s="27" t="str">
        <f t="shared" si="986"/>
        <v/>
      </c>
      <c r="AB660" s="27" t="str">
        <f t="shared" si="987"/>
        <v/>
      </c>
      <c r="AC660" s="27" t="str">
        <f t="shared" si="988"/>
        <v/>
      </c>
      <c r="AD660" s="29" t="str">
        <f t="shared" si="989"/>
        <v/>
      </c>
      <c r="AE660" s="30" t="str">
        <f t="shared" si="990"/>
        <v/>
      </c>
      <c r="AG660" s="4"/>
      <c r="AH660" s="31" t="e">
        <f t="shared" si="991"/>
        <v>#VALUE!</v>
      </c>
      <c r="AI660" s="31" t="e">
        <f t="shared" si="992"/>
        <v>#VALUE!</v>
      </c>
      <c r="AJ660" s="31" t="e">
        <f t="shared" si="993"/>
        <v>#VALUE!</v>
      </c>
      <c r="AK660" s="31" t="e">
        <f t="shared" si="994"/>
        <v>#VALUE!</v>
      </c>
      <c r="AL660" s="31" t="e">
        <f t="shared" si="995"/>
        <v>#VALUE!</v>
      </c>
      <c r="AM660" s="31" t="e">
        <f t="shared" si="996"/>
        <v>#VALUE!</v>
      </c>
      <c r="AN660" s="32" t="str">
        <f t="shared" si="997"/>
        <v/>
      </c>
      <c r="AO660" s="27" t="str">
        <f t="shared" si="998"/>
        <v/>
      </c>
      <c r="AP660" s="27" t="str">
        <f t="shared" si="999"/>
        <v/>
      </c>
      <c r="AQ660" s="27">
        <f t="shared" si="1000"/>
        <v>0</v>
      </c>
      <c r="AR660" s="27">
        <f t="shared" si="1001"/>
        <v>0</v>
      </c>
      <c r="AS660" s="33">
        <f t="shared" si="1002"/>
        <v>0</v>
      </c>
    </row>
    <row r="661" spans="2:45" hidden="1" x14ac:dyDescent="0.25">
      <c r="B661" s="34" t="str">
        <f t="shared" ref="B661:F661" si="1013">IF(B660="","",B660)</f>
        <v/>
      </c>
      <c r="C661" s="26" t="str">
        <f t="shared" si="1013"/>
        <v/>
      </c>
      <c r="D661" s="26" t="str">
        <f t="shared" si="1013"/>
        <v/>
      </c>
      <c r="E661" s="26" t="str">
        <f t="shared" si="1013"/>
        <v/>
      </c>
      <c r="F661" s="26" t="str">
        <f t="shared" si="1013"/>
        <v/>
      </c>
      <c r="G661" s="24"/>
      <c r="H661" s="24"/>
      <c r="I661" s="24"/>
      <c r="J661" s="24"/>
      <c r="K661" s="24"/>
      <c r="L661" s="24"/>
      <c r="M661" s="44" t="str">
        <f t="shared" si="963"/>
        <v/>
      </c>
      <c r="N661" s="26" t="str">
        <f t="shared" si="973"/>
        <v/>
      </c>
      <c r="O661" s="26" t="str">
        <f t="shared" si="974"/>
        <v/>
      </c>
      <c r="P661" s="26" t="str">
        <f t="shared" si="975"/>
        <v/>
      </c>
      <c r="Q661" s="26">
        <f t="shared" si="976"/>
        <v>0</v>
      </c>
      <c r="R661" s="26">
        <f t="shared" si="977"/>
        <v>0</v>
      </c>
      <c r="S661" s="26">
        <f t="shared" si="978"/>
        <v>0</v>
      </c>
      <c r="T661" s="26" t="str">
        <f t="shared" si="979"/>
        <v/>
      </c>
      <c r="U661" s="26" t="str">
        <f t="shared" si="980"/>
        <v/>
      </c>
      <c r="V661" s="26" t="str">
        <f t="shared" si="981"/>
        <v/>
      </c>
      <c r="W661" s="27" t="str">
        <f t="shared" si="982"/>
        <v/>
      </c>
      <c r="X661" s="27" t="str">
        <f t="shared" si="983"/>
        <v/>
      </c>
      <c r="Y661" s="28" t="str">
        <f t="shared" si="984"/>
        <v/>
      </c>
      <c r="Z661" s="27" t="str">
        <f t="shared" si="985"/>
        <v/>
      </c>
      <c r="AA661" s="27" t="str">
        <f t="shared" si="986"/>
        <v/>
      </c>
      <c r="AB661" s="27" t="str">
        <f t="shared" si="987"/>
        <v/>
      </c>
      <c r="AC661" s="27" t="str">
        <f t="shared" si="988"/>
        <v/>
      </c>
      <c r="AD661" s="29" t="str">
        <f t="shared" si="989"/>
        <v/>
      </c>
      <c r="AE661" s="30" t="str">
        <f t="shared" si="990"/>
        <v/>
      </c>
      <c r="AG661" s="4"/>
      <c r="AH661" s="31" t="e">
        <f t="shared" si="991"/>
        <v>#VALUE!</v>
      </c>
      <c r="AI661" s="31" t="e">
        <f t="shared" si="992"/>
        <v>#VALUE!</v>
      </c>
      <c r="AJ661" s="31" t="e">
        <f t="shared" si="993"/>
        <v>#VALUE!</v>
      </c>
      <c r="AK661" s="31" t="e">
        <f t="shared" si="994"/>
        <v>#VALUE!</v>
      </c>
      <c r="AL661" s="31" t="e">
        <f t="shared" si="995"/>
        <v>#VALUE!</v>
      </c>
      <c r="AM661" s="31" t="e">
        <f t="shared" si="996"/>
        <v>#VALUE!</v>
      </c>
      <c r="AN661" s="32" t="str">
        <f t="shared" si="997"/>
        <v/>
      </c>
      <c r="AO661" s="27" t="str">
        <f t="shared" si="998"/>
        <v/>
      </c>
      <c r="AP661" s="27" t="str">
        <f t="shared" si="999"/>
        <v/>
      </c>
      <c r="AQ661" s="27">
        <f t="shared" si="1000"/>
        <v>0</v>
      </c>
      <c r="AR661" s="27">
        <f t="shared" si="1001"/>
        <v>0</v>
      </c>
      <c r="AS661" s="33">
        <f t="shared" si="1002"/>
        <v>0</v>
      </c>
    </row>
    <row r="662" spans="2:45" hidden="1" x14ac:dyDescent="0.25">
      <c r="B662" s="34" t="str">
        <f t="shared" ref="B662:F662" si="1014">IF(B661="","",B661)</f>
        <v/>
      </c>
      <c r="C662" s="26" t="str">
        <f t="shared" si="1014"/>
        <v/>
      </c>
      <c r="D662" s="26" t="str">
        <f t="shared" si="1014"/>
        <v/>
      </c>
      <c r="E662" s="26" t="str">
        <f t="shared" si="1014"/>
        <v/>
      </c>
      <c r="F662" s="26" t="str">
        <f t="shared" si="1014"/>
        <v/>
      </c>
      <c r="G662" s="24"/>
      <c r="H662" s="24"/>
      <c r="I662" s="24"/>
      <c r="J662" s="24"/>
      <c r="K662" s="24"/>
      <c r="L662" s="24"/>
      <c r="M662" s="44" t="str">
        <f t="shared" si="963"/>
        <v/>
      </c>
      <c r="N662" s="26" t="str">
        <f t="shared" si="973"/>
        <v/>
      </c>
      <c r="O662" s="26" t="str">
        <f t="shared" si="974"/>
        <v/>
      </c>
      <c r="P662" s="26" t="str">
        <f t="shared" si="975"/>
        <v/>
      </c>
      <c r="Q662" s="26">
        <f t="shared" si="976"/>
        <v>0</v>
      </c>
      <c r="R662" s="26">
        <f t="shared" si="977"/>
        <v>0</v>
      </c>
      <c r="S662" s="26">
        <f t="shared" si="978"/>
        <v>0</v>
      </c>
      <c r="T662" s="26" t="str">
        <f t="shared" si="979"/>
        <v/>
      </c>
      <c r="U662" s="26" t="str">
        <f t="shared" si="980"/>
        <v/>
      </c>
      <c r="V662" s="26" t="str">
        <f t="shared" si="981"/>
        <v/>
      </c>
      <c r="W662" s="27" t="str">
        <f t="shared" si="982"/>
        <v/>
      </c>
      <c r="X662" s="27" t="str">
        <f t="shared" si="983"/>
        <v/>
      </c>
      <c r="Y662" s="28" t="str">
        <f t="shared" si="984"/>
        <v/>
      </c>
      <c r="Z662" s="27" t="str">
        <f t="shared" si="985"/>
        <v/>
      </c>
      <c r="AA662" s="27" t="str">
        <f t="shared" si="986"/>
        <v/>
      </c>
      <c r="AB662" s="27" t="str">
        <f t="shared" si="987"/>
        <v/>
      </c>
      <c r="AC662" s="27" t="str">
        <f t="shared" si="988"/>
        <v/>
      </c>
      <c r="AD662" s="29" t="str">
        <f t="shared" si="989"/>
        <v/>
      </c>
      <c r="AE662" s="30" t="str">
        <f t="shared" si="990"/>
        <v/>
      </c>
      <c r="AG662" s="4"/>
      <c r="AH662" s="31" t="e">
        <f t="shared" si="991"/>
        <v>#VALUE!</v>
      </c>
      <c r="AI662" s="31" t="e">
        <f t="shared" si="992"/>
        <v>#VALUE!</v>
      </c>
      <c r="AJ662" s="31" t="e">
        <f t="shared" si="993"/>
        <v>#VALUE!</v>
      </c>
      <c r="AK662" s="31" t="e">
        <f t="shared" si="994"/>
        <v>#VALUE!</v>
      </c>
      <c r="AL662" s="31" t="e">
        <f t="shared" si="995"/>
        <v>#VALUE!</v>
      </c>
      <c r="AM662" s="31" t="e">
        <f t="shared" si="996"/>
        <v>#VALUE!</v>
      </c>
      <c r="AN662" s="32" t="str">
        <f t="shared" si="997"/>
        <v/>
      </c>
      <c r="AO662" s="27" t="str">
        <f t="shared" si="998"/>
        <v/>
      </c>
      <c r="AP662" s="27" t="str">
        <f t="shared" si="999"/>
        <v/>
      </c>
      <c r="AQ662" s="27">
        <f t="shared" si="1000"/>
        <v>0</v>
      </c>
      <c r="AR662" s="27">
        <f t="shared" si="1001"/>
        <v>0</v>
      </c>
      <c r="AS662" s="33">
        <f t="shared" si="1002"/>
        <v>0</v>
      </c>
    </row>
    <row r="663" spans="2:45" hidden="1" x14ac:dyDescent="0.25">
      <c r="B663" s="34" t="str">
        <f t="shared" ref="B663:F663" si="1015">IF(B662="","",B662)</f>
        <v/>
      </c>
      <c r="C663" s="26" t="str">
        <f t="shared" si="1015"/>
        <v/>
      </c>
      <c r="D663" s="26" t="str">
        <f t="shared" si="1015"/>
        <v/>
      </c>
      <c r="E663" s="26" t="str">
        <f t="shared" si="1015"/>
        <v/>
      </c>
      <c r="F663" s="26" t="str">
        <f t="shared" si="1015"/>
        <v/>
      </c>
      <c r="G663" s="24"/>
      <c r="H663" s="24"/>
      <c r="I663" s="24"/>
      <c r="J663" s="24"/>
      <c r="K663" s="24"/>
      <c r="L663" s="24"/>
      <c r="M663" s="44" t="str">
        <f t="shared" si="963"/>
        <v/>
      </c>
      <c r="N663" s="26" t="str">
        <f t="shared" si="973"/>
        <v/>
      </c>
      <c r="O663" s="26" t="str">
        <f t="shared" si="974"/>
        <v/>
      </c>
      <c r="P663" s="26" t="str">
        <f t="shared" si="975"/>
        <v/>
      </c>
      <c r="Q663" s="26">
        <f t="shared" si="976"/>
        <v>0</v>
      </c>
      <c r="R663" s="26">
        <f t="shared" si="977"/>
        <v>0</v>
      </c>
      <c r="S663" s="26">
        <f t="shared" si="978"/>
        <v>0</v>
      </c>
      <c r="T663" s="26" t="str">
        <f t="shared" si="979"/>
        <v/>
      </c>
      <c r="U663" s="26" t="str">
        <f t="shared" si="980"/>
        <v/>
      </c>
      <c r="V663" s="26" t="str">
        <f t="shared" si="981"/>
        <v/>
      </c>
      <c r="W663" s="27" t="str">
        <f t="shared" si="982"/>
        <v/>
      </c>
      <c r="X663" s="27" t="str">
        <f t="shared" si="983"/>
        <v/>
      </c>
      <c r="Y663" s="28" t="str">
        <f t="shared" si="984"/>
        <v/>
      </c>
      <c r="Z663" s="27" t="str">
        <f t="shared" si="985"/>
        <v/>
      </c>
      <c r="AA663" s="27" t="str">
        <f t="shared" si="986"/>
        <v/>
      </c>
      <c r="AB663" s="27" t="str">
        <f t="shared" si="987"/>
        <v/>
      </c>
      <c r="AC663" s="27" t="str">
        <f t="shared" si="988"/>
        <v/>
      </c>
      <c r="AD663" s="29" t="str">
        <f t="shared" si="989"/>
        <v/>
      </c>
      <c r="AE663" s="30" t="str">
        <f t="shared" si="990"/>
        <v/>
      </c>
      <c r="AG663" s="4"/>
      <c r="AH663" s="31" t="e">
        <f t="shared" si="991"/>
        <v>#VALUE!</v>
      </c>
      <c r="AI663" s="31" t="e">
        <f t="shared" si="992"/>
        <v>#VALUE!</v>
      </c>
      <c r="AJ663" s="31" t="e">
        <f t="shared" si="993"/>
        <v>#VALUE!</v>
      </c>
      <c r="AK663" s="31" t="e">
        <f t="shared" si="994"/>
        <v>#VALUE!</v>
      </c>
      <c r="AL663" s="31" t="e">
        <f t="shared" si="995"/>
        <v>#VALUE!</v>
      </c>
      <c r="AM663" s="31" t="e">
        <f t="shared" si="996"/>
        <v>#VALUE!</v>
      </c>
      <c r="AN663" s="32" t="str">
        <f t="shared" si="997"/>
        <v/>
      </c>
      <c r="AO663" s="27" t="str">
        <f t="shared" si="998"/>
        <v/>
      </c>
      <c r="AP663" s="27" t="str">
        <f t="shared" si="999"/>
        <v/>
      </c>
      <c r="AQ663" s="27">
        <f t="shared" si="1000"/>
        <v>0</v>
      </c>
      <c r="AR663" s="27">
        <f t="shared" si="1001"/>
        <v>0</v>
      </c>
      <c r="AS663" s="33">
        <f t="shared" si="1002"/>
        <v>0</v>
      </c>
    </row>
    <row r="664" spans="2:45" hidden="1" x14ac:dyDescent="0.25">
      <c r="B664" s="34" t="str">
        <f t="shared" ref="B664:F664" si="1016">IF(B663="","",B663)</f>
        <v/>
      </c>
      <c r="C664" s="26" t="str">
        <f t="shared" si="1016"/>
        <v/>
      </c>
      <c r="D664" s="26" t="str">
        <f t="shared" si="1016"/>
        <v/>
      </c>
      <c r="E664" s="26" t="str">
        <f t="shared" si="1016"/>
        <v/>
      </c>
      <c r="F664" s="26" t="str">
        <f t="shared" si="1016"/>
        <v/>
      </c>
      <c r="G664" s="24"/>
      <c r="H664" s="24"/>
      <c r="I664" s="24"/>
      <c r="J664" s="24"/>
      <c r="K664" s="24"/>
      <c r="L664" s="24"/>
      <c r="M664" s="44" t="str">
        <f t="shared" si="963"/>
        <v/>
      </c>
      <c r="N664" s="26" t="str">
        <f t="shared" si="973"/>
        <v/>
      </c>
      <c r="O664" s="26" t="str">
        <f t="shared" si="974"/>
        <v/>
      </c>
      <c r="P664" s="26" t="str">
        <f t="shared" si="975"/>
        <v/>
      </c>
      <c r="Q664" s="26">
        <f t="shared" si="976"/>
        <v>0</v>
      </c>
      <c r="R664" s="26">
        <f t="shared" si="977"/>
        <v>0</v>
      </c>
      <c r="S664" s="26">
        <f t="shared" si="978"/>
        <v>0</v>
      </c>
      <c r="T664" s="26" t="str">
        <f t="shared" si="979"/>
        <v/>
      </c>
      <c r="U664" s="26" t="str">
        <f t="shared" si="980"/>
        <v/>
      </c>
      <c r="V664" s="26" t="str">
        <f t="shared" si="981"/>
        <v/>
      </c>
      <c r="W664" s="27" t="str">
        <f t="shared" si="982"/>
        <v/>
      </c>
      <c r="X664" s="27" t="str">
        <f t="shared" si="983"/>
        <v/>
      </c>
      <c r="Y664" s="28" t="str">
        <f t="shared" si="984"/>
        <v/>
      </c>
      <c r="Z664" s="27" t="str">
        <f t="shared" si="985"/>
        <v/>
      </c>
      <c r="AA664" s="27" t="str">
        <f t="shared" si="986"/>
        <v/>
      </c>
      <c r="AB664" s="27" t="str">
        <f t="shared" si="987"/>
        <v/>
      </c>
      <c r="AC664" s="27" t="str">
        <f t="shared" si="988"/>
        <v/>
      </c>
      <c r="AD664" s="29" t="str">
        <f t="shared" si="989"/>
        <v/>
      </c>
      <c r="AE664" s="30" t="str">
        <f t="shared" si="990"/>
        <v/>
      </c>
      <c r="AG664" s="4"/>
      <c r="AH664" s="31" t="e">
        <f t="shared" si="991"/>
        <v>#VALUE!</v>
      </c>
      <c r="AI664" s="31" t="e">
        <f t="shared" si="992"/>
        <v>#VALUE!</v>
      </c>
      <c r="AJ664" s="31" t="e">
        <f t="shared" si="993"/>
        <v>#VALUE!</v>
      </c>
      <c r="AK664" s="31" t="e">
        <f t="shared" si="994"/>
        <v>#VALUE!</v>
      </c>
      <c r="AL664" s="31" t="e">
        <f t="shared" si="995"/>
        <v>#VALUE!</v>
      </c>
      <c r="AM664" s="31" t="e">
        <f t="shared" si="996"/>
        <v>#VALUE!</v>
      </c>
      <c r="AN664" s="32" t="str">
        <f t="shared" si="997"/>
        <v/>
      </c>
      <c r="AO664" s="27" t="str">
        <f t="shared" si="998"/>
        <v/>
      </c>
      <c r="AP664" s="27" t="str">
        <f t="shared" si="999"/>
        <v/>
      </c>
      <c r="AQ664" s="27">
        <f t="shared" si="1000"/>
        <v>0</v>
      </c>
      <c r="AR664" s="27">
        <f t="shared" si="1001"/>
        <v>0</v>
      </c>
      <c r="AS664" s="33">
        <f t="shared" si="1002"/>
        <v>0</v>
      </c>
    </row>
    <row r="665" spans="2:45" hidden="1" x14ac:dyDescent="0.25">
      <c r="B665" s="34" t="str">
        <f>IF(B664="","",B664)</f>
        <v/>
      </c>
      <c r="C665" s="26" t="str">
        <f t="shared" ref="C665:F665" si="1017">IF(C664="","",C664)</f>
        <v/>
      </c>
      <c r="D665" s="26" t="str">
        <f t="shared" si="1017"/>
        <v/>
      </c>
      <c r="E665" s="26" t="str">
        <f t="shared" si="1017"/>
        <v/>
      </c>
      <c r="F665" s="26" t="str">
        <f t="shared" si="1017"/>
        <v/>
      </c>
      <c r="G665" s="24"/>
      <c r="H665" s="24"/>
      <c r="I665" s="24"/>
      <c r="J665" s="24"/>
      <c r="K665" s="24"/>
      <c r="L665" s="24"/>
      <c r="M665" s="44" t="str">
        <f t="shared" si="963"/>
        <v/>
      </c>
      <c r="N665" s="26" t="str">
        <f t="shared" si="973"/>
        <v/>
      </c>
      <c r="O665" s="26" t="str">
        <f t="shared" si="974"/>
        <v/>
      </c>
      <c r="P665" s="26" t="str">
        <f t="shared" si="975"/>
        <v/>
      </c>
      <c r="Q665" s="26">
        <f t="shared" si="976"/>
        <v>0</v>
      </c>
      <c r="R665" s="26">
        <f t="shared" si="977"/>
        <v>0</v>
      </c>
      <c r="S665" s="26">
        <f t="shared" si="978"/>
        <v>0</v>
      </c>
      <c r="T665" s="26" t="str">
        <f t="shared" si="979"/>
        <v/>
      </c>
      <c r="U665" s="26" t="str">
        <f t="shared" si="980"/>
        <v/>
      </c>
      <c r="V665" s="26" t="str">
        <f t="shared" si="981"/>
        <v/>
      </c>
      <c r="W665" s="27" t="str">
        <f t="shared" si="982"/>
        <v/>
      </c>
      <c r="X665" s="27" t="str">
        <f t="shared" si="983"/>
        <v/>
      </c>
      <c r="Y665" s="28" t="str">
        <f t="shared" si="984"/>
        <v/>
      </c>
      <c r="Z665" s="27" t="str">
        <f t="shared" si="985"/>
        <v/>
      </c>
      <c r="AA665" s="27" t="str">
        <f t="shared" si="986"/>
        <v/>
      </c>
      <c r="AB665" s="27" t="str">
        <f t="shared" si="987"/>
        <v/>
      </c>
      <c r="AC665" s="27" t="str">
        <f t="shared" si="988"/>
        <v/>
      </c>
      <c r="AD665" s="29" t="str">
        <f t="shared" si="989"/>
        <v/>
      </c>
      <c r="AE665" s="30" t="str">
        <f t="shared" si="990"/>
        <v/>
      </c>
      <c r="AG665" s="4"/>
      <c r="AH665" s="31" t="e">
        <f t="shared" si="991"/>
        <v>#VALUE!</v>
      </c>
      <c r="AI665" s="31" t="e">
        <f t="shared" si="992"/>
        <v>#VALUE!</v>
      </c>
      <c r="AJ665" s="31" t="e">
        <f t="shared" si="993"/>
        <v>#VALUE!</v>
      </c>
      <c r="AK665" s="31" t="e">
        <f t="shared" si="994"/>
        <v>#VALUE!</v>
      </c>
      <c r="AL665" s="31" t="e">
        <f t="shared" si="995"/>
        <v>#VALUE!</v>
      </c>
      <c r="AM665" s="31" t="e">
        <f t="shared" si="996"/>
        <v>#VALUE!</v>
      </c>
      <c r="AN665" s="32" t="str">
        <f t="shared" si="997"/>
        <v/>
      </c>
      <c r="AO665" s="27" t="str">
        <f t="shared" si="998"/>
        <v/>
      </c>
      <c r="AP665" s="27" t="str">
        <f t="shared" si="999"/>
        <v/>
      </c>
      <c r="AQ665" s="27">
        <f t="shared" si="1000"/>
        <v>0</v>
      </c>
      <c r="AR665" s="27">
        <f t="shared" si="1001"/>
        <v>0</v>
      </c>
      <c r="AS665" s="33">
        <f t="shared" si="1002"/>
        <v>0</v>
      </c>
    </row>
    <row r="666" spans="2:45" hidden="1" x14ac:dyDescent="0.25">
      <c r="B666" s="34" t="str">
        <f t="shared" ref="B666:F666" si="1018">IF(B665="","",B665)</f>
        <v/>
      </c>
      <c r="C666" s="26" t="str">
        <f t="shared" si="1018"/>
        <v/>
      </c>
      <c r="D666" s="26" t="str">
        <f t="shared" si="1018"/>
        <v/>
      </c>
      <c r="E666" s="26" t="str">
        <f t="shared" si="1018"/>
        <v/>
      </c>
      <c r="F666" s="26" t="str">
        <f t="shared" si="1018"/>
        <v/>
      </c>
      <c r="G666" s="24"/>
      <c r="H666" s="24"/>
      <c r="I666" s="24"/>
      <c r="J666" s="24"/>
      <c r="K666" s="24"/>
      <c r="L666" s="24"/>
      <c r="M666" s="44" t="str">
        <f t="shared" si="963"/>
        <v/>
      </c>
      <c r="N666" s="26" t="str">
        <f t="shared" si="973"/>
        <v/>
      </c>
      <c r="O666" s="26" t="str">
        <f t="shared" si="974"/>
        <v/>
      </c>
      <c r="P666" s="26" t="str">
        <f t="shared" si="975"/>
        <v/>
      </c>
      <c r="Q666" s="26">
        <f t="shared" si="976"/>
        <v>0</v>
      </c>
      <c r="R666" s="26">
        <f t="shared" si="977"/>
        <v>0</v>
      </c>
      <c r="S666" s="26">
        <f t="shared" si="978"/>
        <v>0</v>
      </c>
      <c r="T666" s="26" t="str">
        <f t="shared" si="979"/>
        <v/>
      </c>
      <c r="U666" s="26" t="str">
        <f t="shared" si="980"/>
        <v/>
      </c>
      <c r="V666" s="26" t="str">
        <f t="shared" si="981"/>
        <v/>
      </c>
      <c r="W666" s="27" t="str">
        <f t="shared" si="982"/>
        <v/>
      </c>
      <c r="X666" s="27" t="str">
        <f t="shared" si="983"/>
        <v/>
      </c>
      <c r="Y666" s="28" t="str">
        <f t="shared" si="984"/>
        <v/>
      </c>
      <c r="Z666" s="27" t="str">
        <f t="shared" si="985"/>
        <v/>
      </c>
      <c r="AA666" s="27" t="str">
        <f t="shared" si="986"/>
        <v/>
      </c>
      <c r="AB666" s="27" t="str">
        <f t="shared" si="987"/>
        <v/>
      </c>
      <c r="AC666" s="27" t="str">
        <f t="shared" si="988"/>
        <v/>
      </c>
      <c r="AD666" s="29" t="str">
        <f t="shared" si="989"/>
        <v/>
      </c>
      <c r="AE666" s="30" t="str">
        <f t="shared" si="990"/>
        <v/>
      </c>
      <c r="AG666" s="4"/>
      <c r="AH666" s="31" t="e">
        <f t="shared" si="991"/>
        <v>#VALUE!</v>
      </c>
      <c r="AI666" s="31" t="e">
        <f t="shared" si="992"/>
        <v>#VALUE!</v>
      </c>
      <c r="AJ666" s="31" t="e">
        <f t="shared" si="993"/>
        <v>#VALUE!</v>
      </c>
      <c r="AK666" s="31" t="e">
        <f t="shared" si="994"/>
        <v>#VALUE!</v>
      </c>
      <c r="AL666" s="31" t="e">
        <f t="shared" si="995"/>
        <v>#VALUE!</v>
      </c>
      <c r="AM666" s="31" t="e">
        <f t="shared" si="996"/>
        <v>#VALUE!</v>
      </c>
      <c r="AN666" s="32" t="str">
        <f t="shared" si="997"/>
        <v/>
      </c>
      <c r="AO666" s="27" t="str">
        <f t="shared" si="998"/>
        <v/>
      </c>
      <c r="AP666" s="27" t="str">
        <f t="shared" si="999"/>
        <v/>
      </c>
      <c r="AQ666" s="27">
        <f t="shared" si="1000"/>
        <v>0</v>
      </c>
      <c r="AR666" s="27">
        <f t="shared" si="1001"/>
        <v>0</v>
      </c>
      <c r="AS666" s="33">
        <f t="shared" si="1002"/>
        <v>0</v>
      </c>
    </row>
    <row r="667" spans="2:45" hidden="1" x14ac:dyDescent="0.25">
      <c r="B667" s="34" t="str">
        <f t="shared" ref="B667:F667" si="1019">IF(B666="","",B666)</f>
        <v/>
      </c>
      <c r="C667" s="26" t="str">
        <f t="shared" si="1019"/>
        <v/>
      </c>
      <c r="D667" s="26" t="str">
        <f t="shared" si="1019"/>
        <v/>
      </c>
      <c r="E667" s="26" t="str">
        <f t="shared" si="1019"/>
        <v/>
      </c>
      <c r="F667" s="26" t="str">
        <f t="shared" si="1019"/>
        <v/>
      </c>
      <c r="G667" s="24"/>
      <c r="H667" s="24"/>
      <c r="I667" s="24"/>
      <c r="J667" s="24"/>
      <c r="K667" s="24"/>
      <c r="L667" s="24"/>
      <c r="M667" s="44" t="str">
        <f t="shared" si="963"/>
        <v/>
      </c>
      <c r="N667" s="26" t="str">
        <f t="shared" si="973"/>
        <v/>
      </c>
      <c r="O667" s="26" t="str">
        <f t="shared" si="974"/>
        <v/>
      </c>
      <c r="P667" s="26" t="str">
        <f t="shared" si="975"/>
        <v/>
      </c>
      <c r="Q667" s="26">
        <f t="shared" si="976"/>
        <v>0</v>
      </c>
      <c r="R667" s="26">
        <f t="shared" si="977"/>
        <v>0</v>
      </c>
      <c r="S667" s="26">
        <f t="shared" si="978"/>
        <v>0</v>
      </c>
      <c r="T667" s="26" t="str">
        <f t="shared" si="979"/>
        <v/>
      </c>
      <c r="U667" s="26" t="str">
        <f t="shared" si="980"/>
        <v/>
      </c>
      <c r="V667" s="26" t="str">
        <f t="shared" si="981"/>
        <v/>
      </c>
      <c r="W667" s="27" t="str">
        <f t="shared" si="982"/>
        <v/>
      </c>
      <c r="X667" s="27" t="str">
        <f t="shared" si="983"/>
        <v/>
      </c>
      <c r="Y667" s="28" t="str">
        <f t="shared" si="984"/>
        <v/>
      </c>
      <c r="Z667" s="27" t="str">
        <f t="shared" si="985"/>
        <v/>
      </c>
      <c r="AA667" s="27" t="str">
        <f t="shared" si="986"/>
        <v/>
      </c>
      <c r="AB667" s="27" t="str">
        <f t="shared" si="987"/>
        <v/>
      </c>
      <c r="AC667" s="27" t="str">
        <f t="shared" si="988"/>
        <v/>
      </c>
      <c r="AD667" s="29" t="str">
        <f t="shared" si="989"/>
        <v/>
      </c>
      <c r="AE667" s="30" t="str">
        <f t="shared" si="990"/>
        <v/>
      </c>
      <c r="AG667" s="4"/>
      <c r="AH667" s="31" t="e">
        <f t="shared" si="991"/>
        <v>#VALUE!</v>
      </c>
      <c r="AI667" s="31" t="e">
        <f t="shared" si="992"/>
        <v>#VALUE!</v>
      </c>
      <c r="AJ667" s="31" t="e">
        <f t="shared" si="993"/>
        <v>#VALUE!</v>
      </c>
      <c r="AK667" s="31" t="e">
        <f t="shared" si="994"/>
        <v>#VALUE!</v>
      </c>
      <c r="AL667" s="31" t="e">
        <f t="shared" si="995"/>
        <v>#VALUE!</v>
      </c>
      <c r="AM667" s="31" t="e">
        <f t="shared" si="996"/>
        <v>#VALUE!</v>
      </c>
      <c r="AN667" s="32" t="str">
        <f t="shared" si="997"/>
        <v/>
      </c>
      <c r="AO667" s="27" t="str">
        <f t="shared" si="998"/>
        <v/>
      </c>
      <c r="AP667" s="27" t="str">
        <f t="shared" si="999"/>
        <v/>
      </c>
      <c r="AQ667" s="27">
        <f t="shared" si="1000"/>
        <v>0</v>
      </c>
      <c r="AR667" s="27">
        <f t="shared" si="1001"/>
        <v>0</v>
      </c>
      <c r="AS667" s="33">
        <f t="shared" si="1002"/>
        <v>0</v>
      </c>
    </row>
    <row r="668" spans="2:45" hidden="1" x14ac:dyDescent="0.25">
      <c r="B668" s="34" t="str">
        <f t="shared" ref="B668:F668" si="1020">IF(B667="","",B667)</f>
        <v/>
      </c>
      <c r="C668" s="26" t="str">
        <f t="shared" si="1020"/>
        <v/>
      </c>
      <c r="D668" s="26" t="str">
        <f t="shared" si="1020"/>
        <v/>
      </c>
      <c r="E668" s="26" t="str">
        <f t="shared" si="1020"/>
        <v/>
      </c>
      <c r="F668" s="26" t="str">
        <f t="shared" si="1020"/>
        <v/>
      </c>
      <c r="G668" s="24"/>
      <c r="H668" s="24"/>
      <c r="I668" s="24"/>
      <c r="J668" s="24"/>
      <c r="K668" s="24"/>
      <c r="L668" s="24"/>
      <c r="M668" s="44" t="str">
        <f t="shared" si="963"/>
        <v/>
      </c>
      <c r="N668" s="26" t="str">
        <f t="shared" si="973"/>
        <v/>
      </c>
      <c r="O668" s="26" t="str">
        <f t="shared" si="974"/>
        <v/>
      </c>
      <c r="P668" s="26" t="str">
        <f t="shared" si="975"/>
        <v/>
      </c>
      <c r="Q668" s="26">
        <f t="shared" si="976"/>
        <v>0</v>
      </c>
      <c r="R668" s="26">
        <f t="shared" si="977"/>
        <v>0</v>
      </c>
      <c r="S668" s="26">
        <f t="shared" si="978"/>
        <v>0</v>
      </c>
      <c r="T668" s="26" t="str">
        <f t="shared" si="979"/>
        <v/>
      </c>
      <c r="U668" s="26" t="str">
        <f t="shared" si="980"/>
        <v/>
      </c>
      <c r="V668" s="26" t="str">
        <f t="shared" si="981"/>
        <v/>
      </c>
      <c r="W668" s="27" t="str">
        <f t="shared" si="982"/>
        <v/>
      </c>
      <c r="X668" s="27" t="str">
        <f t="shared" si="983"/>
        <v/>
      </c>
      <c r="Y668" s="28" t="str">
        <f t="shared" si="984"/>
        <v/>
      </c>
      <c r="Z668" s="27" t="str">
        <f t="shared" si="985"/>
        <v/>
      </c>
      <c r="AA668" s="27" t="str">
        <f t="shared" si="986"/>
        <v/>
      </c>
      <c r="AB668" s="27" t="str">
        <f t="shared" si="987"/>
        <v/>
      </c>
      <c r="AC668" s="27" t="str">
        <f t="shared" si="988"/>
        <v/>
      </c>
      <c r="AD668" s="29" t="str">
        <f t="shared" si="989"/>
        <v/>
      </c>
      <c r="AE668" s="30" t="str">
        <f t="shared" si="990"/>
        <v/>
      </c>
      <c r="AG668" s="4"/>
      <c r="AH668" s="31" t="e">
        <f t="shared" si="991"/>
        <v>#VALUE!</v>
      </c>
      <c r="AI668" s="31" t="e">
        <f t="shared" si="992"/>
        <v>#VALUE!</v>
      </c>
      <c r="AJ668" s="31" t="e">
        <f t="shared" si="993"/>
        <v>#VALUE!</v>
      </c>
      <c r="AK668" s="31" t="e">
        <f t="shared" si="994"/>
        <v>#VALUE!</v>
      </c>
      <c r="AL668" s="31" t="e">
        <f t="shared" si="995"/>
        <v>#VALUE!</v>
      </c>
      <c r="AM668" s="31" t="e">
        <f t="shared" si="996"/>
        <v>#VALUE!</v>
      </c>
      <c r="AN668" s="32" t="str">
        <f t="shared" si="997"/>
        <v/>
      </c>
      <c r="AO668" s="27" t="str">
        <f t="shared" si="998"/>
        <v/>
      </c>
      <c r="AP668" s="27" t="str">
        <f t="shared" si="999"/>
        <v/>
      </c>
      <c r="AQ668" s="27">
        <f t="shared" si="1000"/>
        <v>0</v>
      </c>
      <c r="AR668" s="27">
        <f t="shared" si="1001"/>
        <v>0</v>
      </c>
      <c r="AS668" s="33">
        <f t="shared" si="1002"/>
        <v>0</v>
      </c>
    </row>
    <row r="669" spans="2:45" hidden="1" x14ac:dyDescent="0.25">
      <c r="B669" s="34" t="str">
        <f t="shared" ref="B669:F669" si="1021">IF(B668="","",B668)</f>
        <v/>
      </c>
      <c r="C669" s="26" t="str">
        <f t="shared" si="1021"/>
        <v/>
      </c>
      <c r="D669" s="26" t="str">
        <f t="shared" si="1021"/>
        <v/>
      </c>
      <c r="E669" s="26" t="str">
        <f t="shared" si="1021"/>
        <v/>
      </c>
      <c r="F669" s="26" t="str">
        <f t="shared" si="1021"/>
        <v/>
      </c>
      <c r="G669" s="24"/>
      <c r="H669" s="24"/>
      <c r="I669" s="24"/>
      <c r="J669" s="24"/>
      <c r="K669" s="24"/>
      <c r="L669" s="24"/>
      <c r="M669" s="44" t="str">
        <f t="shared" si="963"/>
        <v/>
      </c>
      <c r="N669" s="26" t="str">
        <f t="shared" si="973"/>
        <v/>
      </c>
      <c r="O669" s="26" t="str">
        <f t="shared" si="974"/>
        <v/>
      </c>
      <c r="P669" s="26" t="str">
        <f t="shared" si="975"/>
        <v/>
      </c>
      <c r="Q669" s="26">
        <f t="shared" si="976"/>
        <v>0</v>
      </c>
      <c r="R669" s="26">
        <f t="shared" si="977"/>
        <v>0</v>
      </c>
      <c r="S669" s="26">
        <f t="shared" si="978"/>
        <v>0</v>
      </c>
      <c r="T669" s="26" t="str">
        <f t="shared" si="979"/>
        <v/>
      </c>
      <c r="U669" s="26" t="str">
        <f t="shared" si="980"/>
        <v/>
      </c>
      <c r="V669" s="26" t="str">
        <f t="shared" si="981"/>
        <v/>
      </c>
      <c r="W669" s="27" t="str">
        <f t="shared" si="982"/>
        <v/>
      </c>
      <c r="X669" s="27" t="str">
        <f t="shared" si="983"/>
        <v/>
      </c>
      <c r="Y669" s="28" t="str">
        <f t="shared" si="984"/>
        <v/>
      </c>
      <c r="Z669" s="27" t="str">
        <f t="shared" si="985"/>
        <v/>
      </c>
      <c r="AA669" s="27" t="str">
        <f t="shared" si="986"/>
        <v/>
      </c>
      <c r="AB669" s="27" t="str">
        <f t="shared" si="987"/>
        <v/>
      </c>
      <c r="AC669" s="27" t="str">
        <f t="shared" si="988"/>
        <v/>
      </c>
      <c r="AD669" s="29" t="str">
        <f t="shared" si="989"/>
        <v/>
      </c>
      <c r="AE669" s="30" t="str">
        <f t="shared" si="990"/>
        <v/>
      </c>
      <c r="AG669" s="4"/>
      <c r="AH669" s="31" t="e">
        <f t="shared" si="991"/>
        <v>#VALUE!</v>
      </c>
      <c r="AI669" s="31" t="e">
        <f t="shared" si="992"/>
        <v>#VALUE!</v>
      </c>
      <c r="AJ669" s="31" t="e">
        <f t="shared" si="993"/>
        <v>#VALUE!</v>
      </c>
      <c r="AK669" s="31" t="e">
        <f t="shared" si="994"/>
        <v>#VALUE!</v>
      </c>
      <c r="AL669" s="31" t="e">
        <f t="shared" si="995"/>
        <v>#VALUE!</v>
      </c>
      <c r="AM669" s="31" t="e">
        <f t="shared" si="996"/>
        <v>#VALUE!</v>
      </c>
      <c r="AN669" s="32" t="str">
        <f t="shared" si="997"/>
        <v/>
      </c>
      <c r="AO669" s="27" t="str">
        <f t="shared" si="998"/>
        <v/>
      </c>
      <c r="AP669" s="27" t="str">
        <f t="shared" si="999"/>
        <v/>
      </c>
      <c r="AQ669" s="27">
        <f t="shared" si="1000"/>
        <v>0</v>
      </c>
      <c r="AR669" s="27">
        <f t="shared" si="1001"/>
        <v>0</v>
      </c>
      <c r="AS669" s="33">
        <f t="shared" si="1002"/>
        <v>0</v>
      </c>
    </row>
    <row r="670" spans="2:45" hidden="1" x14ac:dyDescent="0.25">
      <c r="B670" s="34" t="str">
        <f t="shared" ref="B670:F670" si="1022">IF(B669="","",B669)</f>
        <v/>
      </c>
      <c r="C670" s="26" t="str">
        <f t="shared" si="1022"/>
        <v/>
      </c>
      <c r="D670" s="26" t="str">
        <f t="shared" si="1022"/>
        <v/>
      </c>
      <c r="E670" s="26" t="str">
        <f t="shared" si="1022"/>
        <v/>
      </c>
      <c r="F670" s="26" t="str">
        <f t="shared" si="1022"/>
        <v/>
      </c>
      <c r="G670" s="24"/>
      <c r="H670" s="24"/>
      <c r="I670" s="24"/>
      <c r="J670" s="24"/>
      <c r="K670" s="24"/>
      <c r="L670" s="24"/>
      <c r="M670" s="44" t="str">
        <f t="shared" ref="M670:M701" si="1023">IF(B670="","",IF(M514="","",M514))</f>
        <v/>
      </c>
      <c r="N670" s="26" t="str">
        <f t="shared" si="973"/>
        <v/>
      </c>
      <c r="O670" s="26" t="str">
        <f t="shared" si="974"/>
        <v/>
      </c>
      <c r="P670" s="26" t="str">
        <f t="shared" si="975"/>
        <v/>
      </c>
      <c r="Q670" s="26">
        <f t="shared" si="976"/>
        <v>0</v>
      </c>
      <c r="R670" s="26">
        <f t="shared" si="977"/>
        <v>0</v>
      </c>
      <c r="S670" s="26">
        <f t="shared" si="978"/>
        <v>0</v>
      </c>
      <c r="T670" s="26" t="str">
        <f t="shared" si="979"/>
        <v/>
      </c>
      <c r="U670" s="26" t="str">
        <f t="shared" si="980"/>
        <v/>
      </c>
      <c r="V670" s="26" t="str">
        <f t="shared" si="981"/>
        <v/>
      </c>
      <c r="W670" s="27" t="str">
        <f t="shared" si="982"/>
        <v/>
      </c>
      <c r="X670" s="27" t="str">
        <f t="shared" si="983"/>
        <v/>
      </c>
      <c r="Y670" s="28" t="str">
        <f t="shared" si="984"/>
        <v/>
      </c>
      <c r="Z670" s="27" t="str">
        <f t="shared" si="985"/>
        <v/>
      </c>
      <c r="AA670" s="27" t="str">
        <f t="shared" si="986"/>
        <v/>
      </c>
      <c r="AB670" s="27" t="str">
        <f t="shared" si="987"/>
        <v/>
      </c>
      <c r="AC670" s="27" t="str">
        <f t="shared" si="988"/>
        <v/>
      </c>
      <c r="AD670" s="29" t="str">
        <f t="shared" si="989"/>
        <v/>
      </c>
      <c r="AE670" s="30" t="str">
        <f t="shared" si="990"/>
        <v/>
      </c>
      <c r="AG670" s="4"/>
      <c r="AH670" s="31" t="e">
        <f t="shared" si="991"/>
        <v>#VALUE!</v>
      </c>
      <c r="AI670" s="31" t="e">
        <f t="shared" si="992"/>
        <v>#VALUE!</v>
      </c>
      <c r="AJ670" s="31" t="e">
        <f t="shared" si="993"/>
        <v>#VALUE!</v>
      </c>
      <c r="AK670" s="31" t="e">
        <f t="shared" si="994"/>
        <v>#VALUE!</v>
      </c>
      <c r="AL670" s="31" t="e">
        <f t="shared" si="995"/>
        <v>#VALUE!</v>
      </c>
      <c r="AM670" s="31" t="e">
        <f t="shared" si="996"/>
        <v>#VALUE!</v>
      </c>
      <c r="AN670" s="32" t="str">
        <f t="shared" si="997"/>
        <v/>
      </c>
      <c r="AO670" s="27" t="str">
        <f t="shared" si="998"/>
        <v/>
      </c>
      <c r="AP670" s="27" t="str">
        <f t="shared" si="999"/>
        <v/>
      </c>
      <c r="AQ670" s="27">
        <f t="shared" si="1000"/>
        <v>0</v>
      </c>
      <c r="AR670" s="27">
        <f t="shared" si="1001"/>
        <v>0</v>
      </c>
      <c r="AS670" s="33">
        <f t="shared" si="1002"/>
        <v>0</v>
      </c>
    </row>
    <row r="671" spans="2:45" hidden="1" x14ac:dyDescent="0.25">
      <c r="B671" s="34" t="str">
        <f t="shared" ref="B671:F671" si="1024">IF(B670="","",B670)</f>
        <v/>
      </c>
      <c r="C671" s="26" t="str">
        <f t="shared" si="1024"/>
        <v/>
      </c>
      <c r="D671" s="26" t="str">
        <f t="shared" si="1024"/>
        <v/>
      </c>
      <c r="E671" s="26" t="str">
        <f t="shared" si="1024"/>
        <v/>
      </c>
      <c r="F671" s="26" t="str">
        <f t="shared" si="1024"/>
        <v/>
      </c>
      <c r="G671" s="24"/>
      <c r="H671" s="24"/>
      <c r="I671" s="24"/>
      <c r="J671" s="24"/>
      <c r="K671" s="24"/>
      <c r="L671" s="24"/>
      <c r="M671" s="44" t="str">
        <f t="shared" si="1023"/>
        <v/>
      </c>
      <c r="N671" s="26" t="str">
        <f t="shared" si="973"/>
        <v/>
      </c>
      <c r="O671" s="26" t="str">
        <f t="shared" si="974"/>
        <v/>
      </c>
      <c r="P671" s="26" t="str">
        <f t="shared" si="975"/>
        <v/>
      </c>
      <c r="Q671" s="26">
        <f t="shared" si="976"/>
        <v>0</v>
      </c>
      <c r="R671" s="26">
        <f t="shared" si="977"/>
        <v>0</v>
      </c>
      <c r="S671" s="26">
        <f t="shared" si="978"/>
        <v>0</v>
      </c>
      <c r="T671" s="26" t="str">
        <f t="shared" si="979"/>
        <v/>
      </c>
      <c r="U671" s="26" t="str">
        <f t="shared" si="980"/>
        <v/>
      </c>
      <c r="V671" s="26" t="str">
        <f t="shared" si="981"/>
        <v/>
      </c>
      <c r="W671" s="27" t="str">
        <f t="shared" si="982"/>
        <v/>
      </c>
      <c r="X671" s="27" t="str">
        <f t="shared" si="983"/>
        <v/>
      </c>
      <c r="Y671" s="28" t="str">
        <f t="shared" si="984"/>
        <v/>
      </c>
      <c r="Z671" s="27" t="str">
        <f t="shared" si="985"/>
        <v/>
      </c>
      <c r="AA671" s="27" t="str">
        <f t="shared" si="986"/>
        <v/>
      </c>
      <c r="AB671" s="27" t="str">
        <f t="shared" si="987"/>
        <v/>
      </c>
      <c r="AC671" s="27" t="str">
        <f t="shared" si="988"/>
        <v/>
      </c>
      <c r="AD671" s="29" t="str">
        <f t="shared" si="989"/>
        <v/>
      </c>
      <c r="AE671" s="30" t="str">
        <f t="shared" si="990"/>
        <v/>
      </c>
      <c r="AG671" s="4"/>
      <c r="AH671" s="31" t="e">
        <f t="shared" si="991"/>
        <v>#VALUE!</v>
      </c>
      <c r="AI671" s="31" t="e">
        <f t="shared" si="992"/>
        <v>#VALUE!</v>
      </c>
      <c r="AJ671" s="31" t="e">
        <f t="shared" si="993"/>
        <v>#VALUE!</v>
      </c>
      <c r="AK671" s="31" t="e">
        <f t="shared" si="994"/>
        <v>#VALUE!</v>
      </c>
      <c r="AL671" s="31" t="e">
        <f t="shared" si="995"/>
        <v>#VALUE!</v>
      </c>
      <c r="AM671" s="31" t="e">
        <f t="shared" si="996"/>
        <v>#VALUE!</v>
      </c>
      <c r="AN671" s="32" t="str">
        <f t="shared" si="997"/>
        <v/>
      </c>
      <c r="AO671" s="27" t="str">
        <f t="shared" si="998"/>
        <v/>
      </c>
      <c r="AP671" s="27" t="str">
        <f t="shared" si="999"/>
        <v/>
      </c>
      <c r="AQ671" s="27">
        <f t="shared" si="1000"/>
        <v>0</v>
      </c>
      <c r="AR671" s="27">
        <f t="shared" si="1001"/>
        <v>0</v>
      </c>
      <c r="AS671" s="33">
        <f t="shared" si="1002"/>
        <v>0</v>
      </c>
    </row>
    <row r="672" spans="2:45" hidden="1" x14ac:dyDescent="0.25">
      <c r="B672" s="34" t="str">
        <f t="shared" ref="B672:F672" si="1025">IF(B671="","",B671)</f>
        <v/>
      </c>
      <c r="C672" s="26" t="str">
        <f t="shared" si="1025"/>
        <v/>
      </c>
      <c r="D672" s="26" t="str">
        <f t="shared" si="1025"/>
        <v/>
      </c>
      <c r="E672" s="26" t="str">
        <f t="shared" si="1025"/>
        <v/>
      </c>
      <c r="F672" s="26" t="str">
        <f t="shared" si="1025"/>
        <v/>
      </c>
      <c r="G672" s="24"/>
      <c r="H672" s="24"/>
      <c r="I672" s="24"/>
      <c r="J672" s="24"/>
      <c r="K672" s="24"/>
      <c r="L672" s="24"/>
      <c r="M672" s="44" t="str">
        <f t="shared" si="1023"/>
        <v/>
      </c>
      <c r="N672" s="26" t="str">
        <f t="shared" si="973"/>
        <v/>
      </c>
      <c r="O672" s="26" t="str">
        <f t="shared" si="974"/>
        <v/>
      </c>
      <c r="P672" s="26" t="str">
        <f t="shared" si="975"/>
        <v/>
      </c>
      <c r="Q672" s="26">
        <f t="shared" si="976"/>
        <v>0</v>
      </c>
      <c r="R672" s="26">
        <f t="shared" si="977"/>
        <v>0</v>
      </c>
      <c r="S672" s="26">
        <f t="shared" si="978"/>
        <v>0</v>
      </c>
      <c r="T672" s="26" t="str">
        <f t="shared" si="979"/>
        <v/>
      </c>
      <c r="U672" s="26" t="str">
        <f t="shared" si="980"/>
        <v/>
      </c>
      <c r="V672" s="26" t="str">
        <f t="shared" si="981"/>
        <v/>
      </c>
      <c r="W672" s="27" t="str">
        <f t="shared" si="982"/>
        <v/>
      </c>
      <c r="X672" s="27" t="str">
        <f t="shared" si="983"/>
        <v/>
      </c>
      <c r="Y672" s="28" t="str">
        <f t="shared" si="984"/>
        <v/>
      </c>
      <c r="Z672" s="27" t="str">
        <f t="shared" si="985"/>
        <v/>
      </c>
      <c r="AA672" s="27" t="str">
        <f t="shared" si="986"/>
        <v/>
      </c>
      <c r="AB672" s="27" t="str">
        <f t="shared" si="987"/>
        <v/>
      </c>
      <c r="AC672" s="27" t="str">
        <f t="shared" si="988"/>
        <v/>
      </c>
      <c r="AD672" s="29" t="str">
        <f t="shared" si="989"/>
        <v/>
      </c>
      <c r="AE672" s="30" t="str">
        <f t="shared" si="990"/>
        <v/>
      </c>
      <c r="AG672" s="4"/>
      <c r="AH672" s="31" t="e">
        <f t="shared" si="991"/>
        <v>#VALUE!</v>
      </c>
      <c r="AI672" s="31" t="e">
        <f t="shared" si="992"/>
        <v>#VALUE!</v>
      </c>
      <c r="AJ672" s="31" t="e">
        <f t="shared" si="993"/>
        <v>#VALUE!</v>
      </c>
      <c r="AK672" s="31" t="e">
        <f t="shared" si="994"/>
        <v>#VALUE!</v>
      </c>
      <c r="AL672" s="31" t="e">
        <f t="shared" si="995"/>
        <v>#VALUE!</v>
      </c>
      <c r="AM672" s="31" t="e">
        <f t="shared" si="996"/>
        <v>#VALUE!</v>
      </c>
      <c r="AN672" s="32" t="str">
        <f t="shared" si="997"/>
        <v/>
      </c>
      <c r="AO672" s="27" t="str">
        <f t="shared" si="998"/>
        <v/>
      </c>
      <c r="AP672" s="27" t="str">
        <f t="shared" si="999"/>
        <v/>
      </c>
      <c r="AQ672" s="27">
        <f t="shared" si="1000"/>
        <v>0</v>
      </c>
      <c r="AR672" s="27">
        <f t="shared" si="1001"/>
        <v>0</v>
      </c>
      <c r="AS672" s="33">
        <f t="shared" si="1002"/>
        <v>0</v>
      </c>
    </row>
    <row r="673" spans="2:45" hidden="1" x14ac:dyDescent="0.25">
      <c r="B673" s="34" t="str">
        <f t="shared" ref="B673:F673" si="1026">IF(B672="","",B672)</f>
        <v/>
      </c>
      <c r="C673" s="26" t="str">
        <f t="shared" si="1026"/>
        <v/>
      </c>
      <c r="D673" s="26" t="str">
        <f t="shared" si="1026"/>
        <v/>
      </c>
      <c r="E673" s="26" t="str">
        <f t="shared" si="1026"/>
        <v/>
      </c>
      <c r="F673" s="26" t="str">
        <f t="shared" si="1026"/>
        <v/>
      </c>
      <c r="G673" s="24"/>
      <c r="H673" s="24"/>
      <c r="I673" s="24"/>
      <c r="J673" s="24"/>
      <c r="K673" s="24"/>
      <c r="L673" s="24"/>
      <c r="M673" s="44" t="str">
        <f t="shared" si="1023"/>
        <v/>
      </c>
      <c r="N673" s="26" t="str">
        <f t="shared" si="973"/>
        <v/>
      </c>
      <c r="O673" s="26" t="str">
        <f t="shared" si="974"/>
        <v/>
      </c>
      <c r="P673" s="26" t="str">
        <f t="shared" si="975"/>
        <v/>
      </c>
      <c r="Q673" s="26">
        <f t="shared" si="976"/>
        <v>0</v>
      </c>
      <c r="R673" s="26">
        <f t="shared" si="977"/>
        <v>0</v>
      </c>
      <c r="S673" s="26">
        <f t="shared" si="978"/>
        <v>0</v>
      </c>
      <c r="T673" s="26" t="str">
        <f t="shared" si="979"/>
        <v/>
      </c>
      <c r="U673" s="26" t="str">
        <f t="shared" si="980"/>
        <v/>
      </c>
      <c r="V673" s="26" t="str">
        <f t="shared" si="981"/>
        <v/>
      </c>
      <c r="W673" s="27" t="str">
        <f t="shared" si="982"/>
        <v/>
      </c>
      <c r="X673" s="27" t="str">
        <f t="shared" si="983"/>
        <v/>
      </c>
      <c r="Y673" s="28" t="str">
        <f t="shared" si="984"/>
        <v/>
      </c>
      <c r="Z673" s="27" t="str">
        <f t="shared" si="985"/>
        <v/>
      </c>
      <c r="AA673" s="27" t="str">
        <f t="shared" si="986"/>
        <v/>
      </c>
      <c r="AB673" s="27" t="str">
        <f t="shared" si="987"/>
        <v/>
      </c>
      <c r="AC673" s="27" t="str">
        <f t="shared" si="988"/>
        <v/>
      </c>
      <c r="AD673" s="29" t="str">
        <f t="shared" si="989"/>
        <v/>
      </c>
      <c r="AE673" s="30" t="str">
        <f t="shared" si="990"/>
        <v/>
      </c>
      <c r="AG673" s="4"/>
      <c r="AH673" s="31" t="e">
        <f t="shared" si="991"/>
        <v>#VALUE!</v>
      </c>
      <c r="AI673" s="31" t="e">
        <f t="shared" si="992"/>
        <v>#VALUE!</v>
      </c>
      <c r="AJ673" s="31" t="e">
        <f t="shared" si="993"/>
        <v>#VALUE!</v>
      </c>
      <c r="AK673" s="31" t="e">
        <f t="shared" si="994"/>
        <v>#VALUE!</v>
      </c>
      <c r="AL673" s="31" t="e">
        <f t="shared" si="995"/>
        <v>#VALUE!</v>
      </c>
      <c r="AM673" s="31" t="e">
        <f t="shared" si="996"/>
        <v>#VALUE!</v>
      </c>
      <c r="AN673" s="32" t="str">
        <f t="shared" si="997"/>
        <v/>
      </c>
      <c r="AO673" s="27" t="str">
        <f t="shared" si="998"/>
        <v/>
      </c>
      <c r="AP673" s="27" t="str">
        <f t="shared" si="999"/>
        <v/>
      </c>
      <c r="AQ673" s="27">
        <f t="shared" si="1000"/>
        <v>0</v>
      </c>
      <c r="AR673" s="27">
        <f t="shared" si="1001"/>
        <v>0</v>
      </c>
      <c r="AS673" s="33">
        <f t="shared" si="1002"/>
        <v>0</v>
      </c>
    </row>
    <row r="674" spans="2:45" hidden="1" x14ac:dyDescent="0.25">
      <c r="B674" s="34" t="str">
        <f t="shared" ref="B674:F674" si="1027">IF(B673="","",B673)</f>
        <v/>
      </c>
      <c r="C674" s="26" t="str">
        <f t="shared" si="1027"/>
        <v/>
      </c>
      <c r="D674" s="26" t="str">
        <f t="shared" si="1027"/>
        <v/>
      </c>
      <c r="E674" s="26" t="str">
        <f t="shared" si="1027"/>
        <v/>
      </c>
      <c r="F674" s="26" t="str">
        <f t="shared" si="1027"/>
        <v/>
      </c>
      <c r="G674" s="24"/>
      <c r="H674" s="24"/>
      <c r="I674" s="24"/>
      <c r="J674" s="24"/>
      <c r="K674" s="24"/>
      <c r="L674" s="24"/>
      <c r="M674" s="44" t="str">
        <f t="shared" si="1023"/>
        <v/>
      </c>
      <c r="N674" s="26" t="str">
        <f t="shared" si="973"/>
        <v/>
      </c>
      <c r="O674" s="26" t="str">
        <f t="shared" si="974"/>
        <v/>
      </c>
      <c r="P674" s="26" t="str">
        <f t="shared" si="975"/>
        <v/>
      </c>
      <c r="Q674" s="26">
        <f t="shared" si="976"/>
        <v>0</v>
      </c>
      <c r="R674" s="26">
        <f t="shared" si="977"/>
        <v>0</v>
      </c>
      <c r="S674" s="26">
        <f t="shared" si="978"/>
        <v>0</v>
      </c>
      <c r="T674" s="26" t="str">
        <f t="shared" si="979"/>
        <v/>
      </c>
      <c r="U674" s="26" t="str">
        <f t="shared" si="980"/>
        <v/>
      </c>
      <c r="V674" s="26" t="str">
        <f t="shared" si="981"/>
        <v/>
      </c>
      <c r="W674" s="27" t="str">
        <f t="shared" si="982"/>
        <v/>
      </c>
      <c r="X674" s="27" t="str">
        <f t="shared" si="983"/>
        <v/>
      </c>
      <c r="Y674" s="28" t="str">
        <f t="shared" si="984"/>
        <v/>
      </c>
      <c r="Z674" s="27" t="str">
        <f t="shared" si="985"/>
        <v/>
      </c>
      <c r="AA674" s="27" t="str">
        <f t="shared" si="986"/>
        <v/>
      </c>
      <c r="AB674" s="27" t="str">
        <f t="shared" si="987"/>
        <v/>
      </c>
      <c r="AC674" s="27" t="str">
        <f t="shared" si="988"/>
        <v/>
      </c>
      <c r="AD674" s="29" t="str">
        <f t="shared" si="989"/>
        <v/>
      </c>
      <c r="AE674" s="30" t="str">
        <f t="shared" si="990"/>
        <v/>
      </c>
      <c r="AG674" s="4"/>
      <c r="AH674" s="31" t="e">
        <f t="shared" si="991"/>
        <v>#VALUE!</v>
      </c>
      <c r="AI674" s="31" t="e">
        <f t="shared" si="992"/>
        <v>#VALUE!</v>
      </c>
      <c r="AJ674" s="31" t="e">
        <f t="shared" si="993"/>
        <v>#VALUE!</v>
      </c>
      <c r="AK674" s="31" t="e">
        <f t="shared" si="994"/>
        <v>#VALUE!</v>
      </c>
      <c r="AL674" s="31" t="e">
        <f t="shared" si="995"/>
        <v>#VALUE!</v>
      </c>
      <c r="AM674" s="31" t="e">
        <f t="shared" si="996"/>
        <v>#VALUE!</v>
      </c>
      <c r="AN674" s="32" t="str">
        <f t="shared" si="997"/>
        <v/>
      </c>
      <c r="AO674" s="27" t="str">
        <f t="shared" si="998"/>
        <v/>
      </c>
      <c r="AP674" s="27" t="str">
        <f t="shared" si="999"/>
        <v/>
      </c>
      <c r="AQ674" s="27">
        <f t="shared" si="1000"/>
        <v>0</v>
      </c>
      <c r="AR674" s="27">
        <f t="shared" si="1001"/>
        <v>0</v>
      </c>
      <c r="AS674" s="33">
        <f t="shared" si="1002"/>
        <v>0</v>
      </c>
    </row>
    <row r="675" spans="2:45" hidden="1" x14ac:dyDescent="0.25">
      <c r="B675" s="34" t="str">
        <f t="shared" ref="B675:F675" si="1028">IF(B674="","",B674)</f>
        <v/>
      </c>
      <c r="C675" s="26" t="str">
        <f t="shared" si="1028"/>
        <v/>
      </c>
      <c r="D675" s="26" t="str">
        <f t="shared" si="1028"/>
        <v/>
      </c>
      <c r="E675" s="26" t="str">
        <f t="shared" si="1028"/>
        <v/>
      </c>
      <c r="F675" s="26" t="str">
        <f t="shared" si="1028"/>
        <v/>
      </c>
      <c r="G675" s="24"/>
      <c r="H675" s="24"/>
      <c r="I675" s="24"/>
      <c r="J675" s="24"/>
      <c r="K675" s="24"/>
      <c r="L675" s="24"/>
      <c r="M675" s="44" t="str">
        <f t="shared" si="1023"/>
        <v/>
      </c>
      <c r="N675" s="26" t="str">
        <f t="shared" si="973"/>
        <v/>
      </c>
      <c r="O675" s="26" t="str">
        <f t="shared" si="974"/>
        <v/>
      </c>
      <c r="P675" s="26" t="str">
        <f t="shared" si="975"/>
        <v/>
      </c>
      <c r="Q675" s="26">
        <f t="shared" si="976"/>
        <v>0</v>
      </c>
      <c r="R675" s="26">
        <f t="shared" si="977"/>
        <v>0</v>
      </c>
      <c r="S675" s="26">
        <f t="shared" si="978"/>
        <v>0</v>
      </c>
      <c r="T675" s="26" t="str">
        <f t="shared" si="979"/>
        <v/>
      </c>
      <c r="U675" s="26" t="str">
        <f t="shared" si="980"/>
        <v/>
      </c>
      <c r="V675" s="26" t="str">
        <f t="shared" si="981"/>
        <v/>
      </c>
      <c r="W675" s="27" t="str">
        <f t="shared" si="982"/>
        <v/>
      </c>
      <c r="X675" s="27" t="str">
        <f t="shared" si="983"/>
        <v/>
      </c>
      <c r="Y675" s="28" t="str">
        <f t="shared" si="984"/>
        <v/>
      </c>
      <c r="Z675" s="27" t="str">
        <f t="shared" si="985"/>
        <v/>
      </c>
      <c r="AA675" s="27" t="str">
        <f t="shared" si="986"/>
        <v/>
      </c>
      <c r="AB675" s="27" t="str">
        <f t="shared" si="987"/>
        <v/>
      </c>
      <c r="AC675" s="27" t="str">
        <f t="shared" si="988"/>
        <v/>
      </c>
      <c r="AD675" s="29" t="str">
        <f t="shared" si="989"/>
        <v/>
      </c>
      <c r="AE675" s="30" t="str">
        <f t="shared" si="990"/>
        <v/>
      </c>
      <c r="AG675" s="4"/>
      <c r="AH675" s="31" t="e">
        <f t="shared" si="991"/>
        <v>#VALUE!</v>
      </c>
      <c r="AI675" s="31" t="e">
        <f t="shared" si="992"/>
        <v>#VALUE!</v>
      </c>
      <c r="AJ675" s="31" t="e">
        <f t="shared" si="993"/>
        <v>#VALUE!</v>
      </c>
      <c r="AK675" s="31" t="e">
        <f t="shared" si="994"/>
        <v>#VALUE!</v>
      </c>
      <c r="AL675" s="31" t="e">
        <f t="shared" si="995"/>
        <v>#VALUE!</v>
      </c>
      <c r="AM675" s="31" t="e">
        <f t="shared" si="996"/>
        <v>#VALUE!</v>
      </c>
      <c r="AN675" s="32" t="str">
        <f t="shared" si="997"/>
        <v/>
      </c>
      <c r="AO675" s="27" t="str">
        <f t="shared" si="998"/>
        <v/>
      </c>
      <c r="AP675" s="27" t="str">
        <f t="shared" si="999"/>
        <v/>
      </c>
      <c r="AQ675" s="27">
        <f t="shared" si="1000"/>
        <v>0</v>
      </c>
      <c r="AR675" s="27">
        <f t="shared" si="1001"/>
        <v>0</v>
      </c>
      <c r="AS675" s="33">
        <f t="shared" si="1002"/>
        <v>0</v>
      </c>
    </row>
    <row r="676" spans="2:45" hidden="1" x14ac:dyDescent="0.25">
      <c r="B676" s="34" t="str">
        <f t="shared" ref="B676:F676" si="1029">IF(B675="","",B675)</f>
        <v/>
      </c>
      <c r="C676" s="26" t="str">
        <f t="shared" si="1029"/>
        <v/>
      </c>
      <c r="D676" s="26" t="str">
        <f t="shared" si="1029"/>
        <v/>
      </c>
      <c r="E676" s="26" t="str">
        <f t="shared" si="1029"/>
        <v/>
      </c>
      <c r="F676" s="26" t="str">
        <f t="shared" si="1029"/>
        <v/>
      </c>
      <c r="G676" s="24"/>
      <c r="H676" s="24"/>
      <c r="I676" s="24"/>
      <c r="J676" s="24"/>
      <c r="K676" s="24"/>
      <c r="L676" s="24"/>
      <c r="M676" s="44" t="str">
        <f t="shared" si="1023"/>
        <v/>
      </c>
      <c r="N676" s="26" t="str">
        <f t="shared" si="973"/>
        <v/>
      </c>
      <c r="O676" s="26" t="str">
        <f t="shared" si="974"/>
        <v/>
      </c>
      <c r="P676" s="26" t="str">
        <f t="shared" si="975"/>
        <v/>
      </c>
      <c r="Q676" s="26">
        <f t="shared" si="976"/>
        <v>0</v>
      </c>
      <c r="R676" s="26">
        <f t="shared" si="977"/>
        <v>0</v>
      </c>
      <c r="S676" s="26">
        <f t="shared" si="978"/>
        <v>0</v>
      </c>
      <c r="T676" s="26" t="str">
        <f t="shared" si="979"/>
        <v/>
      </c>
      <c r="U676" s="26" t="str">
        <f t="shared" si="980"/>
        <v/>
      </c>
      <c r="V676" s="26" t="str">
        <f t="shared" si="981"/>
        <v/>
      </c>
      <c r="W676" s="27" t="str">
        <f t="shared" si="982"/>
        <v/>
      </c>
      <c r="X676" s="27" t="str">
        <f t="shared" si="983"/>
        <v/>
      </c>
      <c r="Y676" s="28" t="str">
        <f t="shared" si="984"/>
        <v/>
      </c>
      <c r="Z676" s="27" t="str">
        <f t="shared" si="985"/>
        <v/>
      </c>
      <c r="AA676" s="27" t="str">
        <f t="shared" si="986"/>
        <v/>
      </c>
      <c r="AB676" s="27" t="str">
        <f t="shared" si="987"/>
        <v/>
      </c>
      <c r="AC676" s="27" t="str">
        <f t="shared" si="988"/>
        <v/>
      </c>
      <c r="AD676" s="29" t="str">
        <f t="shared" si="989"/>
        <v/>
      </c>
      <c r="AE676" s="30" t="str">
        <f t="shared" si="990"/>
        <v/>
      </c>
      <c r="AG676" s="4"/>
      <c r="AH676" s="31" t="e">
        <f t="shared" si="991"/>
        <v>#VALUE!</v>
      </c>
      <c r="AI676" s="31" t="e">
        <f t="shared" si="992"/>
        <v>#VALUE!</v>
      </c>
      <c r="AJ676" s="31" t="e">
        <f t="shared" si="993"/>
        <v>#VALUE!</v>
      </c>
      <c r="AK676" s="31" t="e">
        <f t="shared" si="994"/>
        <v>#VALUE!</v>
      </c>
      <c r="AL676" s="31" t="e">
        <f t="shared" si="995"/>
        <v>#VALUE!</v>
      </c>
      <c r="AM676" s="31" t="e">
        <f t="shared" si="996"/>
        <v>#VALUE!</v>
      </c>
      <c r="AN676" s="32" t="str">
        <f t="shared" si="997"/>
        <v/>
      </c>
      <c r="AO676" s="27" t="str">
        <f t="shared" si="998"/>
        <v/>
      </c>
      <c r="AP676" s="27" t="str">
        <f t="shared" si="999"/>
        <v/>
      </c>
      <c r="AQ676" s="27">
        <f t="shared" si="1000"/>
        <v>0</v>
      </c>
      <c r="AR676" s="27">
        <f t="shared" si="1001"/>
        <v>0</v>
      </c>
      <c r="AS676" s="33">
        <f t="shared" si="1002"/>
        <v>0</v>
      </c>
    </row>
    <row r="677" spans="2:45" hidden="1" x14ac:dyDescent="0.25">
      <c r="B677" s="34" t="str">
        <f t="shared" ref="B677:F677" si="1030">IF(B676="","",B676)</f>
        <v/>
      </c>
      <c r="C677" s="26" t="str">
        <f t="shared" si="1030"/>
        <v/>
      </c>
      <c r="D677" s="26" t="str">
        <f t="shared" si="1030"/>
        <v/>
      </c>
      <c r="E677" s="26" t="str">
        <f t="shared" si="1030"/>
        <v/>
      </c>
      <c r="F677" s="26" t="str">
        <f t="shared" si="1030"/>
        <v/>
      </c>
      <c r="G677" s="24"/>
      <c r="H677" s="24"/>
      <c r="I677" s="24"/>
      <c r="J677" s="24"/>
      <c r="K677" s="24"/>
      <c r="L677" s="24"/>
      <c r="M677" s="44" t="str">
        <f t="shared" si="1023"/>
        <v/>
      </c>
      <c r="N677" s="26" t="str">
        <f t="shared" si="973"/>
        <v/>
      </c>
      <c r="O677" s="26" t="str">
        <f t="shared" si="974"/>
        <v/>
      </c>
      <c r="P677" s="26" t="str">
        <f t="shared" si="975"/>
        <v/>
      </c>
      <c r="Q677" s="26">
        <f t="shared" si="976"/>
        <v>0</v>
      </c>
      <c r="R677" s="26">
        <f t="shared" si="977"/>
        <v>0</v>
      </c>
      <c r="S677" s="26">
        <f t="shared" si="978"/>
        <v>0</v>
      </c>
      <c r="T677" s="26" t="str">
        <f t="shared" si="979"/>
        <v/>
      </c>
      <c r="U677" s="26" t="str">
        <f t="shared" si="980"/>
        <v/>
      </c>
      <c r="V677" s="26" t="str">
        <f t="shared" si="981"/>
        <v/>
      </c>
      <c r="W677" s="27" t="str">
        <f t="shared" si="982"/>
        <v/>
      </c>
      <c r="X677" s="27" t="str">
        <f t="shared" si="983"/>
        <v/>
      </c>
      <c r="Y677" s="28" t="str">
        <f t="shared" si="984"/>
        <v/>
      </c>
      <c r="Z677" s="27" t="str">
        <f t="shared" si="985"/>
        <v/>
      </c>
      <c r="AA677" s="27" t="str">
        <f t="shared" si="986"/>
        <v/>
      </c>
      <c r="AB677" s="27" t="str">
        <f t="shared" si="987"/>
        <v/>
      </c>
      <c r="AC677" s="27" t="str">
        <f t="shared" si="988"/>
        <v/>
      </c>
      <c r="AD677" s="29" t="str">
        <f t="shared" si="989"/>
        <v/>
      </c>
      <c r="AE677" s="30" t="str">
        <f t="shared" si="990"/>
        <v/>
      </c>
      <c r="AG677" s="4"/>
      <c r="AH677" s="31" t="e">
        <f t="shared" si="991"/>
        <v>#VALUE!</v>
      </c>
      <c r="AI677" s="31" t="e">
        <f t="shared" si="992"/>
        <v>#VALUE!</v>
      </c>
      <c r="AJ677" s="31" t="e">
        <f t="shared" si="993"/>
        <v>#VALUE!</v>
      </c>
      <c r="AK677" s="31" t="e">
        <f t="shared" si="994"/>
        <v>#VALUE!</v>
      </c>
      <c r="AL677" s="31" t="e">
        <f t="shared" si="995"/>
        <v>#VALUE!</v>
      </c>
      <c r="AM677" s="31" t="e">
        <f t="shared" si="996"/>
        <v>#VALUE!</v>
      </c>
      <c r="AN677" s="32" t="str">
        <f t="shared" si="997"/>
        <v/>
      </c>
      <c r="AO677" s="27" t="str">
        <f t="shared" si="998"/>
        <v/>
      </c>
      <c r="AP677" s="27" t="str">
        <f t="shared" si="999"/>
        <v/>
      </c>
      <c r="AQ677" s="27">
        <f t="shared" si="1000"/>
        <v>0</v>
      </c>
      <c r="AR677" s="27">
        <f t="shared" si="1001"/>
        <v>0</v>
      </c>
      <c r="AS677" s="33">
        <f t="shared" si="1002"/>
        <v>0</v>
      </c>
    </row>
    <row r="678" spans="2:45" hidden="1" x14ac:dyDescent="0.25">
      <c r="B678" s="34" t="str">
        <f>IF(B677="","",B677)</f>
        <v/>
      </c>
      <c r="C678" s="26" t="str">
        <f t="shared" ref="C678:F678" si="1031">IF(C677="","",C677)</f>
        <v/>
      </c>
      <c r="D678" s="26" t="str">
        <f t="shared" si="1031"/>
        <v/>
      </c>
      <c r="E678" s="26" t="str">
        <f t="shared" si="1031"/>
        <v/>
      </c>
      <c r="F678" s="26" t="str">
        <f t="shared" si="1031"/>
        <v/>
      </c>
      <c r="G678" s="24"/>
      <c r="H678" s="24"/>
      <c r="I678" s="24"/>
      <c r="J678" s="24"/>
      <c r="K678" s="24"/>
      <c r="L678" s="24"/>
      <c r="M678" s="44" t="str">
        <f t="shared" si="1023"/>
        <v/>
      </c>
      <c r="N678" s="26" t="str">
        <f t="shared" si="973"/>
        <v/>
      </c>
      <c r="O678" s="26" t="str">
        <f t="shared" si="974"/>
        <v/>
      </c>
      <c r="P678" s="26" t="str">
        <f t="shared" si="975"/>
        <v/>
      </c>
      <c r="Q678" s="26">
        <f t="shared" si="976"/>
        <v>0</v>
      </c>
      <c r="R678" s="26">
        <f t="shared" si="977"/>
        <v>0</v>
      </c>
      <c r="S678" s="26">
        <f t="shared" si="978"/>
        <v>0</v>
      </c>
      <c r="T678" s="26" t="str">
        <f t="shared" si="979"/>
        <v/>
      </c>
      <c r="U678" s="26" t="str">
        <f t="shared" si="980"/>
        <v/>
      </c>
      <c r="V678" s="26" t="str">
        <f t="shared" si="981"/>
        <v/>
      </c>
      <c r="W678" s="27" t="str">
        <f t="shared" si="982"/>
        <v/>
      </c>
      <c r="X678" s="27" t="str">
        <f t="shared" si="983"/>
        <v/>
      </c>
      <c r="Y678" s="28" t="str">
        <f t="shared" si="984"/>
        <v/>
      </c>
      <c r="Z678" s="27" t="str">
        <f t="shared" si="985"/>
        <v/>
      </c>
      <c r="AA678" s="27" t="str">
        <f t="shared" si="986"/>
        <v/>
      </c>
      <c r="AB678" s="27" t="str">
        <f t="shared" si="987"/>
        <v/>
      </c>
      <c r="AC678" s="27" t="str">
        <f t="shared" si="988"/>
        <v/>
      </c>
      <c r="AD678" s="29" t="str">
        <f t="shared" si="989"/>
        <v/>
      </c>
      <c r="AE678" s="30" t="str">
        <f t="shared" si="990"/>
        <v/>
      </c>
      <c r="AG678" s="4"/>
      <c r="AH678" s="31" t="e">
        <f t="shared" si="991"/>
        <v>#VALUE!</v>
      </c>
      <c r="AI678" s="31" t="e">
        <f t="shared" si="992"/>
        <v>#VALUE!</v>
      </c>
      <c r="AJ678" s="31" t="e">
        <f t="shared" si="993"/>
        <v>#VALUE!</v>
      </c>
      <c r="AK678" s="31" t="e">
        <f t="shared" si="994"/>
        <v>#VALUE!</v>
      </c>
      <c r="AL678" s="31" t="e">
        <f t="shared" si="995"/>
        <v>#VALUE!</v>
      </c>
      <c r="AM678" s="31" t="e">
        <f t="shared" si="996"/>
        <v>#VALUE!</v>
      </c>
      <c r="AN678" s="32" t="str">
        <f t="shared" si="997"/>
        <v/>
      </c>
      <c r="AO678" s="27" t="str">
        <f t="shared" si="998"/>
        <v/>
      </c>
      <c r="AP678" s="27" t="str">
        <f t="shared" si="999"/>
        <v/>
      </c>
      <c r="AQ678" s="27">
        <f t="shared" si="1000"/>
        <v>0</v>
      </c>
      <c r="AR678" s="27">
        <f t="shared" si="1001"/>
        <v>0</v>
      </c>
      <c r="AS678" s="33">
        <f t="shared" si="1002"/>
        <v>0</v>
      </c>
    </row>
    <row r="679" spans="2:45" hidden="1" x14ac:dyDescent="0.25">
      <c r="B679" s="34" t="str">
        <f t="shared" ref="B679:F679" si="1032">IF(B678="","",B678)</f>
        <v/>
      </c>
      <c r="C679" s="26" t="str">
        <f t="shared" si="1032"/>
        <v/>
      </c>
      <c r="D679" s="26" t="str">
        <f t="shared" si="1032"/>
        <v/>
      </c>
      <c r="E679" s="26" t="str">
        <f t="shared" si="1032"/>
        <v/>
      </c>
      <c r="F679" s="26" t="str">
        <f t="shared" si="1032"/>
        <v/>
      </c>
      <c r="G679" s="24"/>
      <c r="H679" s="24"/>
      <c r="I679" s="24"/>
      <c r="J679" s="24"/>
      <c r="K679" s="24"/>
      <c r="L679" s="24"/>
      <c r="M679" s="44" t="str">
        <f t="shared" si="1023"/>
        <v/>
      </c>
      <c r="N679" s="26" t="str">
        <f t="shared" si="973"/>
        <v/>
      </c>
      <c r="O679" s="26" t="str">
        <f t="shared" si="974"/>
        <v/>
      </c>
      <c r="P679" s="26" t="str">
        <f t="shared" si="975"/>
        <v/>
      </c>
      <c r="Q679" s="26">
        <f t="shared" si="976"/>
        <v>0</v>
      </c>
      <c r="R679" s="26">
        <f t="shared" si="977"/>
        <v>0</v>
      </c>
      <c r="S679" s="26">
        <f t="shared" si="978"/>
        <v>0</v>
      </c>
      <c r="T679" s="26" t="str">
        <f t="shared" si="979"/>
        <v/>
      </c>
      <c r="U679" s="26" t="str">
        <f t="shared" si="980"/>
        <v/>
      </c>
      <c r="V679" s="26" t="str">
        <f t="shared" si="981"/>
        <v/>
      </c>
      <c r="W679" s="27" t="str">
        <f t="shared" si="982"/>
        <v/>
      </c>
      <c r="X679" s="27" t="str">
        <f t="shared" si="983"/>
        <v/>
      </c>
      <c r="Y679" s="28" t="str">
        <f t="shared" si="984"/>
        <v/>
      </c>
      <c r="Z679" s="27" t="str">
        <f t="shared" si="985"/>
        <v/>
      </c>
      <c r="AA679" s="27" t="str">
        <f t="shared" si="986"/>
        <v/>
      </c>
      <c r="AB679" s="27" t="str">
        <f t="shared" si="987"/>
        <v/>
      </c>
      <c r="AC679" s="27" t="str">
        <f t="shared" si="988"/>
        <v/>
      </c>
      <c r="AD679" s="29" t="str">
        <f t="shared" si="989"/>
        <v/>
      </c>
      <c r="AE679" s="30" t="str">
        <f t="shared" si="990"/>
        <v/>
      </c>
      <c r="AG679" s="4"/>
      <c r="AH679" s="31" t="e">
        <f t="shared" si="991"/>
        <v>#VALUE!</v>
      </c>
      <c r="AI679" s="31" t="e">
        <f t="shared" si="992"/>
        <v>#VALUE!</v>
      </c>
      <c r="AJ679" s="31" t="e">
        <f t="shared" si="993"/>
        <v>#VALUE!</v>
      </c>
      <c r="AK679" s="31" t="e">
        <f t="shared" si="994"/>
        <v>#VALUE!</v>
      </c>
      <c r="AL679" s="31" t="e">
        <f t="shared" si="995"/>
        <v>#VALUE!</v>
      </c>
      <c r="AM679" s="31" t="e">
        <f t="shared" si="996"/>
        <v>#VALUE!</v>
      </c>
      <c r="AN679" s="32" t="str">
        <f t="shared" si="997"/>
        <v/>
      </c>
      <c r="AO679" s="27" t="str">
        <f t="shared" si="998"/>
        <v/>
      </c>
      <c r="AP679" s="27" t="str">
        <f t="shared" si="999"/>
        <v/>
      </c>
      <c r="AQ679" s="27">
        <f t="shared" si="1000"/>
        <v>0</v>
      </c>
      <c r="AR679" s="27">
        <f t="shared" si="1001"/>
        <v>0</v>
      </c>
      <c r="AS679" s="33">
        <f t="shared" si="1002"/>
        <v>0</v>
      </c>
    </row>
    <row r="680" spans="2:45" hidden="1" x14ac:dyDescent="0.25">
      <c r="B680" s="34" t="str">
        <f t="shared" ref="B680:F680" si="1033">IF(B679="","",B679)</f>
        <v/>
      </c>
      <c r="C680" s="26" t="str">
        <f t="shared" si="1033"/>
        <v/>
      </c>
      <c r="D680" s="26" t="str">
        <f t="shared" si="1033"/>
        <v/>
      </c>
      <c r="E680" s="26" t="str">
        <f t="shared" si="1033"/>
        <v/>
      </c>
      <c r="F680" s="26" t="str">
        <f t="shared" si="1033"/>
        <v/>
      </c>
      <c r="G680" s="24"/>
      <c r="H680" s="24"/>
      <c r="I680" s="24"/>
      <c r="J680" s="24"/>
      <c r="K680" s="24"/>
      <c r="L680" s="24"/>
      <c r="M680" s="44" t="str">
        <f t="shared" si="1023"/>
        <v/>
      </c>
      <c r="N680" s="26" t="str">
        <f t="shared" si="973"/>
        <v/>
      </c>
      <c r="O680" s="26" t="str">
        <f t="shared" si="974"/>
        <v/>
      </c>
      <c r="P680" s="26" t="str">
        <f t="shared" si="975"/>
        <v/>
      </c>
      <c r="Q680" s="26">
        <f t="shared" si="976"/>
        <v>0</v>
      </c>
      <c r="R680" s="26">
        <f t="shared" si="977"/>
        <v>0</v>
      </c>
      <c r="S680" s="26">
        <f t="shared" si="978"/>
        <v>0</v>
      </c>
      <c r="T680" s="26" t="str">
        <f t="shared" si="979"/>
        <v/>
      </c>
      <c r="U680" s="26" t="str">
        <f t="shared" si="980"/>
        <v/>
      </c>
      <c r="V680" s="26" t="str">
        <f t="shared" si="981"/>
        <v/>
      </c>
      <c r="W680" s="27" t="str">
        <f t="shared" si="982"/>
        <v/>
      </c>
      <c r="X680" s="27" t="str">
        <f t="shared" si="983"/>
        <v/>
      </c>
      <c r="Y680" s="28" t="str">
        <f t="shared" si="984"/>
        <v/>
      </c>
      <c r="Z680" s="27" t="str">
        <f t="shared" si="985"/>
        <v/>
      </c>
      <c r="AA680" s="27" t="str">
        <f t="shared" si="986"/>
        <v/>
      </c>
      <c r="AB680" s="27" t="str">
        <f t="shared" si="987"/>
        <v/>
      </c>
      <c r="AC680" s="27" t="str">
        <f t="shared" si="988"/>
        <v/>
      </c>
      <c r="AD680" s="29" t="str">
        <f t="shared" si="989"/>
        <v/>
      </c>
      <c r="AE680" s="30" t="str">
        <f t="shared" si="990"/>
        <v/>
      </c>
      <c r="AG680" s="4"/>
      <c r="AH680" s="31" t="e">
        <f t="shared" si="991"/>
        <v>#VALUE!</v>
      </c>
      <c r="AI680" s="31" t="e">
        <f t="shared" si="992"/>
        <v>#VALUE!</v>
      </c>
      <c r="AJ680" s="31" t="e">
        <f t="shared" si="993"/>
        <v>#VALUE!</v>
      </c>
      <c r="AK680" s="31" t="e">
        <f t="shared" si="994"/>
        <v>#VALUE!</v>
      </c>
      <c r="AL680" s="31" t="e">
        <f t="shared" si="995"/>
        <v>#VALUE!</v>
      </c>
      <c r="AM680" s="31" t="e">
        <f t="shared" si="996"/>
        <v>#VALUE!</v>
      </c>
      <c r="AN680" s="32" t="str">
        <f t="shared" si="997"/>
        <v/>
      </c>
      <c r="AO680" s="27" t="str">
        <f t="shared" si="998"/>
        <v/>
      </c>
      <c r="AP680" s="27" t="str">
        <f t="shared" si="999"/>
        <v/>
      </c>
      <c r="AQ680" s="27">
        <f t="shared" si="1000"/>
        <v>0</v>
      </c>
      <c r="AR680" s="27">
        <f t="shared" si="1001"/>
        <v>0</v>
      </c>
      <c r="AS680" s="33">
        <f t="shared" si="1002"/>
        <v>0</v>
      </c>
    </row>
    <row r="681" spans="2:45" hidden="1" x14ac:dyDescent="0.25">
      <c r="B681" s="34" t="str">
        <f t="shared" ref="B681:F681" si="1034">IF(B680="","",B680)</f>
        <v/>
      </c>
      <c r="C681" s="26" t="str">
        <f t="shared" si="1034"/>
        <v/>
      </c>
      <c r="D681" s="26" t="str">
        <f t="shared" si="1034"/>
        <v/>
      </c>
      <c r="E681" s="26" t="str">
        <f t="shared" si="1034"/>
        <v/>
      </c>
      <c r="F681" s="26" t="str">
        <f t="shared" si="1034"/>
        <v/>
      </c>
      <c r="G681" s="24"/>
      <c r="H681" s="24"/>
      <c r="I681" s="24"/>
      <c r="J681" s="24"/>
      <c r="K681" s="24"/>
      <c r="L681" s="24"/>
      <c r="M681" s="44" t="str">
        <f t="shared" si="1023"/>
        <v/>
      </c>
      <c r="N681" s="26" t="str">
        <f t="shared" si="973"/>
        <v/>
      </c>
      <c r="O681" s="26" t="str">
        <f t="shared" si="974"/>
        <v/>
      </c>
      <c r="P681" s="26" t="str">
        <f t="shared" si="975"/>
        <v/>
      </c>
      <c r="Q681" s="26">
        <f t="shared" si="976"/>
        <v>0</v>
      </c>
      <c r="R681" s="26">
        <f t="shared" si="977"/>
        <v>0</v>
      </c>
      <c r="S681" s="26">
        <f t="shared" si="978"/>
        <v>0</v>
      </c>
      <c r="T681" s="26" t="str">
        <f t="shared" si="979"/>
        <v/>
      </c>
      <c r="U681" s="26" t="str">
        <f t="shared" si="980"/>
        <v/>
      </c>
      <c r="V681" s="26" t="str">
        <f t="shared" si="981"/>
        <v/>
      </c>
      <c r="W681" s="27" t="str">
        <f t="shared" si="982"/>
        <v/>
      </c>
      <c r="X681" s="27" t="str">
        <f t="shared" si="983"/>
        <v/>
      </c>
      <c r="Y681" s="28" t="str">
        <f t="shared" si="984"/>
        <v/>
      </c>
      <c r="Z681" s="27" t="str">
        <f t="shared" si="985"/>
        <v/>
      </c>
      <c r="AA681" s="27" t="str">
        <f t="shared" si="986"/>
        <v/>
      </c>
      <c r="AB681" s="27" t="str">
        <f t="shared" si="987"/>
        <v/>
      </c>
      <c r="AC681" s="27" t="str">
        <f t="shared" si="988"/>
        <v/>
      </c>
      <c r="AD681" s="29" t="str">
        <f t="shared" si="989"/>
        <v/>
      </c>
      <c r="AE681" s="30" t="str">
        <f t="shared" si="990"/>
        <v/>
      </c>
      <c r="AG681" s="4"/>
      <c r="AH681" s="31" t="e">
        <f t="shared" si="991"/>
        <v>#VALUE!</v>
      </c>
      <c r="AI681" s="31" t="e">
        <f t="shared" si="992"/>
        <v>#VALUE!</v>
      </c>
      <c r="AJ681" s="31" t="e">
        <f t="shared" si="993"/>
        <v>#VALUE!</v>
      </c>
      <c r="AK681" s="31" t="e">
        <f t="shared" si="994"/>
        <v>#VALUE!</v>
      </c>
      <c r="AL681" s="31" t="e">
        <f t="shared" si="995"/>
        <v>#VALUE!</v>
      </c>
      <c r="AM681" s="31" t="e">
        <f t="shared" si="996"/>
        <v>#VALUE!</v>
      </c>
      <c r="AN681" s="32" t="str">
        <f t="shared" si="997"/>
        <v/>
      </c>
      <c r="AO681" s="27" t="str">
        <f t="shared" si="998"/>
        <v/>
      </c>
      <c r="AP681" s="27" t="str">
        <f t="shared" si="999"/>
        <v/>
      </c>
      <c r="AQ681" s="27">
        <f t="shared" si="1000"/>
        <v>0</v>
      </c>
      <c r="AR681" s="27">
        <f t="shared" si="1001"/>
        <v>0</v>
      </c>
      <c r="AS681" s="33">
        <f t="shared" si="1002"/>
        <v>0</v>
      </c>
    </row>
    <row r="682" spans="2:45" hidden="1" x14ac:dyDescent="0.25">
      <c r="B682" s="34" t="str">
        <f t="shared" ref="B682:F682" si="1035">IF(B681="","",B681)</f>
        <v/>
      </c>
      <c r="C682" s="26" t="str">
        <f t="shared" si="1035"/>
        <v/>
      </c>
      <c r="D682" s="26" t="str">
        <f t="shared" si="1035"/>
        <v/>
      </c>
      <c r="E682" s="26" t="str">
        <f t="shared" si="1035"/>
        <v/>
      </c>
      <c r="F682" s="26" t="str">
        <f t="shared" si="1035"/>
        <v/>
      </c>
      <c r="G682" s="24"/>
      <c r="H682" s="24"/>
      <c r="I682" s="24"/>
      <c r="J682" s="24"/>
      <c r="K682" s="24"/>
      <c r="L682" s="24"/>
      <c r="M682" s="44" t="str">
        <f t="shared" si="1023"/>
        <v/>
      </c>
      <c r="N682" s="26" t="str">
        <f t="shared" si="973"/>
        <v/>
      </c>
      <c r="O682" s="26" t="str">
        <f t="shared" si="974"/>
        <v/>
      </c>
      <c r="P682" s="26" t="str">
        <f t="shared" si="975"/>
        <v/>
      </c>
      <c r="Q682" s="26">
        <f t="shared" si="976"/>
        <v>0</v>
      </c>
      <c r="R682" s="26">
        <f t="shared" si="977"/>
        <v>0</v>
      </c>
      <c r="S682" s="26">
        <f t="shared" si="978"/>
        <v>0</v>
      </c>
      <c r="T682" s="26" t="str">
        <f t="shared" si="979"/>
        <v/>
      </c>
      <c r="U682" s="26" t="str">
        <f t="shared" si="980"/>
        <v/>
      </c>
      <c r="V682" s="26" t="str">
        <f t="shared" si="981"/>
        <v/>
      </c>
      <c r="W682" s="27" t="str">
        <f t="shared" si="982"/>
        <v/>
      </c>
      <c r="X682" s="27" t="str">
        <f t="shared" si="983"/>
        <v/>
      </c>
      <c r="Y682" s="28" t="str">
        <f t="shared" si="984"/>
        <v/>
      </c>
      <c r="Z682" s="27" t="str">
        <f t="shared" si="985"/>
        <v/>
      </c>
      <c r="AA682" s="27" t="str">
        <f t="shared" si="986"/>
        <v/>
      </c>
      <c r="AB682" s="27" t="str">
        <f t="shared" si="987"/>
        <v/>
      </c>
      <c r="AC682" s="27" t="str">
        <f t="shared" si="988"/>
        <v/>
      </c>
      <c r="AD682" s="29" t="str">
        <f t="shared" si="989"/>
        <v/>
      </c>
      <c r="AE682" s="30" t="str">
        <f t="shared" si="990"/>
        <v/>
      </c>
      <c r="AG682" s="4"/>
      <c r="AH682" s="31" t="e">
        <f t="shared" si="991"/>
        <v>#VALUE!</v>
      </c>
      <c r="AI682" s="31" t="e">
        <f t="shared" si="992"/>
        <v>#VALUE!</v>
      </c>
      <c r="AJ682" s="31" t="e">
        <f t="shared" si="993"/>
        <v>#VALUE!</v>
      </c>
      <c r="AK682" s="31" t="e">
        <f t="shared" si="994"/>
        <v>#VALUE!</v>
      </c>
      <c r="AL682" s="31" t="e">
        <f t="shared" si="995"/>
        <v>#VALUE!</v>
      </c>
      <c r="AM682" s="31" t="e">
        <f t="shared" si="996"/>
        <v>#VALUE!</v>
      </c>
      <c r="AN682" s="32" t="str">
        <f t="shared" si="997"/>
        <v/>
      </c>
      <c r="AO682" s="27" t="str">
        <f t="shared" si="998"/>
        <v/>
      </c>
      <c r="AP682" s="27" t="str">
        <f t="shared" si="999"/>
        <v/>
      </c>
      <c r="AQ682" s="27">
        <f t="shared" si="1000"/>
        <v>0</v>
      </c>
      <c r="AR682" s="27">
        <f t="shared" si="1001"/>
        <v>0</v>
      </c>
      <c r="AS682" s="33">
        <f t="shared" si="1002"/>
        <v>0</v>
      </c>
    </row>
    <row r="683" spans="2:45" hidden="1" x14ac:dyDescent="0.25">
      <c r="B683" s="34" t="str">
        <f t="shared" ref="B683:F683" si="1036">IF(B682="","",B682)</f>
        <v/>
      </c>
      <c r="C683" s="26" t="str">
        <f t="shared" si="1036"/>
        <v/>
      </c>
      <c r="D683" s="26" t="str">
        <f t="shared" si="1036"/>
        <v/>
      </c>
      <c r="E683" s="26" t="str">
        <f t="shared" si="1036"/>
        <v/>
      </c>
      <c r="F683" s="26" t="str">
        <f t="shared" si="1036"/>
        <v/>
      </c>
      <c r="G683" s="24"/>
      <c r="H683" s="24"/>
      <c r="I683" s="24"/>
      <c r="J683" s="24"/>
      <c r="K683" s="24"/>
      <c r="L683" s="24"/>
      <c r="M683" s="44" t="str">
        <f t="shared" si="1023"/>
        <v/>
      </c>
      <c r="N683" s="26" t="str">
        <f t="shared" si="973"/>
        <v/>
      </c>
      <c r="O683" s="26" t="str">
        <f t="shared" si="974"/>
        <v/>
      </c>
      <c r="P683" s="26" t="str">
        <f t="shared" si="975"/>
        <v/>
      </c>
      <c r="Q683" s="26">
        <f t="shared" si="976"/>
        <v>0</v>
      </c>
      <c r="R683" s="26">
        <f t="shared" si="977"/>
        <v>0</v>
      </c>
      <c r="S683" s="26">
        <f t="shared" si="978"/>
        <v>0</v>
      </c>
      <c r="T683" s="26" t="str">
        <f t="shared" si="979"/>
        <v/>
      </c>
      <c r="U683" s="26" t="str">
        <f t="shared" si="980"/>
        <v/>
      </c>
      <c r="V683" s="26" t="str">
        <f t="shared" si="981"/>
        <v/>
      </c>
      <c r="W683" s="27" t="str">
        <f t="shared" si="982"/>
        <v/>
      </c>
      <c r="X683" s="27" t="str">
        <f t="shared" si="983"/>
        <v/>
      </c>
      <c r="Y683" s="28" t="str">
        <f t="shared" si="984"/>
        <v/>
      </c>
      <c r="Z683" s="27" t="str">
        <f t="shared" si="985"/>
        <v/>
      </c>
      <c r="AA683" s="27" t="str">
        <f t="shared" si="986"/>
        <v/>
      </c>
      <c r="AB683" s="27" t="str">
        <f t="shared" si="987"/>
        <v/>
      </c>
      <c r="AC683" s="27" t="str">
        <f t="shared" si="988"/>
        <v/>
      </c>
      <c r="AD683" s="29" t="str">
        <f t="shared" si="989"/>
        <v/>
      </c>
      <c r="AE683" s="30" t="str">
        <f t="shared" si="990"/>
        <v/>
      </c>
      <c r="AG683" s="4"/>
      <c r="AH683" s="31" t="e">
        <f t="shared" si="991"/>
        <v>#VALUE!</v>
      </c>
      <c r="AI683" s="31" t="e">
        <f t="shared" si="992"/>
        <v>#VALUE!</v>
      </c>
      <c r="AJ683" s="31" t="e">
        <f t="shared" si="993"/>
        <v>#VALUE!</v>
      </c>
      <c r="AK683" s="31" t="e">
        <f t="shared" si="994"/>
        <v>#VALUE!</v>
      </c>
      <c r="AL683" s="31" t="e">
        <f t="shared" si="995"/>
        <v>#VALUE!</v>
      </c>
      <c r="AM683" s="31" t="e">
        <f t="shared" si="996"/>
        <v>#VALUE!</v>
      </c>
      <c r="AN683" s="32" t="str">
        <f t="shared" si="997"/>
        <v/>
      </c>
      <c r="AO683" s="27" t="str">
        <f t="shared" si="998"/>
        <v/>
      </c>
      <c r="AP683" s="27" t="str">
        <f t="shared" si="999"/>
        <v/>
      </c>
      <c r="AQ683" s="27">
        <f t="shared" si="1000"/>
        <v>0</v>
      </c>
      <c r="AR683" s="27">
        <f t="shared" si="1001"/>
        <v>0</v>
      </c>
      <c r="AS683" s="33">
        <f t="shared" si="1002"/>
        <v>0</v>
      </c>
    </row>
    <row r="684" spans="2:45" hidden="1" x14ac:dyDescent="0.25">
      <c r="B684" s="34" t="str">
        <f t="shared" ref="B684:F684" si="1037">IF(B683="","",B683)</f>
        <v/>
      </c>
      <c r="C684" s="26" t="str">
        <f t="shared" si="1037"/>
        <v/>
      </c>
      <c r="D684" s="26" t="str">
        <f t="shared" si="1037"/>
        <v/>
      </c>
      <c r="E684" s="26" t="str">
        <f t="shared" si="1037"/>
        <v/>
      </c>
      <c r="F684" s="26" t="str">
        <f t="shared" si="1037"/>
        <v/>
      </c>
      <c r="G684" s="24"/>
      <c r="H684" s="24"/>
      <c r="I684" s="24"/>
      <c r="J684" s="24"/>
      <c r="K684" s="24"/>
      <c r="L684" s="24"/>
      <c r="M684" s="44" t="str">
        <f t="shared" si="1023"/>
        <v/>
      </c>
      <c r="N684" s="26" t="str">
        <f t="shared" si="973"/>
        <v/>
      </c>
      <c r="O684" s="26" t="str">
        <f t="shared" si="974"/>
        <v/>
      </c>
      <c r="P684" s="26" t="str">
        <f t="shared" si="975"/>
        <v/>
      </c>
      <c r="Q684" s="26">
        <f t="shared" si="976"/>
        <v>0</v>
      </c>
      <c r="R684" s="26">
        <f t="shared" si="977"/>
        <v>0</v>
      </c>
      <c r="S684" s="26">
        <f t="shared" si="978"/>
        <v>0</v>
      </c>
      <c r="T684" s="26" t="str">
        <f t="shared" si="979"/>
        <v/>
      </c>
      <c r="U684" s="26" t="str">
        <f t="shared" si="980"/>
        <v/>
      </c>
      <c r="V684" s="26" t="str">
        <f t="shared" si="981"/>
        <v/>
      </c>
      <c r="W684" s="27" t="str">
        <f t="shared" si="982"/>
        <v/>
      </c>
      <c r="X684" s="27" t="str">
        <f t="shared" si="983"/>
        <v/>
      </c>
      <c r="Y684" s="28" t="str">
        <f t="shared" si="984"/>
        <v/>
      </c>
      <c r="Z684" s="27" t="str">
        <f t="shared" si="985"/>
        <v/>
      </c>
      <c r="AA684" s="27" t="str">
        <f t="shared" si="986"/>
        <v/>
      </c>
      <c r="AB684" s="27" t="str">
        <f t="shared" si="987"/>
        <v/>
      </c>
      <c r="AC684" s="27" t="str">
        <f t="shared" si="988"/>
        <v/>
      </c>
      <c r="AD684" s="29" t="str">
        <f t="shared" si="989"/>
        <v/>
      </c>
      <c r="AE684" s="30" t="str">
        <f t="shared" si="990"/>
        <v/>
      </c>
      <c r="AG684" s="4"/>
      <c r="AH684" s="31" t="e">
        <f t="shared" si="991"/>
        <v>#VALUE!</v>
      </c>
      <c r="AI684" s="31" t="e">
        <f t="shared" si="992"/>
        <v>#VALUE!</v>
      </c>
      <c r="AJ684" s="31" t="e">
        <f t="shared" si="993"/>
        <v>#VALUE!</v>
      </c>
      <c r="AK684" s="31" t="e">
        <f t="shared" si="994"/>
        <v>#VALUE!</v>
      </c>
      <c r="AL684" s="31" t="e">
        <f t="shared" si="995"/>
        <v>#VALUE!</v>
      </c>
      <c r="AM684" s="31" t="e">
        <f t="shared" si="996"/>
        <v>#VALUE!</v>
      </c>
      <c r="AN684" s="32" t="str">
        <f t="shared" si="997"/>
        <v/>
      </c>
      <c r="AO684" s="27" t="str">
        <f t="shared" si="998"/>
        <v/>
      </c>
      <c r="AP684" s="27" t="str">
        <f t="shared" si="999"/>
        <v/>
      </c>
      <c r="AQ684" s="27">
        <f t="shared" si="1000"/>
        <v>0</v>
      </c>
      <c r="AR684" s="27">
        <f t="shared" si="1001"/>
        <v>0</v>
      </c>
      <c r="AS684" s="33">
        <f t="shared" si="1002"/>
        <v>0</v>
      </c>
    </row>
    <row r="685" spans="2:45" hidden="1" x14ac:dyDescent="0.25">
      <c r="B685" s="34" t="str">
        <f t="shared" ref="B685:F685" si="1038">IF(B684="","",B684)</f>
        <v/>
      </c>
      <c r="C685" s="26" t="str">
        <f t="shared" si="1038"/>
        <v/>
      </c>
      <c r="D685" s="26" t="str">
        <f t="shared" si="1038"/>
        <v/>
      </c>
      <c r="E685" s="26" t="str">
        <f t="shared" si="1038"/>
        <v/>
      </c>
      <c r="F685" s="26" t="str">
        <f t="shared" si="1038"/>
        <v/>
      </c>
      <c r="G685" s="24"/>
      <c r="H685" s="24"/>
      <c r="I685" s="24"/>
      <c r="J685" s="24"/>
      <c r="K685" s="24"/>
      <c r="L685" s="24"/>
      <c r="M685" s="44" t="str">
        <f t="shared" si="1023"/>
        <v/>
      </c>
      <c r="N685" s="26" t="str">
        <f t="shared" si="973"/>
        <v/>
      </c>
      <c r="O685" s="26" t="str">
        <f t="shared" si="974"/>
        <v/>
      </c>
      <c r="P685" s="26" t="str">
        <f t="shared" si="975"/>
        <v/>
      </c>
      <c r="Q685" s="26">
        <f t="shared" si="976"/>
        <v>0</v>
      </c>
      <c r="R685" s="26">
        <f t="shared" si="977"/>
        <v>0</v>
      </c>
      <c r="S685" s="26">
        <f t="shared" si="978"/>
        <v>0</v>
      </c>
      <c r="T685" s="26" t="str">
        <f t="shared" si="979"/>
        <v/>
      </c>
      <c r="U685" s="26" t="str">
        <f t="shared" si="980"/>
        <v/>
      </c>
      <c r="V685" s="26" t="str">
        <f t="shared" si="981"/>
        <v/>
      </c>
      <c r="W685" s="27" t="str">
        <f t="shared" si="982"/>
        <v/>
      </c>
      <c r="X685" s="27" t="str">
        <f t="shared" si="983"/>
        <v/>
      </c>
      <c r="Y685" s="28" t="str">
        <f t="shared" si="984"/>
        <v/>
      </c>
      <c r="Z685" s="27" t="str">
        <f t="shared" si="985"/>
        <v/>
      </c>
      <c r="AA685" s="27" t="str">
        <f t="shared" si="986"/>
        <v/>
      </c>
      <c r="AB685" s="27" t="str">
        <f t="shared" si="987"/>
        <v/>
      </c>
      <c r="AC685" s="27" t="str">
        <f t="shared" si="988"/>
        <v/>
      </c>
      <c r="AD685" s="29" t="str">
        <f t="shared" si="989"/>
        <v/>
      </c>
      <c r="AE685" s="30" t="str">
        <f t="shared" si="990"/>
        <v/>
      </c>
      <c r="AG685" s="4"/>
      <c r="AH685" s="31" t="e">
        <f t="shared" si="991"/>
        <v>#VALUE!</v>
      </c>
      <c r="AI685" s="31" t="e">
        <f t="shared" si="992"/>
        <v>#VALUE!</v>
      </c>
      <c r="AJ685" s="31" t="e">
        <f t="shared" si="993"/>
        <v>#VALUE!</v>
      </c>
      <c r="AK685" s="31" t="e">
        <f t="shared" si="994"/>
        <v>#VALUE!</v>
      </c>
      <c r="AL685" s="31" t="e">
        <f t="shared" si="995"/>
        <v>#VALUE!</v>
      </c>
      <c r="AM685" s="31" t="e">
        <f t="shared" si="996"/>
        <v>#VALUE!</v>
      </c>
      <c r="AN685" s="32" t="str">
        <f t="shared" si="997"/>
        <v/>
      </c>
      <c r="AO685" s="27" t="str">
        <f t="shared" si="998"/>
        <v/>
      </c>
      <c r="AP685" s="27" t="str">
        <f t="shared" si="999"/>
        <v/>
      </c>
      <c r="AQ685" s="27">
        <f t="shared" si="1000"/>
        <v>0</v>
      </c>
      <c r="AR685" s="27">
        <f t="shared" si="1001"/>
        <v>0</v>
      </c>
      <c r="AS685" s="33">
        <f t="shared" si="1002"/>
        <v>0</v>
      </c>
    </row>
    <row r="686" spans="2:45" hidden="1" x14ac:dyDescent="0.25">
      <c r="B686" s="34" t="str">
        <f t="shared" ref="B686:F686" si="1039">IF(B685="","",B685)</f>
        <v/>
      </c>
      <c r="C686" s="26" t="str">
        <f t="shared" si="1039"/>
        <v/>
      </c>
      <c r="D686" s="26" t="str">
        <f t="shared" si="1039"/>
        <v/>
      </c>
      <c r="E686" s="26" t="str">
        <f t="shared" si="1039"/>
        <v/>
      </c>
      <c r="F686" s="26" t="str">
        <f t="shared" si="1039"/>
        <v/>
      </c>
      <c r="G686" s="24"/>
      <c r="H686" s="24"/>
      <c r="I686" s="24"/>
      <c r="J686" s="24"/>
      <c r="K686" s="24"/>
      <c r="L686" s="24"/>
      <c r="M686" s="44" t="str">
        <f t="shared" si="1023"/>
        <v/>
      </c>
      <c r="N686" s="26" t="str">
        <f t="shared" si="973"/>
        <v/>
      </c>
      <c r="O686" s="26" t="str">
        <f t="shared" si="974"/>
        <v/>
      </c>
      <c r="P686" s="26" t="str">
        <f t="shared" si="975"/>
        <v/>
      </c>
      <c r="Q686" s="26">
        <f t="shared" si="976"/>
        <v>0</v>
      </c>
      <c r="R686" s="26">
        <f t="shared" si="977"/>
        <v>0</v>
      </c>
      <c r="S686" s="26">
        <f t="shared" si="978"/>
        <v>0</v>
      </c>
      <c r="T686" s="26" t="str">
        <f t="shared" si="979"/>
        <v/>
      </c>
      <c r="U686" s="26" t="str">
        <f t="shared" si="980"/>
        <v/>
      </c>
      <c r="V686" s="26" t="str">
        <f t="shared" si="981"/>
        <v/>
      </c>
      <c r="W686" s="27" t="str">
        <f t="shared" si="982"/>
        <v/>
      </c>
      <c r="X686" s="27" t="str">
        <f t="shared" si="983"/>
        <v/>
      </c>
      <c r="Y686" s="28" t="str">
        <f t="shared" si="984"/>
        <v/>
      </c>
      <c r="Z686" s="27" t="str">
        <f t="shared" si="985"/>
        <v/>
      </c>
      <c r="AA686" s="27" t="str">
        <f t="shared" si="986"/>
        <v/>
      </c>
      <c r="AB686" s="27" t="str">
        <f t="shared" si="987"/>
        <v/>
      </c>
      <c r="AC686" s="27" t="str">
        <f t="shared" si="988"/>
        <v/>
      </c>
      <c r="AD686" s="29" t="str">
        <f t="shared" si="989"/>
        <v/>
      </c>
      <c r="AE686" s="30" t="str">
        <f t="shared" si="990"/>
        <v/>
      </c>
      <c r="AG686" s="4"/>
      <c r="AH686" s="31" t="e">
        <f t="shared" si="991"/>
        <v>#VALUE!</v>
      </c>
      <c r="AI686" s="31" t="e">
        <f t="shared" si="992"/>
        <v>#VALUE!</v>
      </c>
      <c r="AJ686" s="31" t="e">
        <f t="shared" si="993"/>
        <v>#VALUE!</v>
      </c>
      <c r="AK686" s="31" t="e">
        <f t="shared" si="994"/>
        <v>#VALUE!</v>
      </c>
      <c r="AL686" s="31" t="e">
        <f t="shared" si="995"/>
        <v>#VALUE!</v>
      </c>
      <c r="AM686" s="31" t="e">
        <f t="shared" si="996"/>
        <v>#VALUE!</v>
      </c>
      <c r="AN686" s="32" t="str">
        <f t="shared" si="997"/>
        <v/>
      </c>
      <c r="AO686" s="27" t="str">
        <f t="shared" si="998"/>
        <v/>
      </c>
      <c r="AP686" s="27" t="str">
        <f t="shared" si="999"/>
        <v/>
      </c>
      <c r="AQ686" s="27">
        <f t="shared" si="1000"/>
        <v>0</v>
      </c>
      <c r="AR686" s="27">
        <f t="shared" si="1001"/>
        <v>0</v>
      </c>
      <c r="AS686" s="33">
        <f t="shared" si="1002"/>
        <v>0</v>
      </c>
    </row>
    <row r="687" spans="2:45" hidden="1" x14ac:dyDescent="0.25">
      <c r="B687" s="34" t="str">
        <f t="shared" ref="B687:F687" si="1040">IF(B686="","",B686)</f>
        <v/>
      </c>
      <c r="C687" s="26" t="str">
        <f t="shared" si="1040"/>
        <v/>
      </c>
      <c r="D687" s="26" t="str">
        <f t="shared" si="1040"/>
        <v/>
      </c>
      <c r="E687" s="26" t="str">
        <f t="shared" si="1040"/>
        <v/>
      </c>
      <c r="F687" s="26" t="str">
        <f t="shared" si="1040"/>
        <v/>
      </c>
      <c r="G687" s="24"/>
      <c r="H687" s="24"/>
      <c r="I687" s="24"/>
      <c r="J687" s="24"/>
      <c r="K687" s="24"/>
      <c r="L687" s="24"/>
      <c r="M687" s="44" t="str">
        <f t="shared" si="1023"/>
        <v/>
      </c>
      <c r="N687" s="26" t="str">
        <f t="shared" si="973"/>
        <v/>
      </c>
      <c r="O687" s="26" t="str">
        <f t="shared" si="974"/>
        <v/>
      </c>
      <c r="P687" s="26" t="str">
        <f t="shared" si="975"/>
        <v/>
      </c>
      <c r="Q687" s="26">
        <f t="shared" si="976"/>
        <v>0</v>
      </c>
      <c r="R687" s="26">
        <f t="shared" si="977"/>
        <v>0</v>
      </c>
      <c r="S687" s="26">
        <f t="shared" si="978"/>
        <v>0</v>
      </c>
      <c r="T687" s="26" t="str">
        <f t="shared" si="979"/>
        <v/>
      </c>
      <c r="U687" s="26" t="str">
        <f t="shared" si="980"/>
        <v/>
      </c>
      <c r="V687" s="26" t="str">
        <f t="shared" si="981"/>
        <v/>
      </c>
      <c r="W687" s="27" t="str">
        <f t="shared" si="982"/>
        <v/>
      </c>
      <c r="X687" s="27" t="str">
        <f t="shared" si="983"/>
        <v/>
      </c>
      <c r="Y687" s="28" t="str">
        <f t="shared" si="984"/>
        <v/>
      </c>
      <c r="Z687" s="27" t="str">
        <f t="shared" si="985"/>
        <v/>
      </c>
      <c r="AA687" s="27" t="str">
        <f t="shared" si="986"/>
        <v/>
      </c>
      <c r="AB687" s="27" t="str">
        <f t="shared" si="987"/>
        <v/>
      </c>
      <c r="AC687" s="27" t="str">
        <f t="shared" si="988"/>
        <v/>
      </c>
      <c r="AD687" s="29" t="str">
        <f t="shared" si="989"/>
        <v/>
      </c>
      <c r="AE687" s="30" t="str">
        <f t="shared" si="990"/>
        <v/>
      </c>
      <c r="AG687" s="4"/>
      <c r="AH687" s="31" t="e">
        <f t="shared" si="991"/>
        <v>#VALUE!</v>
      </c>
      <c r="AI687" s="31" t="e">
        <f t="shared" si="992"/>
        <v>#VALUE!</v>
      </c>
      <c r="AJ687" s="31" t="e">
        <f t="shared" si="993"/>
        <v>#VALUE!</v>
      </c>
      <c r="AK687" s="31" t="e">
        <f t="shared" si="994"/>
        <v>#VALUE!</v>
      </c>
      <c r="AL687" s="31" t="e">
        <f t="shared" si="995"/>
        <v>#VALUE!</v>
      </c>
      <c r="AM687" s="31" t="e">
        <f t="shared" si="996"/>
        <v>#VALUE!</v>
      </c>
      <c r="AN687" s="32" t="str">
        <f t="shared" si="997"/>
        <v/>
      </c>
      <c r="AO687" s="27" t="str">
        <f t="shared" si="998"/>
        <v/>
      </c>
      <c r="AP687" s="27" t="str">
        <f t="shared" si="999"/>
        <v/>
      </c>
      <c r="AQ687" s="27">
        <f t="shared" si="1000"/>
        <v>0</v>
      </c>
      <c r="AR687" s="27">
        <f t="shared" si="1001"/>
        <v>0</v>
      </c>
      <c r="AS687" s="33">
        <f t="shared" si="1002"/>
        <v>0</v>
      </c>
    </row>
    <row r="688" spans="2:45" hidden="1" x14ac:dyDescent="0.25">
      <c r="B688" s="34" t="str">
        <f t="shared" ref="B688:F688" si="1041">IF(B687="","",B687)</f>
        <v/>
      </c>
      <c r="C688" s="26" t="str">
        <f t="shared" si="1041"/>
        <v/>
      </c>
      <c r="D688" s="26" t="str">
        <f t="shared" si="1041"/>
        <v/>
      </c>
      <c r="E688" s="26" t="str">
        <f t="shared" si="1041"/>
        <v/>
      </c>
      <c r="F688" s="26" t="str">
        <f t="shared" si="1041"/>
        <v/>
      </c>
      <c r="G688" s="24"/>
      <c r="H688" s="24"/>
      <c r="I688" s="24"/>
      <c r="J688" s="24"/>
      <c r="K688" s="24"/>
      <c r="L688" s="24"/>
      <c r="M688" s="44" t="str">
        <f t="shared" si="1023"/>
        <v/>
      </c>
      <c r="N688" s="26" t="str">
        <f t="shared" si="973"/>
        <v/>
      </c>
      <c r="O688" s="26" t="str">
        <f t="shared" si="974"/>
        <v/>
      </c>
      <c r="P688" s="26" t="str">
        <f t="shared" si="975"/>
        <v/>
      </c>
      <c r="Q688" s="26">
        <f t="shared" si="976"/>
        <v>0</v>
      </c>
      <c r="R688" s="26">
        <f t="shared" si="977"/>
        <v>0</v>
      </c>
      <c r="S688" s="26">
        <f t="shared" si="978"/>
        <v>0</v>
      </c>
      <c r="T688" s="26" t="str">
        <f t="shared" si="979"/>
        <v/>
      </c>
      <c r="U688" s="26" t="str">
        <f t="shared" si="980"/>
        <v/>
      </c>
      <c r="V688" s="26" t="str">
        <f t="shared" si="981"/>
        <v/>
      </c>
      <c r="W688" s="27" t="str">
        <f t="shared" si="982"/>
        <v/>
      </c>
      <c r="X688" s="27" t="str">
        <f t="shared" si="983"/>
        <v/>
      </c>
      <c r="Y688" s="28" t="str">
        <f t="shared" si="984"/>
        <v/>
      </c>
      <c r="Z688" s="27" t="str">
        <f t="shared" si="985"/>
        <v/>
      </c>
      <c r="AA688" s="27" t="str">
        <f t="shared" si="986"/>
        <v/>
      </c>
      <c r="AB688" s="27" t="str">
        <f t="shared" si="987"/>
        <v/>
      </c>
      <c r="AC688" s="27" t="str">
        <f t="shared" si="988"/>
        <v/>
      </c>
      <c r="AD688" s="29" t="str">
        <f t="shared" si="989"/>
        <v/>
      </c>
      <c r="AE688" s="30" t="str">
        <f t="shared" si="990"/>
        <v/>
      </c>
      <c r="AG688" s="4"/>
      <c r="AH688" s="31" t="e">
        <f t="shared" si="991"/>
        <v>#VALUE!</v>
      </c>
      <c r="AI688" s="31" t="e">
        <f t="shared" si="992"/>
        <v>#VALUE!</v>
      </c>
      <c r="AJ688" s="31" t="e">
        <f t="shared" si="993"/>
        <v>#VALUE!</v>
      </c>
      <c r="AK688" s="31" t="e">
        <f t="shared" si="994"/>
        <v>#VALUE!</v>
      </c>
      <c r="AL688" s="31" t="e">
        <f t="shared" si="995"/>
        <v>#VALUE!</v>
      </c>
      <c r="AM688" s="31" t="e">
        <f t="shared" si="996"/>
        <v>#VALUE!</v>
      </c>
      <c r="AN688" s="32" t="str">
        <f t="shared" si="997"/>
        <v/>
      </c>
      <c r="AO688" s="27" t="str">
        <f t="shared" si="998"/>
        <v/>
      </c>
      <c r="AP688" s="27" t="str">
        <f t="shared" si="999"/>
        <v/>
      </c>
      <c r="AQ688" s="27">
        <f t="shared" si="1000"/>
        <v>0</v>
      </c>
      <c r="AR688" s="27">
        <f t="shared" si="1001"/>
        <v>0</v>
      </c>
      <c r="AS688" s="33">
        <f t="shared" si="1002"/>
        <v>0</v>
      </c>
    </row>
    <row r="689" spans="2:45" hidden="1" x14ac:dyDescent="0.25">
      <c r="B689" s="34" t="str">
        <f t="shared" ref="B689:F689" si="1042">IF(B688="","",B688)</f>
        <v/>
      </c>
      <c r="C689" s="26" t="str">
        <f t="shared" si="1042"/>
        <v/>
      </c>
      <c r="D689" s="26" t="str">
        <f t="shared" si="1042"/>
        <v/>
      </c>
      <c r="E689" s="26" t="str">
        <f t="shared" si="1042"/>
        <v/>
      </c>
      <c r="F689" s="26" t="str">
        <f t="shared" si="1042"/>
        <v/>
      </c>
      <c r="G689" s="24"/>
      <c r="H689" s="24"/>
      <c r="I689" s="24"/>
      <c r="J689" s="24"/>
      <c r="K689" s="24"/>
      <c r="L689" s="24"/>
      <c r="M689" s="44" t="str">
        <f t="shared" si="1023"/>
        <v/>
      </c>
      <c r="N689" s="26" t="str">
        <f t="shared" si="973"/>
        <v/>
      </c>
      <c r="O689" s="26" t="str">
        <f t="shared" si="974"/>
        <v/>
      </c>
      <c r="P689" s="26" t="str">
        <f t="shared" si="975"/>
        <v/>
      </c>
      <c r="Q689" s="26">
        <f t="shared" si="976"/>
        <v>0</v>
      </c>
      <c r="R689" s="26">
        <f t="shared" si="977"/>
        <v>0</v>
      </c>
      <c r="S689" s="26">
        <f t="shared" si="978"/>
        <v>0</v>
      </c>
      <c r="T689" s="26" t="str">
        <f t="shared" si="979"/>
        <v/>
      </c>
      <c r="U689" s="26" t="str">
        <f t="shared" si="980"/>
        <v/>
      </c>
      <c r="V689" s="26" t="str">
        <f t="shared" si="981"/>
        <v/>
      </c>
      <c r="W689" s="27" t="str">
        <f t="shared" si="982"/>
        <v/>
      </c>
      <c r="X689" s="27" t="str">
        <f t="shared" si="983"/>
        <v/>
      </c>
      <c r="Y689" s="28" t="str">
        <f t="shared" si="984"/>
        <v/>
      </c>
      <c r="Z689" s="27" t="str">
        <f t="shared" si="985"/>
        <v/>
      </c>
      <c r="AA689" s="27" t="str">
        <f t="shared" si="986"/>
        <v/>
      </c>
      <c r="AB689" s="27" t="str">
        <f t="shared" si="987"/>
        <v/>
      </c>
      <c r="AC689" s="27" t="str">
        <f t="shared" si="988"/>
        <v/>
      </c>
      <c r="AD689" s="29" t="str">
        <f t="shared" si="989"/>
        <v/>
      </c>
      <c r="AE689" s="30" t="str">
        <f t="shared" si="990"/>
        <v/>
      </c>
      <c r="AG689" s="4"/>
      <c r="AH689" s="31" t="e">
        <f t="shared" si="991"/>
        <v>#VALUE!</v>
      </c>
      <c r="AI689" s="31" t="e">
        <f t="shared" si="992"/>
        <v>#VALUE!</v>
      </c>
      <c r="AJ689" s="31" t="e">
        <f t="shared" si="993"/>
        <v>#VALUE!</v>
      </c>
      <c r="AK689" s="31" t="e">
        <f t="shared" si="994"/>
        <v>#VALUE!</v>
      </c>
      <c r="AL689" s="31" t="e">
        <f t="shared" si="995"/>
        <v>#VALUE!</v>
      </c>
      <c r="AM689" s="31" t="e">
        <f t="shared" si="996"/>
        <v>#VALUE!</v>
      </c>
      <c r="AN689" s="32" t="str">
        <f t="shared" si="997"/>
        <v/>
      </c>
      <c r="AO689" s="27" t="str">
        <f t="shared" si="998"/>
        <v/>
      </c>
      <c r="AP689" s="27" t="str">
        <f t="shared" si="999"/>
        <v/>
      </c>
      <c r="AQ689" s="27">
        <f t="shared" si="1000"/>
        <v>0</v>
      </c>
      <c r="AR689" s="27">
        <f t="shared" si="1001"/>
        <v>0</v>
      </c>
      <c r="AS689" s="33">
        <f t="shared" si="1002"/>
        <v>0</v>
      </c>
    </row>
    <row r="690" spans="2:45" hidden="1" x14ac:dyDescent="0.25">
      <c r="B690" s="34" t="str">
        <f t="shared" ref="B690:F690" si="1043">IF(B689="","",B689)</f>
        <v/>
      </c>
      <c r="C690" s="26" t="str">
        <f t="shared" si="1043"/>
        <v/>
      </c>
      <c r="D690" s="26" t="str">
        <f t="shared" si="1043"/>
        <v/>
      </c>
      <c r="E690" s="26" t="str">
        <f t="shared" si="1043"/>
        <v/>
      </c>
      <c r="F690" s="26" t="str">
        <f t="shared" si="1043"/>
        <v/>
      </c>
      <c r="G690" s="24"/>
      <c r="H690" s="24"/>
      <c r="I690" s="24"/>
      <c r="J690" s="24"/>
      <c r="K690" s="24"/>
      <c r="L690" s="24"/>
      <c r="M690" s="44" t="str">
        <f t="shared" si="1023"/>
        <v/>
      </c>
      <c r="N690" s="26" t="str">
        <f t="shared" si="973"/>
        <v/>
      </c>
      <c r="O690" s="26" t="str">
        <f t="shared" si="974"/>
        <v/>
      </c>
      <c r="P690" s="26" t="str">
        <f t="shared" si="975"/>
        <v/>
      </c>
      <c r="Q690" s="26">
        <f t="shared" si="976"/>
        <v>0</v>
      </c>
      <c r="R690" s="26">
        <f t="shared" si="977"/>
        <v>0</v>
      </c>
      <c r="S690" s="26">
        <f t="shared" si="978"/>
        <v>0</v>
      </c>
      <c r="T690" s="26" t="str">
        <f t="shared" si="979"/>
        <v/>
      </c>
      <c r="U690" s="26" t="str">
        <f t="shared" si="980"/>
        <v/>
      </c>
      <c r="V690" s="26" t="str">
        <f t="shared" si="981"/>
        <v/>
      </c>
      <c r="W690" s="27" t="str">
        <f t="shared" si="982"/>
        <v/>
      </c>
      <c r="X690" s="27" t="str">
        <f t="shared" si="983"/>
        <v/>
      </c>
      <c r="Y690" s="28" t="str">
        <f t="shared" si="984"/>
        <v/>
      </c>
      <c r="Z690" s="27" t="str">
        <f t="shared" si="985"/>
        <v/>
      </c>
      <c r="AA690" s="27" t="str">
        <f t="shared" si="986"/>
        <v/>
      </c>
      <c r="AB690" s="27" t="str">
        <f t="shared" si="987"/>
        <v/>
      </c>
      <c r="AC690" s="27" t="str">
        <f t="shared" si="988"/>
        <v/>
      </c>
      <c r="AD690" s="29" t="str">
        <f t="shared" si="989"/>
        <v/>
      </c>
      <c r="AE690" s="30" t="str">
        <f t="shared" si="990"/>
        <v/>
      </c>
      <c r="AG690" s="4"/>
      <c r="AH690" s="31" t="e">
        <f t="shared" si="991"/>
        <v>#VALUE!</v>
      </c>
      <c r="AI690" s="31" t="e">
        <f t="shared" si="992"/>
        <v>#VALUE!</v>
      </c>
      <c r="AJ690" s="31" t="e">
        <f t="shared" si="993"/>
        <v>#VALUE!</v>
      </c>
      <c r="AK690" s="31" t="e">
        <f t="shared" si="994"/>
        <v>#VALUE!</v>
      </c>
      <c r="AL690" s="31" t="e">
        <f t="shared" si="995"/>
        <v>#VALUE!</v>
      </c>
      <c r="AM690" s="31" t="e">
        <f t="shared" si="996"/>
        <v>#VALUE!</v>
      </c>
      <c r="AN690" s="32" t="str">
        <f t="shared" si="997"/>
        <v/>
      </c>
      <c r="AO690" s="27" t="str">
        <f t="shared" si="998"/>
        <v/>
      </c>
      <c r="AP690" s="27" t="str">
        <f t="shared" si="999"/>
        <v/>
      </c>
      <c r="AQ690" s="27">
        <f t="shared" si="1000"/>
        <v>0</v>
      </c>
      <c r="AR690" s="27">
        <f t="shared" si="1001"/>
        <v>0</v>
      </c>
      <c r="AS690" s="33">
        <f t="shared" si="1002"/>
        <v>0</v>
      </c>
    </row>
    <row r="691" spans="2:45" hidden="1" x14ac:dyDescent="0.25">
      <c r="B691" s="34" t="str">
        <f>IF(B690="","",B690)</f>
        <v/>
      </c>
      <c r="C691" s="26" t="str">
        <f t="shared" ref="C691:F691" si="1044">IF(C690="","",C690)</f>
        <v/>
      </c>
      <c r="D691" s="26" t="str">
        <f t="shared" si="1044"/>
        <v/>
      </c>
      <c r="E691" s="26" t="str">
        <f t="shared" si="1044"/>
        <v/>
      </c>
      <c r="F691" s="26" t="str">
        <f t="shared" si="1044"/>
        <v/>
      </c>
      <c r="G691" s="24"/>
      <c r="H691" s="24"/>
      <c r="I691" s="24"/>
      <c r="J691" s="24"/>
      <c r="K691" s="24"/>
      <c r="L691" s="24"/>
      <c r="M691" s="44" t="str">
        <f t="shared" si="1023"/>
        <v/>
      </c>
      <c r="N691" s="26" t="str">
        <f t="shared" si="973"/>
        <v/>
      </c>
      <c r="O691" s="26" t="str">
        <f t="shared" si="974"/>
        <v/>
      </c>
      <c r="P691" s="26" t="str">
        <f t="shared" si="975"/>
        <v/>
      </c>
      <c r="Q691" s="26">
        <f t="shared" si="976"/>
        <v>0</v>
      </c>
      <c r="R691" s="26">
        <f t="shared" si="977"/>
        <v>0</v>
      </c>
      <c r="S691" s="26">
        <f t="shared" si="978"/>
        <v>0</v>
      </c>
      <c r="T691" s="26" t="str">
        <f t="shared" si="979"/>
        <v/>
      </c>
      <c r="U691" s="26" t="str">
        <f t="shared" si="980"/>
        <v/>
      </c>
      <c r="V691" s="26" t="str">
        <f t="shared" si="981"/>
        <v/>
      </c>
      <c r="W691" s="27" t="str">
        <f t="shared" si="982"/>
        <v/>
      </c>
      <c r="X691" s="27" t="str">
        <f t="shared" si="983"/>
        <v/>
      </c>
      <c r="Y691" s="28" t="str">
        <f t="shared" si="984"/>
        <v/>
      </c>
      <c r="Z691" s="27" t="str">
        <f t="shared" si="985"/>
        <v/>
      </c>
      <c r="AA691" s="27" t="str">
        <f t="shared" si="986"/>
        <v/>
      </c>
      <c r="AB691" s="27" t="str">
        <f t="shared" si="987"/>
        <v/>
      </c>
      <c r="AC691" s="27" t="str">
        <f t="shared" si="988"/>
        <v/>
      </c>
      <c r="AD691" s="29" t="str">
        <f t="shared" si="989"/>
        <v/>
      </c>
      <c r="AE691" s="30" t="str">
        <f t="shared" si="990"/>
        <v/>
      </c>
      <c r="AG691" s="4"/>
      <c r="AH691" s="31" t="e">
        <f t="shared" si="991"/>
        <v>#VALUE!</v>
      </c>
      <c r="AI691" s="31" t="e">
        <f t="shared" si="992"/>
        <v>#VALUE!</v>
      </c>
      <c r="AJ691" s="31" t="e">
        <f t="shared" si="993"/>
        <v>#VALUE!</v>
      </c>
      <c r="AK691" s="31" t="e">
        <f t="shared" si="994"/>
        <v>#VALUE!</v>
      </c>
      <c r="AL691" s="31" t="e">
        <f t="shared" si="995"/>
        <v>#VALUE!</v>
      </c>
      <c r="AM691" s="31" t="e">
        <f t="shared" si="996"/>
        <v>#VALUE!</v>
      </c>
      <c r="AN691" s="32" t="str">
        <f t="shared" si="997"/>
        <v/>
      </c>
      <c r="AO691" s="27" t="str">
        <f t="shared" si="998"/>
        <v/>
      </c>
      <c r="AP691" s="27" t="str">
        <f t="shared" si="999"/>
        <v/>
      </c>
      <c r="AQ691" s="27">
        <f t="shared" si="1000"/>
        <v>0</v>
      </c>
      <c r="AR691" s="27">
        <f t="shared" si="1001"/>
        <v>0</v>
      </c>
      <c r="AS691" s="33">
        <f t="shared" si="1002"/>
        <v>0</v>
      </c>
    </row>
    <row r="692" spans="2:45" hidden="1" x14ac:dyDescent="0.25">
      <c r="B692" s="34" t="str">
        <f t="shared" ref="B692:F692" si="1045">IF(B691="","",B691)</f>
        <v/>
      </c>
      <c r="C692" s="26" t="str">
        <f t="shared" si="1045"/>
        <v/>
      </c>
      <c r="D692" s="26" t="str">
        <f t="shared" si="1045"/>
        <v/>
      </c>
      <c r="E692" s="26" t="str">
        <f t="shared" si="1045"/>
        <v/>
      </c>
      <c r="F692" s="26" t="str">
        <f t="shared" si="1045"/>
        <v/>
      </c>
      <c r="G692" s="24"/>
      <c r="H692" s="24"/>
      <c r="I692" s="24"/>
      <c r="J692" s="24"/>
      <c r="K692" s="24"/>
      <c r="L692" s="24"/>
      <c r="M692" s="44" t="str">
        <f t="shared" si="1023"/>
        <v/>
      </c>
      <c r="N692" s="26" t="str">
        <f t="shared" si="973"/>
        <v/>
      </c>
      <c r="O692" s="26" t="str">
        <f t="shared" si="974"/>
        <v/>
      </c>
      <c r="P692" s="26" t="str">
        <f t="shared" si="975"/>
        <v/>
      </c>
      <c r="Q692" s="26">
        <f t="shared" si="976"/>
        <v>0</v>
      </c>
      <c r="R692" s="26">
        <f t="shared" si="977"/>
        <v>0</v>
      </c>
      <c r="S692" s="26">
        <f t="shared" si="978"/>
        <v>0</v>
      </c>
      <c r="T692" s="26" t="str">
        <f t="shared" si="979"/>
        <v/>
      </c>
      <c r="U692" s="26" t="str">
        <f t="shared" si="980"/>
        <v/>
      </c>
      <c r="V692" s="26" t="str">
        <f t="shared" si="981"/>
        <v/>
      </c>
      <c r="W692" s="27" t="str">
        <f t="shared" si="982"/>
        <v/>
      </c>
      <c r="X692" s="27" t="str">
        <f t="shared" si="983"/>
        <v/>
      </c>
      <c r="Y692" s="28" t="str">
        <f t="shared" si="984"/>
        <v/>
      </c>
      <c r="Z692" s="27" t="str">
        <f t="shared" si="985"/>
        <v/>
      </c>
      <c r="AA692" s="27" t="str">
        <f t="shared" si="986"/>
        <v/>
      </c>
      <c r="AB692" s="27" t="str">
        <f t="shared" si="987"/>
        <v/>
      </c>
      <c r="AC692" s="27" t="str">
        <f t="shared" si="988"/>
        <v/>
      </c>
      <c r="AD692" s="29" t="str">
        <f t="shared" si="989"/>
        <v/>
      </c>
      <c r="AE692" s="30" t="str">
        <f t="shared" si="990"/>
        <v/>
      </c>
      <c r="AG692" s="4"/>
      <c r="AH692" s="31" t="e">
        <f t="shared" si="991"/>
        <v>#VALUE!</v>
      </c>
      <c r="AI692" s="31" t="e">
        <f t="shared" si="992"/>
        <v>#VALUE!</v>
      </c>
      <c r="AJ692" s="31" t="e">
        <f t="shared" si="993"/>
        <v>#VALUE!</v>
      </c>
      <c r="AK692" s="31" t="e">
        <f t="shared" si="994"/>
        <v>#VALUE!</v>
      </c>
      <c r="AL692" s="31" t="e">
        <f t="shared" si="995"/>
        <v>#VALUE!</v>
      </c>
      <c r="AM692" s="31" t="e">
        <f t="shared" si="996"/>
        <v>#VALUE!</v>
      </c>
      <c r="AN692" s="32" t="str">
        <f t="shared" si="997"/>
        <v/>
      </c>
      <c r="AO692" s="27" t="str">
        <f t="shared" si="998"/>
        <v/>
      </c>
      <c r="AP692" s="27" t="str">
        <f t="shared" si="999"/>
        <v/>
      </c>
      <c r="AQ692" s="27">
        <f t="shared" si="1000"/>
        <v>0</v>
      </c>
      <c r="AR692" s="27">
        <f t="shared" si="1001"/>
        <v>0</v>
      </c>
      <c r="AS692" s="33">
        <f t="shared" si="1002"/>
        <v>0</v>
      </c>
    </row>
    <row r="693" spans="2:45" hidden="1" x14ac:dyDescent="0.25">
      <c r="B693" s="34" t="str">
        <f t="shared" ref="B693:F693" si="1046">IF(B692="","",B692)</f>
        <v/>
      </c>
      <c r="C693" s="26" t="str">
        <f t="shared" si="1046"/>
        <v/>
      </c>
      <c r="D693" s="26" t="str">
        <f t="shared" si="1046"/>
        <v/>
      </c>
      <c r="E693" s="26" t="str">
        <f t="shared" si="1046"/>
        <v/>
      </c>
      <c r="F693" s="26" t="str">
        <f t="shared" si="1046"/>
        <v/>
      </c>
      <c r="G693" s="24"/>
      <c r="H693" s="24"/>
      <c r="I693" s="24"/>
      <c r="J693" s="24"/>
      <c r="K693" s="24"/>
      <c r="L693" s="24"/>
      <c r="M693" s="44" t="str">
        <f t="shared" si="1023"/>
        <v/>
      </c>
      <c r="N693" s="26" t="str">
        <f t="shared" si="973"/>
        <v/>
      </c>
      <c r="O693" s="26" t="str">
        <f t="shared" si="974"/>
        <v/>
      </c>
      <c r="P693" s="26" t="str">
        <f t="shared" si="975"/>
        <v/>
      </c>
      <c r="Q693" s="26">
        <f t="shared" si="976"/>
        <v>0</v>
      </c>
      <c r="R693" s="26">
        <f t="shared" si="977"/>
        <v>0</v>
      </c>
      <c r="S693" s="26">
        <f t="shared" si="978"/>
        <v>0</v>
      </c>
      <c r="T693" s="26" t="str">
        <f t="shared" si="979"/>
        <v/>
      </c>
      <c r="U693" s="26" t="str">
        <f t="shared" si="980"/>
        <v/>
      </c>
      <c r="V693" s="26" t="str">
        <f t="shared" si="981"/>
        <v/>
      </c>
      <c r="W693" s="27" t="str">
        <f t="shared" si="982"/>
        <v/>
      </c>
      <c r="X693" s="27" t="str">
        <f t="shared" si="983"/>
        <v/>
      </c>
      <c r="Y693" s="28" t="str">
        <f t="shared" si="984"/>
        <v/>
      </c>
      <c r="Z693" s="27" t="str">
        <f t="shared" si="985"/>
        <v/>
      </c>
      <c r="AA693" s="27" t="str">
        <f t="shared" si="986"/>
        <v/>
      </c>
      <c r="AB693" s="27" t="str">
        <f t="shared" si="987"/>
        <v/>
      </c>
      <c r="AC693" s="27" t="str">
        <f t="shared" si="988"/>
        <v/>
      </c>
      <c r="AD693" s="29" t="str">
        <f t="shared" si="989"/>
        <v/>
      </c>
      <c r="AE693" s="30" t="str">
        <f t="shared" si="990"/>
        <v/>
      </c>
      <c r="AG693" s="4"/>
      <c r="AH693" s="31" t="e">
        <f t="shared" si="991"/>
        <v>#VALUE!</v>
      </c>
      <c r="AI693" s="31" t="e">
        <f t="shared" si="992"/>
        <v>#VALUE!</v>
      </c>
      <c r="AJ693" s="31" t="e">
        <f t="shared" si="993"/>
        <v>#VALUE!</v>
      </c>
      <c r="AK693" s="31" t="e">
        <f t="shared" si="994"/>
        <v>#VALUE!</v>
      </c>
      <c r="AL693" s="31" t="e">
        <f t="shared" si="995"/>
        <v>#VALUE!</v>
      </c>
      <c r="AM693" s="31" t="e">
        <f t="shared" si="996"/>
        <v>#VALUE!</v>
      </c>
      <c r="AN693" s="32" t="str">
        <f t="shared" si="997"/>
        <v/>
      </c>
      <c r="AO693" s="27" t="str">
        <f t="shared" si="998"/>
        <v/>
      </c>
      <c r="AP693" s="27" t="str">
        <f t="shared" si="999"/>
        <v/>
      </c>
      <c r="AQ693" s="27">
        <f t="shared" si="1000"/>
        <v>0</v>
      </c>
      <c r="AR693" s="27">
        <f t="shared" si="1001"/>
        <v>0</v>
      </c>
      <c r="AS693" s="33">
        <f t="shared" si="1002"/>
        <v>0</v>
      </c>
    </row>
    <row r="694" spans="2:45" hidden="1" x14ac:dyDescent="0.25">
      <c r="B694" s="34" t="str">
        <f t="shared" ref="B694:F694" si="1047">IF(B693="","",B693)</f>
        <v/>
      </c>
      <c r="C694" s="26" t="str">
        <f t="shared" si="1047"/>
        <v/>
      </c>
      <c r="D694" s="26" t="str">
        <f t="shared" si="1047"/>
        <v/>
      </c>
      <c r="E694" s="26" t="str">
        <f t="shared" si="1047"/>
        <v/>
      </c>
      <c r="F694" s="26" t="str">
        <f t="shared" si="1047"/>
        <v/>
      </c>
      <c r="G694" s="24"/>
      <c r="H694" s="24"/>
      <c r="I694" s="24"/>
      <c r="J694" s="24"/>
      <c r="K694" s="24"/>
      <c r="L694" s="24"/>
      <c r="M694" s="44" t="str">
        <f t="shared" si="1023"/>
        <v/>
      </c>
      <c r="N694" s="26" t="str">
        <f t="shared" si="973"/>
        <v/>
      </c>
      <c r="O694" s="26" t="str">
        <f t="shared" si="974"/>
        <v/>
      </c>
      <c r="P694" s="26" t="str">
        <f t="shared" si="975"/>
        <v/>
      </c>
      <c r="Q694" s="26">
        <f t="shared" si="976"/>
        <v>0</v>
      </c>
      <c r="R694" s="26">
        <f t="shared" si="977"/>
        <v>0</v>
      </c>
      <c r="S694" s="26">
        <f t="shared" si="978"/>
        <v>0</v>
      </c>
      <c r="T694" s="26" t="str">
        <f t="shared" si="979"/>
        <v/>
      </c>
      <c r="U694" s="26" t="str">
        <f t="shared" si="980"/>
        <v/>
      </c>
      <c r="V694" s="26" t="str">
        <f t="shared" si="981"/>
        <v/>
      </c>
      <c r="W694" s="27" t="str">
        <f t="shared" si="982"/>
        <v/>
      </c>
      <c r="X694" s="27" t="str">
        <f t="shared" si="983"/>
        <v/>
      </c>
      <c r="Y694" s="28" t="str">
        <f t="shared" si="984"/>
        <v/>
      </c>
      <c r="Z694" s="27" t="str">
        <f t="shared" si="985"/>
        <v/>
      </c>
      <c r="AA694" s="27" t="str">
        <f t="shared" si="986"/>
        <v/>
      </c>
      <c r="AB694" s="27" t="str">
        <f t="shared" si="987"/>
        <v/>
      </c>
      <c r="AC694" s="27" t="str">
        <f t="shared" si="988"/>
        <v/>
      </c>
      <c r="AD694" s="29" t="str">
        <f t="shared" si="989"/>
        <v/>
      </c>
      <c r="AE694" s="30" t="str">
        <f t="shared" si="990"/>
        <v/>
      </c>
      <c r="AG694" s="4"/>
      <c r="AH694" s="31" t="e">
        <f t="shared" si="991"/>
        <v>#VALUE!</v>
      </c>
      <c r="AI694" s="31" t="e">
        <f t="shared" si="992"/>
        <v>#VALUE!</v>
      </c>
      <c r="AJ694" s="31" t="e">
        <f t="shared" si="993"/>
        <v>#VALUE!</v>
      </c>
      <c r="AK694" s="31" t="e">
        <f t="shared" si="994"/>
        <v>#VALUE!</v>
      </c>
      <c r="AL694" s="31" t="e">
        <f t="shared" si="995"/>
        <v>#VALUE!</v>
      </c>
      <c r="AM694" s="31" t="e">
        <f t="shared" si="996"/>
        <v>#VALUE!</v>
      </c>
      <c r="AN694" s="32" t="str">
        <f t="shared" si="997"/>
        <v/>
      </c>
      <c r="AO694" s="27" t="str">
        <f t="shared" si="998"/>
        <v/>
      </c>
      <c r="AP694" s="27" t="str">
        <f t="shared" si="999"/>
        <v/>
      </c>
      <c r="AQ694" s="27">
        <f t="shared" si="1000"/>
        <v>0</v>
      </c>
      <c r="AR694" s="27">
        <f t="shared" si="1001"/>
        <v>0</v>
      </c>
      <c r="AS694" s="33">
        <f t="shared" si="1002"/>
        <v>0</v>
      </c>
    </row>
    <row r="695" spans="2:45" hidden="1" x14ac:dyDescent="0.25">
      <c r="B695" s="34" t="str">
        <f t="shared" ref="B695:F695" si="1048">IF(B694="","",B694)</f>
        <v/>
      </c>
      <c r="C695" s="26" t="str">
        <f t="shared" si="1048"/>
        <v/>
      </c>
      <c r="D695" s="26" t="str">
        <f t="shared" si="1048"/>
        <v/>
      </c>
      <c r="E695" s="26" t="str">
        <f t="shared" si="1048"/>
        <v/>
      </c>
      <c r="F695" s="26" t="str">
        <f t="shared" si="1048"/>
        <v/>
      </c>
      <c r="G695" s="24"/>
      <c r="H695" s="24"/>
      <c r="I695" s="24"/>
      <c r="J695" s="24"/>
      <c r="K695" s="24"/>
      <c r="L695" s="24"/>
      <c r="M695" s="44" t="str">
        <f t="shared" si="1023"/>
        <v/>
      </c>
      <c r="N695" s="26" t="str">
        <f t="shared" si="973"/>
        <v/>
      </c>
      <c r="O695" s="26" t="str">
        <f t="shared" si="974"/>
        <v/>
      </c>
      <c r="P695" s="26" t="str">
        <f t="shared" si="975"/>
        <v/>
      </c>
      <c r="Q695" s="26">
        <f t="shared" si="976"/>
        <v>0</v>
      </c>
      <c r="R695" s="26">
        <f t="shared" si="977"/>
        <v>0</v>
      </c>
      <c r="S695" s="26">
        <f t="shared" si="978"/>
        <v>0</v>
      </c>
      <c r="T695" s="26" t="str">
        <f t="shared" si="979"/>
        <v/>
      </c>
      <c r="U695" s="26" t="str">
        <f t="shared" si="980"/>
        <v/>
      </c>
      <c r="V695" s="26" t="str">
        <f t="shared" si="981"/>
        <v/>
      </c>
      <c r="W695" s="27" t="str">
        <f t="shared" si="982"/>
        <v/>
      </c>
      <c r="X695" s="27" t="str">
        <f t="shared" si="983"/>
        <v/>
      </c>
      <c r="Y695" s="28" t="str">
        <f t="shared" si="984"/>
        <v/>
      </c>
      <c r="Z695" s="27" t="str">
        <f t="shared" si="985"/>
        <v/>
      </c>
      <c r="AA695" s="27" t="str">
        <f t="shared" si="986"/>
        <v/>
      </c>
      <c r="AB695" s="27" t="str">
        <f t="shared" si="987"/>
        <v/>
      </c>
      <c r="AC695" s="27" t="str">
        <f t="shared" si="988"/>
        <v/>
      </c>
      <c r="AD695" s="29" t="str">
        <f t="shared" si="989"/>
        <v/>
      </c>
      <c r="AE695" s="30" t="str">
        <f t="shared" si="990"/>
        <v/>
      </c>
      <c r="AG695" s="4"/>
      <c r="AH695" s="31" t="e">
        <f t="shared" si="991"/>
        <v>#VALUE!</v>
      </c>
      <c r="AI695" s="31" t="e">
        <f t="shared" si="992"/>
        <v>#VALUE!</v>
      </c>
      <c r="AJ695" s="31" t="e">
        <f t="shared" si="993"/>
        <v>#VALUE!</v>
      </c>
      <c r="AK695" s="31" t="e">
        <f t="shared" si="994"/>
        <v>#VALUE!</v>
      </c>
      <c r="AL695" s="31" t="e">
        <f t="shared" si="995"/>
        <v>#VALUE!</v>
      </c>
      <c r="AM695" s="31" t="e">
        <f t="shared" si="996"/>
        <v>#VALUE!</v>
      </c>
      <c r="AN695" s="32" t="str">
        <f t="shared" si="997"/>
        <v/>
      </c>
      <c r="AO695" s="27" t="str">
        <f t="shared" si="998"/>
        <v/>
      </c>
      <c r="AP695" s="27" t="str">
        <f t="shared" si="999"/>
        <v/>
      </c>
      <c r="AQ695" s="27">
        <f t="shared" si="1000"/>
        <v>0</v>
      </c>
      <c r="AR695" s="27">
        <f t="shared" si="1001"/>
        <v>0</v>
      </c>
      <c r="AS695" s="33">
        <f t="shared" si="1002"/>
        <v>0</v>
      </c>
    </row>
    <row r="696" spans="2:45" hidden="1" x14ac:dyDescent="0.25">
      <c r="B696" s="34" t="str">
        <f t="shared" ref="B696:F696" si="1049">IF(B695="","",B695)</f>
        <v/>
      </c>
      <c r="C696" s="26" t="str">
        <f t="shared" si="1049"/>
        <v/>
      </c>
      <c r="D696" s="26" t="str">
        <f t="shared" si="1049"/>
        <v/>
      </c>
      <c r="E696" s="26" t="str">
        <f t="shared" si="1049"/>
        <v/>
      </c>
      <c r="F696" s="26" t="str">
        <f t="shared" si="1049"/>
        <v/>
      </c>
      <c r="G696" s="24"/>
      <c r="H696" s="24"/>
      <c r="I696" s="24"/>
      <c r="J696" s="24"/>
      <c r="K696" s="24"/>
      <c r="L696" s="24"/>
      <c r="M696" s="44" t="str">
        <f t="shared" si="1023"/>
        <v/>
      </c>
      <c r="N696" s="26" t="str">
        <f t="shared" si="973"/>
        <v/>
      </c>
      <c r="O696" s="26" t="str">
        <f t="shared" si="974"/>
        <v/>
      </c>
      <c r="P696" s="26" t="str">
        <f t="shared" si="975"/>
        <v/>
      </c>
      <c r="Q696" s="26">
        <f t="shared" si="976"/>
        <v>0</v>
      </c>
      <c r="R696" s="26">
        <f t="shared" si="977"/>
        <v>0</v>
      </c>
      <c r="S696" s="26">
        <f t="shared" si="978"/>
        <v>0</v>
      </c>
      <c r="T696" s="26" t="str">
        <f t="shared" si="979"/>
        <v/>
      </c>
      <c r="U696" s="26" t="str">
        <f t="shared" si="980"/>
        <v/>
      </c>
      <c r="V696" s="26" t="str">
        <f t="shared" si="981"/>
        <v/>
      </c>
      <c r="W696" s="27" t="str">
        <f t="shared" si="982"/>
        <v/>
      </c>
      <c r="X696" s="27" t="str">
        <f t="shared" si="983"/>
        <v/>
      </c>
      <c r="Y696" s="28" t="str">
        <f t="shared" si="984"/>
        <v/>
      </c>
      <c r="Z696" s="27" t="str">
        <f t="shared" si="985"/>
        <v/>
      </c>
      <c r="AA696" s="27" t="str">
        <f t="shared" si="986"/>
        <v/>
      </c>
      <c r="AB696" s="27" t="str">
        <f t="shared" si="987"/>
        <v/>
      </c>
      <c r="AC696" s="27" t="str">
        <f t="shared" si="988"/>
        <v/>
      </c>
      <c r="AD696" s="29" t="str">
        <f t="shared" si="989"/>
        <v/>
      </c>
      <c r="AE696" s="30" t="str">
        <f t="shared" si="990"/>
        <v/>
      </c>
      <c r="AG696" s="4"/>
      <c r="AH696" s="31" t="e">
        <f t="shared" si="991"/>
        <v>#VALUE!</v>
      </c>
      <c r="AI696" s="31" t="e">
        <f t="shared" si="992"/>
        <v>#VALUE!</v>
      </c>
      <c r="AJ696" s="31" t="e">
        <f t="shared" si="993"/>
        <v>#VALUE!</v>
      </c>
      <c r="AK696" s="31" t="e">
        <f t="shared" si="994"/>
        <v>#VALUE!</v>
      </c>
      <c r="AL696" s="31" t="e">
        <f t="shared" si="995"/>
        <v>#VALUE!</v>
      </c>
      <c r="AM696" s="31" t="e">
        <f t="shared" si="996"/>
        <v>#VALUE!</v>
      </c>
      <c r="AN696" s="32" t="str">
        <f t="shared" si="997"/>
        <v/>
      </c>
      <c r="AO696" s="27" t="str">
        <f t="shared" si="998"/>
        <v/>
      </c>
      <c r="AP696" s="27" t="str">
        <f t="shared" si="999"/>
        <v/>
      </c>
      <c r="AQ696" s="27">
        <f t="shared" si="1000"/>
        <v>0</v>
      </c>
      <c r="AR696" s="27">
        <f t="shared" si="1001"/>
        <v>0</v>
      </c>
      <c r="AS696" s="33">
        <f t="shared" si="1002"/>
        <v>0</v>
      </c>
    </row>
    <row r="697" spans="2:45" hidden="1" x14ac:dyDescent="0.25">
      <c r="B697" s="34" t="str">
        <f t="shared" ref="B697:F697" si="1050">IF(B696="","",B696)</f>
        <v/>
      </c>
      <c r="C697" s="26" t="str">
        <f t="shared" si="1050"/>
        <v/>
      </c>
      <c r="D697" s="26" t="str">
        <f t="shared" si="1050"/>
        <v/>
      </c>
      <c r="E697" s="26" t="str">
        <f t="shared" si="1050"/>
        <v/>
      </c>
      <c r="F697" s="26" t="str">
        <f t="shared" si="1050"/>
        <v/>
      </c>
      <c r="G697" s="24"/>
      <c r="H697" s="24"/>
      <c r="I697" s="24"/>
      <c r="J697" s="24"/>
      <c r="K697" s="24"/>
      <c r="L697" s="24"/>
      <c r="M697" s="44" t="str">
        <f t="shared" si="1023"/>
        <v/>
      </c>
      <c r="N697" s="26" t="str">
        <f t="shared" si="973"/>
        <v/>
      </c>
      <c r="O697" s="26" t="str">
        <f t="shared" si="974"/>
        <v/>
      </c>
      <c r="P697" s="26" t="str">
        <f t="shared" si="975"/>
        <v/>
      </c>
      <c r="Q697" s="26">
        <f t="shared" si="976"/>
        <v>0</v>
      </c>
      <c r="R697" s="26">
        <f t="shared" si="977"/>
        <v>0</v>
      </c>
      <c r="S697" s="26">
        <f t="shared" si="978"/>
        <v>0</v>
      </c>
      <c r="T697" s="26" t="str">
        <f t="shared" si="979"/>
        <v/>
      </c>
      <c r="U697" s="26" t="str">
        <f t="shared" si="980"/>
        <v/>
      </c>
      <c r="V697" s="26" t="str">
        <f t="shared" si="981"/>
        <v/>
      </c>
      <c r="W697" s="27" t="str">
        <f t="shared" si="982"/>
        <v/>
      </c>
      <c r="X697" s="27" t="str">
        <f t="shared" si="983"/>
        <v/>
      </c>
      <c r="Y697" s="28" t="str">
        <f t="shared" si="984"/>
        <v/>
      </c>
      <c r="Z697" s="27" t="str">
        <f t="shared" si="985"/>
        <v/>
      </c>
      <c r="AA697" s="27" t="str">
        <f t="shared" si="986"/>
        <v/>
      </c>
      <c r="AB697" s="27" t="str">
        <f t="shared" si="987"/>
        <v/>
      </c>
      <c r="AC697" s="27" t="str">
        <f t="shared" si="988"/>
        <v/>
      </c>
      <c r="AD697" s="29" t="str">
        <f t="shared" si="989"/>
        <v/>
      </c>
      <c r="AE697" s="30" t="str">
        <f t="shared" si="990"/>
        <v/>
      </c>
      <c r="AG697" s="4"/>
      <c r="AH697" s="31" t="e">
        <f t="shared" si="991"/>
        <v>#VALUE!</v>
      </c>
      <c r="AI697" s="31" t="e">
        <f t="shared" si="992"/>
        <v>#VALUE!</v>
      </c>
      <c r="AJ697" s="31" t="e">
        <f t="shared" si="993"/>
        <v>#VALUE!</v>
      </c>
      <c r="AK697" s="31" t="e">
        <f t="shared" si="994"/>
        <v>#VALUE!</v>
      </c>
      <c r="AL697" s="31" t="e">
        <f t="shared" si="995"/>
        <v>#VALUE!</v>
      </c>
      <c r="AM697" s="31" t="e">
        <f t="shared" si="996"/>
        <v>#VALUE!</v>
      </c>
      <c r="AN697" s="32" t="str">
        <f t="shared" si="997"/>
        <v/>
      </c>
      <c r="AO697" s="27" t="str">
        <f t="shared" si="998"/>
        <v/>
      </c>
      <c r="AP697" s="27" t="str">
        <f t="shared" si="999"/>
        <v/>
      </c>
      <c r="AQ697" s="27">
        <f t="shared" si="1000"/>
        <v>0</v>
      </c>
      <c r="AR697" s="27">
        <f t="shared" si="1001"/>
        <v>0</v>
      </c>
      <c r="AS697" s="33">
        <f t="shared" si="1002"/>
        <v>0</v>
      </c>
    </row>
    <row r="698" spans="2:45" hidden="1" x14ac:dyDescent="0.25">
      <c r="B698" s="34" t="str">
        <f t="shared" ref="B698:F698" si="1051">IF(B697="","",B697)</f>
        <v/>
      </c>
      <c r="C698" s="26" t="str">
        <f t="shared" si="1051"/>
        <v/>
      </c>
      <c r="D698" s="26" t="str">
        <f t="shared" si="1051"/>
        <v/>
      </c>
      <c r="E698" s="26" t="str">
        <f t="shared" si="1051"/>
        <v/>
      </c>
      <c r="F698" s="26" t="str">
        <f t="shared" si="1051"/>
        <v/>
      </c>
      <c r="G698" s="24"/>
      <c r="H698" s="24"/>
      <c r="I698" s="24"/>
      <c r="J698" s="24"/>
      <c r="K698" s="24"/>
      <c r="L698" s="24"/>
      <c r="M698" s="44" t="str">
        <f t="shared" si="1023"/>
        <v/>
      </c>
      <c r="N698" s="26" t="str">
        <f t="shared" si="973"/>
        <v/>
      </c>
      <c r="O698" s="26" t="str">
        <f t="shared" si="974"/>
        <v/>
      </c>
      <c r="P698" s="26" t="str">
        <f t="shared" si="975"/>
        <v/>
      </c>
      <c r="Q698" s="26">
        <f t="shared" si="976"/>
        <v>0</v>
      </c>
      <c r="R698" s="26">
        <f t="shared" si="977"/>
        <v>0</v>
      </c>
      <c r="S698" s="26">
        <f t="shared" si="978"/>
        <v>0</v>
      </c>
      <c r="T698" s="26" t="str">
        <f t="shared" si="979"/>
        <v/>
      </c>
      <c r="U698" s="26" t="str">
        <f t="shared" si="980"/>
        <v/>
      </c>
      <c r="V698" s="26" t="str">
        <f t="shared" si="981"/>
        <v/>
      </c>
      <c r="W698" s="27" t="str">
        <f t="shared" si="982"/>
        <v/>
      </c>
      <c r="X698" s="27" t="str">
        <f t="shared" si="983"/>
        <v/>
      </c>
      <c r="Y698" s="28" t="str">
        <f t="shared" si="984"/>
        <v/>
      </c>
      <c r="Z698" s="27" t="str">
        <f t="shared" si="985"/>
        <v/>
      </c>
      <c r="AA698" s="27" t="str">
        <f t="shared" si="986"/>
        <v/>
      </c>
      <c r="AB698" s="27" t="str">
        <f t="shared" si="987"/>
        <v/>
      </c>
      <c r="AC698" s="27" t="str">
        <f t="shared" si="988"/>
        <v/>
      </c>
      <c r="AD698" s="29" t="str">
        <f t="shared" si="989"/>
        <v/>
      </c>
      <c r="AE698" s="30" t="str">
        <f t="shared" si="990"/>
        <v/>
      </c>
      <c r="AG698" s="4"/>
      <c r="AH698" s="31" t="e">
        <f t="shared" si="991"/>
        <v>#VALUE!</v>
      </c>
      <c r="AI698" s="31" t="e">
        <f t="shared" si="992"/>
        <v>#VALUE!</v>
      </c>
      <c r="AJ698" s="31" t="e">
        <f t="shared" si="993"/>
        <v>#VALUE!</v>
      </c>
      <c r="AK698" s="31" t="e">
        <f t="shared" si="994"/>
        <v>#VALUE!</v>
      </c>
      <c r="AL698" s="31" t="e">
        <f t="shared" si="995"/>
        <v>#VALUE!</v>
      </c>
      <c r="AM698" s="31" t="e">
        <f t="shared" si="996"/>
        <v>#VALUE!</v>
      </c>
      <c r="AN698" s="32" t="str">
        <f t="shared" si="997"/>
        <v/>
      </c>
      <c r="AO698" s="27" t="str">
        <f t="shared" si="998"/>
        <v/>
      </c>
      <c r="AP698" s="27" t="str">
        <f t="shared" si="999"/>
        <v/>
      </c>
      <c r="AQ698" s="27">
        <f t="shared" si="1000"/>
        <v>0</v>
      </c>
      <c r="AR698" s="27">
        <f t="shared" si="1001"/>
        <v>0</v>
      </c>
      <c r="AS698" s="33">
        <f t="shared" si="1002"/>
        <v>0</v>
      </c>
    </row>
    <row r="699" spans="2:45" hidden="1" x14ac:dyDescent="0.25">
      <c r="B699" s="34" t="str">
        <f t="shared" ref="B699:F699" si="1052">IF(B698="","",B698)</f>
        <v/>
      </c>
      <c r="C699" s="26" t="str">
        <f t="shared" si="1052"/>
        <v/>
      </c>
      <c r="D699" s="26" t="str">
        <f t="shared" si="1052"/>
        <v/>
      </c>
      <c r="E699" s="26" t="str">
        <f t="shared" si="1052"/>
        <v/>
      </c>
      <c r="F699" s="26" t="str">
        <f t="shared" si="1052"/>
        <v/>
      </c>
      <c r="G699" s="24"/>
      <c r="H699" s="24"/>
      <c r="I699" s="24"/>
      <c r="J699" s="24"/>
      <c r="K699" s="24"/>
      <c r="L699" s="24"/>
      <c r="M699" s="44" t="str">
        <f t="shared" si="1023"/>
        <v/>
      </c>
      <c r="N699" s="26" t="str">
        <f t="shared" si="973"/>
        <v/>
      </c>
      <c r="O699" s="26" t="str">
        <f t="shared" si="974"/>
        <v/>
      </c>
      <c r="P699" s="26" t="str">
        <f t="shared" si="975"/>
        <v/>
      </c>
      <c r="Q699" s="26">
        <f t="shared" si="976"/>
        <v>0</v>
      </c>
      <c r="R699" s="26">
        <f t="shared" si="977"/>
        <v>0</v>
      </c>
      <c r="S699" s="26">
        <f t="shared" si="978"/>
        <v>0</v>
      </c>
      <c r="T699" s="26" t="str">
        <f t="shared" si="979"/>
        <v/>
      </c>
      <c r="U699" s="26" t="str">
        <f t="shared" si="980"/>
        <v/>
      </c>
      <c r="V699" s="26" t="str">
        <f t="shared" si="981"/>
        <v/>
      </c>
      <c r="W699" s="27" t="str">
        <f t="shared" si="982"/>
        <v/>
      </c>
      <c r="X699" s="27" t="str">
        <f t="shared" si="983"/>
        <v/>
      </c>
      <c r="Y699" s="28" t="str">
        <f t="shared" si="984"/>
        <v/>
      </c>
      <c r="Z699" s="27" t="str">
        <f t="shared" si="985"/>
        <v/>
      </c>
      <c r="AA699" s="27" t="str">
        <f t="shared" si="986"/>
        <v/>
      </c>
      <c r="AB699" s="27" t="str">
        <f t="shared" si="987"/>
        <v/>
      </c>
      <c r="AC699" s="27" t="str">
        <f t="shared" si="988"/>
        <v/>
      </c>
      <c r="AD699" s="29" t="str">
        <f t="shared" si="989"/>
        <v/>
      </c>
      <c r="AE699" s="30" t="str">
        <f t="shared" si="990"/>
        <v/>
      </c>
      <c r="AG699" s="4"/>
      <c r="AH699" s="31" t="e">
        <f t="shared" si="991"/>
        <v>#VALUE!</v>
      </c>
      <c r="AI699" s="31" t="e">
        <f t="shared" si="992"/>
        <v>#VALUE!</v>
      </c>
      <c r="AJ699" s="31" t="e">
        <f t="shared" si="993"/>
        <v>#VALUE!</v>
      </c>
      <c r="AK699" s="31" t="e">
        <f t="shared" si="994"/>
        <v>#VALUE!</v>
      </c>
      <c r="AL699" s="31" t="e">
        <f t="shared" si="995"/>
        <v>#VALUE!</v>
      </c>
      <c r="AM699" s="31" t="e">
        <f t="shared" si="996"/>
        <v>#VALUE!</v>
      </c>
      <c r="AN699" s="32" t="str">
        <f t="shared" si="997"/>
        <v/>
      </c>
      <c r="AO699" s="27" t="str">
        <f t="shared" si="998"/>
        <v/>
      </c>
      <c r="AP699" s="27" t="str">
        <f t="shared" si="999"/>
        <v/>
      </c>
      <c r="AQ699" s="27">
        <f t="shared" si="1000"/>
        <v>0</v>
      </c>
      <c r="AR699" s="27">
        <f t="shared" si="1001"/>
        <v>0</v>
      </c>
      <c r="AS699" s="33">
        <f t="shared" si="1002"/>
        <v>0</v>
      </c>
    </row>
    <row r="700" spans="2:45" hidden="1" x14ac:dyDescent="0.25">
      <c r="B700" s="34" t="str">
        <f t="shared" ref="B700:F700" si="1053">IF(B699="","",B699)</f>
        <v/>
      </c>
      <c r="C700" s="26" t="str">
        <f t="shared" si="1053"/>
        <v/>
      </c>
      <c r="D700" s="26" t="str">
        <f t="shared" si="1053"/>
        <v/>
      </c>
      <c r="E700" s="26" t="str">
        <f t="shared" si="1053"/>
        <v/>
      </c>
      <c r="F700" s="26" t="str">
        <f t="shared" si="1053"/>
        <v/>
      </c>
      <c r="G700" s="24"/>
      <c r="H700" s="24"/>
      <c r="I700" s="24"/>
      <c r="J700" s="24"/>
      <c r="K700" s="24"/>
      <c r="L700" s="24"/>
      <c r="M700" s="44" t="str">
        <f t="shared" si="1023"/>
        <v/>
      </c>
      <c r="N700" s="26" t="str">
        <f t="shared" si="973"/>
        <v/>
      </c>
      <c r="O700" s="26" t="str">
        <f t="shared" si="974"/>
        <v/>
      </c>
      <c r="P700" s="26" t="str">
        <f t="shared" si="975"/>
        <v/>
      </c>
      <c r="Q700" s="26">
        <f t="shared" si="976"/>
        <v>0</v>
      </c>
      <c r="R700" s="26">
        <f t="shared" si="977"/>
        <v>0</v>
      </c>
      <c r="S700" s="26">
        <f t="shared" si="978"/>
        <v>0</v>
      </c>
      <c r="T700" s="26" t="str">
        <f t="shared" si="979"/>
        <v/>
      </c>
      <c r="U700" s="26" t="str">
        <f t="shared" si="980"/>
        <v/>
      </c>
      <c r="V700" s="26" t="str">
        <f t="shared" si="981"/>
        <v/>
      </c>
      <c r="W700" s="27" t="str">
        <f t="shared" si="982"/>
        <v/>
      </c>
      <c r="X700" s="27" t="str">
        <f t="shared" si="983"/>
        <v/>
      </c>
      <c r="Y700" s="28" t="str">
        <f t="shared" si="984"/>
        <v/>
      </c>
      <c r="Z700" s="27" t="str">
        <f t="shared" si="985"/>
        <v/>
      </c>
      <c r="AA700" s="27" t="str">
        <f t="shared" si="986"/>
        <v/>
      </c>
      <c r="AB700" s="27" t="str">
        <f t="shared" si="987"/>
        <v/>
      </c>
      <c r="AC700" s="27" t="str">
        <f t="shared" si="988"/>
        <v/>
      </c>
      <c r="AD700" s="29" t="str">
        <f t="shared" si="989"/>
        <v/>
      </c>
      <c r="AE700" s="30" t="str">
        <f t="shared" si="990"/>
        <v/>
      </c>
      <c r="AG700" s="4"/>
      <c r="AH700" s="31" t="e">
        <f t="shared" si="991"/>
        <v>#VALUE!</v>
      </c>
      <c r="AI700" s="31" t="e">
        <f t="shared" si="992"/>
        <v>#VALUE!</v>
      </c>
      <c r="AJ700" s="31" t="e">
        <f t="shared" si="993"/>
        <v>#VALUE!</v>
      </c>
      <c r="AK700" s="31" t="e">
        <f t="shared" si="994"/>
        <v>#VALUE!</v>
      </c>
      <c r="AL700" s="31" t="e">
        <f t="shared" si="995"/>
        <v>#VALUE!</v>
      </c>
      <c r="AM700" s="31" t="e">
        <f t="shared" si="996"/>
        <v>#VALUE!</v>
      </c>
      <c r="AN700" s="32" t="str">
        <f t="shared" si="997"/>
        <v/>
      </c>
      <c r="AO700" s="27" t="str">
        <f t="shared" si="998"/>
        <v/>
      </c>
      <c r="AP700" s="27" t="str">
        <f t="shared" si="999"/>
        <v/>
      </c>
      <c r="AQ700" s="27">
        <f t="shared" si="1000"/>
        <v>0</v>
      </c>
      <c r="AR700" s="27">
        <f t="shared" si="1001"/>
        <v>0</v>
      </c>
      <c r="AS700" s="33">
        <f t="shared" si="1002"/>
        <v>0</v>
      </c>
    </row>
    <row r="701" spans="2:45" hidden="1" x14ac:dyDescent="0.25">
      <c r="B701" s="34" t="str">
        <f t="shared" ref="B701:F701" si="1054">IF(B700="","",B700)</f>
        <v/>
      </c>
      <c r="C701" s="26" t="str">
        <f t="shared" si="1054"/>
        <v/>
      </c>
      <c r="D701" s="26" t="str">
        <f t="shared" si="1054"/>
        <v/>
      </c>
      <c r="E701" s="26" t="str">
        <f t="shared" si="1054"/>
        <v/>
      </c>
      <c r="F701" s="26" t="str">
        <f t="shared" si="1054"/>
        <v/>
      </c>
      <c r="G701" s="24"/>
      <c r="H701" s="24"/>
      <c r="I701" s="24"/>
      <c r="J701" s="24"/>
      <c r="K701" s="24"/>
      <c r="L701" s="24"/>
      <c r="M701" s="44" t="str">
        <f t="shared" si="1023"/>
        <v/>
      </c>
      <c r="N701" s="26" t="str">
        <f t="shared" si="973"/>
        <v/>
      </c>
      <c r="O701" s="26" t="str">
        <f t="shared" si="974"/>
        <v/>
      </c>
      <c r="P701" s="26" t="str">
        <f t="shared" si="975"/>
        <v/>
      </c>
      <c r="Q701" s="26">
        <f t="shared" si="976"/>
        <v>0</v>
      </c>
      <c r="R701" s="26">
        <f t="shared" si="977"/>
        <v>0</v>
      </c>
      <c r="S701" s="26">
        <f t="shared" si="978"/>
        <v>0</v>
      </c>
      <c r="T701" s="26" t="str">
        <f t="shared" si="979"/>
        <v/>
      </c>
      <c r="U701" s="26" t="str">
        <f t="shared" si="980"/>
        <v/>
      </c>
      <c r="V701" s="26" t="str">
        <f t="shared" si="981"/>
        <v/>
      </c>
      <c r="W701" s="27" t="str">
        <f t="shared" si="982"/>
        <v/>
      </c>
      <c r="X701" s="27" t="str">
        <f t="shared" si="983"/>
        <v/>
      </c>
      <c r="Y701" s="28" t="str">
        <f t="shared" si="984"/>
        <v/>
      </c>
      <c r="Z701" s="27" t="str">
        <f t="shared" si="985"/>
        <v/>
      </c>
      <c r="AA701" s="27" t="str">
        <f t="shared" si="986"/>
        <v/>
      </c>
      <c r="AB701" s="27" t="str">
        <f t="shared" si="987"/>
        <v/>
      </c>
      <c r="AC701" s="27" t="str">
        <f t="shared" si="988"/>
        <v/>
      </c>
      <c r="AD701" s="29" t="str">
        <f t="shared" si="989"/>
        <v/>
      </c>
      <c r="AE701" s="30" t="str">
        <f t="shared" si="990"/>
        <v/>
      </c>
      <c r="AG701" s="4"/>
      <c r="AH701" s="31" t="e">
        <f t="shared" si="991"/>
        <v>#VALUE!</v>
      </c>
      <c r="AI701" s="31" t="e">
        <f t="shared" si="992"/>
        <v>#VALUE!</v>
      </c>
      <c r="AJ701" s="31" t="e">
        <f t="shared" si="993"/>
        <v>#VALUE!</v>
      </c>
      <c r="AK701" s="31" t="e">
        <f t="shared" si="994"/>
        <v>#VALUE!</v>
      </c>
      <c r="AL701" s="31" t="e">
        <f t="shared" si="995"/>
        <v>#VALUE!</v>
      </c>
      <c r="AM701" s="31" t="e">
        <f t="shared" si="996"/>
        <v>#VALUE!</v>
      </c>
      <c r="AN701" s="32" t="str">
        <f t="shared" si="997"/>
        <v/>
      </c>
      <c r="AO701" s="27" t="str">
        <f t="shared" si="998"/>
        <v/>
      </c>
      <c r="AP701" s="27" t="str">
        <f t="shared" si="999"/>
        <v/>
      </c>
      <c r="AQ701" s="27">
        <f t="shared" si="1000"/>
        <v>0</v>
      </c>
      <c r="AR701" s="27">
        <f t="shared" si="1001"/>
        <v>0</v>
      </c>
      <c r="AS701" s="33">
        <f t="shared" si="1002"/>
        <v>0</v>
      </c>
    </row>
    <row r="702" spans="2:45" hidden="1" x14ac:dyDescent="0.25">
      <c r="B702" s="34" t="str">
        <f t="shared" ref="B702:F702" si="1055">IF(B701="","",B701)</f>
        <v/>
      </c>
      <c r="C702" s="26" t="str">
        <f t="shared" si="1055"/>
        <v/>
      </c>
      <c r="D702" s="26" t="str">
        <f t="shared" si="1055"/>
        <v/>
      </c>
      <c r="E702" s="26" t="str">
        <f t="shared" si="1055"/>
        <v/>
      </c>
      <c r="F702" s="26" t="str">
        <f t="shared" si="1055"/>
        <v/>
      </c>
      <c r="G702" s="24"/>
      <c r="H702" s="24"/>
      <c r="I702" s="24"/>
      <c r="J702" s="24"/>
      <c r="K702" s="24"/>
      <c r="L702" s="24"/>
      <c r="M702" s="44" t="str">
        <f t="shared" ref="M702:M733" si="1056">IF(B702="","",IF(M546="","",M546))</f>
        <v/>
      </c>
      <c r="N702" s="26" t="str">
        <f t="shared" si="973"/>
        <v/>
      </c>
      <c r="O702" s="26" t="str">
        <f t="shared" si="974"/>
        <v/>
      </c>
      <c r="P702" s="26" t="str">
        <f t="shared" si="975"/>
        <v/>
      </c>
      <c r="Q702" s="26">
        <f t="shared" si="976"/>
        <v>0</v>
      </c>
      <c r="R702" s="26">
        <f t="shared" si="977"/>
        <v>0</v>
      </c>
      <c r="S702" s="26">
        <f t="shared" si="978"/>
        <v>0</v>
      </c>
      <c r="T702" s="26" t="str">
        <f t="shared" si="979"/>
        <v/>
      </c>
      <c r="U702" s="26" t="str">
        <f t="shared" si="980"/>
        <v/>
      </c>
      <c r="V702" s="26" t="str">
        <f t="shared" si="981"/>
        <v/>
      </c>
      <c r="W702" s="27" t="str">
        <f t="shared" si="982"/>
        <v/>
      </c>
      <c r="X702" s="27" t="str">
        <f t="shared" si="983"/>
        <v/>
      </c>
      <c r="Y702" s="28" t="str">
        <f t="shared" si="984"/>
        <v/>
      </c>
      <c r="Z702" s="27" t="str">
        <f t="shared" si="985"/>
        <v/>
      </c>
      <c r="AA702" s="27" t="str">
        <f t="shared" si="986"/>
        <v/>
      </c>
      <c r="AB702" s="27" t="str">
        <f t="shared" si="987"/>
        <v/>
      </c>
      <c r="AC702" s="27" t="str">
        <f t="shared" si="988"/>
        <v/>
      </c>
      <c r="AD702" s="29" t="str">
        <f t="shared" si="989"/>
        <v/>
      </c>
      <c r="AE702" s="30" t="str">
        <f t="shared" si="990"/>
        <v/>
      </c>
      <c r="AG702" s="4"/>
      <c r="AH702" s="31" t="e">
        <f t="shared" si="991"/>
        <v>#VALUE!</v>
      </c>
      <c r="AI702" s="31" t="e">
        <f t="shared" si="992"/>
        <v>#VALUE!</v>
      </c>
      <c r="AJ702" s="31" t="e">
        <f t="shared" si="993"/>
        <v>#VALUE!</v>
      </c>
      <c r="AK702" s="31" t="e">
        <f t="shared" si="994"/>
        <v>#VALUE!</v>
      </c>
      <c r="AL702" s="31" t="e">
        <f t="shared" si="995"/>
        <v>#VALUE!</v>
      </c>
      <c r="AM702" s="31" t="e">
        <f t="shared" si="996"/>
        <v>#VALUE!</v>
      </c>
      <c r="AN702" s="32" t="str">
        <f t="shared" si="997"/>
        <v/>
      </c>
      <c r="AO702" s="27" t="str">
        <f t="shared" si="998"/>
        <v/>
      </c>
      <c r="AP702" s="27" t="str">
        <f t="shared" si="999"/>
        <v/>
      </c>
      <c r="AQ702" s="27">
        <f t="shared" si="1000"/>
        <v>0</v>
      </c>
      <c r="AR702" s="27">
        <f t="shared" si="1001"/>
        <v>0</v>
      </c>
      <c r="AS702" s="33">
        <f t="shared" si="1002"/>
        <v>0</v>
      </c>
    </row>
    <row r="703" spans="2:45" hidden="1" x14ac:dyDescent="0.25">
      <c r="B703" s="34" t="str">
        <f t="shared" ref="B703:F703" si="1057">IF(B702="","",B702)</f>
        <v/>
      </c>
      <c r="C703" s="26" t="str">
        <f t="shared" si="1057"/>
        <v/>
      </c>
      <c r="D703" s="26" t="str">
        <f t="shared" si="1057"/>
        <v/>
      </c>
      <c r="E703" s="26" t="str">
        <f t="shared" si="1057"/>
        <v/>
      </c>
      <c r="F703" s="26" t="str">
        <f t="shared" si="1057"/>
        <v/>
      </c>
      <c r="G703" s="24"/>
      <c r="H703" s="24"/>
      <c r="I703" s="24"/>
      <c r="J703" s="24"/>
      <c r="K703" s="24"/>
      <c r="L703" s="24"/>
      <c r="M703" s="44" t="str">
        <f t="shared" si="1056"/>
        <v/>
      </c>
      <c r="N703" s="26" t="str">
        <f t="shared" ref="N703:N766" si="1058">IF($J$7="NO",IF(M703="","",IF($E$7="+X",D703,IF($E$7="-X",-D703,IF($E$7="+Z",F703,IF($E$7="-Z",-F703))))),IF(M703="","",IF($E$7="+X",D703,IF($E$7="-X",-D703,IF($E$7="+Y",E703,IF($E$7="-Y",-E703))))))</f>
        <v/>
      </c>
      <c r="O703" s="26" t="str">
        <f t="shared" ref="O703:O766" si="1059">IF($J$7="NO",IF(M703="","",E703),IF(M703="","",F703))</f>
        <v/>
      </c>
      <c r="P703" s="26" t="str">
        <f t="shared" ref="P703:P766" si="1060">IF($J$7="NO",IF(M703="","",IF($E$7="+X",F703,IF($E$7="-X",-F703,IF($E$7="+Z",-D703,IF($E$7="-Z",D703))))),IF(M703="","",IF($E$7="+X",-E703,IF($E$7="-X",E703,IF($E$7="+Y",D703,IF($E$7="-Y",-D703))))))</f>
        <v/>
      </c>
      <c r="Q703" s="26">
        <f t="shared" ref="Q703:Q766" si="1061">IF($J$7="NO",IF(M703="",0,IF($E$7="+X",G703,IF($E$7="-X",-G703,IF($E$7="+Z",I703,IF($E$7="-Z",-I703))))),IF(M703="",0,IF($E$7="+X",G703,IF($E$7="-X",-G703,IF($E$7="+Y",H703,IF($E$7="-Y",-H703))))))</f>
        <v>0</v>
      </c>
      <c r="R703" s="26">
        <f t="shared" ref="R703:R766" si="1062">IF($J$7="NO",IF(M703="",0,H703),IF(M703="",0,I703))</f>
        <v>0</v>
      </c>
      <c r="S703" s="26">
        <f t="shared" ref="S703:S766" si="1063">IF($J$7="NO",IF(M703="",0,IF($E$7="+X",I703,IF($E$7="-X",-I703,IF($E$7="+Z",-G703,IF($E$7="-Z",G703))))),IF(M703="",0,IF($E$7="+X",-H703,IF($E$7="-X",H703,IF($E$7="+Y",G703,IF($E$7="-Y",-G703))))))</f>
        <v>0</v>
      </c>
      <c r="T703" s="26" t="str">
        <f t="shared" ref="T703:T766" si="1064">IF($J$7="NO",IF(M703="","",IF($E$7="+X",J703,IF($E$7="-X",-J703,IF($E$7="+Z",L703,IF($E$7="-Z",-L703))))),IF(M703="","",IF($E$7="+X",J703,IF($E$7="-X",-J703,IF($E$7="+Y",K703,IF($E$7="-Y",-K703))))))</f>
        <v/>
      </c>
      <c r="U703" s="26" t="str">
        <f t="shared" ref="U703:U766" si="1065">IF($J$7="NO",IF(M703="","",K703),IF(M703="","",L703))</f>
        <v/>
      </c>
      <c r="V703" s="26" t="str">
        <f t="shared" ref="V703:V766" si="1066">IF($J$7="NO",IF(M703="","",IF($E$7="+X",L703,IF($E$7="-X",-L703,IF($E$7="+Z",-J703,IF($E$7="-Z",J703))))),IF(M703="","",IF($E$7="+X",-K703,IF($E$7="-X",K703,IF($E$7="+Y",J703,IF($E$7="-Y",-J703))))))</f>
        <v/>
      </c>
      <c r="W703" s="27" t="str">
        <f t="shared" ref="W703:W766" si="1067">IF(M703="","",SQRT(Q703^2+R703^2+S703^2))</f>
        <v/>
      </c>
      <c r="X703" s="27" t="str">
        <f t="shared" ref="X703:X766" si="1068">IF(M703="","",SQRT(T703^2+U703^2+V703^2))</f>
        <v/>
      </c>
      <c r="Y703" s="28" t="str">
        <f t="shared" ref="Y703:Y766" si="1069">IF(M703="","",IF($C703&lt;=8,$C703,(16+$C703)/3))</f>
        <v/>
      </c>
      <c r="Z703" s="27" t="str">
        <f t="shared" ref="Z703:Z766" si="1070">IF(M703="","",W703*0.224808)</f>
        <v/>
      </c>
      <c r="AA703" s="27" t="str">
        <f t="shared" ref="AA703:AA766" si="1071">IF(M703="","",X703*0.737562)</f>
        <v/>
      </c>
      <c r="AB703" s="27" t="str">
        <f t="shared" ref="AB703:AB766" si="1072">IF(M703="","",3*Z703+AA703)</f>
        <v/>
      </c>
      <c r="AC703" s="27" t="str">
        <f t="shared" ref="AC703:AC766" si="1073">IF(M703="","",IF(M703="","",500*Y703*$O$7))</f>
        <v/>
      </c>
      <c r="AD703" s="29" t="str">
        <f t="shared" ref="AD703:AD766" si="1074">IF(M703="","",IF(M703="","",AB703/AC703)*100)</f>
        <v/>
      </c>
      <c r="AE703" s="30" t="str">
        <f t="shared" ref="AE703:AE766" si="1075">IF(M703="","",IF(AD703&lt;=100, "PASS","FAIL"))</f>
        <v/>
      </c>
      <c r="AG703" s="4"/>
      <c r="AH703" s="31" t="e">
        <f t="shared" ref="AH703:AH766" si="1076">Q703*O703/1000*VLOOKUP(_xlfn.CONCAT($AH$13,IF(Q703&gt;0,"+","-"),IF(O703&gt;0,"+","-")),$AV:$BA,6,0)</f>
        <v>#VALUE!</v>
      </c>
      <c r="AI703" s="31" t="e">
        <f t="shared" ref="AI703:AI766" si="1077">Q703*P703/1000*VLOOKUP(_xlfn.CONCAT($AI$13,IF(Q703&gt;0,"+","-"),IF(P703&gt;0,"+","-")),$AV:$BA,6,0)</f>
        <v>#VALUE!</v>
      </c>
      <c r="AJ703" s="31" t="e">
        <f t="shared" ref="AJ703:AJ766" si="1078">R703*N703/1000*VLOOKUP(_xlfn.CONCAT($AJ$13,IF(R703&gt;0,"+","-"),IF(N703&gt;0,"+","-")),$AV:$BA,6,0)</f>
        <v>#VALUE!</v>
      </c>
      <c r="AK703" s="31" t="e">
        <f t="shared" ref="AK703:AK766" si="1079">R703*P703/1000*VLOOKUP(_xlfn.CONCAT($AK$13,IF(R703&gt;0,"+","-"),IF(P703&gt;0,"+","-")),$AV:$BA,6,0)</f>
        <v>#VALUE!</v>
      </c>
      <c r="AL703" s="31" t="e">
        <f t="shared" ref="AL703:AL766" si="1080">S703*N703/1000*VLOOKUP(_xlfn.CONCAT($AL$13,IF(S703&gt;0,"+","-"),IF(N703&gt;0,"+","-")),$AV:$BA,6,0)</f>
        <v>#VALUE!</v>
      </c>
      <c r="AM703" s="31" t="e">
        <f t="shared" ref="AM703:AM766" si="1081">S703*O703/1000*VLOOKUP(_xlfn.CONCAT($AM$13,IF(S703&gt;0,"+","-"),IF(O703&gt;0,"+","-")),$AV:$BA,6,0)</f>
        <v>#VALUE!</v>
      </c>
      <c r="AN703" s="32" t="str">
        <f t="shared" ref="AN703:AN766" si="1082">IF($M703="","",AK703+AM703)</f>
        <v/>
      </c>
      <c r="AO703" s="27" t="str">
        <f t="shared" ref="AO703:AO766" si="1083">IF($M703="","",AI703+AL703)</f>
        <v/>
      </c>
      <c r="AP703" s="27" t="str">
        <f t="shared" ref="AP703:AP766" si="1084">IF($M703="","",AH703+AJ703)</f>
        <v/>
      </c>
      <c r="AQ703" s="27">
        <f t="shared" ref="AQ703:AQ766" si="1085">IF(M703="",0,AN703+T703)</f>
        <v>0</v>
      </c>
      <c r="AR703" s="27">
        <f t="shared" ref="AR703:AR766" si="1086">IF(M703="",0,AO703+U703)</f>
        <v>0</v>
      </c>
      <c r="AS703" s="33">
        <f t="shared" ref="AS703:AS766" si="1087">IF(M703="",0,AP703+V703)</f>
        <v>0</v>
      </c>
    </row>
    <row r="704" spans="2:45" hidden="1" x14ac:dyDescent="0.25">
      <c r="B704" s="34" t="str">
        <f>IF(B703="","",B703)</f>
        <v/>
      </c>
      <c r="C704" s="26" t="str">
        <f t="shared" ref="C704:F704" si="1088">IF(C703="","",C703)</f>
        <v/>
      </c>
      <c r="D704" s="26" t="str">
        <f t="shared" si="1088"/>
        <v/>
      </c>
      <c r="E704" s="26" t="str">
        <f t="shared" si="1088"/>
        <v/>
      </c>
      <c r="F704" s="26" t="str">
        <f t="shared" si="1088"/>
        <v/>
      </c>
      <c r="G704" s="24"/>
      <c r="H704" s="24"/>
      <c r="I704" s="24"/>
      <c r="J704" s="24"/>
      <c r="K704" s="24"/>
      <c r="L704" s="24"/>
      <c r="M704" s="44" t="str">
        <f t="shared" si="1056"/>
        <v/>
      </c>
      <c r="N704" s="26" t="str">
        <f t="shared" si="1058"/>
        <v/>
      </c>
      <c r="O704" s="26" t="str">
        <f t="shared" si="1059"/>
        <v/>
      </c>
      <c r="P704" s="26" t="str">
        <f t="shared" si="1060"/>
        <v/>
      </c>
      <c r="Q704" s="26">
        <f t="shared" si="1061"/>
        <v>0</v>
      </c>
      <c r="R704" s="26">
        <f t="shared" si="1062"/>
        <v>0</v>
      </c>
      <c r="S704" s="26">
        <f t="shared" si="1063"/>
        <v>0</v>
      </c>
      <c r="T704" s="26" t="str">
        <f t="shared" si="1064"/>
        <v/>
      </c>
      <c r="U704" s="26" t="str">
        <f t="shared" si="1065"/>
        <v/>
      </c>
      <c r="V704" s="26" t="str">
        <f t="shared" si="1066"/>
        <v/>
      </c>
      <c r="W704" s="27" t="str">
        <f t="shared" si="1067"/>
        <v/>
      </c>
      <c r="X704" s="27" t="str">
        <f t="shared" si="1068"/>
        <v/>
      </c>
      <c r="Y704" s="28" t="str">
        <f t="shared" si="1069"/>
        <v/>
      </c>
      <c r="Z704" s="27" t="str">
        <f t="shared" si="1070"/>
        <v/>
      </c>
      <c r="AA704" s="27" t="str">
        <f t="shared" si="1071"/>
        <v/>
      </c>
      <c r="AB704" s="27" t="str">
        <f t="shared" si="1072"/>
        <v/>
      </c>
      <c r="AC704" s="27" t="str">
        <f t="shared" si="1073"/>
        <v/>
      </c>
      <c r="AD704" s="29" t="str">
        <f t="shared" si="1074"/>
        <v/>
      </c>
      <c r="AE704" s="30" t="str">
        <f t="shared" si="1075"/>
        <v/>
      </c>
      <c r="AG704" s="4"/>
      <c r="AH704" s="31" t="e">
        <f t="shared" si="1076"/>
        <v>#VALUE!</v>
      </c>
      <c r="AI704" s="31" t="e">
        <f t="shared" si="1077"/>
        <v>#VALUE!</v>
      </c>
      <c r="AJ704" s="31" t="e">
        <f t="shared" si="1078"/>
        <v>#VALUE!</v>
      </c>
      <c r="AK704" s="31" t="e">
        <f t="shared" si="1079"/>
        <v>#VALUE!</v>
      </c>
      <c r="AL704" s="31" t="e">
        <f t="shared" si="1080"/>
        <v>#VALUE!</v>
      </c>
      <c r="AM704" s="31" t="e">
        <f t="shared" si="1081"/>
        <v>#VALUE!</v>
      </c>
      <c r="AN704" s="32" t="str">
        <f t="shared" si="1082"/>
        <v/>
      </c>
      <c r="AO704" s="27" t="str">
        <f t="shared" si="1083"/>
        <v/>
      </c>
      <c r="AP704" s="27" t="str">
        <f t="shared" si="1084"/>
        <v/>
      </c>
      <c r="AQ704" s="27">
        <f t="shared" si="1085"/>
        <v>0</v>
      </c>
      <c r="AR704" s="27">
        <f t="shared" si="1086"/>
        <v>0</v>
      </c>
      <c r="AS704" s="33">
        <f t="shared" si="1087"/>
        <v>0</v>
      </c>
    </row>
    <row r="705" spans="2:45" hidden="1" x14ac:dyDescent="0.25">
      <c r="B705" s="34" t="str">
        <f t="shared" ref="B705:F705" si="1089">IF(B704="","",B704)</f>
        <v/>
      </c>
      <c r="C705" s="26" t="str">
        <f t="shared" si="1089"/>
        <v/>
      </c>
      <c r="D705" s="26" t="str">
        <f t="shared" si="1089"/>
        <v/>
      </c>
      <c r="E705" s="26" t="str">
        <f t="shared" si="1089"/>
        <v/>
      </c>
      <c r="F705" s="26" t="str">
        <f t="shared" si="1089"/>
        <v/>
      </c>
      <c r="G705" s="24"/>
      <c r="H705" s="24"/>
      <c r="I705" s="24"/>
      <c r="J705" s="24"/>
      <c r="K705" s="24"/>
      <c r="L705" s="24"/>
      <c r="M705" s="44" t="str">
        <f t="shared" si="1056"/>
        <v/>
      </c>
      <c r="N705" s="26" t="str">
        <f t="shared" si="1058"/>
        <v/>
      </c>
      <c r="O705" s="26" t="str">
        <f t="shared" si="1059"/>
        <v/>
      </c>
      <c r="P705" s="26" t="str">
        <f t="shared" si="1060"/>
        <v/>
      </c>
      <c r="Q705" s="26">
        <f t="shared" si="1061"/>
        <v>0</v>
      </c>
      <c r="R705" s="26">
        <f t="shared" si="1062"/>
        <v>0</v>
      </c>
      <c r="S705" s="26">
        <f t="shared" si="1063"/>
        <v>0</v>
      </c>
      <c r="T705" s="26" t="str">
        <f t="shared" si="1064"/>
        <v/>
      </c>
      <c r="U705" s="26" t="str">
        <f t="shared" si="1065"/>
        <v/>
      </c>
      <c r="V705" s="26" t="str">
        <f t="shared" si="1066"/>
        <v/>
      </c>
      <c r="W705" s="27" t="str">
        <f t="shared" si="1067"/>
        <v/>
      </c>
      <c r="X705" s="27" t="str">
        <f t="shared" si="1068"/>
        <v/>
      </c>
      <c r="Y705" s="28" t="str">
        <f t="shared" si="1069"/>
        <v/>
      </c>
      <c r="Z705" s="27" t="str">
        <f t="shared" si="1070"/>
        <v/>
      </c>
      <c r="AA705" s="27" t="str">
        <f t="shared" si="1071"/>
        <v/>
      </c>
      <c r="AB705" s="27" t="str">
        <f t="shared" si="1072"/>
        <v/>
      </c>
      <c r="AC705" s="27" t="str">
        <f t="shared" si="1073"/>
        <v/>
      </c>
      <c r="AD705" s="29" t="str">
        <f t="shared" si="1074"/>
        <v/>
      </c>
      <c r="AE705" s="30" t="str">
        <f t="shared" si="1075"/>
        <v/>
      </c>
      <c r="AG705" s="4"/>
      <c r="AH705" s="31" t="e">
        <f t="shared" si="1076"/>
        <v>#VALUE!</v>
      </c>
      <c r="AI705" s="31" t="e">
        <f t="shared" si="1077"/>
        <v>#VALUE!</v>
      </c>
      <c r="AJ705" s="31" t="e">
        <f t="shared" si="1078"/>
        <v>#VALUE!</v>
      </c>
      <c r="AK705" s="31" t="e">
        <f t="shared" si="1079"/>
        <v>#VALUE!</v>
      </c>
      <c r="AL705" s="31" t="e">
        <f t="shared" si="1080"/>
        <v>#VALUE!</v>
      </c>
      <c r="AM705" s="31" t="e">
        <f t="shared" si="1081"/>
        <v>#VALUE!</v>
      </c>
      <c r="AN705" s="32" t="str">
        <f t="shared" si="1082"/>
        <v/>
      </c>
      <c r="AO705" s="27" t="str">
        <f t="shared" si="1083"/>
        <v/>
      </c>
      <c r="AP705" s="27" t="str">
        <f t="shared" si="1084"/>
        <v/>
      </c>
      <c r="AQ705" s="27">
        <f t="shared" si="1085"/>
        <v>0</v>
      </c>
      <c r="AR705" s="27">
        <f t="shared" si="1086"/>
        <v>0</v>
      </c>
      <c r="AS705" s="33">
        <f t="shared" si="1087"/>
        <v>0</v>
      </c>
    </row>
    <row r="706" spans="2:45" hidden="1" x14ac:dyDescent="0.25">
      <c r="B706" s="34" t="str">
        <f t="shared" ref="B706:F706" si="1090">IF(B705="","",B705)</f>
        <v/>
      </c>
      <c r="C706" s="26" t="str">
        <f t="shared" si="1090"/>
        <v/>
      </c>
      <c r="D706" s="26" t="str">
        <f t="shared" si="1090"/>
        <v/>
      </c>
      <c r="E706" s="26" t="str">
        <f t="shared" si="1090"/>
        <v/>
      </c>
      <c r="F706" s="26" t="str">
        <f t="shared" si="1090"/>
        <v/>
      </c>
      <c r="G706" s="24"/>
      <c r="H706" s="24"/>
      <c r="I706" s="24"/>
      <c r="J706" s="24"/>
      <c r="K706" s="24"/>
      <c r="L706" s="24"/>
      <c r="M706" s="44" t="str">
        <f t="shared" si="1056"/>
        <v/>
      </c>
      <c r="N706" s="26" t="str">
        <f t="shared" si="1058"/>
        <v/>
      </c>
      <c r="O706" s="26" t="str">
        <f t="shared" si="1059"/>
        <v/>
      </c>
      <c r="P706" s="26" t="str">
        <f t="shared" si="1060"/>
        <v/>
      </c>
      <c r="Q706" s="26">
        <f t="shared" si="1061"/>
        <v>0</v>
      </c>
      <c r="R706" s="26">
        <f t="shared" si="1062"/>
        <v>0</v>
      </c>
      <c r="S706" s="26">
        <f t="shared" si="1063"/>
        <v>0</v>
      </c>
      <c r="T706" s="26" t="str">
        <f t="shared" si="1064"/>
        <v/>
      </c>
      <c r="U706" s="26" t="str">
        <f t="shared" si="1065"/>
        <v/>
      </c>
      <c r="V706" s="26" t="str">
        <f t="shared" si="1066"/>
        <v/>
      </c>
      <c r="W706" s="27" t="str">
        <f t="shared" si="1067"/>
        <v/>
      </c>
      <c r="X706" s="27" t="str">
        <f t="shared" si="1068"/>
        <v/>
      </c>
      <c r="Y706" s="28" t="str">
        <f t="shared" si="1069"/>
        <v/>
      </c>
      <c r="Z706" s="27" t="str">
        <f t="shared" si="1070"/>
        <v/>
      </c>
      <c r="AA706" s="27" t="str">
        <f t="shared" si="1071"/>
        <v/>
      </c>
      <c r="AB706" s="27" t="str">
        <f t="shared" si="1072"/>
        <v/>
      </c>
      <c r="AC706" s="27" t="str">
        <f t="shared" si="1073"/>
        <v/>
      </c>
      <c r="AD706" s="29" t="str">
        <f t="shared" si="1074"/>
        <v/>
      </c>
      <c r="AE706" s="30" t="str">
        <f t="shared" si="1075"/>
        <v/>
      </c>
      <c r="AG706" s="4"/>
      <c r="AH706" s="31" t="e">
        <f t="shared" si="1076"/>
        <v>#VALUE!</v>
      </c>
      <c r="AI706" s="31" t="e">
        <f t="shared" si="1077"/>
        <v>#VALUE!</v>
      </c>
      <c r="AJ706" s="31" t="e">
        <f t="shared" si="1078"/>
        <v>#VALUE!</v>
      </c>
      <c r="AK706" s="31" t="e">
        <f t="shared" si="1079"/>
        <v>#VALUE!</v>
      </c>
      <c r="AL706" s="31" t="e">
        <f t="shared" si="1080"/>
        <v>#VALUE!</v>
      </c>
      <c r="AM706" s="31" t="e">
        <f t="shared" si="1081"/>
        <v>#VALUE!</v>
      </c>
      <c r="AN706" s="32" t="str">
        <f t="shared" si="1082"/>
        <v/>
      </c>
      <c r="AO706" s="27" t="str">
        <f t="shared" si="1083"/>
        <v/>
      </c>
      <c r="AP706" s="27" t="str">
        <f t="shared" si="1084"/>
        <v/>
      </c>
      <c r="AQ706" s="27">
        <f t="shared" si="1085"/>
        <v>0</v>
      </c>
      <c r="AR706" s="27">
        <f t="shared" si="1086"/>
        <v>0</v>
      </c>
      <c r="AS706" s="33">
        <f t="shared" si="1087"/>
        <v>0</v>
      </c>
    </row>
    <row r="707" spans="2:45" hidden="1" x14ac:dyDescent="0.25">
      <c r="B707" s="34" t="str">
        <f t="shared" ref="B707:F707" si="1091">IF(B706="","",B706)</f>
        <v/>
      </c>
      <c r="C707" s="26" t="str">
        <f t="shared" si="1091"/>
        <v/>
      </c>
      <c r="D707" s="26" t="str">
        <f t="shared" si="1091"/>
        <v/>
      </c>
      <c r="E707" s="26" t="str">
        <f t="shared" si="1091"/>
        <v/>
      </c>
      <c r="F707" s="26" t="str">
        <f t="shared" si="1091"/>
        <v/>
      </c>
      <c r="G707" s="24"/>
      <c r="H707" s="24"/>
      <c r="I707" s="24"/>
      <c r="J707" s="24"/>
      <c r="K707" s="24"/>
      <c r="L707" s="24"/>
      <c r="M707" s="44" t="str">
        <f t="shared" si="1056"/>
        <v/>
      </c>
      <c r="N707" s="26" t="str">
        <f t="shared" si="1058"/>
        <v/>
      </c>
      <c r="O707" s="26" t="str">
        <f t="shared" si="1059"/>
        <v/>
      </c>
      <c r="P707" s="26" t="str">
        <f t="shared" si="1060"/>
        <v/>
      </c>
      <c r="Q707" s="26">
        <f t="shared" si="1061"/>
        <v>0</v>
      </c>
      <c r="R707" s="26">
        <f t="shared" si="1062"/>
        <v>0</v>
      </c>
      <c r="S707" s="26">
        <f t="shared" si="1063"/>
        <v>0</v>
      </c>
      <c r="T707" s="26" t="str">
        <f t="shared" si="1064"/>
        <v/>
      </c>
      <c r="U707" s="26" t="str">
        <f t="shared" si="1065"/>
        <v/>
      </c>
      <c r="V707" s="26" t="str">
        <f t="shared" si="1066"/>
        <v/>
      </c>
      <c r="W707" s="27" t="str">
        <f t="shared" si="1067"/>
        <v/>
      </c>
      <c r="X707" s="27" t="str">
        <f t="shared" si="1068"/>
        <v/>
      </c>
      <c r="Y707" s="28" t="str">
        <f t="shared" si="1069"/>
        <v/>
      </c>
      <c r="Z707" s="27" t="str">
        <f t="shared" si="1070"/>
        <v/>
      </c>
      <c r="AA707" s="27" t="str">
        <f t="shared" si="1071"/>
        <v/>
      </c>
      <c r="AB707" s="27" t="str">
        <f t="shared" si="1072"/>
        <v/>
      </c>
      <c r="AC707" s="27" t="str">
        <f t="shared" si="1073"/>
        <v/>
      </c>
      <c r="AD707" s="29" t="str">
        <f t="shared" si="1074"/>
        <v/>
      </c>
      <c r="AE707" s="30" t="str">
        <f t="shared" si="1075"/>
        <v/>
      </c>
      <c r="AG707" s="4"/>
      <c r="AH707" s="31" t="e">
        <f t="shared" si="1076"/>
        <v>#VALUE!</v>
      </c>
      <c r="AI707" s="31" t="e">
        <f t="shared" si="1077"/>
        <v>#VALUE!</v>
      </c>
      <c r="AJ707" s="31" t="e">
        <f t="shared" si="1078"/>
        <v>#VALUE!</v>
      </c>
      <c r="AK707" s="31" t="e">
        <f t="shared" si="1079"/>
        <v>#VALUE!</v>
      </c>
      <c r="AL707" s="31" t="e">
        <f t="shared" si="1080"/>
        <v>#VALUE!</v>
      </c>
      <c r="AM707" s="31" t="e">
        <f t="shared" si="1081"/>
        <v>#VALUE!</v>
      </c>
      <c r="AN707" s="32" t="str">
        <f t="shared" si="1082"/>
        <v/>
      </c>
      <c r="AO707" s="27" t="str">
        <f t="shared" si="1083"/>
        <v/>
      </c>
      <c r="AP707" s="27" t="str">
        <f t="shared" si="1084"/>
        <v/>
      </c>
      <c r="AQ707" s="27">
        <f t="shared" si="1085"/>
        <v>0</v>
      </c>
      <c r="AR707" s="27">
        <f t="shared" si="1086"/>
        <v>0</v>
      </c>
      <c r="AS707" s="33">
        <f t="shared" si="1087"/>
        <v>0</v>
      </c>
    </row>
    <row r="708" spans="2:45" hidden="1" x14ac:dyDescent="0.25">
      <c r="B708" s="34" t="str">
        <f t="shared" ref="B708:F708" si="1092">IF(B707="","",B707)</f>
        <v/>
      </c>
      <c r="C708" s="26" t="str">
        <f t="shared" si="1092"/>
        <v/>
      </c>
      <c r="D708" s="26" t="str">
        <f t="shared" si="1092"/>
        <v/>
      </c>
      <c r="E708" s="26" t="str">
        <f t="shared" si="1092"/>
        <v/>
      </c>
      <c r="F708" s="26" t="str">
        <f t="shared" si="1092"/>
        <v/>
      </c>
      <c r="G708" s="24"/>
      <c r="H708" s="24"/>
      <c r="I708" s="24"/>
      <c r="J708" s="24"/>
      <c r="K708" s="24"/>
      <c r="L708" s="24"/>
      <c r="M708" s="44" t="str">
        <f t="shared" si="1056"/>
        <v/>
      </c>
      <c r="N708" s="26" t="str">
        <f t="shared" si="1058"/>
        <v/>
      </c>
      <c r="O708" s="26" t="str">
        <f t="shared" si="1059"/>
        <v/>
      </c>
      <c r="P708" s="26" t="str">
        <f t="shared" si="1060"/>
        <v/>
      </c>
      <c r="Q708" s="26">
        <f t="shared" si="1061"/>
        <v>0</v>
      </c>
      <c r="R708" s="26">
        <f t="shared" si="1062"/>
        <v>0</v>
      </c>
      <c r="S708" s="26">
        <f t="shared" si="1063"/>
        <v>0</v>
      </c>
      <c r="T708" s="26" t="str">
        <f t="shared" si="1064"/>
        <v/>
      </c>
      <c r="U708" s="26" t="str">
        <f t="shared" si="1065"/>
        <v/>
      </c>
      <c r="V708" s="26" t="str">
        <f t="shared" si="1066"/>
        <v/>
      </c>
      <c r="W708" s="27" t="str">
        <f t="shared" si="1067"/>
        <v/>
      </c>
      <c r="X708" s="27" t="str">
        <f t="shared" si="1068"/>
        <v/>
      </c>
      <c r="Y708" s="28" t="str">
        <f t="shared" si="1069"/>
        <v/>
      </c>
      <c r="Z708" s="27" t="str">
        <f t="shared" si="1070"/>
        <v/>
      </c>
      <c r="AA708" s="27" t="str">
        <f t="shared" si="1071"/>
        <v/>
      </c>
      <c r="AB708" s="27" t="str">
        <f t="shared" si="1072"/>
        <v/>
      </c>
      <c r="AC708" s="27" t="str">
        <f t="shared" si="1073"/>
        <v/>
      </c>
      <c r="AD708" s="29" t="str">
        <f t="shared" si="1074"/>
        <v/>
      </c>
      <c r="AE708" s="30" t="str">
        <f t="shared" si="1075"/>
        <v/>
      </c>
      <c r="AG708" s="4"/>
      <c r="AH708" s="31" t="e">
        <f t="shared" si="1076"/>
        <v>#VALUE!</v>
      </c>
      <c r="AI708" s="31" t="e">
        <f t="shared" si="1077"/>
        <v>#VALUE!</v>
      </c>
      <c r="AJ708" s="31" t="e">
        <f t="shared" si="1078"/>
        <v>#VALUE!</v>
      </c>
      <c r="AK708" s="31" t="e">
        <f t="shared" si="1079"/>
        <v>#VALUE!</v>
      </c>
      <c r="AL708" s="31" t="e">
        <f t="shared" si="1080"/>
        <v>#VALUE!</v>
      </c>
      <c r="AM708" s="31" t="e">
        <f t="shared" si="1081"/>
        <v>#VALUE!</v>
      </c>
      <c r="AN708" s="32" t="str">
        <f t="shared" si="1082"/>
        <v/>
      </c>
      <c r="AO708" s="27" t="str">
        <f t="shared" si="1083"/>
        <v/>
      </c>
      <c r="AP708" s="27" t="str">
        <f t="shared" si="1084"/>
        <v/>
      </c>
      <c r="AQ708" s="27">
        <f t="shared" si="1085"/>
        <v>0</v>
      </c>
      <c r="AR708" s="27">
        <f t="shared" si="1086"/>
        <v>0</v>
      </c>
      <c r="AS708" s="33">
        <f t="shared" si="1087"/>
        <v>0</v>
      </c>
    </row>
    <row r="709" spans="2:45" hidden="1" x14ac:dyDescent="0.25">
      <c r="B709" s="34" t="str">
        <f t="shared" ref="B709:F709" si="1093">IF(B708="","",B708)</f>
        <v/>
      </c>
      <c r="C709" s="26" t="str">
        <f t="shared" si="1093"/>
        <v/>
      </c>
      <c r="D709" s="26" t="str">
        <f t="shared" si="1093"/>
        <v/>
      </c>
      <c r="E709" s="26" t="str">
        <f t="shared" si="1093"/>
        <v/>
      </c>
      <c r="F709" s="26" t="str">
        <f t="shared" si="1093"/>
        <v/>
      </c>
      <c r="G709" s="24"/>
      <c r="H709" s="24"/>
      <c r="I709" s="24"/>
      <c r="J709" s="24"/>
      <c r="K709" s="24"/>
      <c r="L709" s="24"/>
      <c r="M709" s="44" t="str">
        <f t="shared" si="1056"/>
        <v/>
      </c>
      <c r="N709" s="26" t="str">
        <f t="shared" si="1058"/>
        <v/>
      </c>
      <c r="O709" s="26" t="str">
        <f t="shared" si="1059"/>
        <v/>
      </c>
      <c r="P709" s="26" t="str">
        <f t="shared" si="1060"/>
        <v/>
      </c>
      <c r="Q709" s="26">
        <f t="shared" si="1061"/>
        <v>0</v>
      </c>
      <c r="R709" s="26">
        <f t="shared" si="1062"/>
        <v>0</v>
      </c>
      <c r="S709" s="26">
        <f t="shared" si="1063"/>
        <v>0</v>
      </c>
      <c r="T709" s="26" t="str">
        <f t="shared" si="1064"/>
        <v/>
      </c>
      <c r="U709" s="26" t="str">
        <f t="shared" si="1065"/>
        <v/>
      </c>
      <c r="V709" s="26" t="str">
        <f t="shared" si="1066"/>
        <v/>
      </c>
      <c r="W709" s="27" t="str">
        <f t="shared" si="1067"/>
        <v/>
      </c>
      <c r="X709" s="27" t="str">
        <f t="shared" si="1068"/>
        <v/>
      </c>
      <c r="Y709" s="28" t="str">
        <f t="shared" si="1069"/>
        <v/>
      </c>
      <c r="Z709" s="27" t="str">
        <f t="shared" si="1070"/>
        <v/>
      </c>
      <c r="AA709" s="27" t="str">
        <f t="shared" si="1071"/>
        <v/>
      </c>
      <c r="AB709" s="27" t="str">
        <f t="shared" si="1072"/>
        <v/>
      </c>
      <c r="AC709" s="27" t="str">
        <f t="shared" si="1073"/>
        <v/>
      </c>
      <c r="AD709" s="29" t="str">
        <f t="shared" si="1074"/>
        <v/>
      </c>
      <c r="AE709" s="30" t="str">
        <f t="shared" si="1075"/>
        <v/>
      </c>
      <c r="AG709" s="4"/>
      <c r="AH709" s="31" t="e">
        <f t="shared" si="1076"/>
        <v>#VALUE!</v>
      </c>
      <c r="AI709" s="31" t="e">
        <f t="shared" si="1077"/>
        <v>#VALUE!</v>
      </c>
      <c r="AJ709" s="31" t="e">
        <f t="shared" si="1078"/>
        <v>#VALUE!</v>
      </c>
      <c r="AK709" s="31" t="e">
        <f t="shared" si="1079"/>
        <v>#VALUE!</v>
      </c>
      <c r="AL709" s="31" t="e">
        <f t="shared" si="1080"/>
        <v>#VALUE!</v>
      </c>
      <c r="AM709" s="31" t="e">
        <f t="shared" si="1081"/>
        <v>#VALUE!</v>
      </c>
      <c r="AN709" s="32" t="str">
        <f t="shared" si="1082"/>
        <v/>
      </c>
      <c r="AO709" s="27" t="str">
        <f t="shared" si="1083"/>
        <v/>
      </c>
      <c r="AP709" s="27" t="str">
        <f t="shared" si="1084"/>
        <v/>
      </c>
      <c r="AQ709" s="27">
        <f t="shared" si="1085"/>
        <v>0</v>
      </c>
      <c r="AR709" s="27">
        <f t="shared" si="1086"/>
        <v>0</v>
      </c>
      <c r="AS709" s="33">
        <f t="shared" si="1087"/>
        <v>0</v>
      </c>
    </row>
    <row r="710" spans="2:45" hidden="1" x14ac:dyDescent="0.25">
      <c r="B710" s="34" t="str">
        <f t="shared" ref="B710:F710" si="1094">IF(B709="","",B709)</f>
        <v/>
      </c>
      <c r="C710" s="26" t="str">
        <f t="shared" si="1094"/>
        <v/>
      </c>
      <c r="D710" s="26" t="str">
        <f t="shared" si="1094"/>
        <v/>
      </c>
      <c r="E710" s="26" t="str">
        <f t="shared" si="1094"/>
        <v/>
      </c>
      <c r="F710" s="26" t="str">
        <f t="shared" si="1094"/>
        <v/>
      </c>
      <c r="G710" s="24"/>
      <c r="H710" s="24"/>
      <c r="I710" s="24"/>
      <c r="J710" s="24"/>
      <c r="K710" s="24"/>
      <c r="L710" s="24"/>
      <c r="M710" s="44" t="str">
        <f t="shared" si="1056"/>
        <v/>
      </c>
      <c r="N710" s="26" t="str">
        <f t="shared" si="1058"/>
        <v/>
      </c>
      <c r="O710" s="26" t="str">
        <f t="shared" si="1059"/>
        <v/>
      </c>
      <c r="P710" s="26" t="str">
        <f t="shared" si="1060"/>
        <v/>
      </c>
      <c r="Q710" s="26">
        <f t="shared" si="1061"/>
        <v>0</v>
      </c>
      <c r="R710" s="26">
        <f t="shared" si="1062"/>
        <v>0</v>
      </c>
      <c r="S710" s="26">
        <f t="shared" si="1063"/>
        <v>0</v>
      </c>
      <c r="T710" s="26" t="str">
        <f t="shared" si="1064"/>
        <v/>
      </c>
      <c r="U710" s="26" t="str">
        <f t="shared" si="1065"/>
        <v/>
      </c>
      <c r="V710" s="26" t="str">
        <f t="shared" si="1066"/>
        <v/>
      </c>
      <c r="W710" s="27" t="str">
        <f t="shared" si="1067"/>
        <v/>
      </c>
      <c r="X710" s="27" t="str">
        <f t="shared" si="1068"/>
        <v/>
      </c>
      <c r="Y710" s="28" t="str">
        <f t="shared" si="1069"/>
        <v/>
      </c>
      <c r="Z710" s="27" t="str">
        <f t="shared" si="1070"/>
        <v/>
      </c>
      <c r="AA710" s="27" t="str">
        <f t="shared" si="1071"/>
        <v/>
      </c>
      <c r="AB710" s="27" t="str">
        <f t="shared" si="1072"/>
        <v/>
      </c>
      <c r="AC710" s="27" t="str">
        <f t="shared" si="1073"/>
        <v/>
      </c>
      <c r="AD710" s="29" t="str">
        <f t="shared" si="1074"/>
        <v/>
      </c>
      <c r="AE710" s="30" t="str">
        <f t="shared" si="1075"/>
        <v/>
      </c>
      <c r="AG710" s="4"/>
      <c r="AH710" s="31" t="e">
        <f t="shared" si="1076"/>
        <v>#VALUE!</v>
      </c>
      <c r="AI710" s="31" t="e">
        <f t="shared" si="1077"/>
        <v>#VALUE!</v>
      </c>
      <c r="AJ710" s="31" t="e">
        <f t="shared" si="1078"/>
        <v>#VALUE!</v>
      </c>
      <c r="AK710" s="31" t="e">
        <f t="shared" si="1079"/>
        <v>#VALUE!</v>
      </c>
      <c r="AL710" s="31" t="e">
        <f t="shared" si="1080"/>
        <v>#VALUE!</v>
      </c>
      <c r="AM710" s="31" t="e">
        <f t="shared" si="1081"/>
        <v>#VALUE!</v>
      </c>
      <c r="AN710" s="32" t="str">
        <f t="shared" si="1082"/>
        <v/>
      </c>
      <c r="AO710" s="27" t="str">
        <f t="shared" si="1083"/>
        <v/>
      </c>
      <c r="AP710" s="27" t="str">
        <f t="shared" si="1084"/>
        <v/>
      </c>
      <c r="AQ710" s="27">
        <f t="shared" si="1085"/>
        <v>0</v>
      </c>
      <c r="AR710" s="27">
        <f t="shared" si="1086"/>
        <v>0</v>
      </c>
      <c r="AS710" s="33">
        <f t="shared" si="1087"/>
        <v>0</v>
      </c>
    </row>
    <row r="711" spans="2:45" hidden="1" x14ac:dyDescent="0.25">
      <c r="B711" s="34" t="str">
        <f t="shared" ref="B711:F711" si="1095">IF(B710="","",B710)</f>
        <v/>
      </c>
      <c r="C711" s="26" t="str">
        <f t="shared" si="1095"/>
        <v/>
      </c>
      <c r="D711" s="26" t="str">
        <f t="shared" si="1095"/>
        <v/>
      </c>
      <c r="E711" s="26" t="str">
        <f t="shared" si="1095"/>
        <v/>
      </c>
      <c r="F711" s="26" t="str">
        <f t="shared" si="1095"/>
        <v/>
      </c>
      <c r="G711" s="24"/>
      <c r="H711" s="24"/>
      <c r="I711" s="24"/>
      <c r="J711" s="24"/>
      <c r="K711" s="24"/>
      <c r="L711" s="24"/>
      <c r="M711" s="44" t="str">
        <f t="shared" si="1056"/>
        <v/>
      </c>
      <c r="N711" s="26" t="str">
        <f t="shared" si="1058"/>
        <v/>
      </c>
      <c r="O711" s="26" t="str">
        <f t="shared" si="1059"/>
        <v/>
      </c>
      <c r="P711" s="26" t="str">
        <f t="shared" si="1060"/>
        <v/>
      </c>
      <c r="Q711" s="26">
        <f t="shared" si="1061"/>
        <v>0</v>
      </c>
      <c r="R711" s="26">
        <f t="shared" si="1062"/>
        <v>0</v>
      </c>
      <c r="S711" s="26">
        <f t="shared" si="1063"/>
        <v>0</v>
      </c>
      <c r="T711" s="26" t="str">
        <f t="shared" si="1064"/>
        <v/>
      </c>
      <c r="U711" s="26" t="str">
        <f t="shared" si="1065"/>
        <v/>
      </c>
      <c r="V711" s="26" t="str">
        <f t="shared" si="1066"/>
        <v/>
      </c>
      <c r="W711" s="27" t="str">
        <f t="shared" si="1067"/>
        <v/>
      </c>
      <c r="X711" s="27" t="str">
        <f t="shared" si="1068"/>
        <v/>
      </c>
      <c r="Y711" s="28" t="str">
        <f t="shared" si="1069"/>
        <v/>
      </c>
      <c r="Z711" s="27" t="str">
        <f t="shared" si="1070"/>
        <v/>
      </c>
      <c r="AA711" s="27" t="str">
        <f t="shared" si="1071"/>
        <v/>
      </c>
      <c r="AB711" s="27" t="str">
        <f t="shared" si="1072"/>
        <v/>
      </c>
      <c r="AC711" s="27" t="str">
        <f t="shared" si="1073"/>
        <v/>
      </c>
      <c r="AD711" s="29" t="str">
        <f t="shared" si="1074"/>
        <v/>
      </c>
      <c r="AE711" s="30" t="str">
        <f t="shared" si="1075"/>
        <v/>
      </c>
      <c r="AG711" s="4"/>
      <c r="AH711" s="31" t="e">
        <f t="shared" si="1076"/>
        <v>#VALUE!</v>
      </c>
      <c r="AI711" s="31" t="e">
        <f t="shared" si="1077"/>
        <v>#VALUE!</v>
      </c>
      <c r="AJ711" s="31" t="e">
        <f t="shared" si="1078"/>
        <v>#VALUE!</v>
      </c>
      <c r="AK711" s="31" t="e">
        <f t="shared" si="1079"/>
        <v>#VALUE!</v>
      </c>
      <c r="AL711" s="31" t="e">
        <f t="shared" si="1080"/>
        <v>#VALUE!</v>
      </c>
      <c r="AM711" s="31" t="e">
        <f t="shared" si="1081"/>
        <v>#VALUE!</v>
      </c>
      <c r="AN711" s="32" t="str">
        <f t="shared" si="1082"/>
        <v/>
      </c>
      <c r="AO711" s="27" t="str">
        <f t="shared" si="1083"/>
        <v/>
      </c>
      <c r="AP711" s="27" t="str">
        <f t="shared" si="1084"/>
        <v/>
      </c>
      <c r="AQ711" s="27">
        <f t="shared" si="1085"/>
        <v>0</v>
      </c>
      <c r="AR711" s="27">
        <f t="shared" si="1086"/>
        <v>0</v>
      </c>
      <c r="AS711" s="33">
        <f t="shared" si="1087"/>
        <v>0</v>
      </c>
    </row>
    <row r="712" spans="2:45" hidden="1" x14ac:dyDescent="0.25">
      <c r="B712" s="34" t="str">
        <f t="shared" ref="B712:F712" si="1096">IF(B711="","",B711)</f>
        <v/>
      </c>
      <c r="C712" s="26" t="str">
        <f t="shared" si="1096"/>
        <v/>
      </c>
      <c r="D712" s="26" t="str">
        <f t="shared" si="1096"/>
        <v/>
      </c>
      <c r="E712" s="26" t="str">
        <f t="shared" si="1096"/>
        <v/>
      </c>
      <c r="F712" s="26" t="str">
        <f t="shared" si="1096"/>
        <v/>
      </c>
      <c r="G712" s="24"/>
      <c r="H712" s="24"/>
      <c r="I712" s="24"/>
      <c r="J712" s="24"/>
      <c r="K712" s="24"/>
      <c r="L712" s="24"/>
      <c r="M712" s="44" t="str">
        <f t="shared" si="1056"/>
        <v/>
      </c>
      <c r="N712" s="26" t="str">
        <f t="shared" si="1058"/>
        <v/>
      </c>
      <c r="O712" s="26" t="str">
        <f t="shared" si="1059"/>
        <v/>
      </c>
      <c r="P712" s="26" t="str">
        <f t="shared" si="1060"/>
        <v/>
      </c>
      <c r="Q712" s="26">
        <f t="shared" si="1061"/>
        <v>0</v>
      </c>
      <c r="R712" s="26">
        <f t="shared" si="1062"/>
        <v>0</v>
      </c>
      <c r="S712" s="26">
        <f t="shared" si="1063"/>
        <v>0</v>
      </c>
      <c r="T712" s="26" t="str">
        <f t="shared" si="1064"/>
        <v/>
      </c>
      <c r="U712" s="26" t="str">
        <f t="shared" si="1065"/>
        <v/>
      </c>
      <c r="V712" s="26" t="str">
        <f t="shared" si="1066"/>
        <v/>
      </c>
      <c r="W712" s="27" t="str">
        <f t="shared" si="1067"/>
        <v/>
      </c>
      <c r="X712" s="27" t="str">
        <f t="shared" si="1068"/>
        <v/>
      </c>
      <c r="Y712" s="28" t="str">
        <f t="shared" si="1069"/>
        <v/>
      </c>
      <c r="Z712" s="27" t="str">
        <f t="shared" si="1070"/>
        <v/>
      </c>
      <c r="AA712" s="27" t="str">
        <f t="shared" si="1071"/>
        <v/>
      </c>
      <c r="AB712" s="27" t="str">
        <f t="shared" si="1072"/>
        <v/>
      </c>
      <c r="AC712" s="27" t="str">
        <f t="shared" si="1073"/>
        <v/>
      </c>
      <c r="AD712" s="29" t="str">
        <f t="shared" si="1074"/>
        <v/>
      </c>
      <c r="AE712" s="30" t="str">
        <f t="shared" si="1075"/>
        <v/>
      </c>
      <c r="AG712" s="4"/>
      <c r="AH712" s="31" t="e">
        <f t="shared" si="1076"/>
        <v>#VALUE!</v>
      </c>
      <c r="AI712" s="31" t="e">
        <f t="shared" si="1077"/>
        <v>#VALUE!</v>
      </c>
      <c r="AJ712" s="31" t="e">
        <f t="shared" si="1078"/>
        <v>#VALUE!</v>
      </c>
      <c r="AK712" s="31" t="e">
        <f t="shared" si="1079"/>
        <v>#VALUE!</v>
      </c>
      <c r="AL712" s="31" t="e">
        <f t="shared" si="1080"/>
        <v>#VALUE!</v>
      </c>
      <c r="AM712" s="31" t="e">
        <f t="shared" si="1081"/>
        <v>#VALUE!</v>
      </c>
      <c r="AN712" s="32" t="str">
        <f t="shared" si="1082"/>
        <v/>
      </c>
      <c r="AO712" s="27" t="str">
        <f t="shared" si="1083"/>
        <v/>
      </c>
      <c r="AP712" s="27" t="str">
        <f t="shared" si="1084"/>
        <v/>
      </c>
      <c r="AQ712" s="27">
        <f t="shared" si="1085"/>
        <v>0</v>
      </c>
      <c r="AR712" s="27">
        <f t="shared" si="1086"/>
        <v>0</v>
      </c>
      <c r="AS712" s="33">
        <f t="shared" si="1087"/>
        <v>0</v>
      </c>
    </row>
    <row r="713" spans="2:45" hidden="1" x14ac:dyDescent="0.25">
      <c r="B713" s="34" t="str">
        <f t="shared" ref="B713:F713" si="1097">IF(B712="","",B712)</f>
        <v/>
      </c>
      <c r="C713" s="26" t="str">
        <f t="shared" si="1097"/>
        <v/>
      </c>
      <c r="D713" s="26" t="str">
        <f t="shared" si="1097"/>
        <v/>
      </c>
      <c r="E713" s="26" t="str">
        <f t="shared" si="1097"/>
        <v/>
      </c>
      <c r="F713" s="26" t="str">
        <f t="shared" si="1097"/>
        <v/>
      </c>
      <c r="G713" s="24"/>
      <c r="H713" s="24"/>
      <c r="I713" s="24"/>
      <c r="J713" s="24"/>
      <c r="K713" s="24"/>
      <c r="L713" s="24"/>
      <c r="M713" s="44" t="str">
        <f t="shared" si="1056"/>
        <v/>
      </c>
      <c r="N713" s="26" t="str">
        <f t="shared" si="1058"/>
        <v/>
      </c>
      <c r="O713" s="26" t="str">
        <f t="shared" si="1059"/>
        <v/>
      </c>
      <c r="P713" s="26" t="str">
        <f t="shared" si="1060"/>
        <v/>
      </c>
      <c r="Q713" s="26">
        <f t="shared" si="1061"/>
        <v>0</v>
      </c>
      <c r="R713" s="26">
        <f t="shared" si="1062"/>
        <v>0</v>
      </c>
      <c r="S713" s="26">
        <f t="shared" si="1063"/>
        <v>0</v>
      </c>
      <c r="T713" s="26" t="str">
        <f t="shared" si="1064"/>
        <v/>
      </c>
      <c r="U713" s="26" t="str">
        <f t="shared" si="1065"/>
        <v/>
      </c>
      <c r="V713" s="26" t="str">
        <f t="shared" si="1066"/>
        <v/>
      </c>
      <c r="W713" s="27" t="str">
        <f t="shared" si="1067"/>
        <v/>
      </c>
      <c r="X713" s="27" t="str">
        <f t="shared" si="1068"/>
        <v/>
      </c>
      <c r="Y713" s="28" t="str">
        <f t="shared" si="1069"/>
        <v/>
      </c>
      <c r="Z713" s="27" t="str">
        <f t="shared" si="1070"/>
        <v/>
      </c>
      <c r="AA713" s="27" t="str">
        <f t="shared" si="1071"/>
        <v/>
      </c>
      <c r="AB713" s="27" t="str">
        <f t="shared" si="1072"/>
        <v/>
      </c>
      <c r="AC713" s="27" t="str">
        <f t="shared" si="1073"/>
        <v/>
      </c>
      <c r="AD713" s="29" t="str">
        <f t="shared" si="1074"/>
        <v/>
      </c>
      <c r="AE713" s="30" t="str">
        <f t="shared" si="1075"/>
        <v/>
      </c>
      <c r="AG713" s="4"/>
      <c r="AH713" s="31" t="e">
        <f t="shared" si="1076"/>
        <v>#VALUE!</v>
      </c>
      <c r="AI713" s="31" t="e">
        <f t="shared" si="1077"/>
        <v>#VALUE!</v>
      </c>
      <c r="AJ713" s="31" t="e">
        <f t="shared" si="1078"/>
        <v>#VALUE!</v>
      </c>
      <c r="AK713" s="31" t="e">
        <f t="shared" si="1079"/>
        <v>#VALUE!</v>
      </c>
      <c r="AL713" s="31" t="e">
        <f t="shared" si="1080"/>
        <v>#VALUE!</v>
      </c>
      <c r="AM713" s="31" t="e">
        <f t="shared" si="1081"/>
        <v>#VALUE!</v>
      </c>
      <c r="AN713" s="32" t="str">
        <f t="shared" si="1082"/>
        <v/>
      </c>
      <c r="AO713" s="27" t="str">
        <f t="shared" si="1083"/>
        <v/>
      </c>
      <c r="AP713" s="27" t="str">
        <f t="shared" si="1084"/>
        <v/>
      </c>
      <c r="AQ713" s="27">
        <f t="shared" si="1085"/>
        <v>0</v>
      </c>
      <c r="AR713" s="27">
        <f t="shared" si="1086"/>
        <v>0</v>
      </c>
      <c r="AS713" s="33">
        <f t="shared" si="1087"/>
        <v>0</v>
      </c>
    </row>
    <row r="714" spans="2:45" hidden="1" x14ac:dyDescent="0.25">
      <c r="B714" s="34" t="str">
        <f t="shared" ref="B714:F714" si="1098">IF(B713="","",B713)</f>
        <v/>
      </c>
      <c r="C714" s="26" t="str">
        <f t="shared" si="1098"/>
        <v/>
      </c>
      <c r="D714" s="26" t="str">
        <f t="shared" si="1098"/>
        <v/>
      </c>
      <c r="E714" s="26" t="str">
        <f t="shared" si="1098"/>
        <v/>
      </c>
      <c r="F714" s="26" t="str">
        <f t="shared" si="1098"/>
        <v/>
      </c>
      <c r="G714" s="24"/>
      <c r="H714" s="24"/>
      <c r="I714" s="24"/>
      <c r="J714" s="24"/>
      <c r="K714" s="24"/>
      <c r="L714" s="24"/>
      <c r="M714" s="44" t="str">
        <f t="shared" si="1056"/>
        <v/>
      </c>
      <c r="N714" s="26" t="str">
        <f t="shared" si="1058"/>
        <v/>
      </c>
      <c r="O714" s="26" t="str">
        <f t="shared" si="1059"/>
        <v/>
      </c>
      <c r="P714" s="26" t="str">
        <f t="shared" si="1060"/>
        <v/>
      </c>
      <c r="Q714" s="26">
        <f t="shared" si="1061"/>
        <v>0</v>
      </c>
      <c r="R714" s="26">
        <f t="shared" si="1062"/>
        <v>0</v>
      </c>
      <c r="S714" s="26">
        <f t="shared" si="1063"/>
        <v>0</v>
      </c>
      <c r="T714" s="26" t="str">
        <f t="shared" si="1064"/>
        <v/>
      </c>
      <c r="U714" s="26" t="str">
        <f t="shared" si="1065"/>
        <v/>
      </c>
      <c r="V714" s="26" t="str">
        <f t="shared" si="1066"/>
        <v/>
      </c>
      <c r="W714" s="27" t="str">
        <f t="shared" si="1067"/>
        <v/>
      </c>
      <c r="X714" s="27" t="str">
        <f t="shared" si="1068"/>
        <v/>
      </c>
      <c r="Y714" s="28" t="str">
        <f t="shared" si="1069"/>
        <v/>
      </c>
      <c r="Z714" s="27" t="str">
        <f t="shared" si="1070"/>
        <v/>
      </c>
      <c r="AA714" s="27" t="str">
        <f t="shared" si="1071"/>
        <v/>
      </c>
      <c r="AB714" s="27" t="str">
        <f t="shared" si="1072"/>
        <v/>
      </c>
      <c r="AC714" s="27" t="str">
        <f t="shared" si="1073"/>
        <v/>
      </c>
      <c r="AD714" s="29" t="str">
        <f t="shared" si="1074"/>
        <v/>
      </c>
      <c r="AE714" s="30" t="str">
        <f t="shared" si="1075"/>
        <v/>
      </c>
      <c r="AG714" s="4"/>
      <c r="AH714" s="31" t="e">
        <f t="shared" si="1076"/>
        <v>#VALUE!</v>
      </c>
      <c r="AI714" s="31" t="e">
        <f t="shared" si="1077"/>
        <v>#VALUE!</v>
      </c>
      <c r="AJ714" s="31" t="e">
        <f t="shared" si="1078"/>
        <v>#VALUE!</v>
      </c>
      <c r="AK714" s="31" t="e">
        <f t="shared" si="1079"/>
        <v>#VALUE!</v>
      </c>
      <c r="AL714" s="31" t="e">
        <f t="shared" si="1080"/>
        <v>#VALUE!</v>
      </c>
      <c r="AM714" s="31" t="e">
        <f t="shared" si="1081"/>
        <v>#VALUE!</v>
      </c>
      <c r="AN714" s="32" t="str">
        <f t="shared" si="1082"/>
        <v/>
      </c>
      <c r="AO714" s="27" t="str">
        <f t="shared" si="1083"/>
        <v/>
      </c>
      <c r="AP714" s="27" t="str">
        <f t="shared" si="1084"/>
        <v/>
      </c>
      <c r="AQ714" s="27">
        <f t="shared" si="1085"/>
        <v>0</v>
      </c>
      <c r="AR714" s="27">
        <f t="shared" si="1086"/>
        <v>0</v>
      </c>
      <c r="AS714" s="33">
        <f t="shared" si="1087"/>
        <v>0</v>
      </c>
    </row>
    <row r="715" spans="2:45" hidden="1" x14ac:dyDescent="0.25">
      <c r="B715" s="34" t="str">
        <f t="shared" ref="B715:F715" si="1099">IF(B714="","",B714)</f>
        <v/>
      </c>
      <c r="C715" s="26" t="str">
        <f t="shared" si="1099"/>
        <v/>
      </c>
      <c r="D715" s="26" t="str">
        <f t="shared" si="1099"/>
        <v/>
      </c>
      <c r="E715" s="26" t="str">
        <f t="shared" si="1099"/>
        <v/>
      </c>
      <c r="F715" s="26" t="str">
        <f t="shared" si="1099"/>
        <v/>
      </c>
      <c r="G715" s="24"/>
      <c r="H715" s="24"/>
      <c r="I715" s="24"/>
      <c r="J715" s="24"/>
      <c r="K715" s="24"/>
      <c r="L715" s="24"/>
      <c r="M715" s="44" t="str">
        <f t="shared" si="1056"/>
        <v/>
      </c>
      <c r="N715" s="26" t="str">
        <f t="shared" si="1058"/>
        <v/>
      </c>
      <c r="O715" s="26" t="str">
        <f t="shared" si="1059"/>
        <v/>
      </c>
      <c r="P715" s="26" t="str">
        <f t="shared" si="1060"/>
        <v/>
      </c>
      <c r="Q715" s="26">
        <f t="shared" si="1061"/>
        <v>0</v>
      </c>
      <c r="R715" s="26">
        <f t="shared" si="1062"/>
        <v>0</v>
      </c>
      <c r="S715" s="26">
        <f t="shared" si="1063"/>
        <v>0</v>
      </c>
      <c r="T715" s="26" t="str">
        <f t="shared" si="1064"/>
        <v/>
      </c>
      <c r="U715" s="26" t="str">
        <f t="shared" si="1065"/>
        <v/>
      </c>
      <c r="V715" s="26" t="str">
        <f t="shared" si="1066"/>
        <v/>
      </c>
      <c r="W715" s="27" t="str">
        <f t="shared" si="1067"/>
        <v/>
      </c>
      <c r="X715" s="27" t="str">
        <f t="shared" si="1068"/>
        <v/>
      </c>
      <c r="Y715" s="28" t="str">
        <f t="shared" si="1069"/>
        <v/>
      </c>
      <c r="Z715" s="27" t="str">
        <f t="shared" si="1070"/>
        <v/>
      </c>
      <c r="AA715" s="27" t="str">
        <f t="shared" si="1071"/>
        <v/>
      </c>
      <c r="AB715" s="27" t="str">
        <f t="shared" si="1072"/>
        <v/>
      </c>
      <c r="AC715" s="27" t="str">
        <f t="shared" si="1073"/>
        <v/>
      </c>
      <c r="AD715" s="29" t="str">
        <f t="shared" si="1074"/>
        <v/>
      </c>
      <c r="AE715" s="30" t="str">
        <f t="shared" si="1075"/>
        <v/>
      </c>
      <c r="AG715" s="4"/>
      <c r="AH715" s="31" t="e">
        <f t="shared" si="1076"/>
        <v>#VALUE!</v>
      </c>
      <c r="AI715" s="31" t="e">
        <f t="shared" si="1077"/>
        <v>#VALUE!</v>
      </c>
      <c r="AJ715" s="31" t="e">
        <f t="shared" si="1078"/>
        <v>#VALUE!</v>
      </c>
      <c r="AK715" s="31" t="e">
        <f t="shared" si="1079"/>
        <v>#VALUE!</v>
      </c>
      <c r="AL715" s="31" t="e">
        <f t="shared" si="1080"/>
        <v>#VALUE!</v>
      </c>
      <c r="AM715" s="31" t="e">
        <f t="shared" si="1081"/>
        <v>#VALUE!</v>
      </c>
      <c r="AN715" s="32" t="str">
        <f t="shared" si="1082"/>
        <v/>
      </c>
      <c r="AO715" s="27" t="str">
        <f t="shared" si="1083"/>
        <v/>
      </c>
      <c r="AP715" s="27" t="str">
        <f t="shared" si="1084"/>
        <v/>
      </c>
      <c r="AQ715" s="27">
        <f t="shared" si="1085"/>
        <v>0</v>
      </c>
      <c r="AR715" s="27">
        <f t="shared" si="1086"/>
        <v>0</v>
      </c>
      <c r="AS715" s="33">
        <f t="shared" si="1087"/>
        <v>0</v>
      </c>
    </row>
    <row r="716" spans="2:45" hidden="1" x14ac:dyDescent="0.25">
      <c r="B716" s="34" t="str">
        <f t="shared" ref="B716:F716" si="1100">IF(B715="","",B715)</f>
        <v/>
      </c>
      <c r="C716" s="26" t="str">
        <f t="shared" si="1100"/>
        <v/>
      </c>
      <c r="D716" s="26" t="str">
        <f t="shared" si="1100"/>
        <v/>
      </c>
      <c r="E716" s="26" t="str">
        <f t="shared" si="1100"/>
        <v/>
      </c>
      <c r="F716" s="26" t="str">
        <f t="shared" si="1100"/>
        <v/>
      </c>
      <c r="G716" s="24"/>
      <c r="H716" s="24"/>
      <c r="I716" s="24"/>
      <c r="J716" s="24"/>
      <c r="K716" s="24"/>
      <c r="L716" s="24"/>
      <c r="M716" s="44" t="str">
        <f t="shared" si="1056"/>
        <v/>
      </c>
      <c r="N716" s="26" t="str">
        <f t="shared" si="1058"/>
        <v/>
      </c>
      <c r="O716" s="26" t="str">
        <f t="shared" si="1059"/>
        <v/>
      </c>
      <c r="P716" s="26" t="str">
        <f t="shared" si="1060"/>
        <v/>
      </c>
      <c r="Q716" s="26">
        <f t="shared" si="1061"/>
        <v>0</v>
      </c>
      <c r="R716" s="26">
        <f t="shared" si="1062"/>
        <v>0</v>
      </c>
      <c r="S716" s="26">
        <f t="shared" si="1063"/>
        <v>0</v>
      </c>
      <c r="T716" s="26" t="str">
        <f t="shared" si="1064"/>
        <v/>
      </c>
      <c r="U716" s="26" t="str">
        <f t="shared" si="1065"/>
        <v/>
      </c>
      <c r="V716" s="26" t="str">
        <f t="shared" si="1066"/>
        <v/>
      </c>
      <c r="W716" s="27" t="str">
        <f t="shared" si="1067"/>
        <v/>
      </c>
      <c r="X716" s="27" t="str">
        <f t="shared" si="1068"/>
        <v/>
      </c>
      <c r="Y716" s="28" t="str">
        <f t="shared" si="1069"/>
        <v/>
      </c>
      <c r="Z716" s="27" t="str">
        <f t="shared" si="1070"/>
        <v/>
      </c>
      <c r="AA716" s="27" t="str">
        <f t="shared" si="1071"/>
        <v/>
      </c>
      <c r="AB716" s="27" t="str">
        <f t="shared" si="1072"/>
        <v/>
      </c>
      <c r="AC716" s="27" t="str">
        <f t="shared" si="1073"/>
        <v/>
      </c>
      <c r="AD716" s="29" t="str">
        <f t="shared" si="1074"/>
        <v/>
      </c>
      <c r="AE716" s="30" t="str">
        <f t="shared" si="1075"/>
        <v/>
      </c>
      <c r="AG716" s="4"/>
      <c r="AH716" s="31" t="e">
        <f t="shared" si="1076"/>
        <v>#VALUE!</v>
      </c>
      <c r="AI716" s="31" t="e">
        <f t="shared" si="1077"/>
        <v>#VALUE!</v>
      </c>
      <c r="AJ716" s="31" t="e">
        <f t="shared" si="1078"/>
        <v>#VALUE!</v>
      </c>
      <c r="AK716" s="31" t="e">
        <f t="shared" si="1079"/>
        <v>#VALUE!</v>
      </c>
      <c r="AL716" s="31" t="e">
        <f t="shared" si="1080"/>
        <v>#VALUE!</v>
      </c>
      <c r="AM716" s="31" t="e">
        <f t="shared" si="1081"/>
        <v>#VALUE!</v>
      </c>
      <c r="AN716" s="32" t="str">
        <f t="shared" si="1082"/>
        <v/>
      </c>
      <c r="AO716" s="27" t="str">
        <f t="shared" si="1083"/>
        <v/>
      </c>
      <c r="AP716" s="27" t="str">
        <f t="shared" si="1084"/>
        <v/>
      </c>
      <c r="AQ716" s="27">
        <f t="shared" si="1085"/>
        <v>0</v>
      </c>
      <c r="AR716" s="27">
        <f t="shared" si="1086"/>
        <v>0</v>
      </c>
      <c r="AS716" s="33">
        <f t="shared" si="1087"/>
        <v>0</v>
      </c>
    </row>
    <row r="717" spans="2:45" hidden="1" x14ac:dyDescent="0.25">
      <c r="B717" s="34" t="str">
        <f>IF(B716="","",B716)</f>
        <v/>
      </c>
      <c r="C717" s="26" t="str">
        <f t="shared" ref="C717:F717" si="1101">IF(C716="","",C716)</f>
        <v/>
      </c>
      <c r="D717" s="26" t="str">
        <f t="shared" si="1101"/>
        <v/>
      </c>
      <c r="E717" s="26" t="str">
        <f t="shared" si="1101"/>
        <v/>
      </c>
      <c r="F717" s="26" t="str">
        <f t="shared" si="1101"/>
        <v/>
      </c>
      <c r="G717" s="24"/>
      <c r="H717" s="24"/>
      <c r="I717" s="24"/>
      <c r="J717" s="24"/>
      <c r="K717" s="24"/>
      <c r="L717" s="24"/>
      <c r="M717" s="44" t="str">
        <f t="shared" si="1056"/>
        <v/>
      </c>
      <c r="N717" s="26" t="str">
        <f t="shared" si="1058"/>
        <v/>
      </c>
      <c r="O717" s="26" t="str">
        <f t="shared" si="1059"/>
        <v/>
      </c>
      <c r="P717" s="26" t="str">
        <f t="shared" si="1060"/>
        <v/>
      </c>
      <c r="Q717" s="26">
        <f t="shared" si="1061"/>
        <v>0</v>
      </c>
      <c r="R717" s="26">
        <f t="shared" si="1062"/>
        <v>0</v>
      </c>
      <c r="S717" s="26">
        <f t="shared" si="1063"/>
        <v>0</v>
      </c>
      <c r="T717" s="26" t="str">
        <f t="shared" si="1064"/>
        <v/>
      </c>
      <c r="U717" s="26" t="str">
        <f t="shared" si="1065"/>
        <v/>
      </c>
      <c r="V717" s="26" t="str">
        <f t="shared" si="1066"/>
        <v/>
      </c>
      <c r="W717" s="27" t="str">
        <f t="shared" si="1067"/>
        <v/>
      </c>
      <c r="X717" s="27" t="str">
        <f t="shared" si="1068"/>
        <v/>
      </c>
      <c r="Y717" s="28" t="str">
        <f t="shared" si="1069"/>
        <v/>
      </c>
      <c r="Z717" s="27" t="str">
        <f t="shared" si="1070"/>
        <v/>
      </c>
      <c r="AA717" s="27" t="str">
        <f t="shared" si="1071"/>
        <v/>
      </c>
      <c r="AB717" s="27" t="str">
        <f t="shared" si="1072"/>
        <v/>
      </c>
      <c r="AC717" s="27" t="str">
        <f t="shared" si="1073"/>
        <v/>
      </c>
      <c r="AD717" s="29" t="str">
        <f t="shared" si="1074"/>
        <v/>
      </c>
      <c r="AE717" s="30" t="str">
        <f t="shared" si="1075"/>
        <v/>
      </c>
      <c r="AG717" s="4"/>
      <c r="AH717" s="31" t="e">
        <f t="shared" si="1076"/>
        <v>#VALUE!</v>
      </c>
      <c r="AI717" s="31" t="e">
        <f t="shared" si="1077"/>
        <v>#VALUE!</v>
      </c>
      <c r="AJ717" s="31" t="e">
        <f t="shared" si="1078"/>
        <v>#VALUE!</v>
      </c>
      <c r="AK717" s="31" t="e">
        <f t="shared" si="1079"/>
        <v>#VALUE!</v>
      </c>
      <c r="AL717" s="31" t="e">
        <f t="shared" si="1080"/>
        <v>#VALUE!</v>
      </c>
      <c r="AM717" s="31" t="e">
        <f t="shared" si="1081"/>
        <v>#VALUE!</v>
      </c>
      <c r="AN717" s="32" t="str">
        <f t="shared" si="1082"/>
        <v/>
      </c>
      <c r="AO717" s="27" t="str">
        <f t="shared" si="1083"/>
        <v/>
      </c>
      <c r="AP717" s="27" t="str">
        <f t="shared" si="1084"/>
        <v/>
      </c>
      <c r="AQ717" s="27">
        <f t="shared" si="1085"/>
        <v>0</v>
      </c>
      <c r="AR717" s="27">
        <f t="shared" si="1086"/>
        <v>0</v>
      </c>
      <c r="AS717" s="33">
        <f t="shared" si="1087"/>
        <v>0</v>
      </c>
    </row>
    <row r="718" spans="2:45" hidden="1" x14ac:dyDescent="0.25">
      <c r="B718" s="34" t="str">
        <f t="shared" ref="B718:F718" si="1102">IF(B717="","",B717)</f>
        <v/>
      </c>
      <c r="C718" s="26" t="str">
        <f t="shared" si="1102"/>
        <v/>
      </c>
      <c r="D718" s="26" t="str">
        <f t="shared" si="1102"/>
        <v/>
      </c>
      <c r="E718" s="26" t="str">
        <f t="shared" si="1102"/>
        <v/>
      </c>
      <c r="F718" s="26" t="str">
        <f t="shared" si="1102"/>
        <v/>
      </c>
      <c r="G718" s="24"/>
      <c r="H718" s="24"/>
      <c r="I718" s="24"/>
      <c r="J718" s="24"/>
      <c r="K718" s="24"/>
      <c r="L718" s="24"/>
      <c r="M718" s="44" t="str">
        <f t="shared" si="1056"/>
        <v/>
      </c>
      <c r="N718" s="26" t="str">
        <f t="shared" si="1058"/>
        <v/>
      </c>
      <c r="O718" s="26" t="str">
        <f t="shared" si="1059"/>
        <v/>
      </c>
      <c r="P718" s="26" t="str">
        <f t="shared" si="1060"/>
        <v/>
      </c>
      <c r="Q718" s="26">
        <f t="shared" si="1061"/>
        <v>0</v>
      </c>
      <c r="R718" s="26">
        <f t="shared" si="1062"/>
        <v>0</v>
      </c>
      <c r="S718" s="26">
        <f t="shared" si="1063"/>
        <v>0</v>
      </c>
      <c r="T718" s="26" t="str">
        <f t="shared" si="1064"/>
        <v/>
      </c>
      <c r="U718" s="26" t="str">
        <f t="shared" si="1065"/>
        <v/>
      </c>
      <c r="V718" s="26" t="str">
        <f t="shared" si="1066"/>
        <v/>
      </c>
      <c r="W718" s="27" t="str">
        <f t="shared" si="1067"/>
        <v/>
      </c>
      <c r="X718" s="27" t="str">
        <f t="shared" si="1068"/>
        <v/>
      </c>
      <c r="Y718" s="28" t="str">
        <f t="shared" si="1069"/>
        <v/>
      </c>
      <c r="Z718" s="27" t="str">
        <f t="shared" si="1070"/>
        <v/>
      </c>
      <c r="AA718" s="27" t="str">
        <f t="shared" si="1071"/>
        <v/>
      </c>
      <c r="AB718" s="27" t="str">
        <f t="shared" si="1072"/>
        <v/>
      </c>
      <c r="AC718" s="27" t="str">
        <f t="shared" si="1073"/>
        <v/>
      </c>
      <c r="AD718" s="29" t="str">
        <f t="shared" si="1074"/>
        <v/>
      </c>
      <c r="AE718" s="30" t="str">
        <f t="shared" si="1075"/>
        <v/>
      </c>
      <c r="AG718" s="4"/>
      <c r="AH718" s="31" t="e">
        <f t="shared" si="1076"/>
        <v>#VALUE!</v>
      </c>
      <c r="AI718" s="31" t="e">
        <f t="shared" si="1077"/>
        <v>#VALUE!</v>
      </c>
      <c r="AJ718" s="31" t="e">
        <f t="shared" si="1078"/>
        <v>#VALUE!</v>
      </c>
      <c r="AK718" s="31" t="e">
        <f t="shared" si="1079"/>
        <v>#VALUE!</v>
      </c>
      <c r="AL718" s="31" t="e">
        <f t="shared" si="1080"/>
        <v>#VALUE!</v>
      </c>
      <c r="AM718" s="31" t="e">
        <f t="shared" si="1081"/>
        <v>#VALUE!</v>
      </c>
      <c r="AN718" s="32" t="str">
        <f t="shared" si="1082"/>
        <v/>
      </c>
      <c r="AO718" s="27" t="str">
        <f t="shared" si="1083"/>
        <v/>
      </c>
      <c r="AP718" s="27" t="str">
        <f t="shared" si="1084"/>
        <v/>
      </c>
      <c r="AQ718" s="27">
        <f t="shared" si="1085"/>
        <v>0</v>
      </c>
      <c r="AR718" s="27">
        <f t="shared" si="1086"/>
        <v>0</v>
      </c>
      <c r="AS718" s="33">
        <f t="shared" si="1087"/>
        <v>0</v>
      </c>
    </row>
    <row r="719" spans="2:45" hidden="1" x14ac:dyDescent="0.25">
      <c r="B719" s="34" t="str">
        <f t="shared" ref="B719:F719" si="1103">IF(B718="","",B718)</f>
        <v/>
      </c>
      <c r="C719" s="26" t="str">
        <f t="shared" si="1103"/>
        <v/>
      </c>
      <c r="D719" s="26" t="str">
        <f t="shared" si="1103"/>
        <v/>
      </c>
      <c r="E719" s="26" t="str">
        <f t="shared" si="1103"/>
        <v/>
      </c>
      <c r="F719" s="26" t="str">
        <f t="shared" si="1103"/>
        <v/>
      </c>
      <c r="G719" s="24"/>
      <c r="H719" s="24"/>
      <c r="I719" s="24"/>
      <c r="J719" s="24"/>
      <c r="K719" s="24"/>
      <c r="L719" s="24"/>
      <c r="M719" s="44" t="str">
        <f t="shared" si="1056"/>
        <v/>
      </c>
      <c r="N719" s="26" t="str">
        <f t="shared" si="1058"/>
        <v/>
      </c>
      <c r="O719" s="26" t="str">
        <f t="shared" si="1059"/>
        <v/>
      </c>
      <c r="P719" s="26" t="str">
        <f t="shared" si="1060"/>
        <v/>
      </c>
      <c r="Q719" s="26">
        <f t="shared" si="1061"/>
        <v>0</v>
      </c>
      <c r="R719" s="26">
        <f t="shared" si="1062"/>
        <v>0</v>
      </c>
      <c r="S719" s="26">
        <f t="shared" si="1063"/>
        <v>0</v>
      </c>
      <c r="T719" s="26" t="str">
        <f t="shared" si="1064"/>
        <v/>
      </c>
      <c r="U719" s="26" t="str">
        <f t="shared" si="1065"/>
        <v/>
      </c>
      <c r="V719" s="26" t="str">
        <f t="shared" si="1066"/>
        <v/>
      </c>
      <c r="W719" s="27" t="str">
        <f t="shared" si="1067"/>
        <v/>
      </c>
      <c r="X719" s="27" t="str">
        <f t="shared" si="1068"/>
        <v/>
      </c>
      <c r="Y719" s="28" t="str">
        <f t="shared" si="1069"/>
        <v/>
      </c>
      <c r="Z719" s="27" t="str">
        <f t="shared" si="1070"/>
        <v/>
      </c>
      <c r="AA719" s="27" t="str">
        <f t="shared" si="1071"/>
        <v/>
      </c>
      <c r="AB719" s="27" t="str">
        <f t="shared" si="1072"/>
        <v/>
      </c>
      <c r="AC719" s="27" t="str">
        <f t="shared" si="1073"/>
        <v/>
      </c>
      <c r="AD719" s="29" t="str">
        <f t="shared" si="1074"/>
        <v/>
      </c>
      <c r="AE719" s="30" t="str">
        <f t="shared" si="1075"/>
        <v/>
      </c>
      <c r="AG719" s="4"/>
      <c r="AH719" s="31" t="e">
        <f t="shared" si="1076"/>
        <v>#VALUE!</v>
      </c>
      <c r="AI719" s="31" t="e">
        <f t="shared" si="1077"/>
        <v>#VALUE!</v>
      </c>
      <c r="AJ719" s="31" t="e">
        <f t="shared" si="1078"/>
        <v>#VALUE!</v>
      </c>
      <c r="AK719" s="31" t="e">
        <f t="shared" si="1079"/>
        <v>#VALUE!</v>
      </c>
      <c r="AL719" s="31" t="e">
        <f t="shared" si="1080"/>
        <v>#VALUE!</v>
      </c>
      <c r="AM719" s="31" t="e">
        <f t="shared" si="1081"/>
        <v>#VALUE!</v>
      </c>
      <c r="AN719" s="32" t="str">
        <f t="shared" si="1082"/>
        <v/>
      </c>
      <c r="AO719" s="27" t="str">
        <f t="shared" si="1083"/>
        <v/>
      </c>
      <c r="AP719" s="27" t="str">
        <f t="shared" si="1084"/>
        <v/>
      </c>
      <c r="AQ719" s="27">
        <f t="shared" si="1085"/>
        <v>0</v>
      </c>
      <c r="AR719" s="27">
        <f t="shared" si="1086"/>
        <v>0</v>
      </c>
      <c r="AS719" s="33">
        <f t="shared" si="1087"/>
        <v>0</v>
      </c>
    </row>
    <row r="720" spans="2:45" hidden="1" x14ac:dyDescent="0.25">
      <c r="B720" s="34" t="str">
        <f t="shared" ref="B720:F720" si="1104">IF(B719="","",B719)</f>
        <v/>
      </c>
      <c r="C720" s="26" t="str">
        <f t="shared" si="1104"/>
        <v/>
      </c>
      <c r="D720" s="26" t="str">
        <f t="shared" si="1104"/>
        <v/>
      </c>
      <c r="E720" s="26" t="str">
        <f t="shared" si="1104"/>
        <v/>
      </c>
      <c r="F720" s="26" t="str">
        <f t="shared" si="1104"/>
        <v/>
      </c>
      <c r="G720" s="24"/>
      <c r="H720" s="24"/>
      <c r="I720" s="24"/>
      <c r="J720" s="24"/>
      <c r="K720" s="24"/>
      <c r="L720" s="24"/>
      <c r="M720" s="44" t="str">
        <f t="shared" si="1056"/>
        <v/>
      </c>
      <c r="N720" s="26" t="str">
        <f t="shared" si="1058"/>
        <v/>
      </c>
      <c r="O720" s="26" t="str">
        <f t="shared" si="1059"/>
        <v/>
      </c>
      <c r="P720" s="26" t="str">
        <f t="shared" si="1060"/>
        <v/>
      </c>
      <c r="Q720" s="26">
        <f t="shared" si="1061"/>
        <v>0</v>
      </c>
      <c r="R720" s="26">
        <f t="shared" si="1062"/>
        <v>0</v>
      </c>
      <c r="S720" s="26">
        <f t="shared" si="1063"/>
        <v>0</v>
      </c>
      <c r="T720" s="26" t="str">
        <f t="shared" si="1064"/>
        <v/>
      </c>
      <c r="U720" s="26" t="str">
        <f t="shared" si="1065"/>
        <v/>
      </c>
      <c r="V720" s="26" t="str">
        <f t="shared" si="1066"/>
        <v/>
      </c>
      <c r="W720" s="27" t="str">
        <f t="shared" si="1067"/>
        <v/>
      </c>
      <c r="X720" s="27" t="str">
        <f t="shared" si="1068"/>
        <v/>
      </c>
      <c r="Y720" s="28" t="str">
        <f t="shared" si="1069"/>
        <v/>
      </c>
      <c r="Z720" s="27" t="str">
        <f t="shared" si="1070"/>
        <v/>
      </c>
      <c r="AA720" s="27" t="str">
        <f t="shared" si="1071"/>
        <v/>
      </c>
      <c r="AB720" s="27" t="str">
        <f t="shared" si="1072"/>
        <v/>
      </c>
      <c r="AC720" s="27" t="str">
        <f t="shared" si="1073"/>
        <v/>
      </c>
      <c r="AD720" s="29" t="str">
        <f t="shared" si="1074"/>
        <v/>
      </c>
      <c r="AE720" s="30" t="str">
        <f t="shared" si="1075"/>
        <v/>
      </c>
      <c r="AG720" s="4"/>
      <c r="AH720" s="31" t="e">
        <f t="shared" si="1076"/>
        <v>#VALUE!</v>
      </c>
      <c r="AI720" s="31" t="e">
        <f t="shared" si="1077"/>
        <v>#VALUE!</v>
      </c>
      <c r="AJ720" s="31" t="e">
        <f t="shared" si="1078"/>
        <v>#VALUE!</v>
      </c>
      <c r="AK720" s="31" t="e">
        <f t="shared" si="1079"/>
        <v>#VALUE!</v>
      </c>
      <c r="AL720" s="31" t="e">
        <f t="shared" si="1080"/>
        <v>#VALUE!</v>
      </c>
      <c r="AM720" s="31" t="e">
        <f t="shared" si="1081"/>
        <v>#VALUE!</v>
      </c>
      <c r="AN720" s="32" t="str">
        <f t="shared" si="1082"/>
        <v/>
      </c>
      <c r="AO720" s="27" t="str">
        <f t="shared" si="1083"/>
        <v/>
      </c>
      <c r="AP720" s="27" t="str">
        <f t="shared" si="1084"/>
        <v/>
      </c>
      <c r="AQ720" s="27">
        <f t="shared" si="1085"/>
        <v>0</v>
      </c>
      <c r="AR720" s="27">
        <f t="shared" si="1086"/>
        <v>0</v>
      </c>
      <c r="AS720" s="33">
        <f t="shared" si="1087"/>
        <v>0</v>
      </c>
    </row>
    <row r="721" spans="2:45" hidden="1" x14ac:dyDescent="0.25">
      <c r="B721" s="34" t="str">
        <f t="shared" ref="B721:F721" si="1105">IF(B720="","",B720)</f>
        <v/>
      </c>
      <c r="C721" s="26" t="str">
        <f t="shared" si="1105"/>
        <v/>
      </c>
      <c r="D721" s="26" t="str">
        <f t="shared" si="1105"/>
        <v/>
      </c>
      <c r="E721" s="26" t="str">
        <f t="shared" si="1105"/>
        <v/>
      </c>
      <c r="F721" s="26" t="str">
        <f t="shared" si="1105"/>
        <v/>
      </c>
      <c r="G721" s="24"/>
      <c r="H721" s="24"/>
      <c r="I721" s="24"/>
      <c r="J721" s="24"/>
      <c r="K721" s="24"/>
      <c r="L721" s="24"/>
      <c r="M721" s="44" t="str">
        <f t="shared" si="1056"/>
        <v/>
      </c>
      <c r="N721" s="26" t="str">
        <f t="shared" si="1058"/>
        <v/>
      </c>
      <c r="O721" s="26" t="str">
        <f t="shared" si="1059"/>
        <v/>
      </c>
      <c r="P721" s="26" t="str">
        <f t="shared" si="1060"/>
        <v/>
      </c>
      <c r="Q721" s="26">
        <f t="shared" si="1061"/>
        <v>0</v>
      </c>
      <c r="R721" s="26">
        <f t="shared" si="1062"/>
        <v>0</v>
      </c>
      <c r="S721" s="26">
        <f t="shared" si="1063"/>
        <v>0</v>
      </c>
      <c r="T721" s="26" t="str">
        <f t="shared" si="1064"/>
        <v/>
      </c>
      <c r="U721" s="26" t="str">
        <f t="shared" si="1065"/>
        <v/>
      </c>
      <c r="V721" s="26" t="str">
        <f t="shared" si="1066"/>
        <v/>
      </c>
      <c r="W721" s="27" t="str">
        <f t="shared" si="1067"/>
        <v/>
      </c>
      <c r="X721" s="27" t="str">
        <f t="shared" si="1068"/>
        <v/>
      </c>
      <c r="Y721" s="28" t="str">
        <f t="shared" si="1069"/>
        <v/>
      </c>
      <c r="Z721" s="27" t="str">
        <f t="shared" si="1070"/>
        <v/>
      </c>
      <c r="AA721" s="27" t="str">
        <f t="shared" si="1071"/>
        <v/>
      </c>
      <c r="AB721" s="27" t="str">
        <f t="shared" si="1072"/>
        <v/>
      </c>
      <c r="AC721" s="27" t="str">
        <f t="shared" si="1073"/>
        <v/>
      </c>
      <c r="AD721" s="29" t="str">
        <f t="shared" si="1074"/>
        <v/>
      </c>
      <c r="AE721" s="30" t="str">
        <f t="shared" si="1075"/>
        <v/>
      </c>
      <c r="AG721" s="4"/>
      <c r="AH721" s="31" t="e">
        <f t="shared" si="1076"/>
        <v>#VALUE!</v>
      </c>
      <c r="AI721" s="31" t="e">
        <f t="shared" si="1077"/>
        <v>#VALUE!</v>
      </c>
      <c r="AJ721" s="31" t="e">
        <f t="shared" si="1078"/>
        <v>#VALUE!</v>
      </c>
      <c r="AK721" s="31" t="e">
        <f t="shared" si="1079"/>
        <v>#VALUE!</v>
      </c>
      <c r="AL721" s="31" t="e">
        <f t="shared" si="1080"/>
        <v>#VALUE!</v>
      </c>
      <c r="AM721" s="31" t="e">
        <f t="shared" si="1081"/>
        <v>#VALUE!</v>
      </c>
      <c r="AN721" s="32" t="str">
        <f t="shared" si="1082"/>
        <v/>
      </c>
      <c r="AO721" s="27" t="str">
        <f t="shared" si="1083"/>
        <v/>
      </c>
      <c r="AP721" s="27" t="str">
        <f t="shared" si="1084"/>
        <v/>
      </c>
      <c r="AQ721" s="27">
        <f t="shared" si="1085"/>
        <v>0</v>
      </c>
      <c r="AR721" s="27">
        <f t="shared" si="1086"/>
        <v>0</v>
      </c>
      <c r="AS721" s="33">
        <f t="shared" si="1087"/>
        <v>0</v>
      </c>
    </row>
    <row r="722" spans="2:45" hidden="1" x14ac:dyDescent="0.25">
      <c r="B722" s="34" t="str">
        <f t="shared" ref="B722:F722" si="1106">IF(B721="","",B721)</f>
        <v/>
      </c>
      <c r="C722" s="26" t="str">
        <f t="shared" si="1106"/>
        <v/>
      </c>
      <c r="D722" s="26" t="str">
        <f t="shared" si="1106"/>
        <v/>
      </c>
      <c r="E722" s="26" t="str">
        <f t="shared" si="1106"/>
        <v/>
      </c>
      <c r="F722" s="26" t="str">
        <f t="shared" si="1106"/>
        <v/>
      </c>
      <c r="G722" s="24"/>
      <c r="H722" s="24"/>
      <c r="I722" s="24"/>
      <c r="J722" s="24"/>
      <c r="K722" s="24"/>
      <c r="L722" s="24"/>
      <c r="M722" s="44" t="str">
        <f t="shared" si="1056"/>
        <v/>
      </c>
      <c r="N722" s="26" t="str">
        <f t="shared" si="1058"/>
        <v/>
      </c>
      <c r="O722" s="26" t="str">
        <f t="shared" si="1059"/>
        <v/>
      </c>
      <c r="P722" s="26" t="str">
        <f t="shared" si="1060"/>
        <v/>
      </c>
      <c r="Q722" s="26">
        <f t="shared" si="1061"/>
        <v>0</v>
      </c>
      <c r="R722" s="26">
        <f t="shared" si="1062"/>
        <v>0</v>
      </c>
      <c r="S722" s="26">
        <f t="shared" si="1063"/>
        <v>0</v>
      </c>
      <c r="T722" s="26" t="str">
        <f t="shared" si="1064"/>
        <v/>
      </c>
      <c r="U722" s="26" t="str">
        <f t="shared" si="1065"/>
        <v/>
      </c>
      <c r="V722" s="26" t="str">
        <f t="shared" si="1066"/>
        <v/>
      </c>
      <c r="W722" s="27" t="str">
        <f t="shared" si="1067"/>
        <v/>
      </c>
      <c r="X722" s="27" t="str">
        <f t="shared" si="1068"/>
        <v/>
      </c>
      <c r="Y722" s="28" t="str">
        <f t="shared" si="1069"/>
        <v/>
      </c>
      <c r="Z722" s="27" t="str">
        <f t="shared" si="1070"/>
        <v/>
      </c>
      <c r="AA722" s="27" t="str">
        <f t="shared" si="1071"/>
        <v/>
      </c>
      <c r="AB722" s="27" t="str">
        <f t="shared" si="1072"/>
        <v/>
      </c>
      <c r="AC722" s="27" t="str">
        <f t="shared" si="1073"/>
        <v/>
      </c>
      <c r="AD722" s="29" t="str">
        <f t="shared" si="1074"/>
        <v/>
      </c>
      <c r="AE722" s="30" t="str">
        <f t="shared" si="1075"/>
        <v/>
      </c>
      <c r="AG722" s="4"/>
      <c r="AH722" s="31" t="e">
        <f t="shared" si="1076"/>
        <v>#VALUE!</v>
      </c>
      <c r="AI722" s="31" t="e">
        <f t="shared" si="1077"/>
        <v>#VALUE!</v>
      </c>
      <c r="AJ722" s="31" t="e">
        <f t="shared" si="1078"/>
        <v>#VALUE!</v>
      </c>
      <c r="AK722" s="31" t="e">
        <f t="shared" si="1079"/>
        <v>#VALUE!</v>
      </c>
      <c r="AL722" s="31" t="e">
        <f t="shared" si="1080"/>
        <v>#VALUE!</v>
      </c>
      <c r="AM722" s="31" t="e">
        <f t="shared" si="1081"/>
        <v>#VALUE!</v>
      </c>
      <c r="AN722" s="32" t="str">
        <f t="shared" si="1082"/>
        <v/>
      </c>
      <c r="AO722" s="27" t="str">
        <f t="shared" si="1083"/>
        <v/>
      </c>
      <c r="AP722" s="27" t="str">
        <f t="shared" si="1084"/>
        <v/>
      </c>
      <c r="AQ722" s="27">
        <f t="shared" si="1085"/>
        <v>0</v>
      </c>
      <c r="AR722" s="27">
        <f t="shared" si="1086"/>
        <v>0</v>
      </c>
      <c r="AS722" s="33">
        <f t="shared" si="1087"/>
        <v>0</v>
      </c>
    </row>
    <row r="723" spans="2:45" hidden="1" x14ac:dyDescent="0.25">
      <c r="B723" s="34" t="str">
        <f t="shared" ref="B723:F723" si="1107">IF(B722="","",B722)</f>
        <v/>
      </c>
      <c r="C723" s="26" t="str">
        <f t="shared" si="1107"/>
        <v/>
      </c>
      <c r="D723" s="26" t="str">
        <f t="shared" si="1107"/>
        <v/>
      </c>
      <c r="E723" s="26" t="str">
        <f t="shared" si="1107"/>
        <v/>
      </c>
      <c r="F723" s="26" t="str">
        <f t="shared" si="1107"/>
        <v/>
      </c>
      <c r="G723" s="24"/>
      <c r="H723" s="24"/>
      <c r="I723" s="24"/>
      <c r="J723" s="24"/>
      <c r="K723" s="24"/>
      <c r="L723" s="24"/>
      <c r="M723" s="44" t="str">
        <f t="shared" si="1056"/>
        <v/>
      </c>
      <c r="N723" s="26" t="str">
        <f t="shared" si="1058"/>
        <v/>
      </c>
      <c r="O723" s="26" t="str">
        <f t="shared" si="1059"/>
        <v/>
      </c>
      <c r="P723" s="26" t="str">
        <f t="shared" si="1060"/>
        <v/>
      </c>
      <c r="Q723" s="26">
        <f t="shared" si="1061"/>
        <v>0</v>
      </c>
      <c r="R723" s="26">
        <f t="shared" si="1062"/>
        <v>0</v>
      </c>
      <c r="S723" s="26">
        <f t="shared" si="1063"/>
        <v>0</v>
      </c>
      <c r="T723" s="26" t="str">
        <f t="shared" si="1064"/>
        <v/>
      </c>
      <c r="U723" s="26" t="str">
        <f t="shared" si="1065"/>
        <v/>
      </c>
      <c r="V723" s="26" t="str">
        <f t="shared" si="1066"/>
        <v/>
      </c>
      <c r="W723" s="27" t="str">
        <f t="shared" si="1067"/>
        <v/>
      </c>
      <c r="X723" s="27" t="str">
        <f t="shared" si="1068"/>
        <v/>
      </c>
      <c r="Y723" s="28" t="str">
        <f t="shared" si="1069"/>
        <v/>
      </c>
      <c r="Z723" s="27" t="str">
        <f t="shared" si="1070"/>
        <v/>
      </c>
      <c r="AA723" s="27" t="str">
        <f t="shared" si="1071"/>
        <v/>
      </c>
      <c r="AB723" s="27" t="str">
        <f t="shared" si="1072"/>
        <v/>
      </c>
      <c r="AC723" s="27" t="str">
        <f t="shared" si="1073"/>
        <v/>
      </c>
      <c r="AD723" s="29" t="str">
        <f t="shared" si="1074"/>
        <v/>
      </c>
      <c r="AE723" s="30" t="str">
        <f t="shared" si="1075"/>
        <v/>
      </c>
      <c r="AG723" s="4"/>
      <c r="AH723" s="31" t="e">
        <f t="shared" si="1076"/>
        <v>#VALUE!</v>
      </c>
      <c r="AI723" s="31" t="e">
        <f t="shared" si="1077"/>
        <v>#VALUE!</v>
      </c>
      <c r="AJ723" s="31" t="e">
        <f t="shared" si="1078"/>
        <v>#VALUE!</v>
      </c>
      <c r="AK723" s="31" t="e">
        <f t="shared" si="1079"/>
        <v>#VALUE!</v>
      </c>
      <c r="AL723" s="31" t="e">
        <f t="shared" si="1080"/>
        <v>#VALUE!</v>
      </c>
      <c r="AM723" s="31" t="e">
        <f t="shared" si="1081"/>
        <v>#VALUE!</v>
      </c>
      <c r="AN723" s="32" t="str">
        <f t="shared" si="1082"/>
        <v/>
      </c>
      <c r="AO723" s="27" t="str">
        <f t="shared" si="1083"/>
        <v/>
      </c>
      <c r="AP723" s="27" t="str">
        <f t="shared" si="1084"/>
        <v/>
      </c>
      <c r="AQ723" s="27">
        <f t="shared" si="1085"/>
        <v>0</v>
      </c>
      <c r="AR723" s="27">
        <f t="shared" si="1086"/>
        <v>0</v>
      </c>
      <c r="AS723" s="33">
        <f t="shared" si="1087"/>
        <v>0</v>
      </c>
    </row>
    <row r="724" spans="2:45" hidden="1" x14ac:dyDescent="0.25">
      <c r="B724" s="34" t="str">
        <f t="shared" ref="B724:F724" si="1108">IF(B723="","",B723)</f>
        <v/>
      </c>
      <c r="C724" s="26" t="str">
        <f t="shared" si="1108"/>
        <v/>
      </c>
      <c r="D724" s="26" t="str">
        <f t="shared" si="1108"/>
        <v/>
      </c>
      <c r="E724" s="26" t="str">
        <f t="shared" si="1108"/>
        <v/>
      </c>
      <c r="F724" s="26" t="str">
        <f t="shared" si="1108"/>
        <v/>
      </c>
      <c r="G724" s="24"/>
      <c r="H724" s="24"/>
      <c r="I724" s="24"/>
      <c r="J724" s="24"/>
      <c r="K724" s="24"/>
      <c r="L724" s="24"/>
      <c r="M724" s="44" t="str">
        <f t="shared" si="1056"/>
        <v/>
      </c>
      <c r="N724" s="26" t="str">
        <f t="shared" si="1058"/>
        <v/>
      </c>
      <c r="O724" s="26" t="str">
        <f t="shared" si="1059"/>
        <v/>
      </c>
      <c r="P724" s="26" t="str">
        <f t="shared" si="1060"/>
        <v/>
      </c>
      <c r="Q724" s="26">
        <f t="shared" si="1061"/>
        <v>0</v>
      </c>
      <c r="R724" s="26">
        <f t="shared" si="1062"/>
        <v>0</v>
      </c>
      <c r="S724" s="26">
        <f t="shared" si="1063"/>
        <v>0</v>
      </c>
      <c r="T724" s="26" t="str">
        <f t="shared" si="1064"/>
        <v/>
      </c>
      <c r="U724" s="26" t="str">
        <f t="shared" si="1065"/>
        <v/>
      </c>
      <c r="V724" s="26" t="str">
        <f t="shared" si="1066"/>
        <v/>
      </c>
      <c r="W724" s="27" t="str">
        <f t="shared" si="1067"/>
        <v/>
      </c>
      <c r="X724" s="27" t="str">
        <f t="shared" si="1068"/>
        <v/>
      </c>
      <c r="Y724" s="28" t="str">
        <f t="shared" si="1069"/>
        <v/>
      </c>
      <c r="Z724" s="27" t="str">
        <f t="shared" si="1070"/>
        <v/>
      </c>
      <c r="AA724" s="27" t="str">
        <f t="shared" si="1071"/>
        <v/>
      </c>
      <c r="AB724" s="27" t="str">
        <f t="shared" si="1072"/>
        <v/>
      </c>
      <c r="AC724" s="27" t="str">
        <f t="shared" si="1073"/>
        <v/>
      </c>
      <c r="AD724" s="29" t="str">
        <f t="shared" si="1074"/>
        <v/>
      </c>
      <c r="AE724" s="30" t="str">
        <f t="shared" si="1075"/>
        <v/>
      </c>
      <c r="AG724" s="4"/>
      <c r="AH724" s="31" t="e">
        <f t="shared" si="1076"/>
        <v>#VALUE!</v>
      </c>
      <c r="AI724" s="31" t="e">
        <f t="shared" si="1077"/>
        <v>#VALUE!</v>
      </c>
      <c r="AJ724" s="31" t="e">
        <f t="shared" si="1078"/>
        <v>#VALUE!</v>
      </c>
      <c r="AK724" s="31" t="e">
        <f t="shared" si="1079"/>
        <v>#VALUE!</v>
      </c>
      <c r="AL724" s="31" t="e">
        <f t="shared" si="1080"/>
        <v>#VALUE!</v>
      </c>
      <c r="AM724" s="31" t="e">
        <f t="shared" si="1081"/>
        <v>#VALUE!</v>
      </c>
      <c r="AN724" s="32" t="str">
        <f t="shared" si="1082"/>
        <v/>
      </c>
      <c r="AO724" s="27" t="str">
        <f t="shared" si="1083"/>
        <v/>
      </c>
      <c r="AP724" s="27" t="str">
        <f t="shared" si="1084"/>
        <v/>
      </c>
      <c r="AQ724" s="27">
        <f t="shared" si="1085"/>
        <v>0</v>
      </c>
      <c r="AR724" s="27">
        <f t="shared" si="1086"/>
        <v>0</v>
      </c>
      <c r="AS724" s="33">
        <f t="shared" si="1087"/>
        <v>0</v>
      </c>
    </row>
    <row r="725" spans="2:45" hidden="1" x14ac:dyDescent="0.25">
      <c r="B725" s="34" t="str">
        <f t="shared" ref="B725:F725" si="1109">IF(B724="","",B724)</f>
        <v/>
      </c>
      <c r="C725" s="26" t="str">
        <f t="shared" si="1109"/>
        <v/>
      </c>
      <c r="D725" s="26" t="str">
        <f t="shared" si="1109"/>
        <v/>
      </c>
      <c r="E725" s="26" t="str">
        <f t="shared" si="1109"/>
        <v/>
      </c>
      <c r="F725" s="26" t="str">
        <f t="shared" si="1109"/>
        <v/>
      </c>
      <c r="G725" s="24"/>
      <c r="H725" s="24"/>
      <c r="I725" s="24"/>
      <c r="J725" s="24"/>
      <c r="K725" s="24"/>
      <c r="L725" s="24"/>
      <c r="M725" s="44" t="str">
        <f t="shared" si="1056"/>
        <v/>
      </c>
      <c r="N725" s="26" t="str">
        <f t="shared" si="1058"/>
        <v/>
      </c>
      <c r="O725" s="26" t="str">
        <f t="shared" si="1059"/>
        <v/>
      </c>
      <c r="P725" s="26" t="str">
        <f t="shared" si="1060"/>
        <v/>
      </c>
      <c r="Q725" s="26">
        <f t="shared" si="1061"/>
        <v>0</v>
      </c>
      <c r="R725" s="26">
        <f t="shared" si="1062"/>
        <v>0</v>
      </c>
      <c r="S725" s="26">
        <f t="shared" si="1063"/>
        <v>0</v>
      </c>
      <c r="T725" s="26" t="str">
        <f t="shared" si="1064"/>
        <v/>
      </c>
      <c r="U725" s="26" t="str">
        <f t="shared" si="1065"/>
        <v/>
      </c>
      <c r="V725" s="26" t="str">
        <f t="shared" si="1066"/>
        <v/>
      </c>
      <c r="W725" s="27" t="str">
        <f t="shared" si="1067"/>
        <v/>
      </c>
      <c r="X725" s="27" t="str">
        <f t="shared" si="1068"/>
        <v/>
      </c>
      <c r="Y725" s="28" t="str">
        <f t="shared" si="1069"/>
        <v/>
      </c>
      <c r="Z725" s="27" t="str">
        <f t="shared" si="1070"/>
        <v/>
      </c>
      <c r="AA725" s="27" t="str">
        <f t="shared" si="1071"/>
        <v/>
      </c>
      <c r="AB725" s="27" t="str">
        <f t="shared" si="1072"/>
        <v/>
      </c>
      <c r="AC725" s="27" t="str">
        <f t="shared" si="1073"/>
        <v/>
      </c>
      <c r="AD725" s="29" t="str">
        <f t="shared" si="1074"/>
        <v/>
      </c>
      <c r="AE725" s="30" t="str">
        <f t="shared" si="1075"/>
        <v/>
      </c>
      <c r="AG725" s="4"/>
      <c r="AH725" s="31" t="e">
        <f t="shared" si="1076"/>
        <v>#VALUE!</v>
      </c>
      <c r="AI725" s="31" t="e">
        <f t="shared" si="1077"/>
        <v>#VALUE!</v>
      </c>
      <c r="AJ725" s="31" t="e">
        <f t="shared" si="1078"/>
        <v>#VALUE!</v>
      </c>
      <c r="AK725" s="31" t="e">
        <f t="shared" si="1079"/>
        <v>#VALUE!</v>
      </c>
      <c r="AL725" s="31" t="e">
        <f t="shared" si="1080"/>
        <v>#VALUE!</v>
      </c>
      <c r="AM725" s="31" t="e">
        <f t="shared" si="1081"/>
        <v>#VALUE!</v>
      </c>
      <c r="AN725" s="32" t="str">
        <f t="shared" si="1082"/>
        <v/>
      </c>
      <c r="AO725" s="27" t="str">
        <f t="shared" si="1083"/>
        <v/>
      </c>
      <c r="AP725" s="27" t="str">
        <f t="shared" si="1084"/>
        <v/>
      </c>
      <c r="AQ725" s="27">
        <f t="shared" si="1085"/>
        <v>0</v>
      </c>
      <c r="AR725" s="27">
        <f t="shared" si="1086"/>
        <v>0</v>
      </c>
      <c r="AS725" s="33">
        <f t="shared" si="1087"/>
        <v>0</v>
      </c>
    </row>
    <row r="726" spans="2:45" hidden="1" x14ac:dyDescent="0.25">
      <c r="B726" s="34" t="str">
        <f t="shared" ref="B726:F726" si="1110">IF(B725="","",B725)</f>
        <v/>
      </c>
      <c r="C726" s="26" t="str">
        <f t="shared" si="1110"/>
        <v/>
      </c>
      <c r="D726" s="26" t="str">
        <f t="shared" si="1110"/>
        <v/>
      </c>
      <c r="E726" s="26" t="str">
        <f t="shared" si="1110"/>
        <v/>
      </c>
      <c r="F726" s="26" t="str">
        <f t="shared" si="1110"/>
        <v/>
      </c>
      <c r="G726" s="24"/>
      <c r="H726" s="24"/>
      <c r="I726" s="24"/>
      <c r="J726" s="24"/>
      <c r="K726" s="24"/>
      <c r="L726" s="24"/>
      <c r="M726" s="44" t="str">
        <f t="shared" si="1056"/>
        <v/>
      </c>
      <c r="N726" s="26" t="str">
        <f t="shared" si="1058"/>
        <v/>
      </c>
      <c r="O726" s="26" t="str">
        <f t="shared" si="1059"/>
        <v/>
      </c>
      <c r="P726" s="26" t="str">
        <f t="shared" si="1060"/>
        <v/>
      </c>
      <c r="Q726" s="26">
        <f t="shared" si="1061"/>
        <v>0</v>
      </c>
      <c r="R726" s="26">
        <f t="shared" si="1062"/>
        <v>0</v>
      </c>
      <c r="S726" s="26">
        <f t="shared" si="1063"/>
        <v>0</v>
      </c>
      <c r="T726" s="26" t="str">
        <f t="shared" si="1064"/>
        <v/>
      </c>
      <c r="U726" s="26" t="str">
        <f t="shared" si="1065"/>
        <v/>
      </c>
      <c r="V726" s="26" t="str">
        <f t="shared" si="1066"/>
        <v/>
      </c>
      <c r="W726" s="27" t="str">
        <f t="shared" si="1067"/>
        <v/>
      </c>
      <c r="X726" s="27" t="str">
        <f t="shared" si="1068"/>
        <v/>
      </c>
      <c r="Y726" s="28" t="str">
        <f t="shared" si="1069"/>
        <v/>
      </c>
      <c r="Z726" s="27" t="str">
        <f t="shared" si="1070"/>
        <v/>
      </c>
      <c r="AA726" s="27" t="str">
        <f t="shared" si="1071"/>
        <v/>
      </c>
      <c r="AB726" s="27" t="str">
        <f t="shared" si="1072"/>
        <v/>
      </c>
      <c r="AC726" s="27" t="str">
        <f t="shared" si="1073"/>
        <v/>
      </c>
      <c r="AD726" s="29" t="str">
        <f t="shared" si="1074"/>
        <v/>
      </c>
      <c r="AE726" s="30" t="str">
        <f t="shared" si="1075"/>
        <v/>
      </c>
      <c r="AG726" s="4"/>
      <c r="AH726" s="31" t="e">
        <f t="shared" si="1076"/>
        <v>#VALUE!</v>
      </c>
      <c r="AI726" s="31" t="e">
        <f t="shared" si="1077"/>
        <v>#VALUE!</v>
      </c>
      <c r="AJ726" s="31" t="e">
        <f t="shared" si="1078"/>
        <v>#VALUE!</v>
      </c>
      <c r="AK726" s="31" t="e">
        <f t="shared" si="1079"/>
        <v>#VALUE!</v>
      </c>
      <c r="AL726" s="31" t="e">
        <f t="shared" si="1080"/>
        <v>#VALUE!</v>
      </c>
      <c r="AM726" s="31" t="e">
        <f t="shared" si="1081"/>
        <v>#VALUE!</v>
      </c>
      <c r="AN726" s="32" t="str">
        <f t="shared" si="1082"/>
        <v/>
      </c>
      <c r="AO726" s="27" t="str">
        <f t="shared" si="1083"/>
        <v/>
      </c>
      <c r="AP726" s="27" t="str">
        <f t="shared" si="1084"/>
        <v/>
      </c>
      <c r="AQ726" s="27">
        <f t="shared" si="1085"/>
        <v>0</v>
      </c>
      <c r="AR726" s="27">
        <f t="shared" si="1086"/>
        <v>0</v>
      </c>
      <c r="AS726" s="33">
        <f t="shared" si="1087"/>
        <v>0</v>
      </c>
    </row>
    <row r="727" spans="2:45" hidden="1" x14ac:dyDescent="0.25">
      <c r="B727" s="34" t="str">
        <f t="shared" ref="B727:F727" si="1111">IF(B726="","",B726)</f>
        <v/>
      </c>
      <c r="C727" s="26" t="str">
        <f t="shared" si="1111"/>
        <v/>
      </c>
      <c r="D727" s="26" t="str">
        <f t="shared" si="1111"/>
        <v/>
      </c>
      <c r="E727" s="26" t="str">
        <f t="shared" si="1111"/>
        <v/>
      </c>
      <c r="F727" s="26" t="str">
        <f t="shared" si="1111"/>
        <v/>
      </c>
      <c r="G727" s="24"/>
      <c r="H727" s="24"/>
      <c r="I727" s="24"/>
      <c r="J727" s="24"/>
      <c r="K727" s="24"/>
      <c r="L727" s="24"/>
      <c r="M727" s="44" t="str">
        <f t="shared" si="1056"/>
        <v/>
      </c>
      <c r="N727" s="26" t="str">
        <f t="shared" si="1058"/>
        <v/>
      </c>
      <c r="O727" s="26" t="str">
        <f t="shared" si="1059"/>
        <v/>
      </c>
      <c r="P727" s="26" t="str">
        <f t="shared" si="1060"/>
        <v/>
      </c>
      <c r="Q727" s="26">
        <f t="shared" si="1061"/>
        <v>0</v>
      </c>
      <c r="R727" s="26">
        <f t="shared" si="1062"/>
        <v>0</v>
      </c>
      <c r="S727" s="26">
        <f t="shared" si="1063"/>
        <v>0</v>
      </c>
      <c r="T727" s="26" t="str">
        <f t="shared" si="1064"/>
        <v/>
      </c>
      <c r="U727" s="26" t="str">
        <f t="shared" si="1065"/>
        <v/>
      </c>
      <c r="V727" s="26" t="str">
        <f t="shared" si="1066"/>
        <v/>
      </c>
      <c r="W727" s="27" t="str">
        <f t="shared" si="1067"/>
        <v/>
      </c>
      <c r="X727" s="27" t="str">
        <f t="shared" si="1068"/>
        <v/>
      </c>
      <c r="Y727" s="28" t="str">
        <f t="shared" si="1069"/>
        <v/>
      </c>
      <c r="Z727" s="27" t="str">
        <f t="shared" si="1070"/>
        <v/>
      </c>
      <c r="AA727" s="27" t="str">
        <f t="shared" si="1071"/>
        <v/>
      </c>
      <c r="AB727" s="27" t="str">
        <f t="shared" si="1072"/>
        <v/>
      </c>
      <c r="AC727" s="27" t="str">
        <f t="shared" si="1073"/>
        <v/>
      </c>
      <c r="AD727" s="29" t="str">
        <f t="shared" si="1074"/>
        <v/>
      </c>
      <c r="AE727" s="30" t="str">
        <f t="shared" si="1075"/>
        <v/>
      </c>
      <c r="AG727" s="4"/>
      <c r="AH727" s="31" t="e">
        <f t="shared" si="1076"/>
        <v>#VALUE!</v>
      </c>
      <c r="AI727" s="31" t="e">
        <f t="shared" si="1077"/>
        <v>#VALUE!</v>
      </c>
      <c r="AJ727" s="31" t="e">
        <f t="shared" si="1078"/>
        <v>#VALUE!</v>
      </c>
      <c r="AK727" s="31" t="e">
        <f t="shared" si="1079"/>
        <v>#VALUE!</v>
      </c>
      <c r="AL727" s="31" t="e">
        <f t="shared" si="1080"/>
        <v>#VALUE!</v>
      </c>
      <c r="AM727" s="31" t="e">
        <f t="shared" si="1081"/>
        <v>#VALUE!</v>
      </c>
      <c r="AN727" s="32" t="str">
        <f t="shared" si="1082"/>
        <v/>
      </c>
      <c r="AO727" s="27" t="str">
        <f t="shared" si="1083"/>
        <v/>
      </c>
      <c r="AP727" s="27" t="str">
        <f t="shared" si="1084"/>
        <v/>
      </c>
      <c r="AQ727" s="27">
        <f t="shared" si="1085"/>
        <v>0</v>
      </c>
      <c r="AR727" s="27">
        <f t="shared" si="1086"/>
        <v>0</v>
      </c>
      <c r="AS727" s="33">
        <f t="shared" si="1087"/>
        <v>0</v>
      </c>
    </row>
    <row r="728" spans="2:45" hidden="1" x14ac:dyDescent="0.25">
      <c r="B728" s="34" t="str">
        <f t="shared" ref="B728:F728" si="1112">IF(B727="","",B727)</f>
        <v/>
      </c>
      <c r="C728" s="26" t="str">
        <f t="shared" si="1112"/>
        <v/>
      </c>
      <c r="D728" s="26" t="str">
        <f t="shared" si="1112"/>
        <v/>
      </c>
      <c r="E728" s="26" t="str">
        <f t="shared" si="1112"/>
        <v/>
      </c>
      <c r="F728" s="26" t="str">
        <f t="shared" si="1112"/>
        <v/>
      </c>
      <c r="G728" s="24"/>
      <c r="H728" s="24"/>
      <c r="I728" s="24"/>
      <c r="J728" s="24"/>
      <c r="K728" s="24"/>
      <c r="L728" s="24"/>
      <c r="M728" s="44" t="str">
        <f t="shared" si="1056"/>
        <v/>
      </c>
      <c r="N728" s="26" t="str">
        <f t="shared" si="1058"/>
        <v/>
      </c>
      <c r="O728" s="26" t="str">
        <f t="shared" si="1059"/>
        <v/>
      </c>
      <c r="P728" s="26" t="str">
        <f t="shared" si="1060"/>
        <v/>
      </c>
      <c r="Q728" s="26">
        <f t="shared" si="1061"/>
        <v>0</v>
      </c>
      <c r="R728" s="26">
        <f t="shared" si="1062"/>
        <v>0</v>
      </c>
      <c r="S728" s="26">
        <f t="shared" si="1063"/>
        <v>0</v>
      </c>
      <c r="T728" s="26" t="str">
        <f t="shared" si="1064"/>
        <v/>
      </c>
      <c r="U728" s="26" t="str">
        <f t="shared" si="1065"/>
        <v/>
      </c>
      <c r="V728" s="26" t="str">
        <f t="shared" si="1066"/>
        <v/>
      </c>
      <c r="W728" s="27" t="str">
        <f t="shared" si="1067"/>
        <v/>
      </c>
      <c r="X728" s="27" t="str">
        <f t="shared" si="1068"/>
        <v/>
      </c>
      <c r="Y728" s="28" t="str">
        <f t="shared" si="1069"/>
        <v/>
      </c>
      <c r="Z728" s="27" t="str">
        <f t="shared" si="1070"/>
        <v/>
      </c>
      <c r="AA728" s="27" t="str">
        <f t="shared" si="1071"/>
        <v/>
      </c>
      <c r="AB728" s="27" t="str">
        <f t="shared" si="1072"/>
        <v/>
      </c>
      <c r="AC728" s="27" t="str">
        <f t="shared" si="1073"/>
        <v/>
      </c>
      <c r="AD728" s="29" t="str">
        <f t="shared" si="1074"/>
        <v/>
      </c>
      <c r="AE728" s="30" t="str">
        <f t="shared" si="1075"/>
        <v/>
      </c>
      <c r="AG728" s="4"/>
      <c r="AH728" s="31" t="e">
        <f t="shared" si="1076"/>
        <v>#VALUE!</v>
      </c>
      <c r="AI728" s="31" t="e">
        <f t="shared" si="1077"/>
        <v>#VALUE!</v>
      </c>
      <c r="AJ728" s="31" t="e">
        <f t="shared" si="1078"/>
        <v>#VALUE!</v>
      </c>
      <c r="AK728" s="31" t="e">
        <f t="shared" si="1079"/>
        <v>#VALUE!</v>
      </c>
      <c r="AL728" s="31" t="e">
        <f t="shared" si="1080"/>
        <v>#VALUE!</v>
      </c>
      <c r="AM728" s="31" t="e">
        <f t="shared" si="1081"/>
        <v>#VALUE!</v>
      </c>
      <c r="AN728" s="32" t="str">
        <f t="shared" si="1082"/>
        <v/>
      </c>
      <c r="AO728" s="27" t="str">
        <f t="shared" si="1083"/>
        <v/>
      </c>
      <c r="AP728" s="27" t="str">
        <f t="shared" si="1084"/>
        <v/>
      </c>
      <c r="AQ728" s="27">
        <f t="shared" si="1085"/>
        <v>0</v>
      </c>
      <c r="AR728" s="27">
        <f t="shared" si="1086"/>
        <v>0</v>
      </c>
      <c r="AS728" s="33">
        <f t="shared" si="1087"/>
        <v>0</v>
      </c>
    </row>
    <row r="729" spans="2:45" hidden="1" x14ac:dyDescent="0.25">
      <c r="B729" s="34" t="str">
        <f t="shared" ref="B729:F729" si="1113">IF(B728="","",B728)</f>
        <v/>
      </c>
      <c r="C729" s="26" t="str">
        <f t="shared" si="1113"/>
        <v/>
      </c>
      <c r="D729" s="26" t="str">
        <f t="shared" si="1113"/>
        <v/>
      </c>
      <c r="E729" s="26" t="str">
        <f t="shared" si="1113"/>
        <v/>
      </c>
      <c r="F729" s="26" t="str">
        <f t="shared" si="1113"/>
        <v/>
      </c>
      <c r="G729" s="24"/>
      <c r="H729" s="24"/>
      <c r="I729" s="24"/>
      <c r="J729" s="24"/>
      <c r="K729" s="24"/>
      <c r="L729" s="24"/>
      <c r="M729" s="44" t="str">
        <f t="shared" si="1056"/>
        <v/>
      </c>
      <c r="N729" s="26" t="str">
        <f t="shared" si="1058"/>
        <v/>
      </c>
      <c r="O729" s="26" t="str">
        <f t="shared" si="1059"/>
        <v/>
      </c>
      <c r="P729" s="26" t="str">
        <f t="shared" si="1060"/>
        <v/>
      </c>
      <c r="Q729" s="26">
        <f t="shared" si="1061"/>
        <v>0</v>
      </c>
      <c r="R729" s="26">
        <f t="shared" si="1062"/>
        <v>0</v>
      </c>
      <c r="S729" s="26">
        <f t="shared" si="1063"/>
        <v>0</v>
      </c>
      <c r="T729" s="26" t="str">
        <f t="shared" si="1064"/>
        <v/>
      </c>
      <c r="U729" s="26" t="str">
        <f t="shared" si="1065"/>
        <v/>
      </c>
      <c r="V729" s="26" t="str">
        <f t="shared" si="1066"/>
        <v/>
      </c>
      <c r="W729" s="27" t="str">
        <f t="shared" si="1067"/>
        <v/>
      </c>
      <c r="X729" s="27" t="str">
        <f t="shared" si="1068"/>
        <v/>
      </c>
      <c r="Y729" s="28" t="str">
        <f t="shared" si="1069"/>
        <v/>
      </c>
      <c r="Z729" s="27" t="str">
        <f t="shared" si="1070"/>
        <v/>
      </c>
      <c r="AA729" s="27" t="str">
        <f t="shared" si="1071"/>
        <v/>
      </c>
      <c r="AB729" s="27" t="str">
        <f t="shared" si="1072"/>
        <v/>
      </c>
      <c r="AC729" s="27" t="str">
        <f t="shared" si="1073"/>
        <v/>
      </c>
      <c r="AD729" s="29" t="str">
        <f t="shared" si="1074"/>
        <v/>
      </c>
      <c r="AE729" s="30" t="str">
        <f t="shared" si="1075"/>
        <v/>
      </c>
      <c r="AG729" s="4"/>
      <c r="AH729" s="31" t="e">
        <f t="shared" si="1076"/>
        <v>#VALUE!</v>
      </c>
      <c r="AI729" s="31" t="e">
        <f t="shared" si="1077"/>
        <v>#VALUE!</v>
      </c>
      <c r="AJ729" s="31" t="e">
        <f t="shared" si="1078"/>
        <v>#VALUE!</v>
      </c>
      <c r="AK729" s="31" t="e">
        <f t="shared" si="1079"/>
        <v>#VALUE!</v>
      </c>
      <c r="AL729" s="31" t="e">
        <f t="shared" si="1080"/>
        <v>#VALUE!</v>
      </c>
      <c r="AM729" s="31" t="e">
        <f t="shared" si="1081"/>
        <v>#VALUE!</v>
      </c>
      <c r="AN729" s="32" t="str">
        <f t="shared" si="1082"/>
        <v/>
      </c>
      <c r="AO729" s="27" t="str">
        <f t="shared" si="1083"/>
        <v/>
      </c>
      <c r="AP729" s="27" t="str">
        <f t="shared" si="1084"/>
        <v/>
      </c>
      <c r="AQ729" s="27">
        <f t="shared" si="1085"/>
        <v>0</v>
      </c>
      <c r="AR729" s="27">
        <f t="shared" si="1086"/>
        <v>0</v>
      </c>
      <c r="AS729" s="33">
        <f t="shared" si="1087"/>
        <v>0</v>
      </c>
    </row>
    <row r="730" spans="2:45" hidden="1" x14ac:dyDescent="0.25">
      <c r="B730" s="34" t="str">
        <f>IF(B729="","",B729)</f>
        <v/>
      </c>
      <c r="C730" s="26" t="str">
        <f t="shared" ref="C730:F730" si="1114">IF(C729="","",C729)</f>
        <v/>
      </c>
      <c r="D730" s="26" t="str">
        <f t="shared" si="1114"/>
        <v/>
      </c>
      <c r="E730" s="26" t="str">
        <f t="shared" si="1114"/>
        <v/>
      </c>
      <c r="F730" s="26" t="str">
        <f t="shared" si="1114"/>
        <v/>
      </c>
      <c r="G730" s="24"/>
      <c r="H730" s="24"/>
      <c r="I730" s="24"/>
      <c r="J730" s="24"/>
      <c r="K730" s="24"/>
      <c r="L730" s="24"/>
      <c r="M730" s="44" t="str">
        <f t="shared" si="1056"/>
        <v/>
      </c>
      <c r="N730" s="26" t="str">
        <f t="shared" si="1058"/>
        <v/>
      </c>
      <c r="O730" s="26" t="str">
        <f t="shared" si="1059"/>
        <v/>
      </c>
      <c r="P730" s="26" t="str">
        <f t="shared" si="1060"/>
        <v/>
      </c>
      <c r="Q730" s="26">
        <f t="shared" si="1061"/>
        <v>0</v>
      </c>
      <c r="R730" s="26">
        <f t="shared" si="1062"/>
        <v>0</v>
      </c>
      <c r="S730" s="26">
        <f t="shared" si="1063"/>
        <v>0</v>
      </c>
      <c r="T730" s="26" t="str">
        <f t="shared" si="1064"/>
        <v/>
      </c>
      <c r="U730" s="26" t="str">
        <f t="shared" si="1065"/>
        <v/>
      </c>
      <c r="V730" s="26" t="str">
        <f t="shared" si="1066"/>
        <v/>
      </c>
      <c r="W730" s="27" t="str">
        <f t="shared" si="1067"/>
        <v/>
      </c>
      <c r="X730" s="27" t="str">
        <f t="shared" si="1068"/>
        <v/>
      </c>
      <c r="Y730" s="28" t="str">
        <f t="shared" si="1069"/>
        <v/>
      </c>
      <c r="Z730" s="27" t="str">
        <f t="shared" si="1070"/>
        <v/>
      </c>
      <c r="AA730" s="27" t="str">
        <f t="shared" si="1071"/>
        <v/>
      </c>
      <c r="AB730" s="27" t="str">
        <f t="shared" si="1072"/>
        <v/>
      </c>
      <c r="AC730" s="27" t="str">
        <f t="shared" si="1073"/>
        <v/>
      </c>
      <c r="AD730" s="29" t="str">
        <f t="shared" si="1074"/>
        <v/>
      </c>
      <c r="AE730" s="30" t="str">
        <f t="shared" si="1075"/>
        <v/>
      </c>
      <c r="AG730" s="4"/>
      <c r="AH730" s="31" t="e">
        <f t="shared" si="1076"/>
        <v>#VALUE!</v>
      </c>
      <c r="AI730" s="31" t="e">
        <f t="shared" si="1077"/>
        <v>#VALUE!</v>
      </c>
      <c r="AJ730" s="31" t="e">
        <f t="shared" si="1078"/>
        <v>#VALUE!</v>
      </c>
      <c r="AK730" s="31" t="e">
        <f t="shared" si="1079"/>
        <v>#VALUE!</v>
      </c>
      <c r="AL730" s="31" t="e">
        <f t="shared" si="1080"/>
        <v>#VALUE!</v>
      </c>
      <c r="AM730" s="31" t="e">
        <f t="shared" si="1081"/>
        <v>#VALUE!</v>
      </c>
      <c r="AN730" s="32" t="str">
        <f t="shared" si="1082"/>
        <v/>
      </c>
      <c r="AO730" s="27" t="str">
        <f t="shared" si="1083"/>
        <v/>
      </c>
      <c r="AP730" s="27" t="str">
        <f t="shared" si="1084"/>
        <v/>
      </c>
      <c r="AQ730" s="27">
        <f t="shared" si="1085"/>
        <v>0</v>
      </c>
      <c r="AR730" s="27">
        <f t="shared" si="1086"/>
        <v>0</v>
      </c>
      <c r="AS730" s="33">
        <f t="shared" si="1087"/>
        <v>0</v>
      </c>
    </row>
    <row r="731" spans="2:45" hidden="1" x14ac:dyDescent="0.25">
      <c r="B731" s="34" t="str">
        <f t="shared" ref="B731:F731" si="1115">IF(B730="","",B730)</f>
        <v/>
      </c>
      <c r="C731" s="26" t="str">
        <f t="shared" si="1115"/>
        <v/>
      </c>
      <c r="D731" s="26" t="str">
        <f t="shared" si="1115"/>
        <v/>
      </c>
      <c r="E731" s="26" t="str">
        <f t="shared" si="1115"/>
        <v/>
      </c>
      <c r="F731" s="26" t="str">
        <f t="shared" si="1115"/>
        <v/>
      </c>
      <c r="G731" s="24"/>
      <c r="H731" s="24"/>
      <c r="I731" s="24"/>
      <c r="J731" s="24"/>
      <c r="K731" s="24"/>
      <c r="L731" s="24"/>
      <c r="M731" s="44" t="str">
        <f t="shared" si="1056"/>
        <v/>
      </c>
      <c r="N731" s="26" t="str">
        <f t="shared" si="1058"/>
        <v/>
      </c>
      <c r="O731" s="26" t="str">
        <f t="shared" si="1059"/>
        <v/>
      </c>
      <c r="P731" s="26" t="str">
        <f t="shared" si="1060"/>
        <v/>
      </c>
      <c r="Q731" s="26">
        <f t="shared" si="1061"/>
        <v>0</v>
      </c>
      <c r="R731" s="26">
        <f t="shared" si="1062"/>
        <v>0</v>
      </c>
      <c r="S731" s="26">
        <f t="shared" si="1063"/>
        <v>0</v>
      </c>
      <c r="T731" s="26" t="str">
        <f t="shared" si="1064"/>
        <v/>
      </c>
      <c r="U731" s="26" t="str">
        <f t="shared" si="1065"/>
        <v/>
      </c>
      <c r="V731" s="26" t="str">
        <f t="shared" si="1066"/>
        <v/>
      </c>
      <c r="W731" s="27" t="str">
        <f t="shared" si="1067"/>
        <v/>
      </c>
      <c r="X731" s="27" t="str">
        <f t="shared" si="1068"/>
        <v/>
      </c>
      <c r="Y731" s="28" t="str">
        <f t="shared" si="1069"/>
        <v/>
      </c>
      <c r="Z731" s="27" t="str">
        <f t="shared" si="1070"/>
        <v/>
      </c>
      <c r="AA731" s="27" t="str">
        <f t="shared" si="1071"/>
        <v/>
      </c>
      <c r="AB731" s="27" t="str">
        <f t="shared" si="1072"/>
        <v/>
      </c>
      <c r="AC731" s="27" t="str">
        <f t="shared" si="1073"/>
        <v/>
      </c>
      <c r="AD731" s="29" t="str">
        <f t="shared" si="1074"/>
        <v/>
      </c>
      <c r="AE731" s="30" t="str">
        <f t="shared" si="1075"/>
        <v/>
      </c>
      <c r="AG731" s="4"/>
      <c r="AH731" s="31" t="e">
        <f t="shared" si="1076"/>
        <v>#VALUE!</v>
      </c>
      <c r="AI731" s="31" t="e">
        <f t="shared" si="1077"/>
        <v>#VALUE!</v>
      </c>
      <c r="AJ731" s="31" t="e">
        <f t="shared" si="1078"/>
        <v>#VALUE!</v>
      </c>
      <c r="AK731" s="31" t="e">
        <f t="shared" si="1079"/>
        <v>#VALUE!</v>
      </c>
      <c r="AL731" s="31" t="e">
        <f t="shared" si="1080"/>
        <v>#VALUE!</v>
      </c>
      <c r="AM731" s="31" t="e">
        <f t="shared" si="1081"/>
        <v>#VALUE!</v>
      </c>
      <c r="AN731" s="32" t="str">
        <f t="shared" si="1082"/>
        <v/>
      </c>
      <c r="AO731" s="27" t="str">
        <f t="shared" si="1083"/>
        <v/>
      </c>
      <c r="AP731" s="27" t="str">
        <f t="shared" si="1084"/>
        <v/>
      </c>
      <c r="AQ731" s="27">
        <f t="shared" si="1085"/>
        <v>0</v>
      </c>
      <c r="AR731" s="27">
        <f t="shared" si="1086"/>
        <v>0</v>
      </c>
      <c r="AS731" s="33">
        <f t="shared" si="1087"/>
        <v>0</v>
      </c>
    </row>
    <row r="732" spans="2:45" hidden="1" x14ac:dyDescent="0.25">
      <c r="B732" s="34" t="str">
        <f t="shared" ref="B732:F732" si="1116">IF(B731="","",B731)</f>
        <v/>
      </c>
      <c r="C732" s="26" t="str">
        <f t="shared" si="1116"/>
        <v/>
      </c>
      <c r="D732" s="26" t="str">
        <f t="shared" si="1116"/>
        <v/>
      </c>
      <c r="E732" s="26" t="str">
        <f t="shared" si="1116"/>
        <v/>
      </c>
      <c r="F732" s="26" t="str">
        <f t="shared" si="1116"/>
        <v/>
      </c>
      <c r="G732" s="24"/>
      <c r="H732" s="24"/>
      <c r="I732" s="24"/>
      <c r="J732" s="24"/>
      <c r="K732" s="24"/>
      <c r="L732" s="24"/>
      <c r="M732" s="44" t="str">
        <f t="shared" si="1056"/>
        <v/>
      </c>
      <c r="N732" s="26" t="str">
        <f t="shared" si="1058"/>
        <v/>
      </c>
      <c r="O732" s="26" t="str">
        <f t="shared" si="1059"/>
        <v/>
      </c>
      <c r="P732" s="26" t="str">
        <f t="shared" si="1060"/>
        <v/>
      </c>
      <c r="Q732" s="26">
        <f t="shared" si="1061"/>
        <v>0</v>
      </c>
      <c r="R732" s="26">
        <f t="shared" si="1062"/>
        <v>0</v>
      </c>
      <c r="S732" s="26">
        <f t="shared" si="1063"/>
        <v>0</v>
      </c>
      <c r="T732" s="26" t="str">
        <f t="shared" si="1064"/>
        <v/>
      </c>
      <c r="U732" s="26" t="str">
        <f t="shared" si="1065"/>
        <v/>
      </c>
      <c r="V732" s="26" t="str">
        <f t="shared" si="1066"/>
        <v/>
      </c>
      <c r="W732" s="27" t="str">
        <f t="shared" si="1067"/>
        <v/>
      </c>
      <c r="X732" s="27" t="str">
        <f t="shared" si="1068"/>
        <v/>
      </c>
      <c r="Y732" s="28" t="str">
        <f t="shared" si="1069"/>
        <v/>
      </c>
      <c r="Z732" s="27" t="str">
        <f t="shared" si="1070"/>
        <v/>
      </c>
      <c r="AA732" s="27" t="str">
        <f t="shared" si="1071"/>
        <v/>
      </c>
      <c r="AB732" s="27" t="str">
        <f t="shared" si="1072"/>
        <v/>
      </c>
      <c r="AC732" s="27" t="str">
        <f t="shared" si="1073"/>
        <v/>
      </c>
      <c r="AD732" s="29" t="str">
        <f t="shared" si="1074"/>
        <v/>
      </c>
      <c r="AE732" s="30" t="str">
        <f t="shared" si="1075"/>
        <v/>
      </c>
      <c r="AG732" s="4"/>
      <c r="AH732" s="31" t="e">
        <f t="shared" si="1076"/>
        <v>#VALUE!</v>
      </c>
      <c r="AI732" s="31" t="e">
        <f t="shared" si="1077"/>
        <v>#VALUE!</v>
      </c>
      <c r="AJ732" s="31" t="e">
        <f t="shared" si="1078"/>
        <v>#VALUE!</v>
      </c>
      <c r="AK732" s="31" t="e">
        <f t="shared" si="1079"/>
        <v>#VALUE!</v>
      </c>
      <c r="AL732" s="31" t="e">
        <f t="shared" si="1080"/>
        <v>#VALUE!</v>
      </c>
      <c r="AM732" s="31" t="e">
        <f t="shared" si="1081"/>
        <v>#VALUE!</v>
      </c>
      <c r="AN732" s="32" t="str">
        <f t="shared" si="1082"/>
        <v/>
      </c>
      <c r="AO732" s="27" t="str">
        <f t="shared" si="1083"/>
        <v/>
      </c>
      <c r="AP732" s="27" t="str">
        <f t="shared" si="1084"/>
        <v/>
      </c>
      <c r="AQ732" s="27">
        <f t="shared" si="1085"/>
        <v>0</v>
      </c>
      <c r="AR732" s="27">
        <f t="shared" si="1086"/>
        <v>0</v>
      </c>
      <c r="AS732" s="33">
        <f t="shared" si="1087"/>
        <v>0</v>
      </c>
    </row>
    <row r="733" spans="2:45" hidden="1" x14ac:dyDescent="0.25">
      <c r="B733" s="34" t="str">
        <f t="shared" ref="B733:F733" si="1117">IF(B732="","",B732)</f>
        <v/>
      </c>
      <c r="C733" s="26" t="str">
        <f t="shared" si="1117"/>
        <v/>
      </c>
      <c r="D733" s="26" t="str">
        <f t="shared" si="1117"/>
        <v/>
      </c>
      <c r="E733" s="26" t="str">
        <f t="shared" si="1117"/>
        <v/>
      </c>
      <c r="F733" s="26" t="str">
        <f t="shared" si="1117"/>
        <v/>
      </c>
      <c r="G733" s="24"/>
      <c r="H733" s="24"/>
      <c r="I733" s="24"/>
      <c r="J733" s="24"/>
      <c r="K733" s="24"/>
      <c r="L733" s="24"/>
      <c r="M733" s="44" t="str">
        <f t="shared" si="1056"/>
        <v/>
      </c>
      <c r="N733" s="26" t="str">
        <f t="shared" si="1058"/>
        <v/>
      </c>
      <c r="O733" s="26" t="str">
        <f t="shared" si="1059"/>
        <v/>
      </c>
      <c r="P733" s="26" t="str">
        <f t="shared" si="1060"/>
        <v/>
      </c>
      <c r="Q733" s="26">
        <f t="shared" si="1061"/>
        <v>0</v>
      </c>
      <c r="R733" s="26">
        <f t="shared" si="1062"/>
        <v>0</v>
      </c>
      <c r="S733" s="26">
        <f t="shared" si="1063"/>
        <v>0</v>
      </c>
      <c r="T733" s="26" t="str">
        <f t="shared" si="1064"/>
        <v/>
      </c>
      <c r="U733" s="26" t="str">
        <f t="shared" si="1065"/>
        <v/>
      </c>
      <c r="V733" s="26" t="str">
        <f t="shared" si="1066"/>
        <v/>
      </c>
      <c r="W733" s="27" t="str">
        <f t="shared" si="1067"/>
        <v/>
      </c>
      <c r="X733" s="27" t="str">
        <f t="shared" si="1068"/>
        <v/>
      </c>
      <c r="Y733" s="28" t="str">
        <f t="shared" si="1069"/>
        <v/>
      </c>
      <c r="Z733" s="27" t="str">
        <f t="shared" si="1070"/>
        <v/>
      </c>
      <c r="AA733" s="27" t="str">
        <f t="shared" si="1071"/>
        <v/>
      </c>
      <c r="AB733" s="27" t="str">
        <f t="shared" si="1072"/>
        <v/>
      </c>
      <c r="AC733" s="27" t="str">
        <f t="shared" si="1073"/>
        <v/>
      </c>
      <c r="AD733" s="29" t="str">
        <f t="shared" si="1074"/>
        <v/>
      </c>
      <c r="AE733" s="30" t="str">
        <f t="shared" si="1075"/>
        <v/>
      </c>
      <c r="AG733" s="4"/>
      <c r="AH733" s="31" t="e">
        <f t="shared" si="1076"/>
        <v>#VALUE!</v>
      </c>
      <c r="AI733" s="31" t="e">
        <f t="shared" si="1077"/>
        <v>#VALUE!</v>
      </c>
      <c r="AJ733" s="31" t="e">
        <f t="shared" si="1078"/>
        <v>#VALUE!</v>
      </c>
      <c r="AK733" s="31" t="e">
        <f t="shared" si="1079"/>
        <v>#VALUE!</v>
      </c>
      <c r="AL733" s="31" t="e">
        <f t="shared" si="1080"/>
        <v>#VALUE!</v>
      </c>
      <c r="AM733" s="31" t="e">
        <f t="shared" si="1081"/>
        <v>#VALUE!</v>
      </c>
      <c r="AN733" s="32" t="str">
        <f t="shared" si="1082"/>
        <v/>
      </c>
      <c r="AO733" s="27" t="str">
        <f t="shared" si="1083"/>
        <v/>
      </c>
      <c r="AP733" s="27" t="str">
        <f t="shared" si="1084"/>
        <v/>
      </c>
      <c r="AQ733" s="27">
        <f t="shared" si="1085"/>
        <v>0</v>
      </c>
      <c r="AR733" s="27">
        <f t="shared" si="1086"/>
        <v>0</v>
      </c>
      <c r="AS733" s="33">
        <f t="shared" si="1087"/>
        <v>0</v>
      </c>
    </row>
    <row r="734" spans="2:45" hidden="1" x14ac:dyDescent="0.25">
      <c r="B734" s="34" t="str">
        <f t="shared" ref="B734:F734" si="1118">IF(B733="","",B733)</f>
        <v/>
      </c>
      <c r="C734" s="26" t="str">
        <f t="shared" si="1118"/>
        <v/>
      </c>
      <c r="D734" s="26" t="str">
        <f t="shared" si="1118"/>
        <v/>
      </c>
      <c r="E734" s="26" t="str">
        <f t="shared" si="1118"/>
        <v/>
      </c>
      <c r="F734" s="26" t="str">
        <f t="shared" si="1118"/>
        <v/>
      </c>
      <c r="G734" s="24"/>
      <c r="H734" s="24"/>
      <c r="I734" s="24"/>
      <c r="J734" s="24"/>
      <c r="K734" s="24"/>
      <c r="L734" s="24"/>
      <c r="M734" s="44" t="str">
        <f t="shared" ref="M734:M765" si="1119">IF(B734="","",IF(M578="","",M578))</f>
        <v/>
      </c>
      <c r="N734" s="26" t="str">
        <f t="shared" si="1058"/>
        <v/>
      </c>
      <c r="O734" s="26" t="str">
        <f t="shared" si="1059"/>
        <v/>
      </c>
      <c r="P734" s="26" t="str">
        <f t="shared" si="1060"/>
        <v/>
      </c>
      <c r="Q734" s="26">
        <f t="shared" si="1061"/>
        <v>0</v>
      </c>
      <c r="R734" s="26">
        <f t="shared" si="1062"/>
        <v>0</v>
      </c>
      <c r="S734" s="26">
        <f t="shared" si="1063"/>
        <v>0</v>
      </c>
      <c r="T734" s="26" t="str">
        <f t="shared" si="1064"/>
        <v/>
      </c>
      <c r="U734" s="26" t="str">
        <f t="shared" si="1065"/>
        <v/>
      </c>
      <c r="V734" s="26" t="str">
        <f t="shared" si="1066"/>
        <v/>
      </c>
      <c r="W734" s="27" t="str">
        <f t="shared" si="1067"/>
        <v/>
      </c>
      <c r="X734" s="27" t="str">
        <f t="shared" si="1068"/>
        <v/>
      </c>
      <c r="Y734" s="28" t="str">
        <f t="shared" si="1069"/>
        <v/>
      </c>
      <c r="Z734" s="27" t="str">
        <f t="shared" si="1070"/>
        <v/>
      </c>
      <c r="AA734" s="27" t="str">
        <f t="shared" si="1071"/>
        <v/>
      </c>
      <c r="AB734" s="27" t="str">
        <f t="shared" si="1072"/>
        <v/>
      </c>
      <c r="AC734" s="27" t="str">
        <f t="shared" si="1073"/>
        <v/>
      </c>
      <c r="AD734" s="29" t="str">
        <f t="shared" si="1074"/>
        <v/>
      </c>
      <c r="AE734" s="30" t="str">
        <f t="shared" si="1075"/>
        <v/>
      </c>
      <c r="AG734" s="4"/>
      <c r="AH734" s="31" t="e">
        <f t="shared" si="1076"/>
        <v>#VALUE!</v>
      </c>
      <c r="AI734" s="31" t="e">
        <f t="shared" si="1077"/>
        <v>#VALUE!</v>
      </c>
      <c r="AJ734" s="31" t="e">
        <f t="shared" si="1078"/>
        <v>#VALUE!</v>
      </c>
      <c r="AK734" s="31" t="e">
        <f t="shared" si="1079"/>
        <v>#VALUE!</v>
      </c>
      <c r="AL734" s="31" t="e">
        <f t="shared" si="1080"/>
        <v>#VALUE!</v>
      </c>
      <c r="AM734" s="31" t="e">
        <f t="shared" si="1081"/>
        <v>#VALUE!</v>
      </c>
      <c r="AN734" s="32" t="str">
        <f t="shared" si="1082"/>
        <v/>
      </c>
      <c r="AO734" s="27" t="str">
        <f t="shared" si="1083"/>
        <v/>
      </c>
      <c r="AP734" s="27" t="str">
        <f t="shared" si="1084"/>
        <v/>
      </c>
      <c r="AQ734" s="27">
        <f t="shared" si="1085"/>
        <v>0</v>
      </c>
      <c r="AR734" s="27">
        <f t="shared" si="1086"/>
        <v>0</v>
      </c>
      <c r="AS734" s="33">
        <f t="shared" si="1087"/>
        <v>0</v>
      </c>
    </row>
    <row r="735" spans="2:45" hidden="1" x14ac:dyDescent="0.25">
      <c r="B735" s="34" t="str">
        <f t="shared" ref="B735:F735" si="1120">IF(B734="","",B734)</f>
        <v/>
      </c>
      <c r="C735" s="26" t="str">
        <f t="shared" si="1120"/>
        <v/>
      </c>
      <c r="D735" s="26" t="str">
        <f t="shared" si="1120"/>
        <v/>
      </c>
      <c r="E735" s="26" t="str">
        <f t="shared" si="1120"/>
        <v/>
      </c>
      <c r="F735" s="26" t="str">
        <f t="shared" si="1120"/>
        <v/>
      </c>
      <c r="G735" s="24"/>
      <c r="H735" s="24"/>
      <c r="I735" s="24"/>
      <c r="J735" s="24"/>
      <c r="K735" s="24"/>
      <c r="L735" s="24"/>
      <c r="M735" s="44" t="str">
        <f t="shared" si="1119"/>
        <v/>
      </c>
      <c r="N735" s="26" t="str">
        <f t="shared" si="1058"/>
        <v/>
      </c>
      <c r="O735" s="26" t="str">
        <f t="shared" si="1059"/>
        <v/>
      </c>
      <c r="P735" s="26" t="str">
        <f t="shared" si="1060"/>
        <v/>
      </c>
      <c r="Q735" s="26">
        <f t="shared" si="1061"/>
        <v>0</v>
      </c>
      <c r="R735" s="26">
        <f t="shared" si="1062"/>
        <v>0</v>
      </c>
      <c r="S735" s="26">
        <f t="shared" si="1063"/>
        <v>0</v>
      </c>
      <c r="T735" s="26" t="str">
        <f t="shared" si="1064"/>
        <v/>
      </c>
      <c r="U735" s="26" t="str">
        <f t="shared" si="1065"/>
        <v/>
      </c>
      <c r="V735" s="26" t="str">
        <f t="shared" si="1066"/>
        <v/>
      </c>
      <c r="W735" s="27" t="str">
        <f t="shared" si="1067"/>
        <v/>
      </c>
      <c r="X735" s="27" t="str">
        <f t="shared" si="1068"/>
        <v/>
      </c>
      <c r="Y735" s="28" t="str">
        <f t="shared" si="1069"/>
        <v/>
      </c>
      <c r="Z735" s="27" t="str">
        <f t="shared" si="1070"/>
        <v/>
      </c>
      <c r="AA735" s="27" t="str">
        <f t="shared" si="1071"/>
        <v/>
      </c>
      <c r="AB735" s="27" t="str">
        <f t="shared" si="1072"/>
        <v/>
      </c>
      <c r="AC735" s="27" t="str">
        <f t="shared" si="1073"/>
        <v/>
      </c>
      <c r="AD735" s="29" t="str">
        <f t="shared" si="1074"/>
        <v/>
      </c>
      <c r="AE735" s="30" t="str">
        <f t="shared" si="1075"/>
        <v/>
      </c>
      <c r="AG735" s="4"/>
      <c r="AH735" s="31" t="e">
        <f t="shared" si="1076"/>
        <v>#VALUE!</v>
      </c>
      <c r="AI735" s="31" t="e">
        <f t="shared" si="1077"/>
        <v>#VALUE!</v>
      </c>
      <c r="AJ735" s="31" t="e">
        <f t="shared" si="1078"/>
        <v>#VALUE!</v>
      </c>
      <c r="AK735" s="31" t="e">
        <f t="shared" si="1079"/>
        <v>#VALUE!</v>
      </c>
      <c r="AL735" s="31" t="e">
        <f t="shared" si="1080"/>
        <v>#VALUE!</v>
      </c>
      <c r="AM735" s="31" t="e">
        <f t="shared" si="1081"/>
        <v>#VALUE!</v>
      </c>
      <c r="AN735" s="32" t="str">
        <f t="shared" si="1082"/>
        <v/>
      </c>
      <c r="AO735" s="27" t="str">
        <f t="shared" si="1083"/>
        <v/>
      </c>
      <c r="AP735" s="27" t="str">
        <f t="shared" si="1084"/>
        <v/>
      </c>
      <c r="AQ735" s="27">
        <f t="shared" si="1085"/>
        <v>0</v>
      </c>
      <c r="AR735" s="27">
        <f t="shared" si="1086"/>
        <v>0</v>
      </c>
      <c r="AS735" s="33">
        <f t="shared" si="1087"/>
        <v>0</v>
      </c>
    </row>
    <row r="736" spans="2:45" hidden="1" x14ac:dyDescent="0.25">
      <c r="B736" s="34" t="str">
        <f t="shared" ref="B736:F736" si="1121">IF(B735="","",B735)</f>
        <v/>
      </c>
      <c r="C736" s="26" t="str">
        <f t="shared" si="1121"/>
        <v/>
      </c>
      <c r="D736" s="26" t="str">
        <f t="shared" si="1121"/>
        <v/>
      </c>
      <c r="E736" s="26" t="str">
        <f t="shared" si="1121"/>
        <v/>
      </c>
      <c r="F736" s="26" t="str">
        <f t="shared" si="1121"/>
        <v/>
      </c>
      <c r="G736" s="24"/>
      <c r="H736" s="24"/>
      <c r="I736" s="24"/>
      <c r="J736" s="24"/>
      <c r="K736" s="24"/>
      <c r="L736" s="24"/>
      <c r="M736" s="44" t="str">
        <f t="shared" si="1119"/>
        <v/>
      </c>
      <c r="N736" s="26" t="str">
        <f t="shared" si="1058"/>
        <v/>
      </c>
      <c r="O736" s="26" t="str">
        <f t="shared" si="1059"/>
        <v/>
      </c>
      <c r="P736" s="26" t="str">
        <f t="shared" si="1060"/>
        <v/>
      </c>
      <c r="Q736" s="26">
        <f t="shared" si="1061"/>
        <v>0</v>
      </c>
      <c r="R736" s="26">
        <f t="shared" si="1062"/>
        <v>0</v>
      </c>
      <c r="S736" s="26">
        <f t="shared" si="1063"/>
        <v>0</v>
      </c>
      <c r="T736" s="26" t="str">
        <f t="shared" si="1064"/>
        <v/>
      </c>
      <c r="U736" s="26" t="str">
        <f t="shared" si="1065"/>
        <v/>
      </c>
      <c r="V736" s="26" t="str">
        <f t="shared" si="1066"/>
        <v/>
      </c>
      <c r="W736" s="27" t="str">
        <f t="shared" si="1067"/>
        <v/>
      </c>
      <c r="X736" s="27" t="str">
        <f t="shared" si="1068"/>
        <v/>
      </c>
      <c r="Y736" s="28" t="str">
        <f t="shared" si="1069"/>
        <v/>
      </c>
      <c r="Z736" s="27" t="str">
        <f t="shared" si="1070"/>
        <v/>
      </c>
      <c r="AA736" s="27" t="str">
        <f t="shared" si="1071"/>
        <v/>
      </c>
      <c r="AB736" s="27" t="str">
        <f t="shared" si="1072"/>
        <v/>
      </c>
      <c r="AC736" s="27" t="str">
        <f t="shared" si="1073"/>
        <v/>
      </c>
      <c r="AD736" s="29" t="str">
        <f t="shared" si="1074"/>
        <v/>
      </c>
      <c r="AE736" s="30" t="str">
        <f t="shared" si="1075"/>
        <v/>
      </c>
      <c r="AG736" s="4"/>
      <c r="AH736" s="31" t="e">
        <f t="shared" si="1076"/>
        <v>#VALUE!</v>
      </c>
      <c r="AI736" s="31" t="e">
        <f t="shared" si="1077"/>
        <v>#VALUE!</v>
      </c>
      <c r="AJ736" s="31" t="e">
        <f t="shared" si="1078"/>
        <v>#VALUE!</v>
      </c>
      <c r="AK736" s="31" t="e">
        <f t="shared" si="1079"/>
        <v>#VALUE!</v>
      </c>
      <c r="AL736" s="31" t="e">
        <f t="shared" si="1080"/>
        <v>#VALUE!</v>
      </c>
      <c r="AM736" s="31" t="e">
        <f t="shared" si="1081"/>
        <v>#VALUE!</v>
      </c>
      <c r="AN736" s="32" t="str">
        <f t="shared" si="1082"/>
        <v/>
      </c>
      <c r="AO736" s="27" t="str">
        <f t="shared" si="1083"/>
        <v/>
      </c>
      <c r="AP736" s="27" t="str">
        <f t="shared" si="1084"/>
        <v/>
      </c>
      <c r="AQ736" s="27">
        <f t="shared" si="1085"/>
        <v>0</v>
      </c>
      <c r="AR736" s="27">
        <f t="shared" si="1086"/>
        <v>0</v>
      </c>
      <c r="AS736" s="33">
        <f t="shared" si="1087"/>
        <v>0</v>
      </c>
    </row>
    <row r="737" spans="2:45" hidden="1" x14ac:dyDescent="0.25">
      <c r="B737" s="34" t="str">
        <f t="shared" ref="B737:F737" si="1122">IF(B736="","",B736)</f>
        <v/>
      </c>
      <c r="C737" s="26" t="str">
        <f t="shared" si="1122"/>
        <v/>
      </c>
      <c r="D737" s="26" t="str">
        <f t="shared" si="1122"/>
        <v/>
      </c>
      <c r="E737" s="26" t="str">
        <f t="shared" si="1122"/>
        <v/>
      </c>
      <c r="F737" s="26" t="str">
        <f t="shared" si="1122"/>
        <v/>
      </c>
      <c r="G737" s="24"/>
      <c r="H737" s="24"/>
      <c r="I737" s="24"/>
      <c r="J737" s="24"/>
      <c r="K737" s="24"/>
      <c r="L737" s="24"/>
      <c r="M737" s="44" t="str">
        <f t="shared" si="1119"/>
        <v/>
      </c>
      <c r="N737" s="26" t="str">
        <f t="shared" si="1058"/>
        <v/>
      </c>
      <c r="O737" s="26" t="str">
        <f t="shared" si="1059"/>
        <v/>
      </c>
      <c r="P737" s="26" t="str">
        <f t="shared" si="1060"/>
        <v/>
      </c>
      <c r="Q737" s="26">
        <f t="shared" si="1061"/>
        <v>0</v>
      </c>
      <c r="R737" s="26">
        <f t="shared" si="1062"/>
        <v>0</v>
      </c>
      <c r="S737" s="26">
        <f t="shared" si="1063"/>
        <v>0</v>
      </c>
      <c r="T737" s="26" t="str">
        <f t="shared" si="1064"/>
        <v/>
      </c>
      <c r="U737" s="26" t="str">
        <f t="shared" si="1065"/>
        <v/>
      </c>
      <c r="V737" s="26" t="str">
        <f t="shared" si="1066"/>
        <v/>
      </c>
      <c r="W737" s="27" t="str">
        <f t="shared" si="1067"/>
        <v/>
      </c>
      <c r="X737" s="27" t="str">
        <f t="shared" si="1068"/>
        <v/>
      </c>
      <c r="Y737" s="28" t="str">
        <f t="shared" si="1069"/>
        <v/>
      </c>
      <c r="Z737" s="27" t="str">
        <f t="shared" si="1070"/>
        <v/>
      </c>
      <c r="AA737" s="27" t="str">
        <f t="shared" si="1071"/>
        <v/>
      </c>
      <c r="AB737" s="27" t="str">
        <f t="shared" si="1072"/>
        <v/>
      </c>
      <c r="AC737" s="27" t="str">
        <f t="shared" si="1073"/>
        <v/>
      </c>
      <c r="AD737" s="29" t="str">
        <f t="shared" si="1074"/>
        <v/>
      </c>
      <c r="AE737" s="30" t="str">
        <f t="shared" si="1075"/>
        <v/>
      </c>
      <c r="AG737" s="4"/>
      <c r="AH737" s="31" t="e">
        <f t="shared" si="1076"/>
        <v>#VALUE!</v>
      </c>
      <c r="AI737" s="31" t="e">
        <f t="shared" si="1077"/>
        <v>#VALUE!</v>
      </c>
      <c r="AJ737" s="31" t="e">
        <f t="shared" si="1078"/>
        <v>#VALUE!</v>
      </c>
      <c r="AK737" s="31" t="e">
        <f t="shared" si="1079"/>
        <v>#VALUE!</v>
      </c>
      <c r="AL737" s="31" t="e">
        <f t="shared" si="1080"/>
        <v>#VALUE!</v>
      </c>
      <c r="AM737" s="31" t="e">
        <f t="shared" si="1081"/>
        <v>#VALUE!</v>
      </c>
      <c r="AN737" s="32" t="str">
        <f t="shared" si="1082"/>
        <v/>
      </c>
      <c r="AO737" s="27" t="str">
        <f t="shared" si="1083"/>
        <v/>
      </c>
      <c r="AP737" s="27" t="str">
        <f t="shared" si="1084"/>
        <v/>
      </c>
      <c r="AQ737" s="27">
        <f t="shared" si="1085"/>
        <v>0</v>
      </c>
      <c r="AR737" s="27">
        <f t="shared" si="1086"/>
        <v>0</v>
      </c>
      <c r="AS737" s="33">
        <f t="shared" si="1087"/>
        <v>0</v>
      </c>
    </row>
    <row r="738" spans="2:45" hidden="1" x14ac:dyDescent="0.25">
      <c r="B738" s="34" t="str">
        <f t="shared" ref="B738:F738" si="1123">IF(B737="","",B737)</f>
        <v/>
      </c>
      <c r="C738" s="26" t="str">
        <f t="shared" si="1123"/>
        <v/>
      </c>
      <c r="D738" s="26" t="str">
        <f t="shared" si="1123"/>
        <v/>
      </c>
      <c r="E738" s="26" t="str">
        <f t="shared" si="1123"/>
        <v/>
      </c>
      <c r="F738" s="26" t="str">
        <f t="shared" si="1123"/>
        <v/>
      </c>
      <c r="G738" s="24"/>
      <c r="H738" s="24"/>
      <c r="I738" s="24"/>
      <c r="J738" s="24"/>
      <c r="K738" s="24"/>
      <c r="L738" s="24"/>
      <c r="M738" s="44" t="str">
        <f t="shared" si="1119"/>
        <v/>
      </c>
      <c r="N738" s="26" t="str">
        <f t="shared" si="1058"/>
        <v/>
      </c>
      <c r="O738" s="26" t="str">
        <f t="shared" si="1059"/>
        <v/>
      </c>
      <c r="P738" s="26" t="str">
        <f t="shared" si="1060"/>
        <v/>
      </c>
      <c r="Q738" s="26">
        <f t="shared" si="1061"/>
        <v>0</v>
      </c>
      <c r="R738" s="26">
        <f t="shared" si="1062"/>
        <v>0</v>
      </c>
      <c r="S738" s="26">
        <f t="shared" si="1063"/>
        <v>0</v>
      </c>
      <c r="T738" s="26" t="str">
        <f t="shared" si="1064"/>
        <v/>
      </c>
      <c r="U738" s="26" t="str">
        <f t="shared" si="1065"/>
        <v/>
      </c>
      <c r="V738" s="26" t="str">
        <f t="shared" si="1066"/>
        <v/>
      </c>
      <c r="W738" s="27" t="str">
        <f t="shared" si="1067"/>
        <v/>
      </c>
      <c r="X738" s="27" t="str">
        <f t="shared" si="1068"/>
        <v/>
      </c>
      <c r="Y738" s="28" t="str">
        <f t="shared" si="1069"/>
        <v/>
      </c>
      <c r="Z738" s="27" t="str">
        <f t="shared" si="1070"/>
        <v/>
      </c>
      <c r="AA738" s="27" t="str">
        <f t="shared" si="1071"/>
        <v/>
      </c>
      <c r="AB738" s="27" t="str">
        <f t="shared" si="1072"/>
        <v/>
      </c>
      <c r="AC738" s="27" t="str">
        <f t="shared" si="1073"/>
        <v/>
      </c>
      <c r="AD738" s="29" t="str">
        <f t="shared" si="1074"/>
        <v/>
      </c>
      <c r="AE738" s="30" t="str">
        <f t="shared" si="1075"/>
        <v/>
      </c>
      <c r="AG738" s="4"/>
      <c r="AH738" s="31" t="e">
        <f t="shared" si="1076"/>
        <v>#VALUE!</v>
      </c>
      <c r="AI738" s="31" t="e">
        <f t="shared" si="1077"/>
        <v>#VALUE!</v>
      </c>
      <c r="AJ738" s="31" t="e">
        <f t="shared" si="1078"/>
        <v>#VALUE!</v>
      </c>
      <c r="AK738" s="31" t="e">
        <f t="shared" si="1079"/>
        <v>#VALUE!</v>
      </c>
      <c r="AL738" s="31" t="e">
        <f t="shared" si="1080"/>
        <v>#VALUE!</v>
      </c>
      <c r="AM738" s="31" t="e">
        <f t="shared" si="1081"/>
        <v>#VALUE!</v>
      </c>
      <c r="AN738" s="32" t="str">
        <f t="shared" si="1082"/>
        <v/>
      </c>
      <c r="AO738" s="27" t="str">
        <f t="shared" si="1083"/>
        <v/>
      </c>
      <c r="AP738" s="27" t="str">
        <f t="shared" si="1084"/>
        <v/>
      </c>
      <c r="AQ738" s="27">
        <f t="shared" si="1085"/>
        <v>0</v>
      </c>
      <c r="AR738" s="27">
        <f t="shared" si="1086"/>
        <v>0</v>
      </c>
      <c r="AS738" s="33">
        <f t="shared" si="1087"/>
        <v>0</v>
      </c>
    </row>
    <row r="739" spans="2:45" hidden="1" x14ac:dyDescent="0.25">
      <c r="B739" s="34" t="str">
        <f t="shared" ref="B739:F739" si="1124">IF(B738="","",B738)</f>
        <v/>
      </c>
      <c r="C739" s="26" t="str">
        <f t="shared" si="1124"/>
        <v/>
      </c>
      <c r="D739" s="26" t="str">
        <f t="shared" si="1124"/>
        <v/>
      </c>
      <c r="E739" s="26" t="str">
        <f t="shared" si="1124"/>
        <v/>
      </c>
      <c r="F739" s="26" t="str">
        <f t="shared" si="1124"/>
        <v/>
      </c>
      <c r="G739" s="24"/>
      <c r="H739" s="24"/>
      <c r="I739" s="24"/>
      <c r="J739" s="24"/>
      <c r="K739" s="24"/>
      <c r="L739" s="24"/>
      <c r="M739" s="44" t="str">
        <f t="shared" si="1119"/>
        <v/>
      </c>
      <c r="N739" s="26" t="str">
        <f t="shared" si="1058"/>
        <v/>
      </c>
      <c r="O739" s="26" t="str">
        <f t="shared" si="1059"/>
        <v/>
      </c>
      <c r="P739" s="26" t="str">
        <f t="shared" si="1060"/>
        <v/>
      </c>
      <c r="Q739" s="26">
        <f t="shared" si="1061"/>
        <v>0</v>
      </c>
      <c r="R739" s="26">
        <f t="shared" si="1062"/>
        <v>0</v>
      </c>
      <c r="S739" s="26">
        <f t="shared" si="1063"/>
        <v>0</v>
      </c>
      <c r="T739" s="26" t="str">
        <f t="shared" si="1064"/>
        <v/>
      </c>
      <c r="U739" s="26" t="str">
        <f t="shared" si="1065"/>
        <v/>
      </c>
      <c r="V739" s="26" t="str">
        <f t="shared" si="1066"/>
        <v/>
      </c>
      <c r="W739" s="27" t="str">
        <f t="shared" si="1067"/>
        <v/>
      </c>
      <c r="X739" s="27" t="str">
        <f t="shared" si="1068"/>
        <v/>
      </c>
      <c r="Y739" s="28" t="str">
        <f t="shared" si="1069"/>
        <v/>
      </c>
      <c r="Z739" s="27" t="str">
        <f t="shared" si="1070"/>
        <v/>
      </c>
      <c r="AA739" s="27" t="str">
        <f t="shared" si="1071"/>
        <v/>
      </c>
      <c r="AB739" s="27" t="str">
        <f t="shared" si="1072"/>
        <v/>
      </c>
      <c r="AC739" s="27" t="str">
        <f t="shared" si="1073"/>
        <v/>
      </c>
      <c r="AD739" s="29" t="str">
        <f t="shared" si="1074"/>
        <v/>
      </c>
      <c r="AE739" s="30" t="str">
        <f t="shared" si="1075"/>
        <v/>
      </c>
      <c r="AG739" s="4"/>
      <c r="AH739" s="31" t="e">
        <f t="shared" si="1076"/>
        <v>#VALUE!</v>
      </c>
      <c r="AI739" s="31" t="e">
        <f t="shared" si="1077"/>
        <v>#VALUE!</v>
      </c>
      <c r="AJ739" s="31" t="e">
        <f t="shared" si="1078"/>
        <v>#VALUE!</v>
      </c>
      <c r="AK739" s="31" t="e">
        <f t="shared" si="1079"/>
        <v>#VALUE!</v>
      </c>
      <c r="AL739" s="31" t="e">
        <f t="shared" si="1080"/>
        <v>#VALUE!</v>
      </c>
      <c r="AM739" s="31" t="e">
        <f t="shared" si="1081"/>
        <v>#VALUE!</v>
      </c>
      <c r="AN739" s="32" t="str">
        <f t="shared" si="1082"/>
        <v/>
      </c>
      <c r="AO739" s="27" t="str">
        <f t="shared" si="1083"/>
        <v/>
      </c>
      <c r="AP739" s="27" t="str">
        <f t="shared" si="1084"/>
        <v/>
      </c>
      <c r="AQ739" s="27">
        <f t="shared" si="1085"/>
        <v>0</v>
      </c>
      <c r="AR739" s="27">
        <f t="shared" si="1086"/>
        <v>0</v>
      </c>
      <c r="AS739" s="33">
        <f t="shared" si="1087"/>
        <v>0</v>
      </c>
    </row>
    <row r="740" spans="2:45" hidden="1" x14ac:dyDescent="0.25">
      <c r="B740" s="34" t="str">
        <f t="shared" ref="B740:F740" si="1125">IF(B739="","",B739)</f>
        <v/>
      </c>
      <c r="C740" s="26" t="str">
        <f t="shared" si="1125"/>
        <v/>
      </c>
      <c r="D740" s="26" t="str">
        <f t="shared" si="1125"/>
        <v/>
      </c>
      <c r="E740" s="26" t="str">
        <f t="shared" si="1125"/>
        <v/>
      </c>
      <c r="F740" s="26" t="str">
        <f t="shared" si="1125"/>
        <v/>
      </c>
      <c r="G740" s="24"/>
      <c r="H740" s="24"/>
      <c r="I740" s="24"/>
      <c r="J740" s="24"/>
      <c r="K740" s="24"/>
      <c r="L740" s="24"/>
      <c r="M740" s="44" t="str">
        <f t="shared" si="1119"/>
        <v/>
      </c>
      <c r="N740" s="26" t="str">
        <f t="shared" si="1058"/>
        <v/>
      </c>
      <c r="O740" s="26" t="str">
        <f t="shared" si="1059"/>
        <v/>
      </c>
      <c r="P740" s="26" t="str">
        <f t="shared" si="1060"/>
        <v/>
      </c>
      <c r="Q740" s="26">
        <f t="shared" si="1061"/>
        <v>0</v>
      </c>
      <c r="R740" s="26">
        <f t="shared" si="1062"/>
        <v>0</v>
      </c>
      <c r="S740" s="26">
        <f t="shared" si="1063"/>
        <v>0</v>
      </c>
      <c r="T740" s="26" t="str">
        <f t="shared" si="1064"/>
        <v/>
      </c>
      <c r="U740" s="26" t="str">
        <f t="shared" si="1065"/>
        <v/>
      </c>
      <c r="V740" s="26" t="str">
        <f t="shared" si="1066"/>
        <v/>
      </c>
      <c r="W740" s="27" t="str">
        <f t="shared" si="1067"/>
        <v/>
      </c>
      <c r="X740" s="27" t="str">
        <f t="shared" si="1068"/>
        <v/>
      </c>
      <c r="Y740" s="28" t="str">
        <f t="shared" si="1069"/>
        <v/>
      </c>
      <c r="Z740" s="27" t="str">
        <f t="shared" si="1070"/>
        <v/>
      </c>
      <c r="AA740" s="27" t="str">
        <f t="shared" si="1071"/>
        <v/>
      </c>
      <c r="AB740" s="27" t="str">
        <f t="shared" si="1072"/>
        <v/>
      </c>
      <c r="AC740" s="27" t="str">
        <f t="shared" si="1073"/>
        <v/>
      </c>
      <c r="AD740" s="29" t="str">
        <f t="shared" si="1074"/>
        <v/>
      </c>
      <c r="AE740" s="30" t="str">
        <f t="shared" si="1075"/>
        <v/>
      </c>
      <c r="AG740" s="4"/>
      <c r="AH740" s="31" t="e">
        <f t="shared" si="1076"/>
        <v>#VALUE!</v>
      </c>
      <c r="AI740" s="31" t="e">
        <f t="shared" si="1077"/>
        <v>#VALUE!</v>
      </c>
      <c r="AJ740" s="31" t="e">
        <f t="shared" si="1078"/>
        <v>#VALUE!</v>
      </c>
      <c r="AK740" s="31" t="e">
        <f t="shared" si="1079"/>
        <v>#VALUE!</v>
      </c>
      <c r="AL740" s="31" t="e">
        <f t="shared" si="1080"/>
        <v>#VALUE!</v>
      </c>
      <c r="AM740" s="31" t="e">
        <f t="shared" si="1081"/>
        <v>#VALUE!</v>
      </c>
      <c r="AN740" s="32" t="str">
        <f t="shared" si="1082"/>
        <v/>
      </c>
      <c r="AO740" s="27" t="str">
        <f t="shared" si="1083"/>
        <v/>
      </c>
      <c r="AP740" s="27" t="str">
        <f t="shared" si="1084"/>
        <v/>
      </c>
      <c r="AQ740" s="27">
        <f t="shared" si="1085"/>
        <v>0</v>
      </c>
      <c r="AR740" s="27">
        <f t="shared" si="1086"/>
        <v>0</v>
      </c>
      <c r="AS740" s="33">
        <f t="shared" si="1087"/>
        <v>0</v>
      </c>
    </row>
    <row r="741" spans="2:45" hidden="1" x14ac:dyDescent="0.25">
      <c r="B741" s="34" t="str">
        <f t="shared" ref="B741:F741" si="1126">IF(B740="","",B740)</f>
        <v/>
      </c>
      <c r="C741" s="26" t="str">
        <f t="shared" si="1126"/>
        <v/>
      </c>
      <c r="D741" s="26" t="str">
        <f t="shared" si="1126"/>
        <v/>
      </c>
      <c r="E741" s="26" t="str">
        <f t="shared" si="1126"/>
        <v/>
      </c>
      <c r="F741" s="26" t="str">
        <f t="shared" si="1126"/>
        <v/>
      </c>
      <c r="G741" s="24"/>
      <c r="H741" s="24"/>
      <c r="I741" s="24"/>
      <c r="J741" s="24"/>
      <c r="K741" s="24"/>
      <c r="L741" s="24"/>
      <c r="M741" s="44" t="str">
        <f t="shared" si="1119"/>
        <v/>
      </c>
      <c r="N741" s="26" t="str">
        <f t="shared" si="1058"/>
        <v/>
      </c>
      <c r="O741" s="26" t="str">
        <f t="shared" si="1059"/>
        <v/>
      </c>
      <c r="P741" s="26" t="str">
        <f t="shared" si="1060"/>
        <v/>
      </c>
      <c r="Q741" s="26">
        <f t="shared" si="1061"/>
        <v>0</v>
      </c>
      <c r="R741" s="26">
        <f t="shared" si="1062"/>
        <v>0</v>
      </c>
      <c r="S741" s="26">
        <f t="shared" si="1063"/>
        <v>0</v>
      </c>
      <c r="T741" s="26" t="str">
        <f t="shared" si="1064"/>
        <v/>
      </c>
      <c r="U741" s="26" t="str">
        <f t="shared" si="1065"/>
        <v/>
      </c>
      <c r="V741" s="26" t="str">
        <f t="shared" si="1066"/>
        <v/>
      </c>
      <c r="W741" s="27" t="str">
        <f t="shared" si="1067"/>
        <v/>
      </c>
      <c r="X741" s="27" t="str">
        <f t="shared" si="1068"/>
        <v/>
      </c>
      <c r="Y741" s="28" t="str">
        <f t="shared" si="1069"/>
        <v/>
      </c>
      <c r="Z741" s="27" t="str">
        <f t="shared" si="1070"/>
        <v/>
      </c>
      <c r="AA741" s="27" t="str">
        <f t="shared" si="1071"/>
        <v/>
      </c>
      <c r="AB741" s="27" t="str">
        <f t="shared" si="1072"/>
        <v/>
      </c>
      <c r="AC741" s="27" t="str">
        <f t="shared" si="1073"/>
        <v/>
      </c>
      <c r="AD741" s="29" t="str">
        <f t="shared" si="1074"/>
        <v/>
      </c>
      <c r="AE741" s="30" t="str">
        <f t="shared" si="1075"/>
        <v/>
      </c>
      <c r="AG741" s="4"/>
      <c r="AH741" s="31" t="e">
        <f t="shared" si="1076"/>
        <v>#VALUE!</v>
      </c>
      <c r="AI741" s="31" t="e">
        <f t="shared" si="1077"/>
        <v>#VALUE!</v>
      </c>
      <c r="AJ741" s="31" t="e">
        <f t="shared" si="1078"/>
        <v>#VALUE!</v>
      </c>
      <c r="AK741" s="31" t="e">
        <f t="shared" si="1079"/>
        <v>#VALUE!</v>
      </c>
      <c r="AL741" s="31" t="e">
        <f t="shared" si="1080"/>
        <v>#VALUE!</v>
      </c>
      <c r="AM741" s="31" t="e">
        <f t="shared" si="1081"/>
        <v>#VALUE!</v>
      </c>
      <c r="AN741" s="32" t="str">
        <f t="shared" si="1082"/>
        <v/>
      </c>
      <c r="AO741" s="27" t="str">
        <f t="shared" si="1083"/>
        <v/>
      </c>
      <c r="AP741" s="27" t="str">
        <f t="shared" si="1084"/>
        <v/>
      </c>
      <c r="AQ741" s="27">
        <f t="shared" si="1085"/>
        <v>0</v>
      </c>
      <c r="AR741" s="27">
        <f t="shared" si="1086"/>
        <v>0</v>
      </c>
      <c r="AS741" s="33">
        <f t="shared" si="1087"/>
        <v>0</v>
      </c>
    </row>
    <row r="742" spans="2:45" hidden="1" x14ac:dyDescent="0.25">
      <c r="B742" s="34" t="str">
        <f t="shared" ref="B742:F742" si="1127">IF(B741="","",B741)</f>
        <v/>
      </c>
      <c r="C742" s="26" t="str">
        <f t="shared" si="1127"/>
        <v/>
      </c>
      <c r="D742" s="26" t="str">
        <f t="shared" si="1127"/>
        <v/>
      </c>
      <c r="E742" s="26" t="str">
        <f t="shared" si="1127"/>
        <v/>
      </c>
      <c r="F742" s="26" t="str">
        <f t="shared" si="1127"/>
        <v/>
      </c>
      <c r="G742" s="24"/>
      <c r="H742" s="24"/>
      <c r="I742" s="24"/>
      <c r="J742" s="24"/>
      <c r="K742" s="24"/>
      <c r="L742" s="24"/>
      <c r="M742" s="44" t="str">
        <f t="shared" si="1119"/>
        <v/>
      </c>
      <c r="N742" s="26" t="str">
        <f t="shared" si="1058"/>
        <v/>
      </c>
      <c r="O742" s="26" t="str">
        <f t="shared" si="1059"/>
        <v/>
      </c>
      <c r="P742" s="26" t="str">
        <f t="shared" si="1060"/>
        <v/>
      </c>
      <c r="Q742" s="26">
        <f t="shared" si="1061"/>
        <v>0</v>
      </c>
      <c r="R742" s="26">
        <f t="shared" si="1062"/>
        <v>0</v>
      </c>
      <c r="S742" s="26">
        <f t="shared" si="1063"/>
        <v>0</v>
      </c>
      <c r="T742" s="26" t="str">
        <f t="shared" si="1064"/>
        <v/>
      </c>
      <c r="U742" s="26" t="str">
        <f t="shared" si="1065"/>
        <v/>
      </c>
      <c r="V742" s="26" t="str">
        <f t="shared" si="1066"/>
        <v/>
      </c>
      <c r="W742" s="27" t="str">
        <f t="shared" si="1067"/>
        <v/>
      </c>
      <c r="X742" s="27" t="str">
        <f t="shared" si="1068"/>
        <v/>
      </c>
      <c r="Y742" s="28" t="str">
        <f t="shared" si="1069"/>
        <v/>
      </c>
      <c r="Z742" s="27" t="str">
        <f t="shared" si="1070"/>
        <v/>
      </c>
      <c r="AA742" s="27" t="str">
        <f t="shared" si="1071"/>
        <v/>
      </c>
      <c r="AB742" s="27" t="str">
        <f t="shared" si="1072"/>
        <v/>
      </c>
      <c r="AC742" s="27" t="str">
        <f t="shared" si="1073"/>
        <v/>
      </c>
      <c r="AD742" s="29" t="str">
        <f t="shared" si="1074"/>
        <v/>
      </c>
      <c r="AE742" s="30" t="str">
        <f t="shared" si="1075"/>
        <v/>
      </c>
      <c r="AG742" s="4"/>
      <c r="AH742" s="31" t="e">
        <f t="shared" si="1076"/>
        <v>#VALUE!</v>
      </c>
      <c r="AI742" s="31" t="e">
        <f t="shared" si="1077"/>
        <v>#VALUE!</v>
      </c>
      <c r="AJ742" s="31" t="e">
        <f t="shared" si="1078"/>
        <v>#VALUE!</v>
      </c>
      <c r="AK742" s="31" t="e">
        <f t="shared" si="1079"/>
        <v>#VALUE!</v>
      </c>
      <c r="AL742" s="31" t="e">
        <f t="shared" si="1080"/>
        <v>#VALUE!</v>
      </c>
      <c r="AM742" s="31" t="e">
        <f t="shared" si="1081"/>
        <v>#VALUE!</v>
      </c>
      <c r="AN742" s="32" t="str">
        <f t="shared" si="1082"/>
        <v/>
      </c>
      <c r="AO742" s="27" t="str">
        <f t="shared" si="1083"/>
        <v/>
      </c>
      <c r="AP742" s="27" t="str">
        <f t="shared" si="1084"/>
        <v/>
      </c>
      <c r="AQ742" s="27">
        <f t="shared" si="1085"/>
        <v>0</v>
      </c>
      <c r="AR742" s="27">
        <f t="shared" si="1086"/>
        <v>0</v>
      </c>
      <c r="AS742" s="33">
        <f t="shared" si="1087"/>
        <v>0</v>
      </c>
    </row>
    <row r="743" spans="2:45" hidden="1" x14ac:dyDescent="0.25">
      <c r="B743" s="34" t="str">
        <f>IF(B742="","",B742)</f>
        <v/>
      </c>
      <c r="C743" s="26" t="str">
        <f t="shared" ref="C743:F743" si="1128">IF(C742="","",C742)</f>
        <v/>
      </c>
      <c r="D743" s="26" t="str">
        <f t="shared" si="1128"/>
        <v/>
      </c>
      <c r="E743" s="26" t="str">
        <f t="shared" si="1128"/>
        <v/>
      </c>
      <c r="F743" s="26" t="str">
        <f t="shared" si="1128"/>
        <v/>
      </c>
      <c r="G743" s="24"/>
      <c r="H743" s="24"/>
      <c r="I743" s="24"/>
      <c r="J743" s="24"/>
      <c r="K743" s="24"/>
      <c r="L743" s="24"/>
      <c r="M743" s="44" t="str">
        <f t="shared" si="1119"/>
        <v/>
      </c>
      <c r="N743" s="26" t="str">
        <f t="shared" si="1058"/>
        <v/>
      </c>
      <c r="O743" s="26" t="str">
        <f t="shared" si="1059"/>
        <v/>
      </c>
      <c r="P743" s="26" t="str">
        <f t="shared" si="1060"/>
        <v/>
      </c>
      <c r="Q743" s="26">
        <f t="shared" si="1061"/>
        <v>0</v>
      </c>
      <c r="R743" s="26">
        <f t="shared" si="1062"/>
        <v>0</v>
      </c>
      <c r="S743" s="26">
        <f t="shared" si="1063"/>
        <v>0</v>
      </c>
      <c r="T743" s="26" t="str">
        <f t="shared" si="1064"/>
        <v/>
      </c>
      <c r="U743" s="26" t="str">
        <f t="shared" si="1065"/>
        <v/>
      </c>
      <c r="V743" s="26" t="str">
        <f t="shared" si="1066"/>
        <v/>
      </c>
      <c r="W743" s="27" t="str">
        <f t="shared" si="1067"/>
        <v/>
      </c>
      <c r="X743" s="27" t="str">
        <f t="shared" si="1068"/>
        <v/>
      </c>
      <c r="Y743" s="28" t="str">
        <f t="shared" si="1069"/>
        <v/>
      </c>
      <c r="Z743" s="27" t="str">
        <f t="shared" si="1070"/>
        <v/>
      </c>
      <c r="AA743" s="27" t="str">
        <f t="shared" si="1071"/>
        <v/>
      </c>
      <c r="AB743" s="27" t="str">
        <f t="shared" si="1072"/>
        <v/>
      </c>
      <c r="AC743" s="27" t="str">
        <f t="shared" si="1073"/>
        <v/>
      </c>
      <c r="AD743" s="29" t="str">
        <f t="shared" si="1074"/>
        <v/>
      </c>
      <c r="AE743" s="30" t="str">
        <f t="shared" si="1075"/>
        <v/>
      </c>
      <c r="AG743" s="4"/>
      <c r="AH743" s="31" t="e">
        <f t="shared" si="1076"/>
        <v>#VALUE!</v>
      </c>
      <c r="AI743" s="31" t="e">
        <f t="shared" si="1077"/>
        <v>#VALUE!</v>
      </c>
      <c r="AJ743" s="31" t="e">
        <f t="shared" si="1078"/>
        <v>#VALUE!</v>
      </c>
      <c r="AK743" s="31" t="e">
        <f t="shared" si="1079"/>
        <v>#VALUE!</v>
      </c>
      <c r="AL743" s="31" t="e">
        <f t="shared" si="1080"/>
        <v>#VALUE!</v>
      </c>
      <c r="AM743" s="31" t="e">
        <f t="shared" si="1081"/>
        <v>#VALUE!</v>
      </c>
      <c r="AN743" s="32" t="str">
        <f t="shared" si="1082"/>
        <v/>
      </c>
      <c r="AO743" s="27" t="str">
        <f t="shared" si="1083"/>
        <v/>
      </c>
      <c r="AP743" s="27" t="str">
        <f t="shared" si="1084"/>
        <v/>
      </c>
      <c r="AQ743" s="27">
        <f t="shared" si="1085"/>
        <v>0</v>
      </c>
      <c r="AR743" s="27">
        <f t="shared" si="1086"/>
        <v>0</v>
      </c>
      <c r="AS743" s="33">
        <f t="shared" si="1087"/>
        <v>0</v>
      </c>
    </row>
    <row r="744" spans="2:45" hidden="1" x14ac:dyDescent="0.25">
      <c r="B744" s="34" t="str">
        <f t="shared" ref="B744:F744" si="1129">IF(B743="","",B743)</f>
        <v/>
      </c>
      <c r="C744" s="26" t="str">
        <f t="shared" si="1129"/>
        <v/>
      </c>
      <c r="D744" s="26" t="str">
        <f t="shared" si="1129"/>
        <v/>
      </c>
      <c r="E744" s="26" t="str">
        <f t="shared" si="1129"/>
        <v/>
      </c>
      <c r="F744" s="26" t="str">
        <f t="shared" si="1129"/>
        <v/>
      </c>
      <c r="G744" s="24"/>
      <c r="H744" s="24"/>
      <c r="I744" s="24"/>
      <c r="J744" s="24"/>
      <c r="K744" s="24"/>
      <c r="L744" s="24"/>
      <c r="M744" s="44" t="str">
        <f t="shared" si="1119"/>
        <v/>
      </c>
      <c r="N744" s="26" t="str">
        <f t="shared" si="1058"/>
        <v/>
      </c>
      <c r="O744" s="26" t="str">
        <f t="shared" si="1059"/>
        <v/>
      </c>
      <c r="P744" s="26" t="str">
        <f t="shared" si="1060"/>
        <v/>
      </c>
      <c r="Q744" s="26">
        <f t="shared" si="1061"/>
        <v>0</v>
      </c>
      <c r="R744" s="26">
        <f t="shared" si="1062"/>
        <v>0</v>
      </c>
      <c r="S744" s="26">
        <f t="shared" si="1063"/>
        <v>0</v>
      </c>
      <c r="T744" s="26" t="str">
        <f t="shared" si="1064"/>
        <v/>
      </c>
      <c r="U744" s="26" t="str">
        <f t="shared" si="1065"/>
        <v/>
      </c>
      <c r="V744" s="26" t="str">
        <f t="shared" si="1066"/>
        <v/>
      </c>
      <c r="W744" s="27" t="str">
        <f t="shared" si="1067"/>
        <v/>
      </c>
      <c r="X744" s="27" t="str">
        <f t="shared" si="1068"/>
        <v/>
      </c>
      <c r="Y744" s="28" t="str">
        <f t="shared" si="1069"/>
        <v/>
      </c>
      <c r="Z744" s="27" t="str">
        <f t="shared" si="1070"/>
        <v/>
      </c>
      <c r="AA744" s="27" t="str">
        <f t="shared" si="1071"/>
        <v/>
      </c>
      <c r="AB744" s="27" t="str">
        <f t="shared" si="1072"/>
        <v/>
      </c>
      <c r="AC744" s="27" t="str">
        <f t="shared" si="1073"/>
        <v/>
      </c>
      <c r="AD744" s="29" t="str">
        <f t="shared" si="1074"/>
        <v/>
      </c>
      <c r="AE744" s="30" t="str">
        <f t="shared" si="1075"/>
        <v/>
      </c>
      <c r="AG744" s="4"/>
      <c r="AH744" s="31" t="e">
        <f t="shared" si="1076"/>
        <v>#VALUE!</v>
      </c>
      <c r="AI744" s="31" t="e">
        <f t="shared" si="1077"/>
        <v>#VALUE!</v>
      </c>
      <c r="AJ744" s="31" t="e">
        <f t="shared" si="1078"/>
        <v>#VALUE!</v>
      </c>
      <c r="AK744" s="31" t="e">
        <f t="shared" si="1079"/>
        <v>#VALUE!</v>
      </c>
      <c r="AL744" s="31" t="e">
        <f t="shared" si="1080"/>
        <v>#VALUE!</v>
      </c>
      <c r="AM744" s="31" t="e">
        <f t="shared" si="1081"/>
        <v>#VALUE!</v>
      </c>
      <c r="AN744" s="32" t="str">
        <f t="shared" si="1082"/>
        <v/>
      </c>
      <c r="AO744" s="27" t="str">
        <f t="shared" si="1083"/>
        <v/>
      </c>
      <c r="AP744" s="27" t="str">
        <f t="shared" si="1084"/>
        <v/>
      </c>
      <c r="AQ744" s="27">
        <f t="shared" si="1085"/>
        <v>0</v>
      </c>
      <c r="AR744" s="27">
        <f t="shared" si="1086"/>
        <v>0</v>
      </c>
      <c r="AS744" s="33">
        <f t="shared" si="1087"/>
        <v>0</v>
      </c>
    </row>
    <row r="745" spans="2:45" hidden="1" x14ac:dyDescent="0.25">
      <c r="B745" s="34" t="str">
        <f t="shared" ref="B745:F745" si="1130">IF(B744="","",B744)</f>
        <v/>
      </c>
      <c r="C745" s="26" t="str">
        <f t="shared" si="1130"/>
        <v/>
      </c>
      <c r="D745" s="26" t="str">
        <f t="shared" si="1130"/>
        <v/>
      </c>
      <c r="E745" s="26" t="str">
        <f t="shared" si="1130"/>
        <v/>
      </c>
      <c r="F745" s="26" t="str">
        <f t="shared" si="1130"/>
        <v/>
      </c>
      <c r="G745" s="24"/>
      <c r="H745" s="24"/>
      <c r="I745" s="24"/>
      <c r="J745" s="24"/>
      <c r="K745" s="24"/>
      <c r="L745" s="24"/>
      <c r="M745" s="44" t="str">
        <f t="shared" si="1119"/>
        <v/>
      </c>
      <c r="N745" s="26" t="str">
        <f t="shared" si="1058"/>
        <v/>
      </c>
      <c r="O745" s="26" t="str">
        <f t="shared" si="1059"/>
        <v/>
      </c>
      <c r="P745" s="26" t="str">
        <f t="shared" si="1060"/>
        <v/>
      </c>
      <c r="Q745" s="26">
        <f t="shared" si="1061"/>
        <v>0</v>
      </c>
      <c r="R745" s="26">
        <f t="shared" si="1062"/>
        <v>0</v>
      </c>
      <c r="S745" s="26">
        <f t="shared" si="1063"/>
        <v>0</v>
      </c>
      <c r="T745" s="26" t="str">
        <f t="shared" si="1064"/>
        <v/>
      </c>
      <c r="U745" s="26" t="str">
        <f t="shared" si="1065"/>
        <v/>
      </c>
      <c r="V745" s="26" t="str">
        <f t="shared" si="1066"/>
        <v/>
      </c>
      <c r="W745" s="27" t="str">
        <f t="shared" si="1067"/>
        <v/>
      </c>
      <c r="X745" s="27" t="str">
        <f t="shared" si="1068"/>
        <v/>
      </c>
      <c r="Y745" s="28" t="str">
        <f t="shared" si="1069"/>
        <v/>
      </c>
      <c r="Z745" s="27" t="str">
        <f t="shared" si="1070"/>
        <v/>
      </c>
      <c r="AA745" s="27" t="str">
        <f t="shared" si="1071"/>
        <v/>
      </c>
      <c r="AB745" s="27" t="str">
        <f t="shared" si="1072"/>
        <v/>
      </c>
      <c r="AC745" s="27" t="str">
        <f t="shared" si="1073"/>
        <v/>
      </c>
      <c r="AD745" s="29" t="str">
        <f t="shared" si="1074"/>
        <v/>
      </c>
      <c r="AE745" s="30" t="str">
        <f t="shared" si="1075"/>
        <v/>
      </c>
      <c r="AG745" s="4"/>
      <c r="AH745" s="31" t="e">
        <f t="shared" si="1076"/>
        <v>#VALUE!</v>
      </c>
      <c r="AI745" s="31" t="e">
        <f t="shared" si="1077"/>
        <v>#VALUE!</v>
      </c>
      <c r="AJ745" s="31" t="e">
        <f t="shared" si="1078"/>
        <v>#VALUE!</v>
      </c>
      <c r="AK745" s="31" t="e">
        <f t="shared" si="1079"/>
        <v>#VALUE!</v>
      </c>
      <c r="AL745" s="31" t="e">
        <f t="shared" si="1080"/>
        <v>#VALUE!</v>
      </c>
      <c r="AM745" s="31" t="e">
        <f t="shared" si="1081"/>
        <v>#VALUE!</v>
      </c>
      <c r="AN745" s="32" t="str">
        <f t="shared" si="1082"/>
        <v/>
      </c>
      <c r="AO745" s="27" t="str">
        <f t="shared" si="1083"/>
        <v/>
      </c>
      <c r="AP745" s="27" t="str">
        <f t="shared" si="1084"/>
        <v/>
      </c>
      <c r="AQ745" s="27">
        <f t="shared" si="1085"/>
        <v>0</v>
      </c>
      <c r="AR745" s="27">
        <f t="shared" si="1086"/>
        <v>0</v>
      </c>
      <c r="AS745" s="33">
        <f t="shared" si="1087"/>
        <v>0</v>
      </c>
    </row>
    <row r="746" spans="2:45" hidden="1" x14ac:dyDescent="0.25">
      <c r="B746" s="34" t="str">
        <f t="shared" ref="B746:F746" si="1131">IF(B745="","",B745)</f>
        <v/>
      </c>
      <c r="C746" s="26" t="str">
        <f t="shared" si="1131"/>
        <v/>
      </c>
      <c r="D746" s="26" t="str">
        <f t="shared" si="1131"/>
        <v/>
      </c>
      <c r="E746" s="26" t="str">
        <f t="shared" si="1131"/>
        <v/>
      </c>
      <c r="F746" s="26" t="str">
        <f t="shared" si="1131"/>
        <v/>
      </c>
      <c r="G746" s="24"/>
      <c r="H746" s="24"/>
      <c r="I746" s="24"/>
      <c r="J746" s="24"/>
      <c r="K746" s="24"/>
      <c r="L746" s="24"/>
      <c r="M746" s="44" t="str">
        <f t="shared" si="1119"/>
        <v/>
      </c>
      <c r="N746" s="26" t="str">
        <f t="shared" si="1058"/>
        <v/>
      </c>
      <c r="O746" s="26" t="str">
        <f t="shared" si="1059"/>
        <v/>
      </c>
      <c r="P746" s="26" t="str">
        <f t="shared" si="1060"/>
        <v/>
      </c>
      <c r="Q746" s="26">
        <f t="shared" si="1061"/>
        <v>0</v>
      </c>
      <c r="R746" s="26">
        <f t="shared" si="1062"/>
        <v>0</v>
      </c>
      <c r="S746" s="26">
        <f t="shared" si="1063"/>
        <v>0</v>
      </c>
      <c r="T746" s="26" t="str">
        <f t="shared" si="1064"/>
        <v/>
      </c>
      <c r="U746" s="26" t="str">
        <f t="shared" si="1065"/>
        <v/>
      </c>
      <c r="V746" s="26" t="str">
        <f t="shared" si="1066"/>
        <v/>
      </c>
      <c r="W746" s="27" t="str">
        <f t="shared" si="1067"/>
        <v/>
      </c>
      <c r="X746" s="27" t="str">
        <f t="shared" si="1068"/>
        <v/>
      </c>
      <c r="Y746" s="28" t="str">
        <f t="shared" si="1069"/>
        <v/>
      </c>
      <c r="Z746" s="27" t="str">
        <f t="shared" si="1070"/>
        <v/>
      </c>
      <c r="AA746" s="27" t="str">
        <f t="shared" si="1071"/>
        <v/>
      </c>
      <c r="AB746" s="27" t="str">
        <f t="shared" si="1072"/>
        <v/>
      </c>
      <c r="AC746" s="27" t="str">
        <f t="shared" si="1073"/>
        <v/>
      </c>
      <c r="AD746" s="29" t="str">
        <f t="shared" si="1074"/>
        <v/>
      </c>
      <c r="AE746" s="30" t="str">
        <f t="shared" si="1075"/>
        <v/>
      </c>
      <c r="AG746" s="4"/>
      <c r="AH746" s="31" t="e">
        <f t="shared" si="1076"/>
        <v>#VALUE!</v>
      </c>
      <c r="AI746" s="31" t="e">
        <f t="shared" si="1077"/>
        <v>#VALUE!</v>
      </c>
      <c r="AJ746" s="31" t="e">
        <f t="shared" si="1078"/>
        <v>#VALUE!</v>
      </c>
      <c r="AK746" s="31" t="e">
        <f t="shared" si="1079"/>
        <v>#VALUE!</v>
      </c>
      <c r="AL746" s="31" t="e">
        <f t="shared" si="1080"/>
        <v>#VALUE!</v>
      </c>
      <c r="AM746" s="31" t="e">
        <f t="shared" si="1081"/>
        <v>#VALUE!</v>
      </c>
      <c r="AN746" s="32" t="str">
        <f t="shared" si="1082"/>
        <v/>
      </c>
      <c r="AO746" s="27" t="str">
        <f t="shared" si="1083"/>
        <v/>
      </c>
      <c r="AP746" s="27" t="str">
        <f t="shared" si="1084"/>
        <v/>
      </c>
      <c r="AQ746" s="27">
        <f t="shared" si="1085"/>
        <v>0</v>
      </c>
      <c r="AR746" s="27">
        <f t="shared" si="1086"/>
        <v>0</v>
      </c>
      <c r="AS746" s="33">
        <f t="shared" si="1087"/>
        <v>0</v>
      </c>
    </row>
    <row r="747" spans="2:45" hidden="1" x14ac:dyDescent="0.25">
      <c r="B747" s="34" t="str">
        <f t="shared" ref="B747:F747" si="1132">IF(B746="","",B746)</f>
        <v/>
      </c>
      <c r="C747" s="26" t="str">
        <f t="shared" si="1132"/>
        <v/>
      </c>
      <c r="D747" s="26" t="str">
        <f t="shared" si="1132"/>
        <v/>
      </c>
      <c r="E747" s="26" t="str">
        <f t="shared" si="1132"/>
        <v/>
      </c>
      <c r="F747" s="26" t="str">
        <f t="shared" si="1132"/>
        <v/>
      </c>
      <c r="G747" s="24"/>
      <c r="H747" s="24"/>
      <c r="I747" s="24"/>
      <c r="J747" s="24"/>
      <c r="K747" s="24"/>
      <c r="L747" s="24"/>
      <c r="M747" s="44" t="str">
        <f t="shared" si="1119"/>
        <v/>
      </c>
      <c r="N747" s="26" t="str">
        <f t="shared" si="1058"/>
        <v/>
      </c>
      <c r="O747" s="26" t="str">
        <f t="shared" si="1059"/>
        <v/>
      </c>
      <c r="P747" s="26" t="str">
        <f t="shared" si="1060"/>
        <v/>
      </c>
      <c r="Q747" s="26">
        <f t="shared" si="1061"/>
        <v>0</v>
      </c>
      <c r="R747" s="26">
        <f t="shared" si="1062"/>
        <v>0</v>
      </c>
      <c r="S747" s="26">
        <f t="shared" si="1063"/>
        <v>0</v>
      </c>
      <c r="T747" s="26" t="str">
        <f t="shared" si="1064"/>
        <v/>
      </c>
      <c r="U747" s="26" t="str">
        <f t="shared" si="1065"/>
        <v/>
      </c>
      <c r="V747" s="26" t="str">
        <f t="shared" si="1066"/>
        <v/>
      </c>
      <c r="W747" s="27" t="str">
        <f t="shared" si="1067"/>
        <v/>
      </c>
      <c r="X747" s="27" t="str">
        <f t="shared" si="1068"/>
        <v/>
      </c>
      <c r="Y747" s="28" t="str">
        <f t="shared" si="1069"/>
        <v/>
      </c>
      <c r="Z747" s="27" t="str">
        <f t="shared" si="1070"/>
        <v/>
      </c>
      <c r="AA747" s="27" t="str">
        <f t="shared" si="1071"/>
        <v/>
      </c>
      <c r="AB747" s="27" t="str">
        <f t="shared" si="1072"/>
        <v/>
      </c>
      <c r="AC747" s="27" t="str">
        <f t="shared" si="1073"/>
        <v/>
      </c>
      <c r="AD747" s="29" t="str">
        <f t="shared" si="1074"/>
        <v/>
      </c>
      <c r="AE747" s="30" t="str">
        <f t="shared" si="1075"/>
        <v/>
      </c>
      <c r="AG747" s="4"/>
      <c r="AH747" s="31" t="e">
        <f t="shared" si="1076"/>
        <v>#VALUE!</v>
      </c>
      <c r="AI747" s="31" t="e">
        <f t="shared" si="1077"/>
        <v>#VALUE!</v>
      </c>
      <c r="AJ747" s="31" t="e">
        <f t="shared" si="1078"/>
        <v>#VALUE!</v>
      </c>
      <c r="AK747" s="31" t="e">
        <f t="shared" si="1079"/>
        <v>#VALUE!</v>
      </c>
      <c r="AL747" s="31" t="e">
        <f t="shared" si="1080"/>
        <v>#VALUE!</v>
      </c>
      <c r="AM747" s="31" t="e">
        <f t="shared" si="1081"/>
        <v>#VALUE!</v>
      </c>
      <c r="AN747" s="32" t="str">
        <f t="shared" si="1082"/>
        <v/>
      </c>
      <c r="AO747" s="27" t="str">
        <f t="shared" si="1083"/>
        <v/>
      </c>
      <c r="AP747" s="27" t="str">
        <f t="shared" si="1084"/>
        <v/>
      </c>
      <c r="AQ747" s="27">
        <f t="shared" si="1085"/>
        <v>0</v>
      </c>
      <c r="AR747" s="27">
        <f t="shared" si="1086"/>
        <v>0</v>
      </c>
      <c r="AS747" s="33">
        <f t="shared" si="1087"/>
        <v>0</v>
      </c>
    </row>
    <row r="748" spans="2:45" hidden="1" x14ac:dyDescent="0.25">
      <c r="B748" s="34" t="str">
        <f t="shared" ref="B748:F748" si="1133">IF(B747="","",B747)</f>
        <v/>
      </c>
      <c r="C748" s="26" t="str">
        <f t="shared" si="1133"/>
        <v/>
      </c>
      <c r="D748" s="26" t="str">
        <f t="shared" si="1133"/>
        <v/>
      </c>
      <c r="E748" s="26" t="str">
        <f t="shared" si="1133"/>
        <v/>
      </c>
      <c r="F748" s="26" t="str">
        <f t="shared" si="1133"/>
        <v/>
      </c>
      <c r="G748" s="24"/>
      <c r="H748" s="24"/>
      <c r="I748" s="24"/>
      <c r="J748" s="24"/>
      <c r="K748" s="24"/>
      <c r="L748" s="24"/>
      <c r="M748" s="44" t="str">
        <f t="shared" si="1119"/>
        <v/>
      </c>
      <c r="N748" s="26" t="str">
        <f t="shared" si="1058"/>
        <v/>
      </c>
      <c r="O748" s="26" t="str">
        <f t="shared" si="1059"/>
        <v/>
      </c>
      <c r="P748" s="26" t="str">
        <f t="shared" si="1060"/>
        <v/>
      </c>
      <c r="Q748" s="26">
        <f t="shared" si="1061"/>
        <v>0</v>
      </c>
      <c r="R748" s="26">
        <f t="shared" si="1062"/>
        <v>0</v>
      </c>
      <c r="S748" s="26">
        <f t="shared" si="1063"/>
        <v>0</v>
      </c>
      <c r="T748" s="26" t="str">
        <f t="shared" si="1064"/>
        <v/>
      </c>
      <c r="U748" s="26" t="str">
        <f t="shared" si="1065"/>
        <v/>
      </c>
      <c r="V748" s="26" t="str">
        <f t="shared" si="1066"/>
        <v/>
      </c>
      <c r="W748" s="27" t="str">
        <f t="shared" si="1067"/>
        <v/>
      </c>
      <c r="X748" s="27" t="str">
        <f t="shared" si="1068"/>
        <v/>
      </c>
      <c r="Y748" s="28" t="str">
        <f t="shared" si="1069"/>
        <v/>
      </c>
      <c r="Z748" s="27" t="str">
        <f t="shared" si="1070"/>
        <v/>
      </c>
      <c r="AA748" s="27" t="str">
        <f t="shared" si="1071"/>
        <v/>
      </c>
      <c r="AB748" s="27" t="str">
        <f t="shared" si="1072"/>
        <v/>
      </c>
      <c r="AC748" s="27" t="str">
        <f t="shared" si="1073"/>
        <v/>
      </c>
      <c r="AD748" s="29" t="str">
        <f t="shared" si="1074"/>
        <v/>
      </c>
      <c r="AE748" s="30" t="str">
        <f t="shared" si="1075"/>
        <v/>
      </c>
      <c r="AG748" s="4"/>
      <c r="AH748" s="31" t="e">
        <f t="shared" si="1076"/>
        <v>#VALUE!</v>
      </c>
      <c r="AI748" s="31" t="e">
        <f t="shared" si="1077"/>
        <v>#VALUE!</v>
      </c>
      <c r="AJ748" s="31" t="e">
        <f t="shared" si="1078"/>
        <v>#VALUE!</v>
      </c>
      <c r="AK748" s="31" t="e">
        <f t="shared" si="1079"/>
        <v>#VALUE!</v>
      </c>
      <c r="AL748" s="31" t="e">
        <f t="shared" si="1080"/>
        <v>#VALUE!</v>
      </c>
      <c r="AM748" s="31" t="e">
        <f t="shared" si="1081"/>
        <v>#VALUE!</v>
      </c>
      <c r="AN748" s="32" t="str">
        <f t="shared" si="1082"/>
        <v/>
      </c>
      <c r="AO748" s="27" t="str">
        <f t="shared" si="1083"/>
        <v/>
      </c>
      <c r="AP748" s="27" t="str">
        <f t="shared" si="1084"/>
        <v/>
      </c>
      <c r="AQ748" s="27">
        <f t="shared" si="1085"/>
        <v>0</v>
      </c>
      <c r="AR748" s="27">
        <f t="shared" si="1086"/>
        <v>0</v>
      </c>
      <c r="AS748" s="33">
        <f t="shared" si="1087"/>
        <v>0</v>
      </c>
    </row>
    <row r="749" spans="2:45" hidden="1" x14ac:dyDescent="0.25">
      <c r="B749" s="34" t="str">
        <f t="shared" ref="B749:F749" si="1134">IF(B748="","",B748)</f>
        <v/>
      </c>
      <c r="C749" s="26" t="str">
        <f t="shared" si="1134"/>
        <v/>
      </c>
      <c r="D749" s="26" t="str">
        <f t="shared" si="1134"/>
        <v/>
      </c>
      <c r="E749" s="26" t="str">
        <f t="shared" si="1134"/>
        <v/>
      </c>
      <c r="F749" s="26" t="str">
        <f t="shared" si="1134"/>
        <v/>
      </c>
      <c r="G749" s="24"/>
      <c r="H749" s="24"/>
      <c r="I749" s="24"/>
      <c r="J749" s="24"/>
      <c r="K749" s="24"/>
      <c r="L749" s="24"/>
      <c r="M749" s="44" t="str">
        <f t="shared" si="1119"/>
        <v/>
      </c>
      <c r="N749" s="26" t="str">
        <f t="shared" si="1058"/>
        <v/>
      </c>
      <c r="O749" s="26" t="str">
        <f t="shared" si="1059"/>
        <v/>
      </c>
      <c r="P749" s="26" t="str">
        <f t="shared" si="1060"/>
        <v/>
      </c>
      <c r="Q749" s="26">
        <f t="shared" si="1061"/>
        <v>0</v>
      </c>
      <c r="R749" s="26">
        <f t="shared" si="1062"/>
        <v>0</v>
      </c>
      <c r="S749" s="26">
        <f t="shared" si="1063"/>
        <v>0</v>
      </c>
      <c r="T749" s="26" t="str">
        <f t="shared" si="1064"/>
        <v/>
      </c>
      <c r="U749" s="26" t="str">
        <f t="shared" si="1065"/>
        <v/>
      </c>
      <c r="V749" s="26" t="str">
        <f t="shared" si="1066"/>
        <v/>
      </c>
      <c r="W749" s="27" t="str">
        <f t="shared" si="1067"/>
        <v/>
      </c>
      <c r="X749" s="27" t="str">
        <f t="shared" si="1068"/>
        <v/>
      </c>
      <c r="Y749" s="28" t="str">
        <f t="shared" si="1069"/>
        <v/>
      </c>
      <c r="Z749" s="27" t="str">
        <f t="shared" si="1070"/>
        <v/>
      </c>
      <c r="AA749" s="27" t="str">
        <f t="shared" si="1071"/>
        <v/>
      </c>
      <c r="AB749" s="27" t="str">
        <f t="shared" si="1072"/>
        <v/>
      </c>
      <c r="AC749" s="27" t="str">
        <f t="shared" si="1073"/>
        <v/>
      </c>
      <c r="AD749" s="29" t="str">
        <f t="shared" si="1074"/>
        <v/>
      </c>
      <c r="AE749" s="30" t="str">
        <f t="shared" si="1075"/>
        <v/>
      </c>
      <c r="AG749" s="4"/>
      <c r="AH749" s="31" t="e">
        <f t="shared" si="1076"/>
        <v>#VALUE!</v>
      </c>
      <c r="AI749" s="31" t="e">
        <f t="shared" si="1077"/>
        <v>#VALUE!</v>
      </c>
      <c r="AJ749" s="31" t="e">
        <f t="shared" si="1078"/>
        <v>#VALUE!</v>
      </c>
      <c r="AK749" s="31" t="e">
        <f t="shared" si="1079"/>
        <v>#VALUE!</v>
      </c>
      <c r="AL749" s="31" t="e">
        <f t="shared" si="1080"/>
        <v>#VALUE!</v>
      </c>
      <c r="AM749" s="31" t="e">
        <f t="shared" si="1081"/>
        <v>#VALUE!</v>
      </c>
      <c r="AN749" s="32" t="str">
        <f t="shared" si="1082"/>
        <v/>
      </c>
      <c r="AO749" s="27" t="str">
        <f t="shared" si="1083"/>
        <v/>
      </c>
      <c r="AP749" s="27" t="str">
        <f t="shared" si="1084"/>
        <v/>
      </c>
      <c r="AQ749" s="27">
        <f t="shared" si="1085"/>
        <v>0</v>
      </c>
      <c r="AR749" s="27">
        <f t="shared" si="1086"/>
        <v>0</v>
      </c>
      <c r="AS749" s="33">
        <f t="shared" si="1087"/>
        <v>0</v>
      </c>
    </row>
    <row r="750" spans="2:45" hidden="1" x14ac:dyDescent="0.25">
      <c r="B750" s="34" t="str">
        <f t="shared" ref="B750:F750" si="1135">IF(B749="","",B749)</f>
        <v/>
      </c>
      <c r="C750" s="26" t="str">
        <f t="shared" si="1135"/>
        <v/>
      </c>
      <c r="D750" s="26" t="str">
        <f t="shared" si="1135"/>
        <v/>
      </c>
      <c r="E750" s="26" t="str">
        <f t="shared" si="1135"/>
        <v/>
      </c>
      <c r="F750" s="26" t="str">
        <f t="shared" si="1135"/>
        <v/>
      </c>
      <c r="G750" s="24"/>
      <c r="H750" s="24"/>
      <c r="I750" s="24"/>
      <c r="J750" s="24"/>
      <c r="K750" s="24"/>
      <c r="L750" s="24"/>
      <c r="M750" s="44" t="str">
        <f t="shared" si="1119"/>
        <v/>
      </c>
      <c r="N750" s="26" t="str">
        <f t="shared" si="1058"/>
        <v/>
      </c>
      <c r="O750" s="26" t="str">
        <f t="shared" si="1059"/>
        <v/>
      </c>
      <c r="P750" s="26" t="str">
        <f t="shared" si="1060"/>
        <v/>
      </c>
      <c r="Q750" s="26">
        <f t="shared" si="1061"/>
        <v>0</v>
      </c>
      <c r="R750" s="26">
        <f t="shared" si="1062"/>
        <v>0</v>
      </c>
      <c r="S750" s="26">
        <f t="shared" si="1063"/>
        <v>0</v>
      </c>
      <c r="T750" s="26" t="str">
        <f t="shared" si="1064"/>
        <v/>
      </c>
      <c r="U750" s="26" t="str">
        <f t="shared" si="1065"/>
        <v/>
      </c>
      <c r="V750" s="26" t="str">
        <f t="shared" si="1066"/>
        <v/>
      </c>
      <c r="W750" s="27" t="str">
        <f t="shared" si="1067"/>
        <v/>
      </c>
      <c r="X750" s="27" t="str">
        <f t="shared" si="1068"/>
        <v/>
      </c>
      <c r="Y750" s="28" t="str">
        <f t="shared" si="1069"/>
        <v/>
      </c>
      <c r="Z750" s="27" t="str">
        <f t="shared" si="1070"/>
        <v/>
      </c>
      <c r="AA750" s="27" t="str">
        <f t="shared" si="1071"/>
        <v/>
      </c>
      <c r="AB750" s="27" t="str">
        <f t="shared" si="1072"/>
        <v/>
      </c>
      <c r="AC750" s="27" t="str">
        <f t="shared" si="1073"/>
        <v/>
      </c>
      <c r="AD750" s="29" t="str">
        <f t="shared" si="1074"/>
        <v/>
      </c>
      <c r="AE750" s="30" t="str">
        <f t="shared" si="1075"/>
        <v/>
      </c>
      <c r="AG750" s="4"/>
      <c r="AH750" s="31" t="e">
        <f t="shared" si="1076"/>
        <v>#VALUE!</v>
      </c>
      <c r="AI750" s="31" t="e">
        <f t="shared" si="1077"/>
        <v>#VALUE!</v>
      </c>
      <c r="AJ750" s="31" t="e">
        <f t="shared" si="1078"/>
        <v>#VALUE!</v>
      </c>
      <c r="AK750" s="31" t="e">
        <f t="shared" si="1079"/>
        <v>#VALUE!</v>
      </c>
      <c r="AL750" s="31" t="e">
        <f t="shared" si="1080"/>
        <v>#VALUE!</v>
      </c>
      <c r="AM750" s="31" t="e">
        <f t="shared" si="1081"/>
        <v>#VALUE!</v>
      </c>
      <c r="AN750" s="32" t="str">
        <f t="shared" si="1082"/>
        <v/>
      </c>
      <c r="AO750" s="27" t="str">
        <f t="shared" si="1083"/>
        <v/>
      </c>
      <c r="AP750" s="27" t="str">
        <f t="shared" si="1084"/>
        <v/>
      </c>
      <c r="AQ750" s="27">
        <f t="shared" si="1085"/>
        <v>0</v>
      </c>
      <c r="AR750" s="27">
        <f t="shared" si="1086"/>
        <v>0</v>
      </c>
      <c r="AS750" s="33">
        <f t="shared" si="1087"/>
        <v>0</v>
      </c>
    </row>
    <row r="751" spans="2:45" hidden="1" x14ac:dyDescent="0.25">
      <c r="B751" s="34" t="str">
        <f t="shared" ref="B751:F751" si="1136">IF(B750="","",B750)</f>
        <v/>
      </c>
      <c r="C751" s="26" t="str">
        <f t="shared" si="1136"/>
        <v/>
      </c>
      <c r="D751" s="26" t="str">
        <f t="shared" si="1136"/>
        <v/>
      </c>
      <c r="E751" s="26" t="str">
        <f t="shared" si="1136"/>
        <v/>
      </c>
      <c r="F751" s="26" t="str">
        <f t="shared" si="1136"/>
        <v/>
      </c>
      <c r="G751" s="24"/>
      <c r="H751" s="24"/>
      <c r="I751" s="24"/>
      <c r="J751" s="24"/>
      <c r="K751" s="24"/>
      <c r="L751" s="24"/>
      <c r="M751" s="44" t="str">
        <f t="shared" si="1119"/>
        <v/>
      </c>
      <c r="N751" s="26" t="str">
        <f t="shared" si="1058"/>
        <v/>
      </c>
      <c r="O751" s="26" t="str">
        <f t="shared" si="1059"/>
        <v/>
      </c>
      <c r="P751" s="26" t="str">
        <f t="shared" si="1060"/>
        <v/>
      </c>
      <c r="Q751" s="26">
        <f t="shared" si="1061"/>
        <v>0</v>
      </c>
      <c r="R751" s="26">
        <f t="shared" si="1062"/>
        <v>0</v>
      </c>
      <c r="S751" s="26">
        <f t="shared" si="1063"/>
        <v>0</v>
      </c>
      <c r="T751" s="26" t="str">
        <f t="shared" si="1064"/>
        <v/>
      </c>
      <c r="U751" s="26" t="str">
        <f t="shared" si="1065"/>
        <v/>
      </c>
      <c r="V751" s="26" t="str">
        <f t="shared" si="1066"/>
        <v/>
      </c>
      <c r="W751" s="27" t="str">
        <f t="shared" si="1067"/>
        <v/>
      </c>
      <c r="X751" s="27" t="str">
        <f t="shared" si="1068"/>
        <v/>
      </c>
      <c r="Y751" s="28" t="str">
        <f t="shared" si="1069"/>
        <v/>
      </c>
      <c r="Z751" s="27" t="str">
        <f t="shared" si="1070"/>
        <v/>
      </c>
      <c r="AA751" s="27" t="str">
        <f t="shared" si="1071"/>
        <v/>
      </c>
      <c r="AB751" s="27" t="str">
        <f t="shared" si="1072"/>
        <v/>
      </c>
      <c r="AC751" s="27" t="str">
        <f t="shared" si="1073"/>
        <v/>
      </c>
      <c r="AD751" s="29" t="str">
        <f t="shared" si="1074"/>
        <v/>
      </c>
      <c r="AE751" s="30" t="str">
        <f t="shared" si="1075"/>
        <v/>
      </c>
      <c r="AG751" s="4"/>
      <c r="AH751" s="31" t="e">
        <f t="shared" si="1076"/>
        <v>#VALUE!</v>
      </c>
      <c r="AI751" s="31" t="e">
        <f t="shared" si="1077"/>
        <v>#VALUE!</v>
      </c>
      <c r="AJ751" s="31" t="e">
        <f t="shared" si="1078"/>
        <v>#VALUE!</v>
      </c>
      <c r="AK751" s="31" t="e">
        <f t="shared" si="1079"/>
        <v>#VALUE!</v>
      </c>
      <c r="AL751" s="31" t="e">
        <f t="shared" si="1080"/>
        <v>#VALUE!</v>
      </c>
      <c r="AM751" s="31" t="e">
        <f t="shared" si="1081"/>
        <v>#VALUE!</v>
      </c>
      <c r="AN751" s="32" t="str">
        <f t="shared" si="1082"/>
        <v/>
      </c>
      <c r="AO751" s="27" t="str">
        <f t="shared" si="1083"/>
        <v/>
      </c>
      <c r="AP751" s="27" t="str">
        <f t="shared" si="1084"/>
        <v/>
      </c>
      <c r="AQ751" s="27">
        <f t="shared" si="1085"/>
        <v>0</v>
      </c>
      <c r="AR751" s="27">
        <f t="shared" si="1086"/>
        <v>0</v>
      </c>
      <c r="AS751" s="33">
        <f t="shared" si="1087"/>
        <v>0</v>
      </c>
    </row>
    <row r="752" spans="2:45" hidden="1" x14ac:dyDescent="0.25">
      <c r="B752" s="34" t="str">
        <f t="shared" ref="B752:F752" si="1137">IF(B751="","",B751)</f>
        <v/>
      </c>
      <c r="C752" s="26" t="str">
        <f t="shared" si="1137"/>
        <v/>
      </c>
      <c r="D752" s="26" t="str">
        <f t="shared" si="1137"/>
        <v/>
      </c>
      <c r="E752" s="26" t="str">
        <f t="shared" si="1137"/>
        <v/>
      </c>
      <c r="F752" s="26" t="str">
        <f t="shared" si="1137"/>
        <v/>
      </c>
      <c r="G752" s="24"/>
      <c r="H752" s="24"/>
      <c r="I752" s="24"/>
      <c r="J752" s="24"/>
      <c r="K752" s="24"/>
      <c r="L752" s="24"/>
      <c r="M752" s="44" t="str">
        <f t="shared" si="1119"/>
        <v/>
      </c>
      <c r="N752" s="26" t="str">
        <f t="shared" si="1058"/>
        <v/>
      </c>
      <c r="O752" s="26" t="str">
        <f t="shared" si="1059"/>
        <v/>
      </c>
      <c r="P752" s="26" t="str">
        <f t="shared" si="1060"/>
        <v/>
      </c>
      <c r="Q752" s="26">
        <f t="shared" si="1061"/>
        <v>0</v>
      </c>
      <c r="R752" s="26">
        <f t="shared" si="1062"/>
        <v>0</v>
      </c>
      <c r="S752" s="26">
        <f t="shared" si="1063"/>
        <v>0</v>
      </c>
      <c r="T752" s="26" t="str">
        <f t="shared" si="1064"/>
        <v/>
      </c>
      <c r="U752" s="26" t="str">
        <f t="shared" si="1065"/>
        <v/>
      </c>
      <c r="V752" s="26" t="str">
        <f t="shared" si="1066"/>
        <v/>
      </c>
      <c r="W752" s="27" t="str">
        <f t="shared" si="1067"/>
        <v/>
      </c>
      <c r="X752" s="27" t="str">
        <f t="shared" si="1068"/>
        <v/>
      </c>
      <c r="Y752" s="28" t="str">
        <f t="shared" si="1069"/>
        <v/>
      </c>
      <c r="Z752" s="27" t="str">
        <f t="shared" si="1070"/>
        <v/>
      </c>
      <c r="AA752" s="27" t="str">
        <f t="shared" si="1071"/>
        <v/>
      </c>
      <c r="AB752" s="27" t="str">
        <f t="shared" si="1072"/>
        <v/>
      </c>
      <c r="AC752" s="27" t="str">
        <f t="shared" si="1073"/>
        <v/>
      </c>
      <c r="AD752" s="29" t="str">
        <f t="shared" si="1074"/>
        <v/>
      </c>
      <c r="AE752" s="30" t="str">
        <f t="shared" si="1075"/>
        <v/>
      </c>
      <c r="AG752" s="4"/>
      <c r="AH752" s="31" t="e">
        <f t="shared" si="1076"/>
        <v>#VALUE!</v>
      </c>
      <c r="AI752" s="31" t="e">
        <f t="shared" si="1077"/>
        <v>#VALUE!</v>
      </c>
      <c r="AJ752" s="31" t="e">
        <f t="shared" si="1078"/>
        <v>#VALUE!</v>
      </c>
      <c r="AK752" s="31" t="e">
        <f t="shared" si="1079"/>
        <v>#VALUE!</v>
      </c>
      <c r="AL752" s="31" t="e">
        <f t="shared" si="1080"/>
        <v>#VALUE!</v>
      </c>
      <c r="AM752" s="31" t="e">
        <f t="shared" si="1081"/>
        <v>#VALUE!</v>
      </c>
      <c r="AN752" s="32" t="str">
        <f t="shared" si="1082"/>
        <v/>
      </c>
      <c r="AO752" s="27" t="str">
        <f t="shared" si="1083"/>
        <v/>
      </c>
      <c r="AP752" s="27" t="str">
        <f t="shared" si="1084"/>
        <v/>
      </c>
      <c r="AQ752" s="27">
        <f t="shared" si="1085"/>
        <v>0</v>
      </c>
      <c r="AR752" s="27">
        <f t="shared" si="1086"/>
        <v>0</v>
      </c>
      <c r="AS752" s="33">
        <f t="shared" si="1087"/>
        <v>0</v>
      </c>
    </row>
    <row r="753" spans="2:45" hidden="1" x14ac:dyDescent="0.25">
      <c r="B753" s="34" t="str">
        <f t="shared" ref="B753:F753" si="1138">IF(B752="","",B752)</f>
        <v/>
      </c>
      <c r="C753" s="26" t="str">
        <f t="shared" si="1138"/>
        <v/>
      </c>
      <c r="D753" s="26" t="str">
        <f t="shared" si="1138"/>
        <v/>
      </c>
      <c r="E753" s="26" t="str">
        <f t="shared" si="1138"/>
        <v/>
      </c>
      <c r="F753" s="26" t="str">
        <f t="shared" si="1138"/>
        <v/>
      </c>
      <c r="G753" s="24"/>
      <c r="H753" s="24"/>
      <c r="I753" s="24"/>
      <c r="J753" s="24"/>
      <c r="K753" s="24"/>
      <c r="L753" s="24"/>
      <c r="M753" s="44" t="str">
        <f t="shared" si="1119"/>
        <v/>
      </c>
      <c r="N753" s="26" t="str">
        <f t="shared" si="1058"/>
        <v/>
      </c>
      <c r="O753" s="26" t="str">
        <f t="shared" si="1059"/>
        <v/>
      </c>
      <c r="P753" s="26" t="str">
        <f t="shared" si="1060"/>
        <v/>
      </c>
      <c r="Q753" s="26">
        <f t="shared" si="1061"/>
        <v>0</v>
      </c>
      <c r="R753" s="26">
        <f t="shared" si="1062"/>
        <v>0</v>
      </c>
      <c r="S753" s="26">
        <f t="shared" si="1063"/>
        <v>0</v>
      </c>
      <c r="T753" s="26" t="str">
        <f t="shared" si="1064"/>
        <v/>
      </c>
      <c r="U753" s="26" t="str">
        <f t="shared" si="1065"/>
        <v/>
      </c>
      <c r="V753" s="26" t="str">
        <f t="shared" si="1066"/>
        <v/>
      </c>
      <c r="W753" s="27" t="str">
        <f t="shared" si="1067"/>
        <v/>
      </c>
      <c r="X753" s="27" t="str">
        <f t="shared" si="1068"/>
        <v/>
      </c>
      <c r="Y753" s="28" t="str">
        <f t="shared" si="1069"/>
        <v/>
      </c>
      <c r="Z753" s="27" t="str">
        <f t="shared" si="1070"/>
        <v/>
      </c>
      <c r="AA753" s="27" t="str">
        <f t="shared" si="1071"/>
        <v/>
      </c>
      <c r="AB753" s="27" t="str">
        <f t="shared" si="1072"/>
        <v/>
      </c>
      <c r="AC753" s="27" t="str">
        <f t="shared" si="1073"/>
        <v/>
      </c>
      <c r="AD753" s="29" t="str">
        <f t="shared" si="1074"/>
        <v/>
      </c>
      <c r="AE753" s="30" t="str">
        <f t="shared" si="1075"/>
        <v/>
      </c>
      <c r="AG753" s="4"/>
      <c r="AH753" s="31" t="e">
        <f t="shared" si="1076"/>
        <v>#VALUE!</v>
      </c>
      <c r="AI753" s="31" t="e">
        <f t="shared" si="1077"/>
        <v>#VALUE!</v>
      </c>
      <c r="AJ753" s="31" t="e">
        <f t="shared" si="1078"/>
        <v>#VALUE!</v>
      </c>
      <c r="AK753" s="31" t="e">
        <f t="shared" si="1079"/>
        <v>#VALUE!</v>
      </c>
      <c r="AL753" s="31" t="e">
        <f t="shared" si="1080"/>
        <v>#VALUE!</v>
      </c>
      <c r="AM753" s="31" t="e">
        <f t="shared" si="1081"/>
        <v>#VALUE!</v>
      </c>
      <c r="AN753" s="32" t="str">
        <f t="shared" si="1082"/>
        <v/>
      </c>
      <c r="AO753" s="27" t="str">
        <f t="shared" si="1083"/>
        <v/>
      </c>
      <c r="AP753" s="27" t="str">
        <f t="shared" si="1084"/>
        <v/>
      </c>
      <c r="AQ753" s="27">
        <f t="shared" si="1085"/>
        <v>0</v>
      </c>
      <c r="AR753" s="27">
        <f t="shared" si="1086"/>
        <v>0</v>
      </c>
      <c r="AS753" s="33">
        <f t="shared" si="1087"/>
        <v>0</v>
      </c>
    </row>
    <row r="754" spans="2:45" hidden="1" x14ac:dyDescent="0.25">
      <c r="B754" s="34" t="str">
        <f t="shared" ref="B754:F754" si="1139">IF(B753="","",B753)</f>
        <v/>
      </c>
      <c r="C754" s="26" t="str">
        <f t="shared" si="1139"/>
        <v/>
      </c>
      <c r="D754" s="26" t="str">
        <f t="shared" si="1139"/>
        <v/>
      </c>
      <c r="E754" s="26" t="str">
        <f t="shared" si="1139"/>
        <v/>
      </c>
      <c r="F754" s="26" t="str">
        <f t="shared" si="1139"/>
        <v/>
      </c>
      <c r="G754" s="24"/>
      <c r="H754" s="24"/>
      <c r="I754" s="24"/>
      <c r="J754" s="24"/>
      <c r="K754" s="24"/>
      <c r="L754" s="24"/>
      <c r="M754" s="44" t="str">
        <f t="shared" si="1119"/>
        <v/>
      </c>
      <c r="N754" s="26" t="str">
        <f t="shared" si="1058"/>
        <v/>
      </c>
      <c r="O754" s="26" t="str">
        <f t="shared" si="1059"/>
        <v/>
      </c>
      <c r="P754" s="26" t="str">
        <f t="shared" si="1060"/>
        <v/>
      </c>
      <c r="Q754" s="26">
        <f t="shared" si="1061"/>
        <v>0</v>
      </c>
      <c r="R754" s="26">
        <f t="shared" si="1062"/>
        <v>0</v>
      </c>
      <c r="S754" s="26">
        <f t="shared" si="1063"/>
        <v>0</v>
      </c>
      <c r="T754" s="26" t="str">
        <f t="shared" si="1064"/>
        <v/>
      </c>
      <c r="U754" s="26" t="str">
        <f t="shared" si="1065"/>
        <v/>
      </c>
      <c r="V754" s="26" t="str">
        <f t="shared" si="1066"/>
        <v/>
      </c>
      <c r="W754" s="27" t="str">
        <f t="shared" si="1067"/>
        <v/>
      </c>
      <c r="X754" s="27" t="str">
        <f t="shared" si="1068"/>
        <v/>
      </c>
      <c r="Y754" s="28" t="str">
        <f t="shared" si="1069"/>
        <v/>
      </c>
      <c r="Z754" s="27" t="str">
        <f t="shared" si="1070"/>
        <v/>
      </c>
      <c r="AA754" s="27" t="str">
        <f t="shared" si="1071"/>
        <v/>
      </c>
      <c r="AB754" s="27" t="str">
        <f t="shared" si="1072"/>
        <v/>
      </c>
      <c r="AC754" s="27" t="str">
        <f t="shared" si="1073"/>
        <v/>
      </c>
      <c r="AD754" s="29" t="str">
        <f t="shared" si="1074"/>
        <v/>
      </c>
      <c r="AE754" s="30" t="str">
        <f t="shared" si="1075"/>
        <v/>
      </c>
      <c r="AG754" s="4"/>
      <c r="AH754" s="31" t="e">
        <f t="shared" si="1076"/>
        <v>#VALUE!</v>
      </c>
      <c r="AI754" s="31" t="e">
        <f t="shared" si="1077"/>
        <v>#VALUE!</v>
      </c>
      <c r="AJ754" s="31" t="e">
        <f t="shared" si="1078"/>
        <v>#VALUE!</v>
      </c>
      <c r="AK754" s="31" t="e">
        <f t="shared" si="1079"/>
        <v>#VALUE!</v>
      </c>
      <c r="AL754" s="31" t="e">
        <f t="shared" si="1080"/>
        <v>#VALUE!</v>
      </c>
      <c r="AM754" s="31" t="e">
        <f t="shared" si="1081"/>
        <v>#VALUE!</v>
      </c>
      <c r="AN754" s="32" t="str">
        <f t="shared" si="1082"/>
        <v/>
      </c>
      <c r="AO754" s="27" t="str">
        <f t="shared" si="1083"/>
        <v/>
      </c>
      <c r="AP754" s="27" t="str">
        <f t="shared" si="1084"/>
        <v/>
      </c>
      <c r="AQ754" s="27">
        <f t="shared" si="1085"/>
        <v>0</v>
      </c>
      <c r="AR754" s="27">
        <f t="shared" si="1086"/>
        <v>0</v>
      </c>
      <c r="AS754" s="33">
        <f t="shared" si="1087"/>
        <v>0</v>
      </c>
    </row>
    <row r="755" spans="2:45" hidden="1" x14ac:dyDescent="0.25">
      <c r="B755" s="34" t="str">
        <f t="shared" ref="B755:F755" si="1140">IF(B754="","",B754)</f>
        <v/>
      </c>
      <c r="C755" s="26" t="str">
        <f t="shared" si="1140"/>
        <v/>
      </c>
      <c r="D755" s="26" t="str">
        <f t="shared" si="1140"/>
        <v/>
      </c>
      <c r="E755" s="26" t="str">
        <f t="shared" si="1140"/>
        <v/>
      </c>
      <c r="F755" s="26" t="str">
        <f t="shared" si="1140"/>
        <v/>
      </c>
      <c r="G755" s="24"/>
      <c r="H755" s="24"/>
      <c r="I755" s="24"/>
      <c r="J755" s="24"/>
      <c r="K755" s="24"/>
      <c r="L755" s="24"/>
      <c r="M755" s="44" t="str">
        <f t="shared" si="1119"/>
        <v/>
      </c>
      <c r="N755" s="26" t="str">
        <f t="shared" si="1058"/>
        <v/>
      </c>
      <c r="O755" s="26" t="str">
        <f t="shared" si="1059"/>
        <v/>
      </c>
      <c r="P755" s="26" t="str">
        <f t="shared" si="1060"/>
        <v/>
      </c>
      <c r="Q755" s="26">
        <f t="shared" si="1061"/>
        <v>0</v>
      </c>
      <c r="R755" s="26">
        <f t="shared" si="1062"/>
        <v>0</v>
      </c>
      <c r="S755" s="26">
        <f t="shared" si="1063"/>
        <v>0</v>
      </c>
      <c r="T755" s="26" t="str">
        <f t="shared" si="1064"/>
        <v/>
      </c>
      <c r="U755" s="26" t="str">
        <f t="shared" si="1065"/>
        <v/>
      </c>
      <c r="V755" s="26" t="str">
        <f t="shared" si="1066"/>
        <v/>
      </c>
      <c r="W755" s="27" t="str">
        <f t="shared" si="1067"/>
        <v/>
      </c>
      <c r="X755" s="27" t="str">
        <f t="shared" si="1068"/>
        <v/>
      </c>
      <c r="Y755" s="28" t="str">
        <f t="shared" si="1069"/>
        <v/>
      </c>
      <c r="Z755" s="27" t="str">
        <f t="shared" si="1070"/>
        <v/>
      </c>
      <c r="AA755" s="27" t="str">
        <f t="shared" si="1071"/>
        <v/>
      </c>
      <c r="AB755" s="27" t="str">
        <f t="shared" si="1072"/>
        <v/>
      </c>
      <c r="AC755" s="27" t="str">
        <f t="shared" si="1073"/>
        <v/>
      </c>
      <c r="AD755" s="29" t="str">
        <f t="shared" si="1074"/>
        <v/>
      </c>
      <c r="AE755" s="30" t="str">
        <f t="shared" si="1075"/>
        <v/>
      </c>
      <c r="AG755" s="4"/>
      <c r="AH755" s="31" t="e">
        <f t="shared" si="1076"/>
        <v>#VALUE!</v>
      </c>
      <c r="AI755" s="31" t="e">
        <f t="shared" si="1077"/>
        <v>#VALUE!</v>
      </c>
      <c r="AJ755" s="31" t="e">
        <f t="shared" si="1078"/>
        <v>#VALUE!</v>
      </c>
      <c r="AK755" s="31" t="e">
        <f t="shared" si="1079"/>
        <v>#VALUE!</v>
      </c>
      <c r="AL755" s="31" t="e">
        <f t="shared" si="1080"/>
        <v>#VALUE!</v>
      </c>
      <c r="AM755" s="31" t="e">
        <f t="shared" si="1081"/>
        <v>#VALUE!</v>
      </c>
      <c r="AN755" s="32" t="str">
        <f t="shared" si="1082"/>
        <v/>
      </c>
      <c r="AO755" s="27" t="str">
        <f t="shared" si="1083"/>
        <v/>
      </c>
      <c r="AP755" s="27" t="str">
        <f t="shared" si="1084"/>
        <v/>
      </c>
      <c r="AQ755" s="27">
        <f t="shared" si="1085"/>
        <v>0</v>
      </c>
      <c r="AR755" s="27">
        <f t="shared" si="1086"/>
        <v>0</v>
      </c>
      <c r="AS755" s="33">
        <f t="shared" si="1087"/>
        <v>0</v>
      </c>
    </row>
    <row r="756" spans="2:45" hidden="1" x14ac:dyDescent="0.25">
      <c r="B756" s="34" t="str">
        <f>IF(B755="","",B755)</f>
        <v/>
      </c>
      <c r="C756" s="26" t="str">
        <f t="shared" ref="C756:F756" si="1141">IF(C755="","",C755)</f>
        <v/>
      </c>
      <c r="D756" s="26" t="str">
        <f t="shared" si="1141"/>
        <v/>
      </c>
      <c r="E756" s="26" t="str">
        <f t="shared" si="1141"/>
        <v/>
      </c>
      <c r="F756" s="26" t="str">
        <f t="shared" si="1141"/>
        <v/>
      </c>
      <c r="G756" s="24"/>
      <c r="H756" s="24"/>
      <c r="I756" s="24"/>
      <c r="J756" s="24"/>
      <c r="K756" s="24"/>
      <c r="L756" s="24"/>
      <c r="M756" s="44" t="str">
        <f t="shared" si="1119"/>
        <v/>
      </c>
      <c r="N756" s="26" t="str">
        <f t="shared" si="1058"/>
        <v/>
      </c>
      <c r="O756" s="26" t="str">
        <f t="shared" si="1059"/>
        <v/>
      </c>
      <c r="P756" s="26" t="str">
        <f t="shared" si="1060"/>
        <v/>
      </c>
      <c r="Q756" s="26">
        <f t="shared" si="1061"/>
        <v>0</v>
      </c>
      <c r="R756" s="26">
        <f t="shared" si="1062"/>
        <v>0</v>
      </c>
      <c r="S756" s="26">
        <f t="shared" si="1063"/>
        <v>0</v>
      </c>
      <c r="T756" s="26" t="str">
        <f t="shared" si="1064"/>
        <v/>
      </c>
      <c r="U756" s="26" t="str">
        <f t="shared" si="1065"/>
        <v/>
      </c>
      <c r="V756" s="26" t="str">
        <f t="shared" si="1066"/>
        <v/>
      </c>
      <c r="W756" s="27" t="str">
        <f t="shared" si="1067"/>
        <v/>
      </c>
      <c r="X756" s="27" t="str">
        <f t="shared" si="1068"/>
        <v/>
      </c>
      <c r="Y756" s="28" t="str">
        <f t="shared" si="1069"/>
        <v/>
      </c>
      <c r="Z756" s="27" t="str">
        <f t="shared" si="1070"/>
        <v/>
      </c>
      <c r="AA756" s="27" t="str">
        <f t="shared" si="1071"/>
        <v/>
      </c>
      <c r="AB756" s="27" t="str">
        <f t="shared" si="1072"/>
        <v/>
      </c>
      <c r="AC756" s="27" t="str">
        <f t="shared" si="1073"/>
        <v/>
      </c>
      <c r="AD756" s="29" t="str">
        <f t="shared" si="1074"/>
        <v/>
      </c>
      <c r="AE756" s="30" t="str">
        <f t="shared" si="1075"/>
        <v/>
      </c>
      <c r="AG756" s="4"/>
      <c r="AH756" s="31" t="e">
        <f t="shared" si="1076"/>
        <v>#VALUE!</v>
      </c>
      <c r="AI756" s="31" t="e">
        <f t="shared" si="1077"/>
        <v>#VALUE!</v>
      </c>
      <c r="AJ756" s="31" t="e">
        <f t="shared" si="1078"/>
        <v>#VALUE!</v>
      </c>
      <c r="AK756" s="31" t="e">
        <f t="shared" si="1079"/>
        <v>#VALUE!</v>
      </c>
      <c r="AL756" s="31" t="e">
        <f t="shared" si="1080"/>
        <v>#VALUE!</v>
      </c>
      <c r="AM756" s="31" t="e">
        <f t="shared" si="1081"/>
        <v>#VALUE!</v>
      </c>
      <c r="AN756" s="32" t="str">
        <f t="shared" si="1082"/>
        <v/>
      </c>
      <c r="AO756" s="27" t="str">
        <f t="shared" si="1083"/>
        <v/>
      </c>
      <c r="AP756" s="27" t="str">
        <f t="shared" si="1084"/>
        <v/>
      </c>
      <c r="AQ756" s="27">
        <f t="shared" si="1085"/>
        <v>0</v>
      </c>
      <c r="AR756" s="27">
        <f t="shared" si="1086"/>
        <v>0</v>
      </c>
      <c r="AS756" s="33">
        <f t="shared" si="1087"/>
        <v>0</v>
      </c>
    </row>
    <row r="757" spans="2:45" hidden="1" x14ac:dyDescent="0.25">
      <c r="B757" s="34" t="str">
        <f t="shared" ref="B757:F757" si="1142">IF(B756="","",B756)</f>
        <v/>
      </c>
      <c r="C757" s="26" t="str">
        <f t="shared" si="1142"/>
        <v/>
      </c>
      <c r="D757" s="26" t="str">
        <f t="shared" si="1142"/>
        <v/>
      </c>
      <c r="E757" s="26" t="str">
        <f t="shared" si="1142"/>
        <v/>
      </c>
      <c r="F757" s="26" t="str">
        <f t="shared" si="1142"/>
        <v/>
      </c>
      <c r="G757" s="24"/>
      <c r="H757" s="24"/>
      <c r="I757" s="24"/>
      <c r="J757" s="24"/>
      <c r="K757" s="24"/>
      <c r="L757" s="24"/>
      <c r="M757" s="44" t="str">
        <f t="shared" si="1119"/>
        <v/>
      </c>
      <c r="N757" s="26" t="str">
        <f t="shared" si="1058"/>
        <v/>
      </c>
      <c r="O757" s="26" t="str">
        <f t="shared" si="1059"/>
        <v/>
      </c>
      <c r="P757" s="26" t="str">
        <f t="shared" si="1060"/>
        <v/>
      </c>
      <c r="Q757" s="26">
        <f t="shared" si="1061"/>
        <v>0</v>
      </c>
      <c r="R757" s="26">
        <f t="shared" si="1062"/>
        <v>0</v>
      </c>
      <c r="S757" s="26">
        <f t="shared" si="1063"/>
        <v>0</v>
      </c>
      <c r="T757" s="26" t="str">
        <f t="shared" si="1064"/>
        <v/>
      </c>
      <c r="U757" s="26" t="str">
        <f t="shared" si="1065"/>
        <v/>
      </c>
      <c r="V757" s="26" t="str">
        <f t="shared" si="1066"/>
        <v/>
      </c>
      <c r="W757" s="27" t="str">
        <f t="shared" si="1067"/>
        <v/>
      </c>
      <c r="X757" s="27" t="str">
        <f t="shared" si="1068"/>
        <v/>
      </c>
      <c r="Y757" s="28" t="str">
        <f t="shared" si="1069"/>
        <v/>
      </c>
      <c r="Z757" s="27" t="str">
        <f t="shared" si="1070"/>
        <v/>
      </c>
      <c r="AA757" s="27" t="str">
        <f t="shared" si="1071"/>
        <v/>
      </c>
      <c r="AB757" s="27" t="str">
        <f t="shared" si="1072"/>
        <v/>
      </c>
      <c r="AC757" s="27" t="str">
        <f t="shared" si="1073"/>
        <v/>
      </c>
      <c r="AD757" s="29" t="str">
        <f t="shared" si="1074"/>
        <v/>
      </c>
      <c r="AE757" s="30" t="str">
        <f t="shared" si="1075"/>
        <v/>
      </c>
      <c r="AG757" s="4"/>
      <c r="AH757" s="31" t="e">
        <f t="shared" si="1076"/>
        <v>#VALUE!</v>
      </c>
      <c r="AI757" s="31" t="e">
        <f t="shared" si="1077"/>
        <v>#VALUE!</v>
      </c>
      <c r="AJ757" s="31" t="e">
        <f t="shared" si="1078"/>
        <v>#VALUE!</v>
      </c>
      <c r="AK757" s="31" t="e">
        <f t="shared" si="1079"/>
        <v>#VALUE!</v>
      </c>
      <c r="AL757" s="31" t="e">
        <f t="shared" si="1080"/>
        <v>#VALUE!</v>
      </c>
      <c r="AM757" s="31" t="e">
        <f t="shared" si="1081"/>
        <v>#VALUE!</v>
      </c>
      <c r="AN757" s="32" t="str">
        <f t="shared" si="1082"/>
        <v/>
      </c>
      <c r="AO757" s="27" t="str">
        <f t="shared" si="1083"/>
        <v/>
      </c>
      <c r="AP757" s="27" t="str">
        <f t="shared" si="1084"/>
        <v/>
      </c>
      <c r="AQ757" s="27">
        <f t="shared" si="1085"/>
        <v>0</v>
      </c>
      <c r="AR757" s="27">
        <f t="shared" si="1086"/>
        <v>0</v>
      </c>
      <c r="AS757" s="33">
        <f t="shared" si="1087"/>
        <v>0</v>
      </c>
    </row>
    <row r="758" spans="2:45" hidden="1" x14ac:dyDescent="0.25">
      <c r="B758" s="34" t="str">
        <f t="shared" ref="B758:F758" si="1143">IF(B757="","",B757)</f>
        <v/>
      </c>
      <c r="C758" s="26" t="str">
        <f t="shared" si="1143"/>
        <v/>
      </c>
      <c r="D758" s="26" t="str">
        <f t="shared" si="1143"/>
        <v/>
      </c>
      <c r="E758" s="26" t="str">
        <f t="shared" si="1143"/>
        <v/>
      </c>
      <c r="F758" s="26" t="str">
        <f t="shared" si="1143"/>
        <v/>
      </c>
      <c r="G758" s="24"/>
      <c r="H758" s="24"/>
      <c r="I758" s="24"/>
      <c r="J758" s="24"/>
      <c r="K758" s="24"/>
      <c r="L758" s="24"/>
      <c r="M758" s="44" t="str">
        <f t="shared" si="1119"/>
        <v/>
      </c>
      <c r="N758" s="26" t="str">
        <f t="shared" si="1058"/>
        <v/>
      </c>
      <c r="O758" s="26" t="str">
        <f t="shared" si="1059"/>
        <v/>
      </c>
      <c r="P758" s="26" t="str">
        <f t="shared" si="1060"/>
        <v/>
      </c>
      <c r="Q758" s="26">
        <f t="shared" si="1061"/>
        <v>0</v>
      </c>
      <c r="R758" s="26">
        <f t="shared" si="1062"/>
        <v>0</v>
      </c>
      <c r="S758" s="26">
        <f t="shared" si="1063"/>
        <v>0</v>
      </c>
      <c r="T758" s="26" t="str">
        <f t="shared" si="1064"/>
        <v/>
      </c>
      <c r="U758" s="26" t="str">
        <f t="shared" si="1065"/>
        <v/>
      </c>
      <c r="V758" s="26" t="str">
        <f t="shared" si="1066"/>
        <v/>
      </c>
      <c r="W758" s="27" t="str">
        <f t="shared" si="1067"/>
        <v/>
      </c>
      <c r="X758" s="27" t="str">
        <f t="shared" si="1068"/>
        <v/>
      </c>
      <c r="Y758" s="28" t="str">
        <f t="shared" si="1069"/>
        <v/>
      </c>
      <c r="Z758" s="27" t="str">
        <f t="shared" si="1070"/>
        <v/>
      </c>
      <c r="AA758" s="27" t="str">
        <f t="shared" si="1071"/>
        <v/>
      </c>
      <c r="AB758" s="27" t="str">
        <f t="shared" si="1072"/>
        <v/>
      </c>
      <c r="AC758" s="27" t="str">
        <f t="shared" si="1073"/>
        <v/>
      </c>
      <c r="AD758" s="29" t="str">
        <f t="shared" si="1074"/>
        <v/>
      </c>
      <c r="AE758" s="30" t="str">
        <f t="shared" si="1075"/>
        <v/>
      </c>
      <c r="AG758" s="4"/>
      <c r="AH758" s="31" t="e">
        <f t="shared" si="1076"/>
        <v>#VALUE!</v>
      </c>
      <c r="AI758" s="31" t="e">
        <f t="shared" si="1077"/>
        <v>#VALUE!</v>
      </c>
      <c r="AJ758" s="31" t="e">
        <f t="shared" si="1078"/>
        <v>#VALUE!</v>
      </c>
      <c r="AK758" s="31" t="e">
        <f t="shared" si="1079"/>
        <v>#VALUE!</v>
      </c>
      <c r="AL758" s="31" t="e">
        <f t="shared" si="1080"/>
        <v>#VALUE!</v>
      </c>
      <c r="AM758" s="31" t="e">
        <f t="shared" si="1081"/>
        <v>#VALUE!</v>
      </c>
      <c r="AN758" s="32" t="str">
        <f t="shared" si="1082"/>
        <v/>
      </c>
      <c r="AO758" s="27" t="str">
        <f t="shared" si="1083"/>
        <v/>
      </c>
      <c r="AP758" s="27" t="str">
        <f t="shared" si="1084"/>
        <v/>
      </c>
      <c r="AQ758" s="27">
        <f t="shared" si="1085"/>
        <v>0</v>
      </c>
      <c r="AR758" s="27">
        <f t="shared" si="1086"/>
        <v>0</v>
      </c>
      <c r="AS758" s="33">
        <f t="shared" si="1087"/>
        <v>0</v>
      </c>
    </row>
    <row r="759" spans="2:45" hidden="1" x14ac:dyDescent="0.25">
      <c r="B759" s="34" t="str">
        <f t="shared" ref="B759:F759" si="1144">IF(B758="","",B758)</f>
        <v/>
      </c>
      <c r="C759" s="26" t="str">
        <f t="shared" si="1144"/>
        <v/>
      </c>
      <c r="D759" s="26" t="str">
        <f t="shared" si="1144"/>
        <v/>
      </c>
      <c r="E759" s="26" t="str">
        <f t="shared" si="1144"/>
        <v/>
      </c>
      <c r="F759" s="26" t="str">
        <f t="shared" si="1144"/>
        <v/>
      </c>
      <c r="G759" s="24"/>
      <c r="H759" s="24"/>
      <c r="I759" s="24"/>
      <c r="J759" s="24"/>
      <c r="K759" s="24"/>
      <c r="L759" s="24"/>
      <c r="M759" s="44" t="str">
        <f t="shared" si="1119"/>
        <v/>
      </c>
      <c r="N759" s="26" t="str">
        <f t="shared" si="1058"/>
        <v/>
      </c>
      <c r="O759" s="26" t="str">
        <f t="shared" si="1059"/>
        <v/>
      </c>
      <c r="P759" s="26" t="str">
        <f t="shared" si="1060"/>
        <v/>
      </c>
      <c r="Q759" s="26">
        <f t="shared" si="1061"/>
        <v>0</v>
      </c>
      <c r="R759" s="26">
        <f t="shared" si="1062"/>
        <v>0</v>
      </c>
      <c r="S759" s="26">
        <f t="shared" si="1063"/>
        <v>0</v>
      </c>
      <c r="T759" s="26" t="str">
        <f t="shared" si="1064"/>
        <v/>
      </c>
      <c r="U759" s="26" t="str">
        <f t="shared" si="1065"/>
        <v/>
      </c>
      <c r="V759" s="26" t="str">
        <f t="shared" si="1066"/>
        <v/>
      </c>
      <c r="W759" s="27" t="str">
        <f t="shared" si="1067"/>
        <v/>
      </c>
      <c r="X759" s="27" t="str">
        <f t="shared" si="1068"/>
        <v/>
      </c>
      <c r="Y759" s="28" t="str">
        <f t="shared" si="1069"/>
        <v/>
      </c>
      <c r="Z759" s="27" t="str">
        <f t="shared" si="1070"/>
        <v/>
      </c>
      <c r="AA759" s="27" t="str">
        <f t="shared" si="1071"/>
        <v/>
      </c>
      <c r="AB759" s="27" t="str">
        <f t="shared" si="1072"/>
        <v/>
      </c>
      <c r="AC759" s="27" t="str">
        <f t="shared" si="1073"/>
        <v/>
      </c>
      <c r="AD759" s="29" t="str">
        <f t="shared" si="1074"/>
        <v/>
      </c>
      <c r="AE759" s="30" t="str">
        <f t="shared" si="1075"/>
        <v/>
      </c>
      <c r="AG759" s="4"/>
      <c r="AH759" s="31" t="e">
        <f t="shared" si="1076"/>
        <v>#VALUE!</v>
      </c>
      <c r="AI759" s="31" t="e">
        <f t="shared" si="1077"/>
        <v>#VALUE!</v>
      </c>
      <c r="AJ759" s="31" t="e">
        <f t="shared" si="1078"/>
        <v>#VALUE!</v>
      </c>
      <c r="AK759" s="31" t="e">
        <f t="shared" si="1079"/>
        <v>#VALUE!</v>
      </c>
      <c r="AL759" s="31" t="e">
        <f t="shared" si="1080"/>
        <v>#VALUE!</v>
      </c>
      <c r="AM759" s="31" t="e">
        <f t="shared" si="1081"/>
        <v>#VALUE!</v>
      </c>
      <c r="AN759" s="32" t="str">
        <f t="shared" si="1082"/>
        <v/>
      </c>
      <c r="AO759" s="27" t="str">
        <f t="shared" si="1083"/>
        <v/>
      </c>
      <c r="AP759" s="27" t="str">
        <f t="shared" si="1084"/>
        <v/>
      </c>
      <c r="AQ759" s="27">
        <f t="shared" si="1085"/>
        <v>0</v>
      </c>
      <c r="AR759" s="27">
        <f t="shared" si="1086"/>
        <v>0</v>
      </c>
      <c r="AS759" s="33">
        <f t="shared" si="1087"/>
        <v>0</v>
      </c>
    </row>
    <row r="760" spans="2:45" hidden="1" x14ac:dyDescent="0.25">
      <c r="B760" s="34" t="str">
        <f t="shared" ref="B760:F760" si="1145">IF(B759="","",B759)</f>
        <v/>
      </c>
      <c r="C760" s="26" t="str">
        <f t="shared" si="1145"/>
        <v/>
      </c>
      <c r="D760" s="26" t="str">
        <f t="shared" si="1145"/>
        <v/>
      </c>
      <c r="E760" s="26" t="str">
        <f t="shared" si="1145"/>
        <v/>
      </c>
      <c r="F760" s="26" t="str">
        <f t="shared" si="1145"/>
        <v/>
      </c>
      <c r="G760" s="24"/>
      <c r="H760" s="24"/>
      <c r="I760" s="24"/>
      <c r="J760" s="24"/>
      <c r="K760" s="24"/>
      <c r="L760" s="24"/>
      <c r="M760" s="44" t="str">
        <f t="shared" si="1119"/>
        <v/>
      </c>
      <c r="N760" s="26" t="str">
        <f t="shared" si="1058"/>
        <v/>
      </c>
      <c r="O760" s="26" t="str">
        <f t="shared" si="1059"/>
        <v/>
      </c>
      <c r="P760" s="26" t="str">
        <f t="shared" si="1060"/>
        <v/>
      </c>
      <c r="Q760" s="26">
        <f t="shared" si="1061"/>
        <v>0</v>
      </c>
      <c r="R760" s="26">
        <f t="shared" si="1062"/>
        <v>0</v>
      </c>
      <c r="S760" s="26">
        <f t="shared" si="1063"/>
        <v>0</v>
      </c>
      <c r="T760" s="26" t="str">
        <f t="shared" si="1064"/>
        <v/>
      </c>
      <c r="U760" s="26" t="str">
        <f t="shared" si="1065"/>
        <v/>
      </c>
      <c r="V760" s="26" t="str">
        <f t="shared" si="1066"/>
        <v/>
      </c>
      <c r="W760" s="27" t="str">
        <f t="shared" si="1067"/>
        <v/>
      </c>
      <c r="X760" s="27" t="str">
        <f t="shared" si="1068"/>
        <v/>
      </c>
      <c r="Y760" s="28" t="str">
        <f t="shared" si="1069"/>
        <v/>
      </c>
      <c r="Z760" s="27" t="str">
        <f t="shared" si="1070"/>
        <v/>
      </c>
      <c r="AA760" s="27" t="str">
        <f t="shared" si="1071"/>
        <v/>
      </c>
      <c r="AB760" s="27" t="str">
        <f t="shared" si="1072"/>
        <v/>
      </c>
      <c r="AC760" s="27" t="str">
        <f t="shared" si="1073"/>
        <v/>
      </c>
      <c r="AD760" s="29" t="str">
        <f t="shared" si="1074"/>
        <v/>
      </c>
      <c r="AE760" s="30" t="str">
        <f t="shared" si="1075"/>
        <v/>
      </c>
      <c r="AG760" s="4"/>
      <c r="AH760" s="31" t="e">
        <f t="shared" si="1076"/>
        <v>#VALUE!</v>
      </c>
      <c r="AI760" s="31" t="e">
        <f t="shared" si="1077"/>
        <v>#VALUE!</v>
      </c>
      <c r="AJ760" s="31" t="e">
        <f t="shared" si="1078"/>
        <v>#VALUE!</v>
      </c>
      <c r="AK760" s="31" t="e">
        <f t="shared" si="1079"/>
        <v>#VALUE!</v>
      </c>
      <c r="AL760" s="31" t="e">
        <f t="shared" si="1080"/>
        <v>#VALUE!</v>
      </c>
      <c r="AM760" s="31" t="e">
        <f t="shared" si="1081"/>
        <v>#VALUE!</v>
      </c>
      <c r="AN760" s="32" t="str">
        <f t="shared" si="1082"/>
        <v/>
      </c>
      <c r="AO760" s="27" t="str">
        <f t="shared" si="1083"/>
        <v/>
      </c>
      <c r="AP760" s="27" t="str">
        <f t="shared" si="1084"/>
        <v/>
      </c>
      <c r="AQ760" s="27">
        <f t="shared" si="1085"/>
        <v>0</v>
      </c>
      <c r="AR760" s="27">
        <f t="shared" si="1086"/>
        <v>0</v>
      </c>
      <c r="AS760" s="33">
        <f t="shared" si="1087"/>
        <v>0</v>
      </c>
    </row>
    <row r="761" spans="2:45" hidden="1" x14ac:dyDescent="0.25">
      <c r="B761" s="34" t="str">
        <f t="shared" ref="B761:F761" si="1146">IF(B760="","",B760)</f>
        <v/>
      </c>
      <c r="C761" s="26" t="str">
        <f t="shared" si="1146"/>
        <v/>
      </c>
      <c r="D761" s="26" t="str">
        <f t="shared" si="1146"/>
        <v/>
      </c>
      <c r="E761" s="26" t="str">
        <f t="shared" si="1146"/>
        <v/>
      </c>
      <c r="F761" s="26" t="str">
        <f t="shared" si="1146"/>
        <v/>
      </c>
      <c r="G761" s="24"/>
      <c r="H761" s="24"/>
      <c r="I761" s="24"/>
      <c r="J761" s="24"/>
      <c r="K761" s="24"/>
      <c r="L761" s="24"/>
      <c r="M761" s="44" t="str">
        <f t="shared" si="1119"/>
        <v/>
      </c>
      <c r="N761" s="26" t="str">
        <f t="shared" si="1058"/>
        <v/>
      </c>
      <c r="O761" s="26" t="str">
        <f t="shared" si="1059"/>
        <v/>
      </c>
      <c r="P761" s="26" t="str">
        <f t="shared" si="1060"/>
        <v/>
      </c>
      <c r="Q761" s="26">
        <f t="shared" si="1061"/>
        <v>0</v>
      </c>
      <c r="R761" s="26">
        <f t="shared" si="1062"/>
        <v>0</v>
      </c>
      <c r="S761" s="26">
        <f t="shared" si="1063"/>
        <v>0</v>
      </c>
      <c r="T761" s="26" t="str">
        <f t="shared" si="1064"/>
        <v/>
      </c>
      <c r="U761" s="26" t="str">
        <f t="shared" si="1065"/>
        <v/>
      </c>
      <c r="V761" s="26" t="str">
        <f t="shared" si="1066"/>
        <v/>
      </c>
      <c r="W761" s="27" t="str">
        <f t="shared" si="1067"/>
        <v/>
      </c>
      <c r="X761" s="27" t="str">
        <f t="shared" si="1068"/>
        <v/>
      </c>
      <c r="Y761" s="28" t="str">
        <f t="shared" si="1069"/>
        <v/>
      </c>
      <c r="Z761" s="27" t="str">
        <f t="shared" si="1070"/>
        <v/>
      </c>
      <c r="AA761" s="27" t="str">
        <f t="shared" si="1071"/>
        <v/>
      </c>
      <c r="AB761" s="27" t="str">
        <f t="shared" si="1072"/>
        <v/>
      </c>
      <c r="AC761" s="27" t="str">
        <f t="shared" si="1073"/>
        <v/>
      </c>
      <c r="AD761" s="29" t="str">
        <f t="shared" si="1074"/>
        <v/>
      </c>
      <c r="AE761" s="30" t="str">
        <f t="shared" si="1075"/>
        <v/>
      </c>
      <c r="AG761" s="4"/>
      <c r="AH761" s="31" t="e">
        <f t="shared" si="1076"/>
        <v>#VALUE!</v>
      </c>
      <c r="AI761" s="31" t="e">
        <f t="shared" si="1077"/>
        <v>#VALUE!</v>
      </c>
      <c r="AJ761" s="31" t="e">
        <f t="shared" si="1078"/>
        <v>#VALUE!</v>
      </c>
      <c r="AK761" s="31" t="e">
        <f t="shared" si="1079"/>
        <v>#VALUE!</v>
      </c>
      <c r="AL761" s="31" t="e">
        <f t="shared" si="1080"/>
        <v>#VALUE!</v>
      </c>
      <c r="AM761" s="31" t="e">
        <f t="shared" si="1081"/>
        <v>#VALUE!</v>
      </c>
      <c r="AN761" s="32" t="str">
        <f t="shared" si="1082"/>
        <v/>
      </c>
      <c r="AO761" s="27" t="str">
        <f t="shared" si="1083"/>
        <v/>
      </c>
      <c r="AP761" s="27" t="str">
        <f t="shared" si="1084"/>
        <v/>
      </c>
      <c r="AQ761" s="27">
        <f t="shared" si="1085"/>
        <v>0</v>
      </c>
      <c r="AR761" s="27">
        <f t="shared" si="1086"/>
        <v>0</v>
      </c>
      <c r="AS761" s="33">
        <f t="shared" si="1087"/>
        <v>0</v>
      </c>
    </row>
    <row r="762" spans="2:45" hidden="1" x14ac:dyDescent="0.25">
      <c r="B762" s="34" t="str">
        <f t="shared" ref="B762:F762" si="1147">IF(B761="","",B761)</f>
        <v/>
      </c>
      <c r="C762" s="26" t="str">
        <f t="shared" si="1147"/>
        <v/>
      </c>
      <c r="D762" s="26" t="str">
        <f t="shared" si="1147"/>
        <v/>
      </c>
      <c r="E762" s="26" t="str">
        <f t="shared" si="1147"/>
        <v/>
      </c>
      <c r="F762" s="26" t="str">
        <f t="shared" si="1147"/>
        <v/>
      </c>
      <c r="G762" s="24"/>
      <c r="H762" s="24"/>
      <c r="I762" s="24"/>
      <c r="J762" s="24"/>
      <c r="K762" s="24"/>
      <c r="L762" s="24"/>
      <c r="M762" s="44" t="str">
        <f t="shared" si="1119"/>
        <v/>
      </c>
      <c r="N762" s="26" t="str">
        <f t="shared" si="1058"/>
        <v/>
      </c>
      <c r="O762" s="26" t="str">
        <f t="shared" si="1059"/>
        <v/>
      </c>
      <c r="P762" s="26" t="str">
        <f t="shared" si="1060"/>
        <v/>
      </c>
      <c r="Q762" s="26">
        <f t="shared" si="1061"/>
        <v>0</v>
      </c>
      <c r="R762" s="26">
        <f t="shared" si="1062"/>
        <v>0</v>
      </c>
      <c r="S762" s="26">
        <f t="shared" si="1063"/>
        <v>0</v>
      </c>
      <c r="T762" s="26" t="str">
        <f t="shared" si="1064"/>
        <v/>
      </c>
      <c r="U762" s="26" t="str">
        <f t="shared" si="1065"/>
        <v/>
      </c>
      <c r="V762" s="26" t="str">
        <f t="shared" si="1066"/>
        <v/>
      </c>
      <c r="W762" s="27" t="str">
        <f t="shared" si="1067"/>
        <v/>
      </c>
      <c r="X762" s="27" t="str">
        <f t="shared" si="1068"/>
        <v/>
      </c>
      <c r="Y762" s="28" t="str">
        <f t="shared" si="1069"/>
        <v/>
      </c>
      <c r="Z762" s="27" t="str">
        <f t="shared" si="1070"/>
        <v/>
      </c>
      <c r="AA762" s="27" t="str">
        <f t="shared" si="1071"/>
        <v/>
      </c>
      <c r="AB762" s="27" t="str">
        <f t="shared" si="1072"/>
        <v/>
      </c>
      <c r="AC762" s="27" t="str">
        <f t="shared" si="1073"/>
        <v/>
      </c>
      <c r="AD762" s="29" t="str">
        <f t="shared" si="1074"/>
        <v/>
      </c>
      <c r="AE762" s="30" t="str">
        <f t="shared" si="1075"/>
        <v/>
      </c>
      <c r="AG762" s="4"/>
      <c r="AH762" s="31" t="e">
        <f t="shared" si="1076"/>
        <v>#VALUE!</v>
      </c>
      <c r="AI762" s="31" t="e">
        <f t="shared" si="1077"/>
        <v>#VALUE!</v>
      </c>
      <c r="AJ762" s="31" t="e">
        <f t="shared" si="1078"/>
        <v>#VALUE!</v>
      </c>
      <c r="AK762" s="31" t="e">
        <f t="shared" si="1079"/>
        <v>#VALUE!</v>
      </c>
      <c r="AL762" s="31" t="e">
        <f t="shared" si="1080"/>
        <v>#VALUE!</v>
      </c>
      <c r="AM762" s="31" t="e">
        <f t="shared" si="1081"/>
        <v>#VALUE!</v>
      </c>
      <c r="AN762" s="32" t="str">
        <f t="shared" si="1082"/>
        <v/>
      </c>
      <c r="AO762" s="27" t="str">
        <f t="shared" si="1083"/>
        <v/>
      </c>
      <c r="AP762" s="27" t="str">
        <f t="shared" si="1084"/>
        <v/>
      </c>
      <c r="AQ762" s="27">
        <f t="shared" si="1085"/>
        <v>0</v>
      </c>
      <c r="AR762" s="27">
        <f t="shared" si="1086"/>
        <v>0</v>
      </c>
      <c r="AS762" s="33">
        <f t="shared" si="1087"/>
        <v>0</v>
      </c>
    </row>
    <row r="763" spans="2:45" hidden="1" x14ac:dyDescent="0.25">
      <c r="B763" s="34" t="str">
        <f t="shared" ref="B763:F763" si="1148">IF(B762="","",B762)</f>
        <v/>
      </c>
      <c r="C763" s="26" t="str">
        <f t="shared" si="1148"/>
        <v/>
      </c>
      <c r="D763" s="26" t="str">
        <f t="shared" si="1148"/>
        <v/>
      </c>
      <c r="E763" s="26" t="str">
        <f t="shared" si="1148"/>
        <v/>
      </c>
      <c r="F763" s="26" t="str">
        <f t="shared" si="1148"/>
        <v/>
      </c>
      <c r="G763" s="24"/>
      <c r="H763" s="24"/>
      <c r="I763" s="24"/>
      <c r="J763" s="24"/>
      <c r="K763" s="24"/>
      <c r="L763" s="24"/>
      <c r="M763" s="44" t="str">
        <f t="shared" si="1119"/>
        <v/>
      </c>
      <c r="N763" s="26" t="str">
        <f t="shared" si="1058"/>
        <v/>
      </c>
      <c r="O763" s="26" t="str">
        <f t="shared" si="1059"/>
        <v/>
      </c>
      <c r="P763" s="26" t="str">
        <f t="shared" si="1060"/>
        <v/>
      </c>
      <c r="Q763" s="26">
        <f t="shared" si="1061"/>
        <v>0</v>
      </c>
      <c r="R763" s="26">
        <f t="shared" si="1062"/>
        <v>0</v>
      </c>
      <c r="S763" s="26">
        <f t="shared" si="1063"/>
        <v>0</v>
      </c>
      <c r="T763" s="26" t="str">
        <f t="shared" si="1064"/>
        <v/>
      </c>
      <c r="U763" s="26" t="str">
        <f t="shared" si="1065"/>
        <v/>
      </c>
      <c r="V763" s="26" t="str">
        <f t="shared" si="1066"/>
        <v/>
      </c>
      <c r="W763" s="27" t="str">
        <f t="shared" si="1067"/>
        <v/>
      </c>
      <c r="X763" s="27" t="str">
        <f t="shared" si="1068"/>
        <v/>
      </c>
      <c r="Y763" s="28" t="str">
        <f t="shared" si="1069"/>
        <v/>
      </c>
      <c r="Z763" s="27" t="str">
        <f t="shared" si="1070"/>
        <v/>
      </c>
      <c r="AA763" s="27" t="str">
        <f t="shared" si="1071"/>
        <v/>
      </c>
      <c r="AB763" s="27" t="str">
        <f t="shared" si="1072"/>
        <v/>
      </c>
      <c r="AC763" s="27" t="str">
        <f t="shared" si="1073"/>
        <v/>
      </c>
      <c r="AD763" s="29" t="str">
        <f t="shared" si="1074"/>
        <v/>
      </c>
      <c r="AE763" s="30" t="str">
        <f t="shared" si="1075"/>
        <v/>
      </c>
      <c r="AG763" s="4"/>
      <c r="AH763" s="31" t="e">
        <f t="shared" si="1076"/>
        <v>#VALUE!</v>
      </c>
      <c r="AI763" s="31" t="e">
        <f t="shared" si="1077"/>
        <v>#VALUE!</v>
      </c>
      <c r="AJ763" s="31" t="e">
        <f t="shared" si="1078"/>
        <v>#VALUE!</v>
      </c>
      <c r="AK763" s="31" t="e">
        <f t="shared" si="1079"/>
        <v>#VALUE!</v>
      </c>
      <c r="AL763" s="31" t="e">
        <f t="shared" si="1080"/>
        <v>#VALUE!</v>
      </c>
      <c r="AM763" s="31" t="e">
        <f t="shared" si="1081"/>
        <v>#VALUE!</v>
      </c>
      <c r="AN763" s="32" t="str">
        <f t="shared" si="1082"/>
        <v/>
      </c>
      <c r="AO763" s="27" t="str">
        <f t="shared" si="1083"/>
        <v/>
      </c>
      <c r="AP763" s="27" t="str">
        <f t="shared" si="1084"/>
        <v/>
      </c>
      <c r="AQ763" s="27">
        <f t="shared" si="1085"/>
        <v>0</v>
      </c>
      <c r="AR763" s="27">
        <f t="shared" si="1086"/>
        <v>0</v>
      </c>
      <c r="AS763" s="33">
        <f t="shared" si="1087"/>
        <v>0</v>
      </c>
    </row>
    <row r="764" spans="2:45" hidden="1" x14ac:dyDescent="0.25">
      <c r="B764" s="34" t="str">
        <f t="shared" ref="B764:F764" si="1149">IF(B763="","",B763)</f>
        <v/>
      </c>
      <c r="C764" s="26" t="str">
        <f t="shared" si="1149"/>
        <v/>
      </c>
      <c r="D764" s="26" t="str">
        <f t="shared" si="1149"/>
        <v/>
      </c>
      <c r="E764" s="26" t="str">
        <f t="shared" si="1149"/>
        <v/>
      </c>
      <c r="F764" s="26" t="str">
        <f t="shared" si="1149"/>
        <v/>
      </c>
      <c r="G764" s="24"/>
      <c r="H764" s="24"/>
      <c r="I764" s="24"/>
      <c r="J764" s="24"/>
      <c r="K764" s="24"/>
      <c r="L764" s="24"/>
      <c r="M764" s="44" t="str">
        <f t="shared" si="1119"/>
        <v/>
      </c>
      <c r="N764" s="26" t="str">
        <f t="shared" si="1058"/>
        <v/>
      </c>
      <c r="O764" s="26" t="str">
        <f t="shared" si="1059"/>
        <v/>
      </c>
      <c r="P764" s="26" t="str">
        <f t="shared" si="1060"/>
        <v/>
      </c>
      <c r="Q764" s="26">
        <f t="shared" si="1061"/>
        <v>0</v>
      </c>
      <c r="R764" s="26">
        <f t="shared" si="1062"/>
        <v>0</v>
      </c>
      <c r="S764" s="26">
        <f t="shared" si="1063"/>
        <v>0</v>
      </c>
      <c r="T764" s="26" t="str">
        <f t="shared" si="1064"/>
        <v/>
      </c>
      <c r="U764" s="26" t="str">
        <f t="shared" si="1065"/>
        <v/>
      </c>
      <c r="V764" s="26" t="str">
        <f t="shared" si="1066"/>
        <v/>
      </c>
      <c r="W764" s="27" t="str">
        <f t="shared" si="1067"/>
        <v/>
      </c>
      <c r="X764" s="27" t="str">
        <f t="shared" si="1068"/>
        <v/>
      </c>
      <c r="Y764" s="28" t="str">
        <f t="shared" si="1069"/>
        <v/>
      </c>
      <c r="Z764" s="27" t="str">
        <f t="shared" si="1070"/>
        <v/>
      </c>
      <c r="AA764" s="27" t="str">
        <f t="shared" si="1071"/>
        <v/>
      </c>
      <c r="AB764" s="27" t="str">
        <f t="shared" si="1072"/>
        <v/>
      </c>
      <c r="AC764" s="27" t="str">
        <f t="shared" si="1073"/>
        <v/>
      </c>
      <c r="AD764" s="29" t="str">
        <f t="shared" si="1074"/>
        <v/>
      </c>
      <c r="AE764" s="30" t="str">
        <f t="shared" si="1075"/>
        <v/>
      </c>
      <c r="AG764" s="4"/>
      <c r="AH764" s="31" t="e">
        <f t="shared" si="1076"/>
        <v>#VALUE!</v>
      </c>
      <c r="AI764" s="31" t="e">
        <f t="shared" si="1077"/>
        <v>#VALUE!</v>
      </c>
      <c r="AJ764" s="31" t="e">
        <f t="shared" si="1078"/>
        <v>#VALUE!</v>
      </c>
      <c r="AK764" s="31" t="e">
        <f t="shared" si="1079"/>
        <v>#VALUE!</v>
      </c>
      <c r="AL764" s="31" t="e">
        <f t="shared" si="1080"/>
        <v>#VALUE!</v>
      </c>
      <c r="AM764" s="31" t="e">
        <f t="shared" si="1081"/>
        <v>#VALUE!</v>
      </c>
      <c r="AN764" s="32" t="str">
        <f t="shared" si="1082"/>
        <v/>
      </c>
      <c r="AO764" s="27" t="str">
        <f t="shared" si="1083"/>
        <v/>
      </c>
      <c r="AP764" s="27" t="str">
        <f t="shared" si="1084"/>
        <v/>
      </c>
      <c r="AQ764" s="27">
        <f t="shared" si="1085"/>
        <v>0</v>
      </c>
      <c r="AR764" s="27">
        <f t="shared" si="1086"/>
        <v>0</v>
      </c>
      <c r="AS764" s="33">
        <f t="shared" si="1087"/>
        <v>0</v>
      </c>
    </row>
    <row r="765" spans="2:45" hidden="1" x14ac:dyDescent="0.25">
      <c r="B765" s="34" t="str">
        <f t="shared" ref="B765:F765" si="1150">IF(B764="","",B764)</f>
        <v/>
      </c>
      <c r="C765" s="26" t="str">
        <f t="shared" si="1150"/>
        <v/>
      </c>
      <c r="D765" s="26" t="str">
        <f t="shared" si="1150"/>
        <v/>
      </c>
      <c r="E765" s="26" t="str">
        <f t="shared" si="1150"/>
        <v/>
      </c>
      <c r="F765" s="26" t="str">
        <f t="shared" si="1150"/>
        <v/>
      </c>
      <c r="G765" s="24"/>
      <c r="H765" s="24"/>
      <c r="I765" s="24"/>
      <c r="J765" s="24"/>
      <c r="K765" s="24"/>
      <c r="L765" s="24"/>
      <c r="M765" s="44" t="str">
        <f t="shared" si="1119"/>
        <v/>
      </c>
      <c r="N765" s="26" t="str">
        <f t="shared" si="1058"/>
        <v/>
      </c>
      <c r="O765" s="26" t="str">
        <f t="shared" si="1059"/>
        <v/>
      </c>
      <c r="P765" s="26" t="str">
        <f t="shared" si="1060"/>
        <v/>
      </c>
      <c r="Q765" s="26">
        <f t="shared" si="1061"/>
        <v>0</v>
      </c>
      <c r="R765" s="26">
        <f t="shared" si="1062"/>
        <v>0</v>
      </c>
      <c r="S765" s="26">
        <f t="shared" si="1063"/>
        <v>0</v>
      </c>
      <c r="T765" s="26" t="str">
        <f t="shared" si="1064"/>
        <v/>
      </c>
      <c r="U765" s="26" t="str">
        <f t="shared" si="1065"/>
        <v/>
      </c>
      <c r="V765" s="26" t="str">
        <f t="shared" si="1066"/>
        <v/>
      </c>
      <c r="W765" s="27" t="str">
        <f t="shared" si="1067"/>
        <v/>
      </c>
      <c r="X765" s="27" t="str">
        <f t="shared" si="1068"/>
        <v/>
      </c>
      <c r="Y765" s="28" t="str">
        <f t="shared" si="1069"/>
        <v/>
      </c>
      <c r="Z765" s="27" t="str">
        <f t="shared" si="1070"/>
        <v/>
      </c>
      <c r="AA765" s="27" t="str">
        <f t="shared" si="1071"/>
        <v/>
      </c>
      <c r="AB765" s="27" t="str">
        <f t="shared" si="1072"/>
        <v/>
      </c>
      <c r="AC765" s="27" t="str">
        <f t="shared" si="1073"/>
        <v/>
      </c>
      <c r="AD765" s="29" t="str">
        <f t="shared" si="1074"/>
        <v/>
      </c>
      <c r="AE765" s="30" t="str">
        <f t="shared" si="1075"/>
        <v/>
      </c>
      <c r="AG765" s="4"/>
      <c r="AH765" s="31" t="e">
        <f t="shared" si="1076"/>
        <v>#VALUE!</v>
      </c>
      <c r="AI765" s="31" t="e">
        <f t="shared" si="1077"/>
        <v>#VALUE!</v>
      </c>
      <c r="AJ765" s="31" t="e">
        <f t="shared" si="1078"/>
        <v>#VALUE!</v>
      </c>
      <c r="AK765" s="31" t="e">
        <f t="shared" si="1079"/>
        <v>#VALUE!</v>
      </c>
      <c r="AL765" s="31" t="e">
        <f t="shared" si="1080"/>
        <v>#VALUE!</v>
      </c>
      <c r="AM765" s="31" t="e">
        <f t="shared" si="1081"/>
        <v>#VALUE!</v>
      </c>
      <c r="AN765" s="32" t="str">
        <f t="shared" si="1082"/>
        <v/>
      </c>
      <c r="AO765" s="27" t="str">
        <f t="shared" si="1083"/>
        <v/>
      </c>
      <c r="AP765" s="27" t="str">
        <f t="shared" si="1084"/>
        <v/>
      </c>
      <c r="AQ765" s="27">
        <f t="shared" si="1085"/>
        <v>0</v>
      </c>
      <c r="AR765" s="27">
        <f t="shared" si="1086"/>
        <v>0</v>
      </c>
      <c r="AS765" s="33">
        <f t="shared" si="1087"/>
        <v>0</v>
      </c>
    </row>
    <row r="766" spans="2:45" hidden="1" x14ac:dyDescent="0.25">
      <c r="B766" s="34" t="str">
        <f t="shared" ref="B766:F766" si="1151">IF(B765="","",B765)</f>
        <v/>
      </c>
      <c r="C766" s="26" t="str">
        <f t="shared" si="1151"/>
        <v/>
      </c>
      <c r="D766" s="26" t="str">
        <f t="shared" si="1151"/>
        <v/>
      </c>
      <c r="E766" s="26" t="str">
        <f t="shared" si="1151"/>
        <v/>
      </c>
      <c r="F766" s="26" t="str">
        <f t="shared" si="1151"/>
        <v/>
      </c>
      <c r="G766" s="24"/>
      <c r="H766" s="24"/>
      <c r="I766" s="24"/>
      <c r="J766" s="24"/>
      <c r="K766" s="24"/>
      <c r="L766" s="24"/>
      <c r="M766" s="44" t="str">
        <f t="shared" ref="M766:M787" si="1152">IF(B766="","",IF(M610="","",M610))</f>
        <v/>
      </c>
      <c r="N766" s="26" t="str">
        <f t="shared" si="1058"/>
        <v/>
      </c>
      <c r="O766" s="26" t="str">
        <f t="shared" si="1059"/>
        <v/>
      </c>
      <c r="P766" s="26" t="str">
        <f t="shared" si="1060"/>
        <v/>
      </c>
      <c r="Q766" s="26">
        <f t="shared" si="1061"/>
        <v>0</v>
      </c>
      <c r="R766" s="26">
        <f t="shared" si="1062"/>
        <v>0</v>
      </c>
      <c r="S766" s="26">
        <f t="shared" si="1063"/>
        <v>0</v>
      </c>
      <c r="T766" s="26" t="str">
        <f t="shared" si="1064"/>
        <v/>
      </c>
      <c r="U766" s="26" t="str">
        <f t="shared" si="1065"/>
        <v/>
      </c>
      <c r="V766" s="26" t="str">
        <f t="shared" si="1066"/>
        <v/>
      </c>
      <c r="W766" s="27" t="str">
        <f t="shared" si="1067"/>
        <v/>
      </c>
      <c r="X766" s="27" t="str">
        <f t="shared" si="1068"/>
        <v/>
      </c>
      <c r="Y766" s="28" t="str">
        <f t="shared" si="1069"/>
        <v/>
      </c>
      <c r="Z766" s="27" t="str">
        <f t="shared" si="1070"/>
        <v/>
      </c>
      <c r="AA766" s="27" t="str">
        <f t="shared" si="1071"/>
        <v/>
      </c>
      <c r="AB766" s="27" t="str">
        <f t="shared" si="1072"/>
        <v/>
      </c>
      <c r="AC766" s="27" t="str">
        <f t="shared" si="1073"/>
        <v/>
      </c>
      <c r="AD766" s="29" t="str">
        <f t="shared" si="1074"/>
        <v/>
      </c>
      <c r="AE766" s="30" t="str">
        <f t="shared" si="1075"/>
        <v/>
      </c>
      <c r="AG766" s="4"/>
      <c r="AH766" s="31" t="e">
        <f t="shared" si="1076"/>
        <v>#VALUE!</v>
      </c>
      <c r="AI766" s="31" t="e">
        <f t="shared" si="1077"/>
        <v>#VALUE!</v>
      </c>
      <c r="AJ766" s="31" t="e">
        <f t="shared" si="1078"/>
        <v>#VALUE!</v>
      </c>
      <c r="AK766" s="31" t="e">
        <f t="shared" si="1079"/>
        <v>#VALUE!</v>
      </c>
      <c r="AL766" s="31" t="e">
        <f t="shared" si="1080"/>
        <v>#VALUE!</v>
      </c>
      <c r="AM766" s="31" t="e">
        <f t="shared" si="1081"/>
        <v>#VALUE!</v>
      </c>
      <c r="AN766" s="32" t="str">
        <f t="shared" si="1082"/>
        <v/>
      </c>
      <c r="AO766" s="27" t="str">
        <f t="shared" si="1083"/>
        <v/>
      </c>
      <c r="AP766" s="27" t="str">
        <f t="shared" si="1084"/>
        <v/>
      </c>
      <c r="AQ766" s="27">
        <f t="shared" si="1085"/>
        <v>0</v>
      </c>
      <c r="AR766" s="27">
        <f t="shared" si="1086"/>
        <v>0</v>
      </c>
      <c r="AS766" s="33">
        <f t="shared" si="1087"/>
        <v>0</v>
      </c>
    </row>
    <row r="767" spans="2:45" hidden="1" x14ac:dyDescent="0.25">
      <c r="B767" s="34" t="str">
        <f t="shared" ref="B767:F767" si="1153">IF(B766="","",B766)</f>
        <v/>
      </c>
      <c r="C767" s="26" t="str">
        <f t="shared" si="1153"/>
        <v/>
      </c>
      <c r="D767" s="26" t="str">
        <f t="shared" si="1153"/>
        <v/>
      </c>
      <c r="E767" s="26" t="str">
        <f t="shared" si="1153"/>
        <v/>
      </c>
      <c r="F767" s="26" t="str">
        <f t="shared" si="1153"/>
        <v/>
      </c>
      <c r="G767" s="24"/>
      <c r="H767" s="24"/>
      <c r="I767" s="24"/>
      <c r="J767" s="24"/>
      <c r="K767" s="24"/>
      <c r="L767" s="24"/>
      <c r="M767" s="44" t="str">
        <f t="shared" si="1152"/>
        <v/>
      </c>
      <c r="N767" s="26" t="str">
        <f t="shared" ref="N767:N788" si="1154">IF($J$7="NO",IF(M767="","",IF($E$7="+X",D767,IF($E$7="-X",-D767,IF($E$7="+Z",F767,IF($E$7="-Z",-F767))))),IF(M767="","",IF($E$7="+X",D767,IF($E$7="-X",-D767,IF($E$7="+Y",E767,IF($E$7="-Y",-E767))))))</f>
        <v/>
      </c>
      <c r="O767" s="26" t="str">
        <f t="shared" ref="O767:O788" si="1155">IF($J$7="NO",IF(M767="","",E767),IF(M767="","",F767))</f>
        <v/>
      </c>
      <c r="P767" s="26" t="str">
        <f t="shared" ref="P767:P788" si="1156">IF($J$7="NO",IF(M767="","",IF($E$7="+X",F767,IF($E$7="-X",-F767,IF($E$7="+Z",-D767,IF($E$7="-Z",D767))))),IF(M767="","",IF($E$7="+X",-E767,IF($E$7="-X",E767,IF($E$7="+Y",D767,IF($E$7="-Y",-D767))))))</f>
        <v/>
      </c>
      <c r="Q767" s="26">
        <f t="shared" ref="Q767:Q788" si="1157">IF($J$7="NO",IF(M767="",0,IF($E$7="+X",G767,IF($E$7="-X",-G767,IF($E$7="+Z",I767,IF($E$7="-Z",-I767))))),IF(M767="",0,IF($E$7="+X",G767,IF($E$7="-X",-G767,IF($E$7="+Y",H767,IF($E$7="-Y",-H767))))))</f>
        <v>0</v>
      </c>
      <c r="R767" s="26">
        <f t="shared" ref="R767:R788" si="1158">IF($J$7="NO",IF(M767="",0,H767),IF(M767="",0,I767))</f>
        <v>0</v>
      </c>
      <c r="S767" s="26">
        <f t="shared" ref="S767:S788" si="1159">IF($J$7="NO",IF(M767="",0,IF($E$7="+X",I767,IF($E$7="-X",-I767,IF($E$7="+Z",-G767,IF($E$7="-Z",G767))))),IF(M767="",0,IF($E$7="+X",-H767,IF($E$7="-X",H767,IF($E$7="+Y",G767,IF($E$7="-Y",-G767))))))</f>
        <v>0</v>
      </c>
      <c r="T767" s="26" t="str">
        <f t="shared" ref="T767:T788" si="1160">IF($J$7="NO",IF(M767="","",IF($E$7="+X",J767,IF($E$7="-X",-J767,IF($E$7="+Z",L767,IF($E$7="-Z",-L767))))),IF(M767="","",IF($E$7="+X",J767,IF($E$7="-X",-J767,IF($E$7="+Y",K767,IF($E$7="-Y",-K767))))))</f>
        <v/>
      </c>
      <c r="U767" s="26" t="str">
        <f t="shared" ref="U767:U788" si="1161">IF($J$7="NO",IF(M767="","",K767),IF(M767="","",L767))</f>
        <v/>
      </c>
      <c r="V767" s="26" t="str">
        <f t="shared" ref="V767:V788" si="1162">IF($J$7="NO",IF(M767="","",IF($E$7="+X",L767,IF($E$7="-X",-L767,IF($E$7="+Z",-J767,IF($E$7="-Z",J767))))),IF(M767="","",IF($E$7="+X",-K767,IF($E$7="-X",K767,IF($E$7="+Y",J767,IF($E$7="-Y",-J767))))))</f>
        <v/>
      </c>
      <c r="W767" s="27" t="str">
        <f t="shared" ref="W767:W788" si="1163">IF(M767="","",SQRT(Q767^2+R767^2+S767^2))</f>
        <v/>
      </c>
      <c r="X767" s="27" t="str">
        <f t="shared" ref="X767:X788" si="1164">IF(M767="","",SQRT(T767^2+U767^2+V767^2))</f>
        <v/>
      </c>
      <c r="Y767" s="28" t="str">
        <f t="shared" ref="Y767:Y788" si="1165">IF(M767="","",IF($C767&lt;=8,$C767,(16+$C767)/3))</f>
        <v/>
      </c>
      <c r="Z767" s="27" t="str">
        <f t="shared" ref="Z767:Z788" si="1166">IF(M767="","",W767*0.224808)</f>
        <v/>
      </c>
      <c r="AA767" s="27" t="str">
        <f t="shared" ref="AA767:AA788" si="1167">IF(M767="","",X767*0.737562)</f>
        <v/>
      </c>
      <c r="AB767" s="27" t="str">
        <f t="shared" ref="AB767:AB788" si="1168">IF(M767="","",3*Z767+AA767)</f>
        <v/>
      </c>
      <c r="AC767" s="27" t="str">
        <f t="shared" ref="AC767:AC788" si="1169">IF(M767="","",IF(M767="","",500*Y767*$O$7))</f>
        <v/>
      </c>
      <c r="AD767" s="29" t="str">
        <f t="shared" ref="AD767:AD788" si="1170">IF(M767="","",IF(M767="","",AB767/AC767)*100)</f>
        <v/>
      </c>
      <c r="AE767" s="30" t="str">
        <f t="shared" ref="AE767:AE788" si="1171">IF(M767="","",IF(AD767&lt;=100, "PASS","FAIL"))</f>
        <v/>
      </c>
      <c r="AG767" s="4"/>
      <c r="AH767" s="31" t="e">
        <f t="shared" ref="AH767:AH788" si="1172">Q767*O767/1000*VLOOKUP(_xlfn.CONCAT($AH$13,IF(Q767&gt;0,"+","-"),IF(O767&gt;0,"+","-")),$AV:$BA,6,0)</f>
        <v>#VALUE!</v>
      </c>
      <c r="AI767" s="31" t="e">
        <f t="shared" ref="AI767:AI788" si="1173">Q767*P767/1000*VLOOKUP(_xlfn.CONCAT($AI$13,IF(Q767&gt;0,"+","-"),IF(P767&gt;0,"+","-")),$AV:$BA,6,0)</f>
        <v>#VALUE!</v>
      </c>
      <c r="AJ767" s="31" t="e">
        <f t="shared" ref="AJ767:AJ788" si="1174">R767*N767/1000*VLOOKUP(_xlfn.CONCAT($AJ$13,IF(R767&gt;0,"+","-"),IF(N767&gt;0,"+","-")),$AV:$BA,6,0)</f>
        <v>#VALUE!</v>
      </c>
      <c r="AK767" s="31" t="e">
        <f t="shared" ref="AK767:AK788" si="1175">R767*P767/1000*VLOOKUP(_xlfn.CONCAT($AK$13,IF(R767&gt;0,"+","-"),IF(P767&gt;0,"+","-")),$AV:$BA,6,0)</f>
        <v>#VALUE!</v>
      </c>
      <c r="AL767" s="31" t="e">
        <f t="shared" ref="AL767:AL788" si="1176">S767*N767/1000*VLOOKUP(_xlfn.CONCAT($AL$13,IF(S767&gt;0,"+","-"),IF(N767&gt;0,"+","-")),$AV:$BA,6,0)</f>
        <v>#VALUE!</v>
      </c>
      <c r="AM767" s="31" t="e">
        <f t="shared" ref="AM767:AM788" si="1177">S767*O767/1000*VLOOKUP(_xlfn.CONCAT($AM$13,IF(S767&gt;0,"+","-"),IF(O767&gt;0,"+","-")),$AV:$BA,6,0)</f>
        <v>#VALUE!</v>
      </c>
      <c r="AN767" s="32" t="str">
        <f t="shared" ref="AN767:AN788" si="1178">IF($M767="","",AK767+AM767)</f>
        <v/>
      </c>
      <c r="AO767" s="27" t="str">
        <f t="shared" ref="AO767:AO788" si="1179">IF($M767="","",AI767+AL767)</f>
        <v/>
      </c>
      <c r="AP767" s="27" t="str">
        <f t="shared" ref="AP767:AP788" si="1180">IF($M767="","",AH767+AJ767)</f>
        <v/>
      </c>
      <c r="AQ767" s="27">
        <f t="shared" ref="AQ767:AQ788" si="1181">IF(M767="",0,AN767+T767)</f>
        <v>0</v>
      </c>
      <c r="AR767" s="27">
        <f t="shared" ref="AR767:AR788" si="1182">IF(M767="",0,AO767+U767)</f>
        <v>0</v>
      </c>
      <c r="AS767" s="33">
        <f t="shared" ref="AS767:AS788" si="1183">IF(M767="",0,AP767+V767)</f>
        <v>0</v>
      </c>
    </row>
    <row r="768" spans="2:45" hidden="1" x14ac:dyDescent="0.25">
      <c r="B768" s="34" t="str">
        <f t="shared" ref="B768:F768" si="1184">IF(B767="","",B767)</f>
        <v/>
      </c>
      <c r="C768" s="26" t="str">
        <f t="shared" si="1184"/>
        <v/>
      </c>
      <c r="D768" s="26" t="str">
        <f t="shared" si="1184"/>
        <v/>
      </c>
      <c r="E768" s="26" t="str">
        <f t="shared" si="1184"/>
        <v/>
      </c>
      <c r="F768" s="26" t="str">
        <f t="shared" si="1184"/>
        <v/>
      </c>
      <c r="G768" s="24"/>
      <c r="H768" s="24"/>
      <c r="I768" s="24"/>
      <c r="J768" s="24"/>
      <c r="K768" s="24"/>
      <c r="L768" s="24"/>
      <c r="M768" s="44" t="str">
        <f t="shared" si="1152"/>
        <v/>
      </c>
      <c r="N768" s="26" t="str">
        <f t="shared" si="1154"/>
        <v/>
      </c>
      <c r="O768" s="26" t="str">
        <f t="shared" si="1155"/>
        <v/>
      </c>
      <c r="P768" s="26" t="str">
        <f t="shared" si="1156"/>
        <v/>
      </c>
      <c r="Q768" s="26">
        <f t="shared" si="1157"/>
        <v>0</v>
      </c>
      <c r="R768" s="26">
        <f t="shared" si="1158"/>
        <v>0</v>
      </c>
      <c r="S768" s="26">
        <f t="shared" si="1159"/>
        <v>0</v>
      </c>
      <c r="T768" s="26" t="str">
        <f t="shared" si="1160"/>
        <v/>
      </c>
      <c r="U768" s="26" t="str">
        <f t="shared" si="1161"/>
        <v/>
      </c>
      <c r="V768" s="26" t="str">
        <f t="shared" si="1162"/>
        <v/>
      </c>
      <c r="W768" s="27" t="str">
        <f t="shared" si="1163"/>
        <v/>
      </c>
      <c r="X768" s="27" t="str">
        <f t="shared" si="1164"/>
        <v/>
      </c>
      <c r="Y768" s="28" t="str">
        <f t="shared" si="1165"/>
        <v/>
      </c>
      <c r="Z768" s="27" t="str">
        <f t="shared" si="1166"/>
        <v/>
      </c>
      <c r="AA768" s="27" t="str">
        <f t="shared" si="1167"/>
        <v/>
      </c>
      <c r="AB768" s="27" t="str">
        <f t="shared" si="1168"/>
        <v/>
      </c>
      <c r="AC768" s="27" t="str">
        <f t="shared" si="1169"/>
        <v/>
      </c>
      <c r="AD768" s="29" t="str">
        <f t="shared" si="1170"/>
        <v/>
      </c>
      <c r="AE768" s="30" t="str">
        <f t="shared" si="1171"/>
        <v/>
      </c>
      <c r="AG768" s="4"/>
      <c r="AH768" s="31" t="e">
        <f t="shared" si="1172"/>
        <v>#VALUE!</v>
      </c>
      <c r="AI768" s="31" t="e">
        <f t="shared" si="1173"/>
        <v>#VALUE!</v>
      </c>
      <c r="AJ768" s="31" t="e">
        <f t="shared" si="1174"/>
        <v>#VALUE!</v>
      </c>
      <c r="AK768" s="31" t="e">
        <f t="shared" si="1175"/>
        <v>#VALUE!</v>
      </c>
      <c r="AL768" s="31" t="e">
        <f t="shared" si="1176"/>
        <v>#VALUE!</v>
      </c>
      <c r="AM768" s="31" t="e">
        <f t="shared" si="1177"/>
        <v>#VALUE!</v>
      </c>
      <c r="AN768" s="32" t="str">
        <f t="shared" si="1178"/>
        <v/>
      </c>
      <c r="AO768" s="27" t="str">
        <f t="shared" si="1179"/>
        <v/>
      </c>
      <c r="AP768" s="27" t="str">
        <f t="shared" si="1180"/>
        <v/>
      </c>
      <c r="AQ768" s="27">
        <f t="shared" si="1181"/>
        <v>0</v>
      </c>
      <c r="AR768" s="27">
        <f t="shared" si="1182"/>
        <v>0</v>
      </c>
      <c r="AS768" s="33">
        <f t="shared" si="1183"/>
        <v>0</v>
      </c>
    </row>
    <row r="769" spans="2:45" hidden="1" x14ac:dyDescent="0.25">
      <c r="B769" s="34" t="str">
        <f>IF(B768="","",B768)</f>
        <v/>
      </c>
      <c r="C769" s="26" t="str">
        <f t="shared" ref="C769:F769" si="1185">IF(C768="","",C768)</f>
        <v/>
      </c>
      <c r="D769" s="26" t="str">
        <f t="shared" si="1185"/>
        <v/>
      </c>
      <c r="E769" s="26" t="str">
        <f t="shared" si="1185"/>
        <v/>
      </c>
      <c r="F769" s="26" t="str">
        <f t="shared" si="1185"/>
        <v/>
      </c>
      <c r="G769" s="24"/>
      <c r="H769" s="24"/>
      <c r="I769" s="24"/>
      <c r="J769" s="24"/>
      <c r="K769" s="24"/>
      <c r="L769" s="24"/>
      <c r="M769" s="44" t="str">
        <f t="shared" si="1152"/>
        <v/>
      </c>
      <c r="N769" s="26" t="str">
        <f t="shared" si="1154"/>
        <v/>
      </c>
      <c r="O769" s="26" t="str">
        <f t="shared" si="1155"/>
        <v/>
      </c>
      <c r="P769" s="26" t="str">
        <f t="shared" si="1156"/>
        <v/>
      </c>
      <c r="Q769" s="26">
        <f t="shared" si="1157"/>
        <v>0</v>
      </c>
      <c r="R769" s="26">
        <f t="shared" si="1158"/>
        <v>0</v>
      </c>
      <c r="S769" s="26">
        <f t="shared" si="1159"/>
        <v>0</v>
      </c>
      <c r="T769" s="26" t="str">
        <f t="shared" si="1160"/>
        <v/>
      </c>
      <c r="U769" s="26" t="str">
        <f t="shared" si="1161"/>
        <v/>
      </c>
      <c r="V769" s="26" t="str">
        <f t="shared" si="1162"/>
        <v/>
      </c>
      <c r="W769" s="27" t="str">
        <f t="shared" si="1163"/>
        <v/>
      </c>
      <c r="X769" s="27" t="str">
        <f t="shared" si="1164"/>
        <v/>
      </c>
      <c r="Y769" s="28" t="str">
        <f t="shared" si="1165"/>
        <v/>
      </c>
      <c r="Z769" s="27" t="str">
        <f t="shared" si="1166"/>
        <v/>
      </c>
      <c r="AA769" s="27" t="str">
        <f t="shared" si="1167"/>
        <v/>
      </c>
      <c r="AB769" s="27" t="str">
        <f t="shared" si="1168"/>
        <v/>
      </c>
      <c r="AC769" s="27" t="str">
        <f t="shared" si="1169"/>
        <v/>
      </c>
      <c r="AD769" s="29" t="str">
        <f t="shared" si="1170"/>
        <v/>
      </c>
      <c r="AE769" s="30" t="str">
        <f t="shared" si="1171"/>
        <v/>
      </c>
      <c r="AG769" s="4"/>
      <c r="AH769" s="31" t="e">
        <f t="shared" si="1172"/>
        <v>#VALUE!</v>
      </c>
      <c r="AI769" s="31" t="e">
        <f t="shared" si="1173"/>
        <v>#VALUE!</v>
      </c>
      <c r="AJ769" s="31" t="e">
        <f t="shared" si="1174"/>
        <v>#VALUE!</v>
      </c>
      <c r="AK769" s="31" t="e">
        <f t="shared" si="1175"/>
        <v>#VALUE!</v>
      </c>
      <c r="AL769" s="31" t="e">
        <f t="shared" si="1176"/>
        <v>#VALUE!</v>
      </c>
      <c r="AM769" s="31" t="e">
        <f t="shared" si="1177"/>
        <v>#VALUE!</v>
      </c>
      <c r="AN769" s="32" t="str">
        <f t="shared" si="1178"/>
        <v/>
      </c>
      <c r="AO769" s="27" t="str">
        <f t="shared" si="1179"/>
        <v/>
      </c>
      <c r="AP769" s="27" t="str">
        <f t="shared" si="1180"/>
        <v/>
      </c>
      <c r="AQ769" s="27">
        <f t="shared" si="1181"/>
        <v>0</v>
      </c>
      <c r="AR769" s="27">
        <f t="shared" si="1182"/>
        <v>0</v>
      </c>
      <c r="AS769" s="33">
        <f t="shared" si="1183"/>
        <v>0</v>
      </c>
    </row>
    <row r="770" spans="2:45" hidden="1" x14ac:dyDescent="0.25">
      <c r="B770" s="34" t="str">
        <f t="shared" ref="B770:F770" si="1186">IF(B769="","",B769)</f>
        <v/>
      </c>
      <c r="C770" s="26" t="str">
        <f t="shared" si="1186"/>
        <v/>
      </c>
      <c r="D770" s="26" t="str">
        <f t="shared" si="1186"/>
        <v/>
      </c>
      <c r="E770" s="26" t="str">
        <f t="shared" si="1186"/>
        <v/>
      </c>
      <c r="F770" s="26" t="str">
        <f t="shared" si="1186"/>
        <v/>
      </c>
      <c r="G770" s="24"/>
      <c r="H770" s="24"/>
      <c r="I770" s="24"/>
      <c r="J770" s="24"/>
      <c r="K770" s="24"/>
      <c r="L770" s="24"/>
      <c r="M770" s="44" t="str">
        <f t="shared" si="1152"/>
        <v/>
      </c>
      <c r="N770" s="26" t="str">
        <f t="shared" si="1154"/>
        <v/>
      </c>
      <c r="O770" s="26" t="str">
        <f t="shared" si="1155"/>
        <v/>
      </c>
      <c r="P770" s="26" t="str">
        <f t="shared" si="1156"/>
        <v/>
      </c>
      <c r="Q770" s="26">
        <f t="shared" si="1157"/>
        <v>0</v>
      </c>
      <c r="R770" s="26">
        <f t="shared" si="1158"/>
        <v>0</v>
      </c>
      <c r="S770" s="26">
        <f t="shared" si="1159"/>
        <v>0</v>
      </c>
      <c r="T770" s="26" t="str">
        <f t="shared" si="1160"/>
        <v/>
      </c>
      <c r="U770" s="26" t="str">
        <f t="shared" si="1161"/>
        <v/>
      </c>
      <c r="V770" s="26" t="str">
        <f t="shared" si="1162"/>
        <v/>
      </c>
      <c r="W770" s="27" t="str">
        <f t="shared" si="1163"/>
        <v/>
      </c>
      <c r="X770" s="27" t="str">
        <f t="shared" si="1164"/>
        <v/>
      </c>
      <c r="Y770" s="28" t="str">
        <f t="shared" si="1165"/>
        <v/>
      </c>
      <c r="Z770" s="27" t="str">
        <f t="shared" si="1166"/>
        <v/>
      </c>
      <c r="AA770" s="27" t="str">
        <f t="shared" si="1167"/>
        <v/>
      </c>
      <c r="AB770" s="27" t="str">
        <f t="shared" si="1168"/>
        <v/>
      </c>
      <c r="AC770" s="27" t="str">
        <f t="shared" si="1169"/>
        <v/>
      </c>
      <c r="AD770" s="29" t="str">
        <f t="shared" si="1170"/>
        <v/>
      </c>
      <c r="AE770" s="30" t="str">
        <f t="shared" si="1171"/>
        <v/>
      </c>
      <c r="AG770" s="4"/>
      <c r="AH770" s="31" t="e">
        <f t="shared" si="1172"/>
        <v>#VALUE!</v>
      </c>
      <c r="AI770" s="31" t="e">
        <f t="shared" si="1173"/>
        <v>#VALUE!</v>
      </c>
      <c r="AJ770" s="31" t="e">
        <f t="shared" si="1174"/>
        <v>#VALUE!</v>
      </c>
      <c r="AK770" s="31" t="e">
        <f t="shared" si="1175"/>
        <v>#VALUE!</v>
      </c>
      <c r="AL770" s="31" t="e">
        <f t="shared" si="1176"/>
        <v>#VALUE!</v>
      </c>
      <c r="AM770" s="31" t="e">
        <f t="shared" si="1177"/>
        <v>#VALUE!</v>
      </c>
      <c r="AN770" s="32" t="str">
        <f t="shared" si="1178"/>
        <v/>
      </c>
      <c r="AO770" s="27" t="str">
        <f t="shared" si="1179"/>
        <v/>
      </c>
      <c r="AP770" s="27" t="str">
        <f t="shared" si="1180"/>
        <v/>
      </c>
      <c r="AQ770" s="27">
        <f t="shared" si="1181"/>
        <v>0</v>
      </c>
      <c r="AR770" s="27">
        <f t="shared" si="1182"/>
        <v>0</v>
      </c>
      <c r="AS770" s="33">
        <f t="shared" si="1183"/>
        <v>0</v>
      </c>
    </row>
    <row r="771" spans="2:45" hidden="1" x14ac:dyDescent="0.25">
      <c r="B771" s="34" t="str">
        <f t="shared" ref="B771:F771" si="1187">IF(B770="","",B770)</f>
        <v/>
      </c>
      <c r="C771" s="26" t="str">
        <f t="shared" si="1187"/>
        <v/>
      </c>
      <c r="D771" s="26" t="str">
        <f t="shared" si="1187"/>
        <v/>
      </c>
      <c r="E771" s="26" t="str">
        <f t="shared" si="1187"/>
        <v/>
      </c>
      <c r="F771" s="26" t="str">
        <f t="shared" si="1187"/>
        <v/>
      </c>
      <c r="G771" s="24"/>
      <c r="H771" s="24"/>
      <c r="I771" s="24"/>
      <c r="J771" s="24"/>
      <c r="K771" s="24"/>
      <c r="L771" s="24"/>
      <c r="M771" s="44" t="str">
        <f t="shared" si="1152"/>
        <v/>
      </c>
      <c r="N771" s="26" t="str">
        <f t="shared" si="1154"/>
        <v/>
      </c>
      <c r="O771" s="26" t="str">
        <f t="shared" si="1155"/>
        <v/>
      </c>
      <c r="P771" s="26" t="str">
        <f t="shared" si="1156"/>
        <v/>
      </c>
      <c r="Q771" s="26">
        <f t="shared" si="1157"/>
        <v>0</v>
      </c>
      <c r="R771" s="26">
        <f t="shared" si="1158"/>
        <v>0</v>
      </c>
      <c r="S771" s="26">
        <f t="shared" si="1159"/>
        <v>0</v>
      </c>
      <c r="T771" s="26" t="str">
        <f t="shared" si="1160"/>
        <v/>
      </c>
      <c r="U771" s="26" t="str">
        <f t="shared" si="1161"/>
        <v/>
      </c>
      <c r="V771" s="26" t="str">
        <f t="shared" si="1162"/>
        <v/>
      </c>
      <c r="W771" s="27" t="str">
        <f t="shared" si="1163"/>
        <v/>
      </c>
      <c r="X771" s="27" t="str">
        <f t="shared" si="1164"/>
        <v/>
      </c>
      <c r="Y771" s="28" t="str">
        <f t="shared" si="1165"/>
        <v/>
      </c>
      <c r="Z771" s="27" t="str">
        <f t="shared" si="1166"/>
        <v/>
      </c>
      <c r="AA771" s="27" t="str">
        <f t="shared" si="1167"/>
        <v/>
      </c>
      <c r="AB771" s="27" t="str">
        <f t="shared" si="1168"/>
        <v/>
      </c>
      <c r="AC771" s="27" t="str">
        <f t="shared" si="1169"/>
        <v/>
      </c>
      <c r="AD771" s="29" t="str">
        <f t="shared" si="1170"/>
        <v/>
      </c>
      <c r="AE771" s="30" t="str">
        <f t="shared" si="1171"/>
        <v/>
      </c>
      <c r="AG771" s="4"/>
      <c r="AH771" s="31" t="e">
        <f t="shared" si="1172"/>
        <v>#VALUE!</v>
      </c>
      <c r="AI771" s="31" t="e">
        <f t="shared" si="1173"/>
        <v>#VALUE!</v>
      </c>
      <c r="AJ771" s="31" t="e">
        <f t="shared" si="1174"/>
        <v>#VALUE!</v>
      </c>
      <c r="AK771" s="31" t="e">
        <f t="shared" si="1175"/>
        <v>#VALUE!</v>
      </c>
      <c r="AL771" s="31" t="e">
        <f t="shared" si="1176"/>
        <v>#VALUE!</v>
      </c>
      <c r="AM771" s="31" t="e">
        <f t="shared" si="1177"/>
        <v>#VALUE!</v>
      </c>
      <c r="AN771" s="32" t="str">
        <f t="shared" si="1178"/>
        <v/>
      </c>
      <c r="AO771" s="27" t="str">
        <f t="shared" si="1179"/>
        <v/>
      </c>
      <c r="AP771" s="27" t="str">
        <f t="shared" si="1180"/>
        <v/>
      </c>
      <c r="AQ771" s="27">
        <f t="shared" si="1181"/>
        <v>0</v>
      </c>
      <c r="AR771" s="27">
        <f t="shared" si="1182"/>
        <v>0</v>
      </c>
      <c r="AS771" s="33">
        <f t="shared" si="1183"/>
        <v>0</v>
      </c>
    </row>
    <row r="772" spans="2:45" hidden="1" x14ac:dyDescent="0.25">
      <c r="B772" s="34" t="str">
        <f t="shared" ref="B772:F772" si="1188">IF(B771="","",B771)</f>
        <v/>
      </c>
      <c r="C772" s="26" t="str">
        <f t="shared" si="1188"/>
        <v/>
      </c>
      <c r="D772" s="26" t="str">
        <f t="shared" si="1188"/>
        <v/>
      </c>
      <c r="E772" s="26" t="str">
        <f t="shared" si="1188"/>
        <v/>
      </c>
      <c r="F772" s="26" t="str">
        <f t="shared" si="1188"/>
        <v/>
      </c>
      <c r="G772" s="24"/>
      <c r="H772" s="24"/>
      <c r="I772" s="24"/>
      <c r="J772" s="24"/>
      <c r="K772" s="24"/>
      <c r="L772" s="24"/>
      <c r="M772" s="44" t="str">
        <f t="shared" si="1152"/>
        <v/>
      </c>
      <c r="N772" s="26" t="str">
        <f t="shared" si="1154"/>
        <v/>
      </c>
      <c r="O772" s="26" t="str">
        <f t="shared" si="1155"/>
        <v/>
      </c>
      <c r="P772" s="26" t="str">
        <f t="shared" si="1156"/>
        <v/>
      </c>
      <c r="Q772" s="26">
        <f t="shared" si="1157"/>
        <v>0</v>
      </c>
      <c r="R772" s="26">
        <f t="shared" si="1158"/>
        <v>0</v>
      </c>
      <c r="S772" s="26">
        <f t="shared" si="1159"/>
        <v>0</v>
      </c>
      <c r="T772" s="26" t="str">
        <f t="shared" si="1160"/>
        <v/>
      </c>
      <c r="U772" s="26" t="str">
        <f t="shared" si="1161"/>
        <v/>
      </c>
      <c r="V772" s="26" t="str">
        <f t="shared" si="1162"/>
        <v/>
      </c>
      <c r="W772" s="27" t="str">
        <f t="shared" si="1163"/>
        <v/>
      </c>
      <c r="X772" s="27" t="str">
        <f t="shared" si="1164"/>
        <v/>
      </c>
      <c r="Y772" s="28" t="str">
        <f t="shared" si="1165"/>
        <v/>
      </c>
      <c r="Z772" s="27" t="str">
        <f t="shared" si="1166"/>
        <v/>
      </c>
      <c r="AA772" s="27" t="str">
        <f t="shared" si="1167"/>
        <v/>
      </c>
      <c r="AB772" s="27" t="str">
        <f t="shared" si="1168"/>
        <v/>
      </c>
      <c r="AC772" s="27" t="str">
        <f t="shared" si="1169"/>
        <v/>
      </c>
      <c r="AD772" s="29" t="str">
        <f t="shared" si="1170"/>
        <v/>
      </c>
      <c r="AE772" s="30" t="str">
        <f t="shared" si="1171"/>
        <v/>
      </c>
      <c r="AG772" s="4"/>
      <c r="AH772" s="31" t="e">
        <f t="shared" si="1172"/>
        <v>#VALUE!</v>
      </c>
      <c r="AI772" s="31" t="e">
        <f t="shared" si="1173"/>
        <v>#VALUE!</v>
      </c>
      <c r="AJ772" s="31" t="e">
        <f t="shared" si="1174"/>
        <v>#VALUE!</v>
      </c>
      <c r="AK772" s="31" t="e">
        <f t="shared" si="1175"/>
        <v>#VALUE!</v>
      </c>
      <c r="AL772" s="31" t="e">
        <f t="shared" si="1176"/>
        <v>#VALUE!</v>
      </c>
      <c r="AM772" s="31" t="e">
        <f t="shared" si="1177"/>
        <v>#VALUE!</v>
      </c>
      <c r="AN772" s="32" t="str">
        <f t="shared" si="1178"/>
        <v/>
      </c>
      <c r="AO772" s="27" t="str">
        <f t="shared" si="1179"/>
        <v/>
      </c>
      <c r="AP772" s="27" t="str">
        <f t="shared" si="1180"/>
        <v/>
      </c>
      <c r="AQ772" s="27">
        <f t="shared" si="1181"/>
        <v>0</v>
      </c>
      <c r="AR772" s="27">
        <f t="shared" si="1182"/>
        <v>0</v>
      </c>
      <c r="AS772" s="33">
        <f t="shared" si="1183"/>
        <v>0</v>
      </c>
    </row>
    <row r="773" spans="2:45" hidden="1" x14ac:dyDescent="0.25">
      <c r="B773" s="34" t="str">
        <f t="shared" ref="B773:F773" si="1189">IF(B772="","",B772)</f>
        <v/>
      </c>
      <c r="C773" s="26" t="str">
        <f t="shared" si="1189"/>
        <v/>
      </c>
      <c r="D773" s="26" t="str">
        <f t="shared" si="1189"/>
        <v/>
      </c>
      <c r="E773" s="26" t="str">
        <f t="shared" si="1189"/>
        <v/>
      </c>
      <c r="F773" s="26" t="str">
        <f t="shared" si="1189"/>
        <v/>
      </c>
      <c r="G773" s="24"/>
      <c r="H773" s="24"/>
      <c r="I773" s="24"/>
      <c r="J773" s="24"/>
      <c r="K773" s="24"/>
      <c r="L773" s="24"/>
      <c r="M773" s="44" t="str">
        <f t="shared" si="1152"/>
        <v/>
      </c>
      <c r="N773" s="26" t="str">
        <f t="shared" si="1154"/>
        <v/>
      </c>
      <c r="O773" s="26" t="str">
        <f t="shared" si="1155"/>
        <v/>
      </c>
      <c r="P773" s="26" t="str">
        <f t="shared" si="1156"/>
        <v/>
      </c>
      <c r="Q773" s="26">
        <f t="shared" si="1157"/>
        <v>0</v>
      </c>
      <c r="R773" s="26">
        <f t="shared" si="1158"/>
        <v>0</v>
      </c>
      <c r="S773" s="26">
        <f t="shared" si="1159"/>
        <v>0</v>
      </c>
      <c r="T773" s="26" t="str">
        <f t="shared" si="1160"/>
        <v/>
      </c>
      <c r="U773" s="26" t="str">
        <f t="shared" si="1161"/>
        <v/>
      </c>
      <c r="V773" s="26" t="str">
        <f t="shared" si="1162"/>
        <v/>
      </c>
      <c r="W773" s="27" t="str">
        <f t="shared" si="1163"/>
        <v/>
      </c>
      <c r="X773" s="27" t="str">
        <f t="shared" si="1164"/>
        <v/>
      </c>
      <c r="Y773" s="28" t="str">
        <f t="shared" si="1165"/>
        <v/>
      </c>
      <c r="Z773" s="27" t="str">
        <f t="shared" si="1166"/>
        <v/>
      </c>
      <c r="AA773" s="27" t="str">
        <f t="shared" si="1167"/>
        <v/>
      </c>
      <c r="AB773" s="27" t="str">
        <f t="shared" si="1168"/>
        <v/>
      </c>
      <c r="AC773" s="27" t="str">
        <f t="shared" si="1169"/>
        <v/>
      </c>
      <c r="AD773" s="29" t="str">
        <f t="shared" si="1170"/>
        <v/>
      </c>
      <c r="AE773" s="30" t="str">
        <f t="shared" si="1171"/>
        <v/>
      </c>
      <c r="AG773" s="4"/>
      <c r="AH773" s="31" t="e">
        <f t="shared" si="1172"/>
        <v>#VALUE!</v>
      </c>
      <c r="AI773" s="31" t="e">
        <f t="shared" si="1173"/>
        <v>#VALUE!</v>
      </c>
      <c r="AJ773" s="31" t="e">
        <f t="shared" si="1174"/>
        <v>#VALUE!</v>
      </c>
      <c r="AK773" s="31" t="e">
        <f t="shared" si="1175"/>
        <v>#VALUE!</v>
      </c>
      <c r="AL773" s="31" t="e">
        <f t="shared" si="1176"/>
        <v>#VALUE!</v>
      </c>
      <c r="AM773" s="31" t="e">
        <f t="shared" si="1177"/>
        <v>#VALUE!</v>
      </c>
      <c r="AN773" s="32" t="str">
        <f t="shared" si="1178"/>
        <v/>
      </c>
      <c r="AO773" s="27" t="str">
        <f t="shared" si="1179"/>
        <v/>
      </c>
      <c r="AP773" s="27" t="str">
        <f t="shared" si="1180"/>
        <v/>
      </c>
      <c r="AQ773" s="27">
        <f t="shared" si="1181"/>
        <v>0</v>
      </c>
      <c r="AR773" s="27">
        <f t="shared" si="1182"/>
        <v>0</v>
      </c>
      <c r="AS773" s="33">
        <f t="shared" si="1183"/>
        <v>0</v>
      </c>
    </row>
    <row r="774" spans="2:45" hidden="1" x14ac:dyDescent="0.25">
      <c r="B774" s="34" t="str">
        <f t="shared" ref="B774:F774" si="1190">IF(B773="","",B773)</f>
        <v/>
      </c>
      <c r="C774" s="26" t="str">
        <f t="shared" si="1190"/>
        <v/>
      </c>
      <c r="D774" s="26" t="str">
        <f t="shared" si="1190"/>
        <v/>
      </c>
      <c r="E774" s="26" t="str">
        <f t="shared" si="1190"/>
        <v/>
      </c>
      <c r="F774" s="26" t="str">
        <f t="shared" si="1190"/>
        <v/>
      </c>
      <c r="G774" s="24"/>
      <c r="H774" s="24"/>
      <c r="I774" s="24"/>
      <c r="J774" s="24"/>
      <c r="K774" s="24"/>
      <c r="L774" s="24"/>
      <c r="M774" s="44" t="str">
        <f t="shared" si="1152"/>
        <v/>
      </c>
      <c r="N774" s="26" t="str">
        <f t="shared" si="1154"/>
        <v/>
      </c>
      <c r="O774" s="26" t="str">
        <f t="shared" si="1155"/>
        <v/>
      </c>
      <c r="P774" s="26" t="str">
        <f t="shared" si="1156"/>
        <v/>
      </c>
      <c r="Q774" s="26">
        <f t="shared" si="1157"/>
        <v>0</v>
      </c>
      <c r="R774" s="26">
        <f t="shared" si="1158"/>
        <v>0</v>
      </c>
      <c r="S774" s="26">
        <f t="shared" si="1159"/>
        <v>0</v>
      </c>
      <c r="T774" s="26" t="str">
        <f t="shared" si="1160"/>
        <v/>
      </c>
      <c r="U774" s="26" t="str">
        <f t="shared" si="1161"/>
        <v/>
      </c>
      <c r="V774" s="26" t="str">
        <f t="shared" si="1162"/>
        <v/>
      </c>
      <c r="W774" s="27" t="str">
        <f t="shared" si="1163"/>
        <v/>
      </c>
      <c r="X774" s="27" t="str">
        <f t="shared" si="1164"/>
        <v/>
      </c>
      <c r="Y774" s="28" t="str">
        <f t="shared" si="1165"/>
        <v/>
      </c>
      <c r="Z774" s="27" t="str">
        <f t="shared" si="1166"/>
        <v/>
      </c>
      <c r="AA774" s="27" t="str">
        <f t="shared" si="1167"/>
        <v/>
      </c>
      <c r="AB774" s="27" t="str">
        <f t="shared" si="1168"/>
        <v/>
      </c>
      <c r="AC774" s="27" t="str">
        <f t="shared" si="1169"/>
        <v/>
      </c>
      <c r="AD774" s="29" t="str">
        <f t="shared" si="1170"/>
        <v/>
      </c>
      <c r="AE774" s="30" t="str">
        <f t="shared" si="1171"/>
        <v/>
      </c>
      <c r="AG774" s="4"/>
      <c r="AH774" s="31" t="e">
        <f t="shared" si="1172"/>
        <v>#VALUE!</v>
      </c>
      <c r="AI774" s="31" t="e">
        <f t="shared" si="1173"/>
        <v>#VALUE!</v>
      </c>
      <c r="AJ774" s="31" t="e">
        <f t="shared" si="1174"/>
        <v>#VALUE!</v>
      </c>
      <c r="AK774" s="31" t="e">
        <f t="shared" si="1175"/>
        <v>#VALUE!</v>
      </c>
      <c r="AL774" s="31" t="e">
        <f t="shared" si="1176"/>
        <v>#VALUE!</v>
      </c>
      <c r="AM774" s="31" t="e">
        <f t="shared" si="1177"/>
        <v>#VALUE!</v>
      </c>
      <c r="AN774" s="32" t="str">
        <f t="shared" si="1178"/>
        <v/>
      </c>
      <c r="AO774" s="27" t="str">
        <f t="shared" si="1179"/>
        <v/>
      </c>
      <c r="AP774" s="27" t="str">
        <f t="shared" si="1180"/>
        <v/>
      </c>
      <c r="AQ774" s="27">
        <f t="shared" si="1181"/>
        <v>0</v>
      </c>
      <c r="AR774" s="27">
        <f t="shared" si="1182"/>
        <v>0</v>
      </c>
      <c r="AS774" s="33">
        <f t="shared" si="1183"/>
        <v>0</v>
      </c>
    </row>
    <row r="775" spans="2:45" hidden="1" x14ac:dyDescent="0.25">
      <c r="B775" s="34" t="str">
        <f t="shared" ref="B775:F775" si="1191">IF(B774="","",B774)</f>
        <v/>
      </c>
      <c r="C775" s="26" t="str">
        <f t="shared" si="1191"/>
        <v/>
      </c>
      <c r="D775" s="26" t="str">
        <f t="shared" si="1191"/>
        <v/>
      </c>
      <c r="E775" s="26" t="str">
        <f t="shared" si="1191"/>
        <v/>
      </c>
      <c r="F775" s="26" t="str">
        <f t="shared" si="1191"/>
        <v/>
      </c>
      <c r="G775" s="24"/>
      <c r="H775" s="24"/>
      <c r="I775" s="24"/>
      <c r="J775" s="24"/>
      <c r="K775" s="24"/>
      <c r="L775" s="24"/>
      <c r="M775" s="44" t="str">
        <f t="shared" si="1152"/>
        <v/>
      </c>
      <c r="N775" s="26" t="str">
        <f t="shared" si="1154"/>
        <v/>
      </c>
      <c r="O775" s="26" t="str">
        <f t="shared" si="1155"/>
        <v/>
      </c>
      <c r="P775" s="26" t="str">
        <f t="shared" si="1156"/>
        <v/>
      </c>
      <c r="Q775" s="26">
        <f t="shared" si="1157"/>
        <v>0</v>
      </c>
      <c r="R775" s="26">
        <f t="shared" si="1158"/>
        <v>0</v>
      </c>
      <c r="S775" s="26">
        <f t="shared" si="1159"/>
        <v>0</v>
      </c>
      <c r="T775" s="26" t="str">
        <f t="shared" si="1160"/>
        <v/>
      </c>
      <c r="U775" s="26" t="str">
        <f t="shared" si="1161"/>
        <v/>
      </c>
      <c r="V775" s="26" t="str">
        <f t="shared" si="1162"/>
        <v/>
      </c>
      <c r="W775" s="27" t="str">
        <f t="shared" si="1163"/>
        <v/>
      </c>
      <c r="X775" s="27" t="str">
        <f t="shared" si="1164"/>
        <v/>
      </c>
      <c r="Y775" s="28" t="str">
        <f t="shared" si="1165"/>
        <v/>
      </c>
      <c r="Z775" s="27" t="str">
        <f t="shared" si="1166"/>
        <v/>
      </c>
      <c r="AA775" s="27" t="str">
        <f t="shared" si="1167"/>
        <v/>
      </c>
      <c r="AB775" s="27" t="str">
        <f t="shared" si="1168"/>
        <v/>
      </c>
      <c r="AC775" s="27" t="str">
        <f t="shared" si="1169"/>
        <v/>
      </c>
      <c r="AD775" s="29" t="str">
        <f t="shared" si="1170"/>
        <v/>
      </c>
      <c r="AE775" s="30" t="str">
        <f t="shared" si="1171"/>
        <v/>
      </c>
      <c r="AG775" s="4"/>
      <c r="AH775" s="31" t="e">
        <f t="shared" si="1172"/>
        <v>#VALUE!</v>
      </c>
      <c r="AI775" s="31" t="e">
        <f t="shared" si="1173"/>
        <v>#VALUE!</v>
      </c>
      <c r="AJ775" s="31" t="e">
        <f t="shared" si="1174"/>
        <v>#VALUE!</v>
      </c>
      <c r="AK775" s="31" t="e">
        <f t="shared" si="1175"/>
        <v>#VALUE!</v>
      </c>
      <c r="AL775" s="31" t="e">
        <f t="shared" si="1176"/>
        <v>#VALUE!</v>
      </c>
      <c r="AM775" s="31" t="e">
        <f t="shared" si="1177"/>
        <v>#VALUE!</v>
      </c>
      <c r="AN775" s="32" t="str">
        <f t="shared" si="1178"/>
        <v/>
      </c>
      <c r="AO775" s="27" t="str">
        <f t="shared" si="1179"/>
        <v/>
      </c>
      <c r="AP775" s="27" t="str">
        <f t="shared" si="1180"/>
        <v/>
      </c>
      <c r="AQ775" s="27">
        <f t="shared" si="1181"/>
        <v>0</v>
      </c>
      <c r="AR775" s="27">
        <f t="shared" si="1182"/>
        <v>0</v>
      </c>
      <c r="AS775" s="33">
        <f t="shared" si="1183"/>
        <v>0</v>
      </c>
    </row>
    <row r="776" spans="2:45" hidden="1" x14ac:dyDescent="0.25">
      <c r="B776" s="34" t="str">
        <f t="shared" ref="B776:F776" si="1192">IF(B775="","",B775)</f>
        <v/>
      </c>
      <c r="C776" s="26" t="str">
        <f t="shared" si="1192"/>
        <v/>
      </c>
      <c r="D776" s="26" t="str">
        <f t="shared" si="1192"/>
        <v/>
      </c>
      <c r="E776" s="26" t="str">
        <f t="shared" si="1192"/>
        <v/>
      </c>
      <c r="F776" s="26" t="str">
        <f t="shared" si="1192"/>
        <v/>
      </c>
      <c r="G776" s="24"/>
      <c r="H776" s="24"/>
      <c r="I776" s="24"/>
      <c r="J776" s="24"/>
      <c r="K776" s="24"/>
      <c r="L776" s="24"/>
      <c r="M776" s="44" t="str">
        <f t="shared" si="1152"/>
        <v/>
      </c>
      <c r="N776" s="26" t="str">
        <f t="shared" si="1154"/>
        <v/>
      </c>
      <c r="O776" s="26" t="str">
        <f t="shared" si="1155"/>
        <v/>
      </c>
      <c r="P776" s="26" t="str">
        <f t="shared" si="1156"/>
        <v/>
      </c>
      <c r="Q776" s="26">
        <f t="shared" si="1157"/>
        <v>0</v>
      </c>
      <c r="R776" s="26">
        <f t="shared" si="1158"/>
        <v>0</v>
      </c>
      <c r="S776" s="26">
        <f t="shared" si="1159"/>
        <v>0</v>
      </c>
      <c r="T776" s="26" t="str">
        <f t="shared" si="1160"/>
        <v/>
      </c>
      <c r="U776" s="26" t="str">
        <f t="shared" si="1161"/>
        <v/>
      </c>
      <c r="V776" s="26" t="str">
        <f t="shared" si="1162"/>
        <v/>
      </c>
      <c r="W776" s="27" t="str">
        <f t="shared" si="1163"/>
        <v/>
      </c>
      <c r="X776" s="27" t="str">
        <f t="shared" si="1164"/>
        <v/>
      </c>
      <c r="Y776" s="28" t="str">
        <f t="shared" si="1165"/>
        <v/>
      </c>
      <c r="Z776" s="27" t="str">
        <f t="shared" si="1166"/>
        <v/>
      </c>
      <c r="AA776" s="27" t="str">
        <f t="shared" si="1167"/>
        <v/>
      </c>
      <c r="AB776" s="27" t="str">
        <f t="shared" si="1168"/>
        <v/>
      </c>
      <c r="AC776" s="27" t="str">
        <f t="shared" si="1169"/>
        <v/>
      </c>
      <c r="AD776" s="29" t="str">
        <f t="shared" si="1170"/>
        <v/>
      </c>
      <c r="AE776" s="30" t="str">
        <f t="shared" si="1171"/>
        <v/>
      </c>
      <c r="AG776" s="4"/>
      <c r="AH776" s="31" t="e">
        <f t="shared" si="1172"/>
        <v>#VALUE!</v>
      </c>
      <c r="AI776" s="31" t="e">
        <f t="shared" si="1173"/>
        <v>#VALUE!</v>
      </c>
      <c r="AJ776" s="31" t="e">
        <f t="shared" si="1174"/>
        <v>#VALUE!</v>
      </c>
      <c r="AK776" s="31" t="e">
        <f t="shared" si="1175"/>
        <v>#VALUE!</v>
      </c>
      <c r="AL776" s="31" t="e">
        <f t="shared" si="1176"/>
        <v>#VALUE!</v>
      </c>
      <c r="AM776" s="31" t="e">
        <f t="shared" si="1177"/>
        <v>#VALUE!</v>
      </c>
      <c r="AN776" s="32" t="str">
        <f t="shared" si="1178"/>
        <v/>
      </c>
      <c r="AO776" s="27" t="str">
        <f t="shared" si="1179"/>
        <v/>
      </c>
      <c r="AP776" s="27" t="str">
        <f t="shared" si="1180"/>
        <v/>
      </c>
      <c r="AQ776" s="27">
        <f t="shared" si="1181"/>
        <v>0</v>
      </c>
      <c r="AR776" s="27">
        <f t="shared" si="1182"/>
        <v>0</v>
      </c>
      <c r="AS776" s="33">
        <f t="shared" si="1183"/>
        <v>0</v>
      </c>
    </row>
    <row r="777" spans="2:45" hidden="1" x14ac:dyDescent="0.25">
      <c r="B777" s="34" t="str">
        <f t="shared" ref="B777:F777" si="1193">IF(B776="","",B776)</f>
        <v/>
      </c>
      <c r="C777" s="26" t="str">
        <f t="shared" si="1193"/>
        <v/>
      </c>
      <c r="D777" s="26" t="str">
        <f t="shared" si="1193"/>
        <v/>
      </c>
      <c r="E777" s="26" t="str">
        <f t="shared" si="1193"/>
        <v/>
      </c>
      <c r="F777" s="26" t="str">
        <f t="shared" si="1193"/>
        <v/>
      </c>
      <c r="G777" s="24"/>
      <c r="H777" s="24"/>
      <c r="I777" s="24"/>
      <c r="J777" s="24"/>
      <c r="K777" s="24"/>
      <c r="L777" s="24"/>
      <c r="M777" s="44" t="str">
        <f t="shared" si="1152"/>
        <v/>
      </c>
      <c r="N777" s="26" t="str">
        <f t="shared" si="1154"/>
        <v/>
      </c>
      <c r="O777" s="26" t="str">
        <f t="shared" si="1155"/>
        <v/>
      </c>
      <c r="P777" s="26" t="str">
        <f t="shared" si="1156"/>
        <v/>
      </c>
      <c r="Q777" s="26">
        <f t="shared" si="1157"/>
        <v>0</v>
      </c>
      <c r="R777" s="26">
        <f t="shared" si="1158"/>
        <v>0</v>
      </c>
      <c r="S777" s="26">
        <f t="shared" si="1159"/>
        <v>0</v>
      </c>
      <c r="T777" s="26" t="str">
        <f t="shared" si="1160"/>
        <v/>
      </c>
      <c r="U777" s="26" t="str">
        <f t="shared" si="1161"/>
        <v/>
      </c>
      <c r="V777" s="26" t="str">
        <f t="shared" si="1162"/>
        <v/>
      </c>
      <c r="W777" s="27" t="str">
        <f t="shared" si="1163"/>
        <v/>
      </c>
      <c r="X777" s="27" t="str">
        <f t="shared" si="1164"/>
        <v/>
      </c>
      <c r="Y777" s="28" t="str">
        <f t="shared" si="1165"/>
        <v/>
      </c>
      <c r="Z777" s="27" t="str">
        <f t="shared" si="1166"/>
        <v/>
      </c>
      <c r="AA777" s="27" t="str">
        <f t="shared" si="1167"/>
        <v/>
      </c>
      <c r="AB777" s="27" t="str">
        <f t="shared" si="1168"/>
        <v/>
      </c>
      <c r="AC777" s="27" t="str">
        <f t="shared" si="1169"/>
        <v/>
      </c>
      <c r="AD777" s="29" t="str">
        <f t="shared" si="1170"/>
        <v/>
      </c>
      <c r="AE777" s="30" t="str">
        <f t="shared" si="1171"/>
        <v/>
      </c>
      <c r="AG777" s="4"/>
      <c r="AH777" s="31" t="e">
        <f t="shared" si="1172"/>
        <v>#VALUE!</v>
      </c>
      <c r="AI777" s="31" t="e">
        <f t="shared" si="1173"/>
        <v>#VALUE!</v>
      </c>
      <c r="AJ777" s="31" t="e">
        <f t="shared" si="1174"/>
        <v>#VALUE!</v>
      </c>
      <c r="AK777" s="31" t="e">
        <f t="shared" si="1175"/>
        <v>#VALUE!</v>
      </c>
      <c r="AL777" s="31" t="e">
        <f t="shared" si="1176"/>
        <v>#VALUE!</v>
      </c>
      <c r="AM777" s="31" t="e">
        <f t="shared" si="1177"/>
        <v>#VALUE!</v>
      </c>
      <c r="AN777" s="32" t="str">
        <f t="shared" si="1178"/>
        <v/>
      </c>
      <c r="AO777" s="27" t="str">
        <f t="shared" si="1179"/>
        <v/>
      </c>
      <c r="AP777" s="27" t="str">
        <f t="shared" si="1180"/>
        <v/>
      </c>
      <c r="AQ777" s="27">
        <f t="shared" si="1181"/>
        <v>0</v>
      </c>
      <c r="AR777" s="27">
        <f t="shared" si="1182"/>
        <v>0</v>
      </c>
      <c r="AS777" s="33">
        <f t="shared" si="1183"/>
        <v>0</v>
      </c>
    </row>
    <row r="778" spans="2:45" hidden="1" x14ac:dyDescent="0.25">
      <c r="B778" s="34" t="str">
        <f t="shared" ref="B778:F778" si="1194">IF(B777="","",B777)</f>
        <v/>
      </c>
      <c r="C778" s="26" t="str">
        <f t="shared" si="1194"/>
        <v/>
      </c>
      <c r="D778" s="26" t="str">
        <f t="shared" si="1194"/>
        <v/>
      </c>
      <c r="E778" s="26" t="str">
        <f t="shared" si="1194"/>
        <v/>
      </c>
      <c r="F778" s="26" t="str">
        <f t="shared" si="1194"/>
        <v/>
      </c>
      <c r="G778" s="24"/>
      <c r="H778" s="24"/>
      <c r="I778" s="24"/>
      <c r="J778" s="24"/>
      <c r="K778" s="24"/>
      <c r="L778" s="24"/>
      <c r="M778" s="44" t="str">
        <f t="shared" si="1152"/>
        <v/>
      </c>
      <c r="N778" s="26" t="str">
        <f t="shared" si="1154"/>
        <v/>
      </c>
      <c r="O778" s="26" t="str">
        <f t="shared" si="1155"/>
        <v/>
      </c>
      <c r="P778" s="26" t="str">
        <f t="shared" si="1156"/>
        <v/>
      </c>
      <c r="Q778" s="26">
        <f t="shared" si="1157"/>
        <v>0</v>
      </c>
      <c r="R778" s="26">
        <f t="shared" si="1158"/>
        <v>0</v>
      </c>
      <c r="S778" s="26">
        <f t="shared" si="1159"/>
        <v>0</v>
      </c>
      <c r="T778" s="26" t="str">
        <f t="shared" si="1160"/>
        <v/>
      </c>
      <c r="U778" s="26" t="str">
        <f t="shared" si="1161"/>
        <v/>
      </c>
      <c r="V778" s="26" t="str">
        <f t="shared" si="1162"/>
        <v/>
      </c>
      <c r="W778" s="27" t="str">
        <f t="shared" si="1163"/>
        <v/>
      </c>
      <c r="X778" s="27" t="str">
        <f t="shared" si="1164"/>
        <v/>
      </c>
      <c r="Y778" s="28" t="str">
        <f t="shared" si="1165"/>
        <v/>
      </c>
      <c r="Z778" s="27" t="str">
        <f t="shared" si="1166"/>
        <v/>
      </c>
      <c r="AA778" s="27" t="str">
        <f t="shared" si="1167"/>
        <v/>
      </c>
      <c r="AB778" s="27" t="str">
        <f t="shared" si="1168"/>
        <v/>
      </c>
      <c r="AC778" s="27" t="str">
        <f t="shared" si="1169"/>
        <v/>
      </c>
      <c r="AD778" s="29" t="str">
        <f t="shared" si="1170"/>
        <v/>
      </c>
      <c r="AE778" s="30" t="str">
        <f t="shared" si="1171"/>
        <v/>
      </c>
      <c r="AG778" s="4"/>
      <c r="AH778" s="31" t="e">
        <f t="shared" si="1172"/>
        <v>#VALUE!</v>
      </c>
      <c r="AI778" s="31" t="e">
        <f t="shared" si="1173"/>
        <v>#VALUE!</v>
      </c>
      <c r="AJ778" s="31" t="e">
        <f t="shared" si="1174"/>
        <v>#VALUE!</v>
      </c>
      <c r="AK778" s="31" t="e">
        <f t="shared" si="1175"/>
        <v>#VALUE!</v>
      </c>
      <c r="AL778" s="31" t="e">
        <f t="shared" si="1176"/>
        <v>#VALUE!</v>
      </c>
      <c r="AM778" s="31" t="e">
        <f t="shared" si="1177"/>
        <v>#VALUE!</v>
      </c>
      <c r="AN778" s="32" t="str">
        <f t="shared" si="1178"/>
        <v/>
      </c>
      <c r="AO778" s="27" t="str">
        <f t="shared" si="1179"/>
        <v/>
      </c>
      <c r="AP778" s="27" t="str">
        <f t="shared" si="1180"/>
        <v/>
      </c>
      <c r="AQ778" s="27">
        <f t="shared" si="1181"/>
        <v>0</v>
      </c>
      <c r="AR778" s="27">
        <f t="shared" si="1182"/>
        <v>0</v>
      </c>
      <c r="AS778" s="33">
        <f t="shared" si="1183"/>
        <v>0</v>
      </c>
    </row>
    <row r="779" spans="2:45" hidden="1" x14ac:dyDescent="0.25">
      <c r="B779" s="34" t="str">
        <f t="shared" ref="B779:F779" si="1195">IF(B778="","",B778)</f>
        <v/>
      </c>
      <c r="C779" s="26" t="str">
        <f t="shared" si="1195"/>
        <v/>
      </c>
      <c r="D779" s="26" t="str">
        <f t="shared" si="1195"/>
        <v/>
      </c>
      <c r="E779" s="26" t="str">
        <f t="shared" si="1195"/>
        <v/>
      </c>
      <c r="F779" s="26" t="str">
        <f t="shared" si="1195"/>
        <v/>
      </c>
      <c r="G779" s="24"/>
      <c r="H779" s="24"/>
      <c r="I779" s="24"/>
      <c r="J779" s="24"/>
      <c r="K779" s="24"/>
      <c r="L779" s="24"/>
      <c r="M779" s="44" t="str">
        <f t="shared" si="1152"/>
        <v/>
      </c>
      <c r="N779" s="26" t="str">
        <f t="shared" si="1154"/>
        <v/>
      </c>
      <c r="O779" s="26" t="str">
        <f t="shared" si="1155"/>
        <v/>
      </c>
      <c r="P779" s="26" t="str">
        <f t="shared" si="1156"/>
        <v/>
      </c>
      <c r="Q779" s="26">
        <f t="shared" si="1157"/>
        <v>0</v>
      </c>
      <c r="R779" s="26">
        <f t="shared" si="1158"/>
        <v>0</v>
      </c>
      <c r="S779" s="26">
        <f t="shared" si="1159"/>
        <v>0</v>
      </c>
      <c r="T779" s="26" t="str">
        <f t="shared" si="1160"/>
        <v/>
      </c>
      <c r="U779" s="26" t="str">
        <f t="shared" si="1161"/>
        <v/>
      </c>
      <c r="V779" s="26" t="str">
        <f t="shared" si="1162"/>
        <v/>
      </c>
      <c r="W779" s="27" t="str">
        <f t="shared" si="1163"/>
        <v/>
      </c>
      <c r="X779" s="27" t="str">
        <f t="shared" si="1164"/>
        <v/>
      </c>
      <c r="Y779" s="28" t="str">
        <f t="shared" si="1165"/>
        <v/>
      </c>
      <c r="Z779" s="27" t="str">
        <f t="shared" si="1166"/>
        <v/>
      </c>
      <c r="AA779" s="27" t="str">
        <f t="shared" si="1167"/>
        <v/>
      </c>
      <c r="AB779" s="27" t="str">
        <f t="shared" si="1168"/>
        <v/>
      </c>
      <c r="AC779" s="27" t="str">
        <f t="shared" si="1169"/>
        <v/>
      </c>
      <c r="AD779" s="29" t="str">
        <f t="shared" si="1170"/>
        <v/>
      </c>
      <c r="AE779" s="30" t="str">
        <f t="shared" si="1171"/>
        <v/>
      </c>
      <c r="AG779" s="4"/>
      <c r="AH779" s="31" t="e">
        <f t="shared" si="1172"/>
        <v>#VALUE!</v>
      </c>
      <c r="AI779" s="31" t="e">
        <f t="shared" si="1173"/>
        <v>#VALUE!</v>
      </c>
      <c r="AJ779" s="31" t="e">
        <f t="shared" si="1174"/>
        <v>#VALUE!</v>
      </c>
      <c r="AK779" s="31" t="e">
        <f t="shared" si="1175"/>
        <v>#VALUE!</v>
      </c>
      <c r="AL779" s="31" t="e">
        <f t="shared" si="1176"/>
        <v>#VALUE!</v>
      </c>
      <c r="AM779" s="31" t="e">
        <f t="shared" si="1177"/>
        <v>#VALUE!</v>
      </c>
      <c r="AN779" s="32" t="str">
        <f t="shared" si="1178"/>
        <v/>
      </c>
      <c r="AO779" s="27" t="str">
        <f t="shared" si="1179"/>
        <v/>
      </c>
      <c r="AP779" s="27" t="str">
        <f t="shared" si="1180"/>
        <v/>
      </c>
      <c r="AQ779" s="27">
        <f t="shared" si="1181"/>
        <v>0</v>
      </c>
      <c r="AR779" s="27">
        <f t="shared" si="1182"/>
        <v>0</v>
      </c>
      <c r="AS779" s="33">
        <f t="shared" si="1183"/>
        <v>0</v>
      </c>
    </row>
    <row r="780" spans="2:45" hidden="1" x14ac:dyDescent="0.25">
      <c r="B780" s="34" t="str">
        <f t="shared" ref="B780:F780" si="1196">IF(B779="","",B779)</f>
        <v/>
      </c>
      <c r="C780" s="26" t="str">
        <f t="shared" si="1196"/>
        <v/>
      </c>
      <c r="D780" s="26" t="str">
        <f t="shared" si="1196"/>
        <v/>
      </c>
      <c r="E780" s="26" t="str">
        <f t="shared" si="1196"/>
        <v/>
      </c>
      <c r="F780" s="26" t="str">
        <f t="shared" si="1196"/>
        <v/>
      </c>
      <c r="G780" s="24"/>
      <c r="H780" s="24"/>
      <c r="I780" s="24"/>
      <c r="J780" s="24"/>
      <c r="K780" s="24"/>
      <c r="L780" s="24"/>
      <c r="M780" s="44" t="str">
        <f t="shared" si="1152"/>
        <v/>
      </c>
      <c r="N780" s="26" t="str">
        <f t="shared" si="1154"/>
        <v/>
      </c>
      <c r="O780" s="26" t="str">
        <f t="shared" si="1155"/>
        <v/>
      </c>
      <c r="P780" s="26" t="str">
        <f t="shared" si="1156"/>
        <v/>
      </c>
      <c r="Q780" s="26">
        <f t="shared" si="1157"/>
        <v>0</v>
      </c>
      <c r="R780" s="26">
        <f t="shared" si="1158"/>
        <v>0</v>
      </c>
      <c r="S780" s="26">
        <f t="shared" si="1159"/>
        <v>0</v>
      </c>
      <c r="T780" s="26" t="str">
        <f t="shared" si="1160"/>
        <v/>
      </c>
      <c r="U780" s="26" t="str">
        <f t="shared" si="1161"/>
        <v/>
      </c>
      <c r="V780" s="26" t="str">
        <f t="shared" si="1162"/>
        <v/>
      </c>
      <c r="W780" s="27" t="str">
        <f t="shared" si="1163"/>
        <v/>
      </c>
      <c r="X780" s="27" t="str">
        <f t="shared" si="1164"/>
        <v/>
      </c>
      <c r="Y780" s="28" t="str">
        <f t="shared" si="1165"/>
        <v/>
      </c>
      <c r="Z780" s="27" t="str">
        <f t="shared" si="1166"/>
        <v/>
      </c>
      <c r="AA780" s="27" t="str">
        <f t="shared" si="1167"/>
        <v/>
      </c>
      <c r="AB780" s="27" t="str">
        <f t="shared" si="1168"/>
        <v/>
      </c>
      <c r="AC780" s="27" t="str">
        <f t="shared" si="1169"/>
        <v/>
      </c>
      <c r="AD780" s="29" t="str">
        <f t="shared" si="1170"/>
        <v/>
      </c>
      <c r="AE780" s="30" t="str">
        <f t="shared" si="1171"/>
        <v/>
      </c>
      <c r="AG780" s="4"/>
      <c r="AH780" s="31" t="e">
        <f t="shared" si="1172"/>
        <v>#VALUE!</v>
      </c>
      <c r="AI780" s="31" t="e">
        <f t="shared" si="1173"/>
        <v>#VALUE!</v>
      </c>
      <c r="AJ780" s="31" t="e">
        <f t="shared" si="1174"/>
        <v>#VALUE!</v>
      </c>
      <c r="AK780" s="31" t="e">
        <f t="shared" si="1175"/>
        <v>#VALUE!</v>
      </c>
      <c r="AL780" s="31" t="e">
        <f t="shared" si="1176"/>
        <v>#VALUE!</v>
      </c>
      <c r="AM780" s="31" t="e">
        <f t="shared" si="1177"/>
        <v>#VALUE!</v>
      </c>
      <c r="AN780" s="32" t="str">
        <f t="shared" si="1178"/>
        <v/>
      </c>
      <c r="AO780" s="27" t="str">
        <f t="shared" si="1179"/>
        <v/>
      </c>
      <c r="AP780" s="27" t="str">
        <f t="shared" si="1180"/>
        <v/>
      </c>
      <c r="AQ780" s="27">
        <f t="shared" si="1181"/>
        <v>0</v>
      </c>
      <c r="AR780" s="27">
        <f t="shared" si="1182"/>
        <v>0</v>
      </c>
      <c r="AS780" s="33">
        <f t="shared" si="1183"/>
        <v>0</v>
      </c>
    </row>
    <row r="781" spans="2:45" hidden="1" x14ac:dyDescent="0.25">
      <c r="B781" s="34" t="str">
        <f t="shared" ref="B781:F781" si="1197">IF(B780="","",B780)</f>
        <v/>
      </c>
      <c r="C781" s="26" t="str">
        <f t="shared" si="1197"/>
        <v/>
      </c>
      <c r="D781" s="26" t="str">
        <f t="shared" si="1197"/>
        <v/>
      </c>
      <c r="E781" s="26" t="str">
        <f t="shared" si="1197"/>
        <v/>
      </c>
      <c r="F781" s="26" t="str">
        <f t="shared" si="1197"/>
        <v/>
      </c>
      <c r="G781" s="24"/>
      <c r="H781" s="24"/>
      <c r="I781" s="24"/>
      <c r="J781" s="24"/>
      <c r="K781" s="24"/>
      <c r="L781" s="24"/>
      <c r="M781" s="44" t="str">
        <f t="shared" si="1152"/>
        <v/>
      </c>
      <c r="N781" s="26" t="str">
        <f t="shared" si="1154"/>
        <v/>
      </c>
      <c r="O781" s="26" t="str">
        <f t="shared" si="1155"/>
        <v/>
      </c>
      <c r="P781" s="26" t="str">
        <f t="shared" si="1156"/>
        <v/>
      </c>
      <c r="Q781" s="26">
        <f t="shared" si="1157"/>
        <v>0</v>
      </c>
      <c r="R781" s="26">
        <f t="shared" si="1158"/>
        <v>0</v>
      </c>
      <c r="S781" s="26">
        <f t="shared" si="1159"/>
        <v>0</v>
      </c>
      <c r="T781" s="26" t="str">
        <f t="shared" si="1160"/>
        <v/>
      </c>
      <c r="U781" s="26" t="str">
        <f t="shared" si="1161"/>
        <v/>
      </c>
      <c r="V781" s="26" t="str">
        <f t="shared" si="1162"/>
        <v/>
      </c>
      <c r="W781" s="27" t="str">
        <f t="shared" si="1163"/>
        <v/>
      </c>
      <c r="X781" s="27" t="str">
        <f t="shared" si="1164"/>
        <v/>
      </c>
      <c r="Y781" s="28" t="str">
        <f t="shared" si="1165"/>
        <v/>
      </c>
      <c r="Z781" s="27" t="str">
        <f t="shared" si="1166"/>
        <v/>
      </c>
      <c r="AA781" s="27" t="str">
        <f t="shared" si="1167"/>
        <v/>
      </c>
      <c r="AB781" s="27" t="str">
        <f t="shared" si="1168"/>
        <v/>
      </c>
      <c r="AC781" s="27" t="str">
        <f t="shared" si="1169"/>
        <v/>
      </c>
      <c r="AD781" s="29" t="str">
        <f t="shared" si="1170"/>
        <v/>
      </c>
      <c r="AE781" s="30" t="str">
        <f t="shared" si="1171"/>
        <v/>
      </c>
      <c r="AG781" s="4"/>
      <c r="AH781" s="31" t="e">
        <f t="shared" si="1172"/>
        <v>#VALUE!</v>
      </c>
      <c r="AI781" s="31" t="e">
        <f t="shared" si="1173"/>
        <v>#VALUE!</v>
      </c>
      <c r="AJ781" s="31" t="e">
        <f t="shared" si="1174"/>
        <v>#VALUE!</v>
      </c>
      <c r="AK781" s="31" t="e">
        <f t="shared" si="1175"/>
        <v>#VALUE!</v>
      </c>
      <c r="AL781" s="31" t="e">
        <f t="shared" si="1176"/>
        <v>#VALUE!</v>
      </c>
      <c r="AM781" s="31" t="e">
        <f t="shared" si="1177"/>
        <v>#VALUE!</v>
      </c>
      <c r="AN781" s="32" t="str">
        <f t="shared" si="1178"/>
        <v/>
      </c>
      <c r="AO781" s="27" t="str">
        <f t="shared" si="1179"/>
        <v/>
      </c>
      <c r="AP781" s="27" t="str">
        <f t="shared" si="1180"/>
        <v/>
      </c>
      <c r="AQ781" s="27">
        <f t="shared" si="1181"/>
        <v>0</v>
      </c>
      <c r="AR781" s="27">
        <f t="shared" si="1182"/>
        <v>0</v>
      </c>
      <c r="AS781" s="33">
        <f t="shared" si="1183"/>
        <v>0</v>
      </c>
    </row>
    <row r="782" spans="2:45" hidden="1" x14ac:dyDescent="0.25">
      <c r="B782" s="34" t="str">
        <f>IF(B781="","",B781)</f>
        <v/>
      </c>
      <c r="C782" s="26" t="str">
        <f t="shared" ref="C782:F782" si="1198">IF(C781="","",C781)</f>
        <v/>
      </c>
      <c r="D782" s="26" t="str">
        <f t="shared" si="1198"/>
        <v/>
      </c>
      <c r="E782" s="26" t="str">
        <f t="shared" si="1198"/>
        <v/>
      </c>
      <c r="F782" s="26" t="str">
        <f t="shared" si="1198"/>
        <v/>
      </c>
      <c r="G782" s="24"/>
      <c r="H782" s="24"/>
      <c r="I782" s="24"/>
      <c r="J782" s="24"/>
      <c r="K782" s="24"/>
      <c r="L782" s="24"/>
      <c r="M782" s="44" t="str">
        <f t="shared" si="1152"/>
        <v/>
      </c>
      <c r="N782" s="26" t="str">
        <f t="shared" si="1154"/>
        <v/>
      </c>
      <c r="O782" s="26" t="str">
        <f t="shared" si="1155"/>
        <v/>
      </c>
      <c r="P782" s="26" t="str">
        <f t="shared" si="1156"/>
        <v/>
      </c>
      <c r="Q782" s="26">
        <f t="shared" si="1157"/>
        <v>0</v>
      </c>
      <c r="R782" s="26">
        <f t="shared" si="1158"/>
        <v>0</v>
      </c>
      <c r="S782" s="26">
        <f t="shared" si="1159"/>
        <v>0</v>
      </c>
      <c r="T782" s="26" t="str">
        <f t="shared" si="1160"/>
        <v/>
      </c>
      <c r="U782" s="26" t="str">
        <f t="shared" si="1161"/>
        <v/>
      </c>
      <c r="V782" s="26" t="str">
        <f t="shared" si="1162"/>
        <v/>
      </c>
      <c r="W782" s="27" t="str">
        <f t="shared" si="1163"/>
        <v/>
      </c>
      <c r="X782" s="27" t="str">
        <f t="shared" si="1164"/>
        <v/>
      </c>
      <c r="Y782" s="28" t="str">
        <f t="shared" si="1165"/>
        <v/>
      </c>
      <c r="Z782" s="27" t="str">
        <f t="shared" si="1166"/>
        <v/>
      </c>
      <c r="AA782" s="27" t="str">
        <f t="shared" si="1167"/>
        <v/>
      </c>
      <c r="AB782" s="27" t="str">
        <f t="shared" si="1168"/>
        <v/>
      </c>
      <c r="AC782" s="27" t="str">
        <f t="shared" si="1169"/>
        <v/>
      </c>
      <c r="AD782" s="29" t="str">
        <f t="shared" si="1170"/>
        <v/>
      </c>
      <c r="AE782" s="30" t="str">
        <f t="shared" si="1171"/>
        <v/>
      </c>
      <c r="AG782" s="4"/>
      <c r="AH782" s="31" t="e">
        <f t="shared" si="1172"/>
        <v>#VALUE!</v>
      </c>
      <c r="AI782" s="31" t="e">
        <f t="shared" si="1173"/>
        <v>#VALUE!</v>
      </c>
      <c r="AJ782" s="31" t="e">
        <f t="shared" si="1174"/>
        <v>#VALUE!</v>
      </c>
      <c r="AK782" s="31" t="e">
        <f t="shared" si="1175"/>
        <v>#VALUE!</v>
      </c>
      <c r="AL782" s="31" t="e">
        <f t="shared" si="1176"/>
        <v>#VALUE!</v>
      </c>
      <c r="AM782" s="31" t="e">
        <f t="shared" si="1177"/>
        <v>#VALUE!</v>
      </c>
      <c r="AN782" s="32" t="str">
        <f t="shared" si="1178"/>
        <v/>
      </c>
      <c r="AO782" s="27" t="str">
        <f t="shared" si="1179"/>
        <v/>
      </c>
      <c r="AP782" s="27" t="str">
        <f t="shared" si="1180"/>
        <v/>
      </c>
      <c r="AQ782" s="27">
        <f t="shared" si="1181"/>
        <v>0</v>
      </c>
      <c r="AR782" s="27">
        <f t="shared" si="1182"/>
        <v>0</v>
      </c>
      <c r="AS782" s="33">
        <f t="shared" si="1183"/>
        <v>0</v>
      </c>
    </row>
    <row r="783" spans="2:45" hidden="1" x14ac:dyDescent="0.25">
      <c r="B783" s="34" t="str">
        <f t="shared" ref="B783:F783" si="1199">IF(B782="","",B782)</f>
        <v/>
      </c>
      <c r="C783" s="26" t="str">
        <f t="shared" si="1199"/>
        <v/>
      </c>
      <c r="D783" s="26" t="str">
        <f t="shared" si="1199"/>
        <v/>
      </c>
      <c r="E783" s="26" t="str">
        <f t="shared" si="1199"/>
        <v/>
      </c>
      <c r="F783" s="26" t="str">
        <f t="shared" si="1199"/>
        <v/>
      </c>
      <c r="G783" s="24"/>
      <c r="H783" s="24"/>
      <c r="I783" s="24"/>
      <c r="J783" s="24"/>
      <c r="K783" s="24"/>
      <c r="L783" s="24"/>
      <c r="M783" s="44" t="str">
        <f t="shared" si="1152"/>
        <v/>
      </c>
      <c r="N783" s="26" t="str">
        <f t="shared" si="1154"/>
        <v/>
      </c>
      <c r="O783" s="26" t="str">
        <f t="shared" si="1155"/>
        <v/>
      </c>
      <c r="P783" s="26" t="str">
        <f t="shared" si="1156"/>
        <v/>
      </c>
      <c r="Q783" s="26">
        <f t="shared" si="1157"/>
        <v>0</v>
      </c>
      <c r="R783" s="26">
        <f t="shared" si="1158"/>
        <v>0</v>
      </c>
      <c r="S783" s="26">
        <f t="shared" si="1159"/>
        <v>0</v>
      </c>
      <c r="T783" s="26" t="str">
        <f t="shared" si="1160"/>
        <v/>
      </c>
      <c r="U783" s="26" t="str">
        <f t="shared" si="1161"/>
        <v/>
      </c>
      <c r="V783" s="26" t="str">
        <f t="shared" si="1162"/>
        <v/>
      </c>
      <c r="W783" s="27" t="str">
        <f t="shared" si="1163"/>
        <v/>
      </c>
      <c r="X783" s="27" t="str">
        <f t="shared" si="1164"/>
        <v/>
      </c>
      <c r="Y783" s="28" t="str">
        <f t="shared" si="1165"/>
        <v/>
      </c>
      <c r="Z783" s="27" t="str">
        <f t="shared" si="1166"/>
        <v/>
      </c>
      <c r="AA783" s="27" t="str">
        <f t="shared" si="1167"/>
        <v/>
      </c>
      <c r="AB783" s="27" t="str">
        <f t="shared" si="1168"/>
        <v/>
      </c>
      <c r="AC783" s="27" t="str">
        <f t="shared" si="1169"/>
        <v/>
      </c>
      <c r="AD783" s="29" t="str">
        <f t="shared" si="1170"/>
        <v/>
      </c>
      <c r="AE783" s="30" t="str">
        <f t="shared" si="1171"/>
        <v/>
      </c>
      <c r="AG783" s="4"/>
      <c r="AH783" s="31" t="e">
        <f t="shared" si="1172"/>
        <v>#VALUE!</v>
      </c>
      <c r="AI783" s="31" t="e">
        <f t="shared" si="1173"/>
        <v>#VALUE!</v>
      </c>
      <c r="AJ783" s="31" t="e">
        <f t="shared" si="1174"/>
        <v>#VALUE!</v>
      </c>
      <c r="AK783" s="31" t="e">
        <f t="shared" si="1175"/>
        <v>#VALUE!</v>
      </c>
      <c r="AL783" s="31" t="e">
        <f t="shared" si="1176"/>
        <v>#VALUE!</v>
      </c>
      <c r="AM783" s="31" t="e">
        <f t="shared" si="1177"/>
        <v>#VALUE!</v>
      </c>
      <c r="AN783" s="32" t="str">
        <f t="shared" si="1178"/>
        <v/>
      </c>
      <c r="AO783" s="27" t="str">
        <f t="shared" si="1179"/>
        <v/>
      </c>
      <c r="AP783" s="27" t="str">
        <f t="shared" si="1180"/>
        <v/>
      </c>
      <c r="AQ783" s="27">
        <f t="shared" si="1181"/>
        <v>0</v>
      </c>
      <c r="AR783" s="27">
        <f t="shared" si="1182"/>
        <v>0</v>
      </c>
      <c r="AS783" s="33">
        <f t="shared" si="1183"/>
        <v>0</v>
      </c>
    </row>
    <row r="784" spans="2:45" hidden="1" x14ac:dyDescent="0.25">
      <c r="B784" s="34" t="str">
        <f t="shared" ref="B784:F784" si="1200">IF(B783="","",B783)</f>
        <v/>
      </c>
      <c r="C784" s="26" t="str">
        <f t="shared" si="1200"/>
        <v/>
      </c>
      <c r="D784" s="26" t="str">
        <f t="shared" si="1200"/>
        <v/>
      </c>
      <c r="E784" s="26" t="str">
        <f t="shared" si="1200"/>
        <v/>
      </c>
      <c r="F784" s="26" t="str">
        <f t="shared" si="1200"/>
        <v/>
      </c>
      <c r="G784" s="24"/>
      <c r="H784" s="24"/>
      <c r="I784" s="24"/>
      <c r="J784" s="24"/>
      <c r="K784" s="24"/>
      <c r="L784" s="24"/>
      <c r="M784" s="44" t="str">
        <f t="shared" si="1152"/>
        <v/>
      </c>
      <c r="N784" s="26" t="str">
        <f t="shared" si="1154"/>
        <v/>
      </c>
      <c r="O784" s="26" t="str">
        <f t="shared" si="1155"/>
        <v/>
      </c>
      <c r="P784" s="26" t="str">
        <f t="shared" si="1156"/>
        <v/>
      </c>
      <c r="Q784" s="26">
        <f t="shared" si="1157"/>
        <v>0</v>
      </c>
      <c r="R784" s="26">
        <f t="shared" si="1158"/>
        <v>0</v>
      </c>
      <c r="S784" s="26">
        <f t="shared" si="1159"/>
        <v>0</v>
      </c>
      <c r="T784" s="26" t="str">
        <f t="shared" si="1160"/>
        <v/>
      </c>
      <c r="U784" s="26" t="str">
        <f t="shared" si="1161"/>
        <v/>
      </c>
      <c r="V784" s="26" t="str">
        <f t="shared" si="1162"/>
        <v/>
      </c>
      <c r="W784" s="27" t="str">
        <f t="shared" si="1163"/>
        <v/>
      </c>
      <c r="X784" s="27" t="str">
        <f t="shared" si="1164"/>
        <v/>
      </c>
      <c r="Y784" s="28" t="str">
        <f t="shared" si="1165"/>
        <v/>
      </c>
      <c r="Z784" s="27" t="str">
        <f t="shared" si="1166"/>
        <v/>
      </c>
      <c r="AA784" s="27" t="str">
        <f t="shared" si="1167"/>
        <v/>
      </c>
      <c r="AB784" s="27" t="str">
        <f t="shared" si="1168"/>
        <v/>
      </c>
      <c r="AC784" s="27" t="str">
        <f t="shared" si="1169"/>
        <v/>
      </c>
      <c r="AD784" s="29" t="str">
        <f t="shared" si="1170"/>
        <v/>
      </c>
      <c r="AE784" s="30" t="str">
        <f t="shared" si="1171"/>
        <v/>
      </c>
      <c r="AG784" s="4"/>
      <c r="AH784" s="31" t="e">
        <f t="shared" si="1172"/>
        <v>#VALUE!</v>
      </c>
      <c r="AI784" s="31" t="e">
        <f t="shared" si="1173"/>
        <v>#VALUE!</v>
      </c>
      <c r="AJ784" s="31" t="e">
        <f t="shared" si="1174"/>
        <v>#VALUE!</v>
      </c>
      <c r="AK784" s="31" t="e">
        <f t="shared" si="1175"/>
        <v>#VALUE!</v>
      </c>
      <c r="AL784" s="31" t="e">
        <f t="shared" si="1176"/>
        <v>#VALUE!</v>
      </c>
      <c r="AM784" s="31" t="e">
        <f t="shared" si="1177"/>
        <v>#VALUE!</v>
      </c>
      <c r="AN784" s="32" t="str">
        <f t="shared" si="1178"/>
        <v/>
      </c>
      <c r="AO784" s="27" t="str">
        <f t="shared" si="1179"/>
        <v/>
      </c>
      <c r="AP784" s="27" t="str">
        <f t="shared" si="1180"/>
        <v/>
      </c>
      <c r="AQ784" s="27">
        <f t="shared" si="1181"/>
        <v>0</v>
      </c>
      <c r="AR784" s="27">
        <f t="shared" si="1182"/>
        <v>0</v>
      </c>
      <c r="AS784" s="33">
        <f t="shared" si="1183"/>
        <v>0</v>
      </c>
    </row>
    <row r="785" spans="2:45" hidden="1" x14ac:dyDescent="0.25">
      <c r="B785" s="34" t="str">
        <f t="shared" ref="B785:F785" si="1201">IF(B784="","",B784)</f>
        <v/>
      </c>
      <c r="C785" s="26" t="str">
        <f t="shared" si="1201"/>
        <v/>
      </c>
      <c r="D785" s="26" t="str">
        <f t="shared" si="1201"/>
        <v/>
      </c>
      <c r="E785" s="26" t="str">
        <f t="shared" si="1201"/>
        <v/>
      </c>
      <c r="F785" s="26" t="str">
        <f t="shared" si="1201"/>
        <v/>
      </c>
      <c r="G785" s="24"/>
      <c r="H785" s="24"/>
      <c r="I785" s="24"/>
      <c r="J785" s="24"/>
      <c r="K785" s="24"/>
      <c r="L785" s="24"/>
      <c r="M785" s="44" t="str">
        <f t="shared" si="1152"/>
        <v/>
      </c>
      <c r="N785" s="26" t="str">
        <f t="shared" si="1154"/>
        <v/>
      </c>
      <c r="O785" s="26" t="str">
        <f t="shared" si="1155"/>
        <v/>
      </c>
      <c r="P785" s="26" t="str">
        <f t="shared" si="1156"/>
        <v/>
      </c>
      <c r="Q785" s="26">
        <f t="shared" si="1157"/>
        <v>0</v>
      </c>
      <c r="R785" s="26">
        <f t="shared" si="1158"/>
        <v>0</v>
      </c>
      <c r="S785" s="26">
        <f t="shared" si="1159"/>
        <v>0</v>
      </c>
      <c r="T785" s="26" t="str">
        <f t="shared" si="1160"/>
        <v/>
      </c>
      <c r="U785" s="26" t="str">
        <f t="shared" si="1161"/>
        <v/>
      </c>
      <c r="V785" s="26" t="str">
        <f t="shared" si="1162"/>
        <v/>
      </c>
      <c r="W785" s="27" t="str">
        <f t="shared" si="1163"/>
        <v/>
      </c>
      <c r="X785" s="27" t="str">
        <f t="shared" si="1164"/>
        <v/>
      </c>
      <c r="Y785" s="28" t="str">
        <f t="shared" si="1165"/>
        <v/>
      </c>
      <c r="Z785" s="27" t="str">
        <f t="shared" si="1166"/>
        <v/>
      </c>
      <c r="AA785" s="27" t="str">
        <f t="shared" si="1167"/>
        <v/>
      </c>
      <c r="AB785" s="27" t="str">
        <f t="shared" si="1168"/>
        <v/>
      </c>
      <c r="AC785" s="27" t="str">
        <f t="shared" si="1169"/>
        <v/>
      </c>
      <c r="AD785" s="29" t="str">
        <f t="shared" si="1170"/>
        <v/>
      </c>
      <c r="AE785" s="30" t="str">
        <f t="shared" si="1171"/>
        <v/>
      </c>
      <c r="AG785" s="4"/>
      <c r="AH785" s="31" t="e">
        <f t="shared" si="1172"/>
        <v>#VALUE!</v>
      </c>
      <c r="AI785" s="31" t="e">
        <f t="shared" si="1173"/>
        <v>#VALUE!</v>
      </c>
      <c r="AJ785" s="31" t="e">
        <f t="shared" si="1174"/>
        <v>#VALUE!</v>
      </c>
      <c r="AK785" s="31" t="e">
        <f t="shared" si="1175"/>
        <v>#VALUE!</v>
      </c>
      <c r="AL785" s="31" t="e">
        <f t="shared" si="1176"/>
        <v>#VALUE!</v>
      </c>
      <c r="AM785" s="31" t="e">
        <f t="shared" si="1177"/>
        <v>#VALUE!</v>
      </c>
      <c r="AN785" s="32" t="str">
        <f t="shared" si="1178"/>
        <v/>
      </c>
      <c r="AO785" s="27" t="str">
        <f t="shared" si="1179"/>
        <v/>
      </c>
      <c r="AP785" s="27" t="str">
        <f t="shared" si="1180"/>
        <v/>
      </c>
      <c r="AQ785" s="27">
        <f t="shared" si="1181"/>
        <v>0</v>
      </c>
      <c r="AR785" s="27">
        <f t="shared" si="1182"/>
        <v>0</v>
      </c>
      <c r="AS785" s="33">
        <f t="shared" si="1183"/>
        <v>0</v>
      </c>
    </row>
    <row r="786" spans="2:45" hidden="1" x14ac:dyDescent="0.25">
      <c r="B786" s="34" t="str">
        <f t="shared" ref="B786:F786" si="1202">IF(B785="","",B785)</f>
        <v/>
      </c>
      <c r="C786" s="26" t="str">
        <f t="shared" si="1202"/>
        <v/>
      </c>
      <c r="D786" s="26" t="str">
        <f t="shared" si="1202"/>
        <v/>
      </c>
      <c r="E786" s="26" t="str">
        <f t="shared" si="1202"/>
        <v/>
      </c>
      <c r="F786" s="26" t="str">
        <f t="shared" si="1202"/>
        <v/>
      </c>
      <c r="G786" s="24"/>
      <c r="H786" s="24"/>
      <c r="I786" s="24"/>
      <c r="J786" s="24"/>
      <c r="K786" s="24"/>
      <c r="L786" s="24"/>
      <c r="M786" s="44" t="str">
        <f t="shared" si="1152"/>
        <v/>
      </c>
      <c r="N786" s="26" t="str">
        <f t="shared" si="1154"/>
        <v/>
      </c>
      <c r="O786" s="26" t="str">
        <f t="shared" si="1155"/>
        <v/>
      </c>
      <c r="P786" s="26" t="str">
        <f t="shared" si="1156"/>
        <v/>
      </c>
      <c r="Q786" s="26">
        <f t="shared" si="1157"/>
        <v>0</v>
      </c>
      <c r="R786" s="26">
        <f t="shared" si="1158"/>
        <v>0</v>
      </c>
      <c r="S786" s="26">
        <f t="shared" si="1159"/>
        <v>0</v>
      </c>
      <c r="T786" s="26" t="str">
        <f t="shared" si="1160"/>
        <v/>
      </c>
      <c r="U786" s="26" t="str">
        <f t="shared" si="1161"/>
        <v/>
      </c>
      <c r="V786" s="26" t="str">
        <f t="shared" si="1162"/>
        <v/>
      </c>
      <c r="W786" s="27" t="str">
        <f t="shared" si="1163"/>
        <v/>
      </c>
      <c r="X786" s="27" t="str">
        <f t="shared" si="1164"/>
        <v/>
      </c>
      <c r="Y786" s="28" t="str">
        <f t="shared" si="1165"/>
        <v/>
      </c>
      <c r="Z786" s="27" t="str">
        <f t="shared" si="1166"/>
        <v/>
      </c>
      <c r="AA786" s="27" t="str">
        <f t="shared" si="1167"/>
        <v/>
      </c>
      <c r="AB786" s="27" t="str">
        <f t="shared" si="1168"/>
        <v/>
      </c>
      <c r="AC786" s="27" t="str">
        <f t="shared" si="1169"/>
        <v/>
      </c>
      <c r="AD786" s="29" t="str">
        <f t="shared" si="1170"/>
        <v/>
      </c>
      <c r="AE786" s="30" t="str">
        <f t="shared" si="1171"/>
        <v/>
      </c>
      <c r="AG786" s="4"/>
      <c r="AH786" s="31" t="e">
        <f t="shared" si="1172"/>
        <v>#VALUE!</v>
      </c>
      <c r="AI786" s="31" t="e">
        <f t="shared" si="1173"/>
        <v>#VALUE!</v>
      </c>
      <c r="AJ786" s="31" t="e">
        <f t="shared" si="1174"/>
        <v>#VALUE!</v>
      </c>
      <c r="AK786" s="31" t="e">
        <f t="shared" si="1175"/>
        <v>#VALUE!</v>
      </c>
      <c r="AL786" s="31" t="e">
        <f t="shared" si="1176"/>
        <v>#VALUE!</v>
      </c>
      <c r="AM786" s="31" t="e">
        <f t="shared" si="1177"/>
        <v>#VALUE!</v>
      </c>
      <c r="AN786" s="32" t="str">
        <f t="shared" si="1178"/>
        <v/>
      </c>
      <c r="AO786" s="27" t="str">
        <f t="shared" si="1179"/>
        <v/>
      </c>
      <c r="AP786" s="27" t="str">
        <f t="shared" si="1180"/>
        <v/>
      </c>
      <c r="AQ786" s="27">
        <f t="shared" si="1181"/>
        <v>0</v>
      </c>
      <c r="AR786" s="27">
        <f t="shared" si="1182"/>
        <v>0</v>
      </c>
      <c r="AS786" s="33">
        <f t="shared" si="1183"/>
        <v>0</v>
      </c>
    </row>
    <row r="787" spans="2:45" hidden="1" x14ac:dyDescent="0.25">
      <c r="B787" s="34" t="str">
        <f t="shared" ref="B787:F787" si="1203">IF(B786="","",B786)</f>
        <v/>
      </c>
      <c r="C787" s="26" t="str">
        <f t="shared" si="1203"/>
        <v/>
      </c>
      <c r="D787" s="26" t="str">
        <f t="shared" si="1203"/>
        <v/>
      </c>
      <c r="E787" s="26" t="str">
        <f t="shared" si="1203"/>
        <v/>
      </c>
      <c r="F787" s="26" t="str">
        <f t="shared" si="1203"/>
        <v/>
      </c>
      <c r="G787" s="24"/>
      <c r="H787" s="24"/>
      <c r="I787" s="24"/>
      <c r="J787" s="24"/>
      <c r="K787" s="24"/>
      <c r="L787" s="24"/>
      <c r="M787" s="44" t="str">
        <f t="shared" si="1152"/>
        <v/>
      </c>
      <c r="N787" s="26" t="str">
        <f t="shared" si="1154"/>
        <v/>
      </c>
      <c r="O787" s="26" t="str">
        <f t="shared" si="1155"/>
        <v/>
      </c>
      <c r="P787" s="26" t="str">
        <f t="shared" si="1156"/>
        <v/>
      </c>
      <c r="Q787" s="26">
        <f t="shared" si="1157"/>
        <v>0</v>
      </c>
      <c r="R787" s="26">
        <f t="shared" si="1158"/>
        <v>0</v>
      </c>
      <c r="S787" s="26">
        <f t="shared" si="1159"/>
        <v>0</v>
      </c>
      <c r="T787" s="26" t="str">
        <f t="shared" si="1160"/>
        <v/>
      </c>
      <c r="U787" s="26" t="str">
        <f t="shared" si="1161"/>
        <v/>
      </c>
      <c r="V787" s="26" t="str">
        <f t="shared" si="1162"/>
        <v/>
      </c>
      <c r="W787" s="27" t="str">
        <f t="shared" si="1163"/>
        <v/>
      </c>
      <c r="X787" s="27" t="str">
        <f t="shared" si="1164"/>
        <v/>
      </c>
      <c r="Y787" s="28" t="str">
        <f t="shared" si="1165"/>
        <v/>
      </c>
      <c r="Z787" s="27" t="str">
        <f t="shared" si="1166"/>
        <v/>
      </c>
      <c r="AA787" s="27" t="str">
        <f t="shared" si="1167"/>
        <v/>
      </c>
      <c r="AB787" s="27" t="str">
        <f t="shared" si="1168"/>
        <v/>
      </c>
      <c r="AC787" s="27" t="str">
        <f t="shared" si="1169"/>
        <v/>
      </c>
      <c r="AD787" s="29" t="str">
        <f t="shared" si="1170"/>
        <v/>
      </c>
      <c r="AE787" s="30" t="str">
        <f t="shared" si="1171"/>
        <v/>
      </c>
      <c r="AG787" s="4"/>
      <c r="AH787" s="31" t="e">
        <f t="shared" si="1172"/>
        <v>#VALUE!</v>
      </c>
      <c r="AI787" s="31" t="e">
        <f t="shared" si="1173"/>
        <v>#VALUE!</v>
      </c>
      <c r="AJ787" s="31" t="e">
        <f t="shared" si="1174"/>
        <v>#VALUE!</v>
      </c>
      <c r="AK787" s="31" t="e">
        <f t="shared" si="1175"/>
        <v>#VALUE!</v>
      </c>
      <c r="AL787" s="31" t="e">
        <f t="shared" si="1176"/>
        <v>#VALUE!</v>
      </c>
      <c r="AM787" s="31" t="e">
        <f t="shared" si="1177"/>
        <v>#VALUE!</v>
      </c>
      <c r="AN787" s="32" t="str">
        <f t="shared" si="1178"/>
        <v/>
      </c>
      <c r="AO787" s="27" t="str">
        <f t="shared" si="1179"/>
        <v/>
      </c>
      <c r="AP787" s="27" t="str">
        <f t="shared" si="1180"/>
        <v/>
      </c>
      <c r="AQ787" s="27">
        <f t="shared" si="1181"/>
        <v>0</v>
      </c>
      <c r="AR787" s="27">
        <f t="shared" si="1182"/>
        <v>0</v>
      </c>
      <c r="AS787" s="33">
        <f t="shared" si="1183"/>
        <v>0</v>
      </c>
    </row>
    <row r="788" spans="2:45" ht="16.5" hidden="1" thickBot="1" x14ac:dyDescent="0.3">
      <c r="B788" s="35" t="str">
        <f>IF(B651="","",B651)</f>
        <v/>
      </c>
      <c r="C788" s="36" t="str">
        <f>IF(C651="","",C651)</f>
        <v/>
      </c>
      <c r="D788" s="36" t="str">
        <f>IF(D651="","",D651)</f>
        <v/>
      </c>
      <c r="E788" s="36" t="str">
        <f>IF(E651="","",E651)</f>
        <v/>
      </c>
      <c r="F788" s="36" t="str">
        <f>IF(F651="","",F651)</f>
        <v/>
      </c>
      <c r="G788" s="37"/>
      <c r="H788" s="37"/>
      <c r="I788" s="37"/>
      <c r="J788" s="37"/>
      <c r="K788" s="37"/>
      <c r="L788" s="37"/>
      <c r="M788" s="45" t="str">
        <f>IF(B788="","",IF(M631="","",M631))</f>
        <v/>
      </c>
      <c r="N788" s="36" t="str">
        <f t="shared" si="1154"/>
        <v/>
      </c>
      <c r="O788" s="36" t="str">
        <f t="shared" si="1155"/>
        <v/>
      </c>
      <c r="P788" s="36" t="str">
        <f t="shared" si="1156"/>
        <v/>
      </c>
      <c r="Q788" s="36">
        <f t="shared" si="1157"/>
        <v>0</v>
      </c>
      <c r="R788" s="36">
        <f t="shared" si="1158"/>
        <v>0</v>
      </c>
      <c r="S788" s="36">
        <f t="shared" si="1159"/>
        <v>0</v>
      </c>
      <c r="T788" s="36" t="str">
        <f t="shared" si="1160"/>
        <v/>
      </c>
      <c r="U788" s="36" t="str">
        <f t="shared" si="1161"/>
        <v/>
      </c>
      <c r="V788" s="36" t="str">
        <f t="shared" si="1162"/>
        <v/>
      </c>
      <c r="W788" s="39" t="str">
        <f t="shared" si="1163"/>
        <v/>
      </c>
      <c r="X788" s="39" t="str">
        <f t="shared" si="1164"/>
        <v/>
      </c>
      <c r="Y788" s="40" t="str">
        <f t="shared" si="1165"/>
        <v/>
      </c>
      <c r="Z788" s="39" t="str">
        <f t="shared" si="1166"/>
        <v/>
      </c>
      <c r="AA788" s="39" t="str">
        <f t="shared" si="1167"/>
        <v/>
      </c>
      <c r="AB788" s="39" t="str">
        <f t="shared" si="1168"/>
        <v/>
      </c>
      <c r="AC788" s="39" t="str">
        <f t="shared" si="1169"/>
        <v/>
      </c>
      <c r="AD788" s="65" t="str">
        <f t="shared" si="1170"/>
        <v/>
      </c>
      <c r="AE788" s="41" t="str">
        <f t="shared" si="1171"/>
        <v/>
      </c>
      <c r="AG788" s="4"/>
      <c r="AH788" s="31" t="e">
        <f t="shared" si="1172"/>
        <v>#VALUE!</v>
      </c>
      <c r="AI788" s="31" t="e">
        <f t="shared" si="1173"/>
        <v>#VALUE!</v>
      </c>
      <c r="AJ788" s="31" t="e">
        <f t="shared" si="1174"/>
        <v>#VALUE!</v>
      </c>
      <c r="AK788" s="31" t="e">
        <f t="shared" si="1175"/>
        <v>#VALUE!</v>
      </c>
      <c r="AL788" s="31" t="e">
        <f t="shared" si="1176"/>
        <v>#VALUE!</v>
      </c>
      <c r="AM788" s="31" t="e">
        <f t="shared" si="1177"/>
        <v>#VALUE!</v>
      </c>
      <c r="AN788" s="42" t="str">
        <f t="shared" si="1178"/>
        <v/>
      </c>
      <c r="AO788" s="39" t="str">
        <f t="shared" si="1179"/>
        <v/>
      </c>
      <c r="AP788" s="39" t="str">
        <f t="shared" si="1180"/>
        <v/>
      </c>
      <c r="AQ788" s="39">
        <f t="shared" si="1181"/>
        <v>0</v>
      </c>
      <c r="AR788" s="39">
        <f t="shared" si="1182"/>
        <v>0</v>
      </c>
      <c r="AS788" s="43">
        <f t="shared" si="1183"/>
        <v>0</v>
      </c>
    </row>
    <row r="789" spans="2:45" x14ac:dyDescent="0.25"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</row>
    <row r="792" spans="2:45" x14ac:dyDescent="0.25">
      <c r="F792" s="2"/>
      <c r="G792" s="2"/>
      <c r="H792" s="2"/>
      <c r="I792" s="2"/>
      <c r="J792" s="2"/>
      <c r="K792" s="2"/>
      <c r="L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spans="2:45" x14ac:dyDescent="0.25">
      <c r="E793" s="46"/>
      <c r="F793" s="46"/>
      <c r="G793" s="146" t="s">
        <v>37</v>
      </c>
      <c r="H793" s="147"/>
      <c r="I793" s="147"/>
      <c r="J793" s="147"/>
      <c r="K793" s="147"/>
      <c r="L793" s="148"/>
      <c r="M793" s="47">
        <f>IF(N793&lt;=9,N793,(18+N793)/3)</f>
        <v>19.743685418725537</v>
      </c>
      <c r="N793" s="48">
        <f>SQRT(C14^2+C170^2+C326^2+C482^2+C638^2)</f>
        <v>41.231056256176608</v>
      </c>
      <c r="P793" s="46"/>
      <c r="Q793" s="149" t="s">
        <v>41</v>
      </c>
      <c r="R793" s="150"/>
      <c r="S793" s="150"/>
      <c r="T793" s="150"/>
      <c r="U793" s="150"/>
      <c r="V793" s="150"/>
      <c r="W793" s="150"/>
      <c r="X793" s="150"/>
      <c r="Y793" s="150"/>
      <c r="Z793" s="150"/>
      <c r="AA793" s="150"/>
      <c r="AB793" s="150"/>
      <c r="AC793" s="150"/>
      <c r="AD793" s="151"/>
      <c r="AE793" s="4"/>
      <c r="AG793" s="4"/>
    </row>
    <row r="794" spans="2:45" ht="16.5" thickBot="1" x14ac:dyDescent="0.3">
      <c r="G794" s="3"/>
      <c r="H794" s="3"/>
      <c r="I794" s="3"/>
      <c r="J794" s="3"/>
      <c r="K794" s="3"/>
      <c r="L794" s="3"/>
      <c r="M794" s="3"/>
      <c r="P794" s="46"/>
      <c r="Q794" s="12"/>
      <c r="R794" s="12"/>
      <c r="S794" s="12"/>
      <c r="T794" s="12"/>
      <c r="U794" s="12"/>
      <c r="V794" s="12"/>
      <c r="W794" s="12"/>
      <c r="X794" s="12"/>
      <c r="Y794" s="3"/>
      <c r="Z794" s="12"/>
      <c r="AA794" s="12"/>
      <c r="AB794" s="12"/>
      <c r="AC794" s="12"/>
      <c r="AD794" s="12"/>
      <c r="AG794" s="4"/>
    </row>
    <row r="795" spans="2:45" ht="24" thickBot="1" x14ac:dyDescent="0.3">
      <c r="G795" s="2"/>
      <c r="H795" s="2"/>
      <c r="I795" s="2"/>
      <c r="J795" s="2"/>
      <c r="K795" s="2"/>
      <c r="L795" s="2"/>
      <c r="M795" s="2"/>
      <c r="N795" s="2"/>
      <c r="O795" s="2"/>
      <c r="P795" s="46"/>
      <c r="Q795" s="152" t="s">
        <v>65</v>
      </c>
      <c r="R795" s="153"/>
      <c r="S795" s="153"/>
      <c r="T795" s="153"/>
      <c r="U795" s="153"/>
      <c r="V795" s="153"/>
      <c r="W795" s="153"/>
      <c r="X795" s="154"/>
      <c r="Y795" s="71"/>
      <c r="Z795" s="152" t="s">
        <v>64</v>
      </c>
      <c r="AA795" s="153"/>
      <c r="AB795" s="153"/>
      <c r="AC795" s="153"/>
      <c r="AD795" s="154"/>
      <c r="AE795" s="69"/>
      <c r="AF795" s="70"/>
    </row>
    <row r="796" spans="2:45" x14ac:dyDescent="0.25">
      <c r="E796" s="46"/>
      <c r="F796" s="46"/>
      <c r="G796" s="49"/>
      <c r="H796" s="123" t="s">
        <v>19</v>
      </c>
      <c r="I796" s="124"/>
      <c r="J796" s="124"/>
      <c r="K796" s="124"/>
      <c r="L796" s="124"/>
      <c r="M796" s="124"/>
      <c r="N796" s="124"/>
      <c r="O796" s="125"/>
      <c r="P796" s="31"/>
      <c r="Q796" s="68" t="s">
        <v>29</v>
      </c>
      <c r="R796" s="67"/>
      <c r="S796" s="67"/>
      <c r="T796" s="67"/>
      <c r="U796" s="67"/>
      <c r="V796" s="67"/>
      <c r="W796" s="140" t="s">
        <v>39</v>
      </c>
      <c r="X796" s="143" t="s">
        <v>40</v>
      </c>
      <c r="Y796" s="46"/>
      <c r="Z796" s="155" t="s">
        <v>27</v>
      </c>
      <c r="AA796" s="142" t="s">
        <v>28</v>
      </c>
      <c r="AB796" s="126" t="s">
        <v>30</v>
      </c>
      <c r="AC796" s="140" t="s">
        <v>39</v>
      </c>
      <c r="AD796" s="143" t="s">
        <v>40</v>
      </c>
      <c r="AE796" s="4"/>
      <c r="AG796" s="4"/>
    </row>
    <row r="797" spans="2:45" x14ac:dyDescent="0.25">
      <c r="E797" s="46"/>
      <c r="F797" s="46"/>
      <c r="G797" s="21"/>
      <c r="H797" s="20" t="s">
        <v>21</v>
      </c>
      <c r="I797" s="20" t="s">
        <v>22</v>
      </c>
      <c r="J797" s="20" t="s">
        <v>23</v>
      </c>
      <c r="K797" s="20" t="s">
        <v>24</v>
      </c>
      <c r="L797" s="20" t="s">
        <v>25</v>
      </c>
      <c r="M797" s="20" t="s">
        <v>26</v>
      </c>
      <c r="N797" s="20" t="s">
        <v>27</v>
      </c>
      <c r="O797" s="22" t="s">
        <v>28</v>
      </c>
      <c r="P797" s="31"/>
      <c r="Q797" s="21" t="s">
        <v>21</v>
      </c>
      <c r="R797" s="20" t="s">
        <v>22</v>
      </c>
      <c r="S797" s="20" t="s">
        <v>23</v>
      </c>
      <c r="T797" s="20" t="s">
        <v>24</v>
      </c>
      <c r="U797" s="20" t="s">
        <v>25</v>
      </c>
      <c r="V797" s="20" t="s">
        <v>26</v>
      </c>
      <c r="W797" s="140"/>
      <c r="X797" s="143"/>
      <c r="Y797" s="46"/>
      <c r="Z797" s="118"/>
      <c r="AA797" s="127"/>
      <c r="AB797" s="121"/>
      <c r="AC797" s="140"/>
      <c r="AD797" s="143"/>
      <c r="AE797" s="4"/>
      <c r="AG797" s="4"/>
    </row>
    <row r="798" spans="2:45" x14ac:dyDescent="0.25">
      <c r="E798" s="46"/>
      <c r="F798" s="46"/>
      <c r="G798" s="50" t="str">
        <f>IF(M14="","",M14)</f>
        <v>6(OPE)</v>
      </c>
      <c r="H798" s="27">
        <f>IF($G798="","",Q14+Q170+Q326+Q482+Q638)</f>
        <v>-15079</v>
      </c>
      <c r="I798" s="27">
        <f>IF($G798="","",R14+R170+R326+R482+R638)</f>
        <v>-25338</v>
      </c>
      <c r="J798" s="27">
        <f>IF($G798="","",S14+S170+S326+S482+S638)</f>
        <v>-26173</v>
      </c>
      <c r="K798" s="27">
        <f>IF($G798="","",AQ14+AQ170+AQ326+AQ482+AQ638)</f>
        <v>-10223</v>
      </c>
      <c r="L798" s="27">
        <f>IF($G798="","",AR14+AR170+AR326+AR482+AR638)</f>
        <v>-39613.979999999996</v>
      </c>
      <c r="M798" s="27">
        <f>IF($G798="","",AS14+AS170+AS326+AS482+AS638)</f>
        <v>59049.069999999992</v>
      </c>
      <c r="N798" s="27">
        <f>IF(G798="","",SQRT(H798^2+I798^2+J798^2))</f>
        <v>39426.087987524203</v>
      </c>
      <c r="O798" s="33">
        <f>IF(G798="","",SQRT(K798^2+L798^2+M798^2))</f>
        <v>71837.106068558322</v>
      </c>
      <c r="P798" s="31"/>
      <c r="Q798" s="32">
        <f>IF($G798="","",H798*0.224808)</f>
        <v>-3389.8798320000001</v>
      </c>
      <c r="R798" s="27">
        <f>IF($G798="","",I798*0.224808)</f>
        <v>-5696.1851040000001</v>
      </c>
      <c r="S798" s="27">
        <f>IF($G798="","",J798*0.224808)</f>
        <v>-5883.8997840000002</v>
      </c>
      <c r="T798" s="27">
        <f>IF($G798="","",K798*0.737562)</f>
        <v>-7540.0963260000008</v>
      </c>
      <c r="U798" s="27">
        <f>IF($G798="","",L798*0.737562)</f>
        <v>-29217.76631676</v>
      </c>
      <c r="V798" s="27">
        <f>IF($G798="","",M798*0.737562)</f>
        <v>43552.350167339995</v>
      </c>
      <c r="W798" s="29">
        <f>IF(G798="","",MAX(ABS(Q798)/$Q$948,ABS(R798)/$R$948,ABS(S798)/$S$948,ABS(T798)/$T$948,ABS(U798)/$U$948,ABS(V798)/$V$948)*100)</f>
        <v>82.079537330409252</v>
      </c>
      <c r="X798" s="30" t="str">
        <f t="shared" ref="X798" si="1204">IF(G798="","",IF(W798&lt;=100, "PASS","FAIL"))</f>
        <v>PASS</v>
      </c>
      <c r="Y798" s="46"/>
      <c r="Z798" s="32">
        <f t="shared" ref="Z798" si="1205">IF(G798="","",SQRT(Q798^2+R798^2+S798^2))</f>
        <v>8863.2999882993408</v>
      </c>
      <c r="AA798" s="27">
        <f t="shared" ref="AA798" si="1206">IF(G798="","",SQRT(T798^2+U798^2+V798^2))</f>
        <v>52984.319626138014</v>
      </c>
      <c r="AB798" s="27">
        <f t="shared" ref="AB798" si="1207">IF(G798="","",Z798*2+AA798)</f>
        <v>70710.9196027367</v>
      </c>
      <c r="AC798" s="29">
        <f>IF(G798="","",AB798/$AB$948*100)</f>
        <v>66.631531282469865</v>
      </c>
      <c r="AD798" s="30" t="str">
        <f t="shared" ref="AD798" si="1208">IF(G798="","",IF(AC798&lt;=100, "PASS","FAIL"))</f>
        <v>PASS</v>
      </c>
      <c r="AE798" s="4"/>
    </row>
    <row r="799" spans="2:45" x14ac:dyDescent="0.25">
      <c r="E799" s="46"/>
      <c r="F799" s="46"/>
      <c r="G799" s="50" t="str">
        <f t="shared" ref="G799:G862" si="1209">IF(M15="","",M15)</f>
        <v>10(OPE)</v>
      </c>
      <c r="H799" s="27">
        <f t="shared" ref="H799:J799" si="1210">IF($G799="","",Q15+Q171+Q327+Q483+Q639)</f>
        <v>-19394</v>
      </c>
      <c r="I799" s="27">
        <f t="shared" si="1210"/>
        <v>-32088</v>
      </c>
      <c r="J799" s="27">
        <f t="shared" si="1210"/>
        <v>-31924</v>
      </c>
      <c r="K799" s="27">
        <f t="shared" ref="K799:M799" si="1211">IF($G799="","",AQ15+AQ171+AQ327+AQ483+AQ639)</f>
        <v>-15782.5</v>
      </c>
      <c r="L799" s="27">
        <f t="shared" si="1211"/>
        <v>-44671.35</v>
      </c>
      <c r="M799" s="27">
        <f t="shared" si="1211"/>
        <v>70910.8</v>
      </c>
      <c r="N799" s="27">
        <f t="shared" ref="N799:N862" si="1212">IF(G799="","",SQRT(H799^2+I799^2+J799^2))</f>
        <v>49243.362557810775</v>
      </c>
      <c r="O799" s="33">
        <f t="shared" ref="O799:O862" si="1213">IF(G799="","",SQRT(K799^2+L799^2+M799^2))</f>
        <v>85281.641481109516</v>
      </c>
      <c r="P799" s="31"/>
      <c r="Q799" s="32">
        <f t="shared" ref="Q799:Q862" si="1214">IF($G799="","",H799*0.224808)</f>
        <v>-4359.9263520000004</v>
      </c>
      <c r="R799" s="27">
        <f t="shared" ref="R799:R862" si="1215">IF($G799="","",I799*0.224808)</f>
        <v>-7213.6391039999999</v>
      </c>
      <c r="S799" s="27">
        <f t="shared" ref="S799:S862" si="1216">IF($G799="","",J799*0.224808)</f>
        <v>-7176.7705919999999</v>
      </c>
      <c r="T799" s="27">
        <f t="shared" ref="T799:T862" si="1217">IF($G799="","",K799*0.737562)</f>
        <v>-11640.572265000001</v>
      </c>
      <c r="U799" s="27">
        <f t="shared" ref="U799:U862" si="1218">IF($G799="","",L799*0.737562)</f>
        <v>-32947.890248700001</v>
      </c>
      <c r="V799" s="27">
        <f t="shared" ref="V799:V862" si="1219">IF($G799="","",M799*0.737562)</f>
        <v>52301.111469600008</v>
      </c>
      <c r="W799" s="29">
        <f t="shared" ref="W799:W862" si="1220">IF(G799="","",MAX(ABS(Q799)/$Q$948,ABS(R799)/$R$948,ABS(S799)/$S$948,ABS(T799)/$T$948,ABS(U799)/$U$948,ABS(V799)/$V$948)*100)</f>
        <v>98.567609205855149</v>
      </c>
      <c r="X799" s="30" t="str">
        <f t="shared" ref="X799:X862" si="1221">IF(G799="","",IF(W799&lt;=100, "PASS","FAIL"))</f>
        <v>PASS</v>
      </c>
      <c r="Y799" s="46"/>
      <c r="Z799" s="32">
        <f t="shared" ref="Z799:Z862" si="1222">IF(G799="","",SQRT(Q799^2+R799^2+S799^2))</f>
        <v>11070.301849896325</v>
      </c>
      <c r="AA799" s="27">
        <f t="shared" ref="AA799:AA862" si="1223">IF(G799="","",SQRT(T799^2+U799^2+V799^2))</f>
        <v>62900.498054090109</v>
      </c>
      <c r="AB799" s="27">
        <f t="shared" ref="AB799:AB862" si="1224">IF(G799="","",Z799*2+AA799)</f>
        <v>85041.101753882758</v>
      </c>
      <c r="AC799" s="29">
        <f t="shared" ref="AC799:AC862" si="1225">IF(G799="","",AB799/$AB$948*100)</f>
        <v>80.134989951258348</v>
      </c>
      <c r="AD799" s="30" t="str">
        <f t="shared" ref="AD799:AD862" si="1226">IF(G799="","",IF(AC799&lt;=100, "PASS","FAIL"))</f>
        <v>PASS</v>
      </c>
      <c r="AE799" s="4"/>
    </row>
    <row r="800" spans="2:45" x14ac:dyDescent="0.25">
      <c r="E800" s="46"/>
      <c r="F800" s="46"/>
      <c r="G800" s="50" t="str">
        <f t="shared" si="1209"/>
        <v>12(OPE)</v>
      </c>
      <c r="H800" s="27">
        <f t="shared" ref="H800:J800" si="1227">IF($G800="","",Q16+Q172+Q328+Q484+Q640)</f>
        <v>-15304</v>
      </c>
      <c r="I800" s="27">
        <f t="shared" si="1227"/>
        <v>-32856</v>
      </c>
      <c r="J800" s="27">
        <f t="shared" si="1227"/>
        <v>-34466</v>
      </c>
      <c r="K800" s="27">
        <f t="shared" ref="K800:M800" si="1228">IF($G800="","",AQ16+AQ172+AQ328+AQ484+AQ640)</f>
        <v>-20552</v>
      </c>
      <c r="L800" s="27">
        <f t="shared" si="1228"/>
        <v>-57191.909999999996</v>
      </c>
      <c r="M800" s="27">
        <f t="shared" si="1228"/>
        <v>62402.35</v>
      </c>
      <c r="N800" s="27">
        <f t="shared" si="1212"/>
        <v>50016.340409910037</v>
      </c>
      <c r="O800" s="33">
        <f t="shared" si="1213"/>
        <v>87105.410618230831</v>
      </c>
      <c r="P800" s="31"/>
      <c r="Q800" s="32">
        <f t="shared" si="1214"/>
        <v>-3440.461632</v>
      </c>
      <c r="R800" s="27">
        <f t="shared" si="1215"/>
        <v>-7386.2916480000004</v>
      </c>
      <c r="S800" s="27">
        <f t="shared" si="1216"/>
        <v>-7748.2325280000005</v>
      </c>
      <c r="T800" s="27">
        <f t="shared" si="1217"/>
        <v>-15158.374224000001</v>
      </c>
      <c r="U800" s="27">
        <f t="shared" si="1218"/>
        <v>-42182.579523419998</v>
      </c>
      <c r="V800" s="27">
        <f t="shared" si="1219"/>
        <v>46025.602070699999</v>
      </c>
      <c r="W800" s="29">
        <f t="shared" si="1220"/>
        <v>86.740672060207956</v>
      </c>
      <c r="X800" s="30" t="str">
        <f t="shared" si="1221"/>
        <v>PASS</v>
      </c>
      <c r="Y800" s="46"/>
      <c r="Z800" s="32">
        <f t="shared" si="1222"/>
        <v>11244.073454871057</v>
      </c>
      <c r="AA800" s="27">
        <f t="shared" si="1223"/>
        <v>64245.640866403563</v>
      </c>
      <c r="AB800" s="27">
        <f t="shared" si="1224"/>
        <v>86733.787776145677</v>
      </c>
      <c r="AC800" s="29">
        <f t="shared" si="1225"/>
        <v>81.730023112719962</v>
      </c>
      <c r="AD800" s="30" t="str">
        <f t="shared" si="1226"/>
        <v>PASS</v>
      </c>
      <c r="AE800" s="4"/>
    </row>
    <row r="801" spans="5:31" x14ac:dyDescent="0.25">
      <c r="E801" s="46"/>
      <c r="F801" s="46"/>
      <c r="G801" s="50" t="str">
        <f t="shared" si="1209"/>
        <v>16(OPE)</v>
      </c>
      <c r="H801" s="27">
        <f t="shared" ref="H801:J801" si="1229">IF($G801="","",Q17+Q173+Q329+Q485+Q641)</f>
        <v>-6631</v>
      </c>
      <c r="I801" s="27">
        <f t="shared" si="1229"/>
        <v>-23934</v>
      </c>
      <c r="J801" s="27">
        <f t="shared" si="1229"/>
        <v>-19873</v>
      </c>
      <c r="K801" s="27">
        <f t="shared" ref="K801:M801" si="1230">IF($G801="","",AQ17+AQ173+AQ329+AQ485+AQ641)</f>
        <v>137</v>
      </c>
      <c r="L801" s="27">
        <f t="shared" si="1230"/>
        <v>-32459.030000000002</v>
      </c>
      <c r="M801" s="27">
        <f t="shared" si="1230"/>
        <v>28651.35</v>
      </c>
      <c r="N801" s="27">
        <f t="shared" si="1212"/>
        <v>31807.902257143585</v>
      </c>
      <c r="O801" s="33">
        <f t="shared" si="1213"/>
        <v>43295.580078841769</v>
      </c>
      <c r="P801" s="31"/>
      <c r="Q801" s="32">
        <f t="shared" si="1214"/>
        <v>-1490.7018480000002</v>
      </c>
      <c r="R801" s="27">
        <f t="shared" si="1215"/>
        <v>-5380.5546720000002</v>
      </c>
      <c r="S801" s="27">
        <f t="shared" si="1216"/>
        <v>-4467.6093840000003</v>
      </c>
      <c r="T801" s="27">
        <f t="shared" si="1217"/>
        <v>101.04599400000001</v>
      </c>
      <c r="U801" s="27">
        <f t="shared" si="1218"/>
        <v>-23940.547084860005</v>
      </c>
      <c r="V801" s="27">
        <f t="shared" si="1219"/>
        <v>21132.147008700002</v>
      </c>
      <c r="W801" s="29">
        <f t="shared" si="1220"/>
        <v>45.118782812225064</v>
      </c>
      <c r="X801" s="30" t="str">
        <f t="shared" si="1221"/>
        <v>PASS</v>
      </c>
      <c r="Y801" s="46"/>
      <c r="Z801" s="32">
        <f t="shared" si="1222"/>
        <v>7150.6708906239346</v>
      </c>
      <c r="AA801" s="27">
        <f t="shared" si="1223"/>
        <v>31933.174634110695</v>
      </c>
      <c r="AB801" s="27">
        <f t="shared" si="1224"/>
        <v>46234.516415358565</v>
      </c>
      <c r="AC801" s="29">
        <f t="shared" si="1225"/>
        <v>43.567197883544431</v>
      </c>
      <c r="AD801" s="30" t="str">
        <f t="shared" si="1226"/>
        <v>PASS</v>
      </c>
      <c r="AE801" s="4"/>
    </row>
    <row r="802" spans="5:31" x14ac:dyDescent="0.25">
      <c r="E802" s="46"/>
      <c r="F802" s="46"/>
      <c r="G802" s="50" t="str">
        <f t="shared" si="1209"/>
        <v>20(OPE)</v>
      </c>
      <c r="H802" s="27">
        <f t="shared" ref="H802:J802" si="1231">IF($G802="","",Q18+Q174+Q330+Q486+Q642)</f>
        <v>-11772</v>
      </c>
      <c r="I802" s="27">
        <f t="shared" si="1231"/>
        <v>-30676</v>
      </c>
      <c r="J802" s="27">
        <f t="shared" si="1231"/>
        <v>-25376</v>
      </c>
      <c r="K802" s="27">
        <f t="shared" ref="K802:M802" si="1232">IF($G802="","",AQ18+AQ174+AQ330+AQ486+AQ642)</f>
        <v>-4755.5</v>
      </c>
      <c r="L802" s="27">
        <f t="shared" si="1232"/>
        <v>-37476.54</v>
      </c>
      <c r="M802" s="27">
        <f t="shared" si="1232"/>
        <v>43624.89</v>
      </c>
      <c r="N802" s="27">
        <f t="shared" si="1212"/>
        <v>41515.519218721085</v>
      </c>
      <c r="O802" s="33">
        <f t="shared" si="1213"/>
        <v>57708.204426525874</v>
      </c>
      <c r="P802" s="31"/>
      <c r="Q802" s="32">
        <f t="shared" si="1214"/>
        <v>-2646.4397760000002</v>
      </c>
      <c r="R802" s="27">
        <f t="shared" si="1215"/>
        <v>-6896.2102080000004</v>
      </c>
      <c r="S802" s="27">
        <f t="shared" si="1216"/>
        <v>-5704.7278080000006</v>
      </c>
      <c r="T802" s="27">
        <f t="shared" si="1217"/>
        <v>-3507.4760910000005</v>
      </c>
      <c r="U802" s="27">
        <f t="shared" si="1218"/>
        <v>-27641.271795480003</v>
      </c>
      <c r="V802" s="27">
        <f t="shared" si="1219"/>
        <v>32176.061118180001</v>
      </c>
      <c r="W802" s="29">
        <f t="shared" si="1220"/>
        <v>60.63957971378715</v>
      </c>
      <c r="X802" s="30" t="str">
        <f t="shared" si="1221"/>
        <v>PASS</v>
      </c>
      <c r="Y802" s="46"/>
      <c r="Z802" s="32">
        <f t="shared" si="1222"/>
        <v>9333.0208445222506</v>
      </c>
      <c r="AA802" s="27">
        <f t="shared" si="1223"/>
        <v>42563.378673237276</v>
      </c>
      <c r="AB802" s="27">
        <f t="shared" si="1224"/>
        <v>61229.420362281773</v>
      </c>
      <c r="AC802" s="29">
        <f t="shared" si="1225"/>
        <v>57.69702983920714</v>
      </c>
      <c r="AD802" s="30" t="str">
        <f t="shared" si="1226"/>
        <v>PASS</v>
      </c>
      <c r="AE802" s="4"/>
    </row>
    <row r="803" spans="5:31" x14ac:dyDescent="0.25">
      <c r="E803" s="46"/>
      <c r="F803" s="46"/>
      <c r="G803" s="50" t="str">
        <f t="shared" si="1209"/>
        <v>22(OPE)</v>
      </c>
      <c r="H803" s="27">
        <f t="shared" ref="H803:J803" si="1233">IF($G803="","",Q19+Q175+Q331+Q487+Q643)</f>
        <v>-10092</v>
      </c>
      <c r="I803" s="27">
        <f t="shared" si="1233"/>
        <v>-31475</v>
      </c>
      <c r="J803" s="27">
        <f t="shared" si="1233"/>
        <v>-28173</v>
      </c>
      <c r="K803" s="27">
        <f t="shared" ref="K803:M803" si="1234">IF($G803="","",AQ19+AQ175+AQ331+AQ487+AQ643)</f>
        <v>-9412.5</v>
      </c>
      <c r="L803" s="27">
        <f t="shared" si="1234"/>
        <v>-48716.189999999995</v>
      </c>
      <c r="M803" s="27">
        <f t="shared" si="1234"/>
        <v>44584.42</v>
      </c>
      <c r="N803" s="27">
        <f t="shared" si="1212"/>
        <v>43430.88783343025</v>
      </c>
      <c r="O803" s="33">
        <f t="shared" si="1213"/>
        <v>66705.568216622662</v>
      </c>
      <c r="P803" s="31"/>
      <c r="Q803" s="32">
        <f t="shared" si="1214"/>
        <v>-2268.7623360000002</v>
      </c>
      <c r="R803" s="27">
        <f t="shared" si="1215"/>
        <v>-7075.8317999999999</v>
      </c>
      <c r="S803" s="27">
        <f t="shared" si="1216"/>
        <v>-6333.5157840000002</v>
      </c>
      <c r="T803" s="27">
        <f t="shared" si="1217"/>
        <v>-6942.3023250000006</v>
      </c>
      <c r="U803" s="27">
        <f t="shared" si="1218"/>
        <v>-35931.21052878</v>
      </c>
      <c r="V803" s="27">
        <f t="shared" si="1219"/>
        <v>32883.773984040003</v>
      </c>
      <c r="W803" s="29">
        <f t="shared" si="1220"/>
        <v>67.716601391017846</v>
      </c>
      <c r="X803" s="30" t="str">
        <f t="shared" si="1221"/>
        <v>PASS</v>
      </c>
      <c r="Y803" s="46"/>
      <c r="Z803" s="32">
        <f t="shared" si="1222"/>
        <v>9763.6110320577882</v>
      </c>
      <c r="AA803" s="27">
        <f t="shared" si="1223"/>
        <v>49199.492304988642</v>
      </c>
      <c r="AB803" s="27">
        <f t="shared" si="1224"/>
        <v>68726.714369104215</v>
      </c>
      <c r="AC803" s="29">
        <f t="shared" si="1225"/>
        <v>64.761796963663102</v>
      </c>
      <c r="AD803" s="30" t="str">
        <f t="shared" si="1226"/>
        <v>PASS</v>
      </c>
      <c r="AE803" s="4"/>
    </row>
    <row r="804" spans="5:31" x14ac:dyDescent="0.25">
      <c r="E804" s="46"/>
      <c r="F804" s="46"/>
      <c r="G804" s="50" t="str">
        <f t="shared" si="1209"/>
        <v>34(SUS)</v>
      </c>
      <c r="H804" s="27">
        <f t="shared" ref="H804:J804" si="1235">IF($G804="","",Q20+Q176+Q332+Q488+Q644)</f>
        <v>-3352</v>
      </c>
      <c r="I804" s="27">
        <f t="shared" si="1235"/>
        <v>174</v>
      </c>
      <c r="J804" s="27">
        <f t="shared" si="1235"/>
        <v>-1825</v>
      </c>
      <c r="K804" s="27">
        <f t="shared" ref="K804:M804" si="1236">IF($G804="","",AQ20+AQ176+AQ332+AQ488+AQ644)</f>
        <v>-9136.5</v>
      </c>
      <c r="L804" s="27">
        <f t="shared" si="1236"/>
        <v>-1556.6099999999997</v>
      </c>
      <c r="M804" s="27">
        <f t="shared" si="1236"/>
        <v>19050.939999999999</v>
      </c>
      <c r="N804" s="27">
        <f t="shared" si="1212"/>
        <v>3820.5765271749237</v>
      </c>
      <c r="O804" s="33">
        <f t="shared" si="1213"/>
        <v>21185.773099551971</v>
      </c>
      <c r="P804" s="31"/>
      <c r="Q804" s="32">
        <f t="shared" si="1214"/>
        <v>-753.55641600000001</v>
      </c>
      <c r="R804" s="27">
        <f t="shared" si="1215"/>
        <v>39.116592000000004</v>
      </c>
      <c r="S804" s="27">
        <f t="shared" si="1216"/>
        <v>-410.27460000000002</v>
      </c>
      <c r="T804" s="27">
        <f t="shared" si="1217"/>
        <v>-6738.7352130000008</v>
      </c>
      <c r="U804" s="27">
        <f t="shared" si="1218"/>
        <v>-1148.0963848199999</v>
      </c>
      <c r="V804" s="27">
        <f t="shared" si="1219"/>
        <v>14051.24940828</v>
      </c>
      <c r="W804" s="29">
        <f t="shared" si="1220"/>
        <v>26.481235706326739</v>
      </c>
      <c r="X804" s="30" t="str">
        <f t="shared" si="1221"/>
        <v>PASS</v>
      </c>
      <c r="Y804" s="46"/>
      <c r="Z804" s="32">
        <f t="shared" si="1222"/>
        <v>858.8961679211402</v>
      </c>
      <c r="AA804" s="27">
        <f t="shared" si="1223"/>
        <v>15625.821178851753</v>
      </c>
      <c r="AB804" s="27">
        <f t="shared" si="1224"/>
        <v>17343.613514694032</v>
      </c>
      <c r="AC804" s="29">
        <f t="shared" si="1225"/>
        <v>16.343041965058489</v>
      </c>
      <c r="AD804" s="30" t="str">
        <f t="shared" si="1226"/>
        <v>PASS</v>
      </c>
      <c r="AE804" s="4"/>
    </row>
    <row r="805" spans="5:31" x14ac:dyDescent="0.25">
      <c r="E805" s="46"/>
      <c r="F805" s="46"/>
      <c r="G805" s="50" t="str">
        <f t="shared" si="1209"/>
        <v>35(SUS)</v>
      </c>
      <c r="H805" s="27">
        <f t="shared" ref="H805:J805" si="1237">IF($G805="","",Q21+Q177+Q333+Q489+Q645)</f>
        <v>-3427</v>
      </c>
      <c r="I805" s="27">
        <f t="shared" si="1237"/>
        <v>864</v>
      </c>
      <c r="J805" s="27">
        <f t="shared" si="1237"/>
        <v>-1730</v>
      </c>
      <c r="K805" s="27">
        <f t="shared" ref="K805:M805" si="1238">IF($G805="","",AQ21+AQ177+AQ333+AQ489+AQ645)</f>
        <v>-9128.5</v>
      </c>
      <c r="L805" s="27">
        <f t="shared" si="1238"/>
        <v>-1445.6799999999998</v>
      </c>
      <c r="M805" s="27">
        <f t="shared" si="1238"/>
        <v>18461.009999999998</v>
      </c>
      <c r="N805" s="27">
        <f t="shared" si="1212"/>
        <v>3934.9364670855871</v>
      </c>
      <c r="O805" s="33">
        <f t="shared" si="1213"/>
        <v>20645.299540876124</v>
      </c>
      <c r="P805" s="31"/>
      <c r="Q805" s="32">
        <f t="shared" si="1214"/>
        <v>-770.41701599999999</v>
      </c>
      <c r="R805" s="27">
        <f t="shared" si="1215"/>
        <v>194.23411200000001</v>
      </c>
      <c r="S805" s="27">
        <f t="shared" si="1216"/>
        <v>-388.91784000000001</v>
      </c>
      <c r="T805" s="27">
        <f t="shared" si="1217"/>
        <v>-6732.8347170000006</v>
      </c>
      <c r="U805" s="27">
        <f t="shared" si="1218"/>
        <v>-1066.2786321599999</v>
      </c>
      <c r="V805" s="27">
        <f t="shared" si="1219"/>
        <v>13616.13945762</v>
      </c>
      <c r="W805" s="29">
        <f t="shared" si="1220"/>
        <v>25.661219718651939</v>
      </c>
      <c r="X805" s="30" t="str">
        <f t="shared" si="1221"/>
        <v>PASS</v>
      </c>
      <c r="Y805" s="46"/>
      <c r="Z805" s="32">
        <f t="shared" si="1222"/>
        <v>884.60519729257658</v>
      </c>
      <c r="AA805" s="27">
        <f t="shared" si="1223"/>
        <v>15227.188419967677</v>
      </c>
      <c r="AB805" s="27">
        <f t="shared" si="1224"/>
        <v>16996.398814552831</v>
      </c>
      <c r="AC805" s="29">
        <f t="shared" si="1225"/>
        <v>16.015858451052871</v>
      </c>
      <c r="AD805" s="30" t="str">
        <f t="shared" si="1226"/>
        <v>PASS</v>
      </c>
      <c r="AE805" s="4"/>
    </row>
    <row r="806" spans="5:31" x14ac:dyDescent="0.25">
      <c r="E806" s="46"/>
      <c r="F806" s="46"/>
      <c r="G806" s="50" t="str">
        <f t="shared" si="1209"/>
        <v>36(SUS)</v>
      </c>
      <c r="H806" s="27">
        <f t="shared" ref="H806:J806" si="1239">IF($G806="","",Q22+Q178+Q334+Q490+Q646)</f>
        <v>-4033</v>
      </c>
      <c r="I806" s="27">
        <f t="shared" si="1239"/>
        <v>30</v>
      </c>
      <c r="J806" s="27">
        <f t="shared" si="1239"/>
        <v>-2086</v>
      </c>
      <c r="K806" s="27">
        <f t="shared" ref="K806:M806" si="1240">IF($G806="","",AQ22+AQ178+AQ334+AQ490+AQ646)</f>
        <v>-9372</v>
      </c>
      <c r="L806" s="27">
        <f t="shared" si="1240"/>
        <v>-2259.8300000000004</v>
      </c>
      <c r="M806" s="27">
        <f t="shared" si="1240"/>
        <v>22825.279999999999</v>
      </c>
      <c r="N806" s="27">
        <f t="shared" si="1212"/>
        <v>4540.6370698394294</v>
      </c>
      <c r="O806" s="33">
        <f t="shared" si="1213"/>
        <v>24777.704145204818</v>
      </c>
      <c r="P806" s="31"/>
      <c r="Q806" s="32">
        <f t="shared" si="1214"/>
        <v>-906.65066400000001</v>
      </c>
      <c r="R806" s="27">
        <f t="shared" si="1215"/>
        <v>6.7442400000000005</v>
      </c>
      <c r="S806" s="27">
        <f t="shared" si="1216"/>
        <v>-468.94948800000003</v>
      </c>
      <c r="T806" s="27">
        <f t="shared" si="1217"/>
        <v>-6912.4310640000003</v>
      </c>
      <c r="U806" s="27">
        <f t="shared" si="1218"/>
        <v>-1666.7647344600005</v>
      </c>
      <c r="V806" s="27">
        <f t="shared" si="1219"/>
        <v>16835.059167359999</v>
      </c>
      <c r="W806" s="29">
        <f t="shared" si="1220"/>
        <v>31.727653320146171</v>
      </c>
      <c r="X806" s="30" t="str">
        <f t="shared" si="1221"/>
        <v>PASS</v>
      </c>
      <c r="Y806" s="46"/>
      <c r="Z806" s="32">
        <f t="shared" si="1222"/>
        <v>1020.7715383964626</v>
      </c>
      <c r="AA806" s="27">
        <f t="shared" si="1223"/>
        <v>18275.093024745554</v>
      </c>
      <c r="AB806" s="27">
        <f t="shared" si="1224"/>
        <v>20316.636101538479</v>
      </c>
      <c r="AC806" s="29">
        <f t="shared" si="1225"/>
        <v>19.14454771002335</v>
      </c>
      <c r="AD806" s="30" t="str">
        <f t="shared" si="1226"/>
        <v>PASS</v>
      </c>
      <c r="AE806" s="4"/>
    </row>
    <row r="807" spans="5:31" x14ac:dyDescent="0.25">
      <c r="E807" s="46"/>
      <c r="F807" s="46"/>
      <c r="G807" s="50" t="str">
        <f t="shared" si="1209"/>
        <v>37(SUS)</v>
      </c>
      <c r="H807" s="27">
        <f t="shared" ref="H807:J807" si="1241">IF($G807="","",Q23+Q179+Q335+Q491+Q647)</f>
        <v>-4103</v>
      </c>
      <c r="I807" s="27">
        <f t="shared" si="1241"/>
        <v>720</v>
      </c>
      <c r="J807" s="27">
        <f t="shared" si="1241"/>
        <v>-1993</v>
      </c>
      <c r="K807" s="27">
        <f t="shared" ref="K807:M807" si="1242">IF($G807="","",AQ23+AQ179+AQ335+AQ491+AQ647)</f>
        <v>-9372</v>
      </c>
      <c r="L807" s="27">
        <f t="shared" si="1242"/>
        <v>-2153.88</v>
      </c>
      <c r="M807" s="27">
        <f t="shared" si="1242"/>
        <v>22218.85</v>
      </c>
      <c r="N807" s="27">
        <f t="shared" si="1212"/>
        <v>4617.9062355140995</v>
      </c>
      <c r="O807" s="33">
        <f t="shared" si="1213"/>
        <v>24210.553037402926</v>
      </c>
      <c r="P807" s="31"/>
      <c r="Q807" s="32">
        <f t="shared" si="1214"/>
        <v>-922.38722400000006</v>
      </c>
      <c r="R807" s="27">
        <f t="shared" si="1215"/>
        <v>161.86176</v>
      </c>
      <c r="S807" s="27">
        <f t="shared" si="1216"/>
        <v>-448.04234400000001</v>
      </c>
      <c r="T807" s="27">
        <f t="shared" si="1217"/>
        <v>-6912.4310640000003</v>
      </c>
      <c r="U807" s="27">
        <f t="shared" si="1218"/>
        <v>-1588.6200405600002</v>
      </c>
      <c r="V807" s="27">
        <f t="shared" si="1219"/>
        <v>16387.779443700001</v>
      </c>
      <c r="W807" s="29">
        <f t="shared" si="1220"/>
        <v>30.88470196082282</v>
      </c>
      <c r="X807" s="30" t="str">
        <f t="shared" si="1221"/>
        <v>PASS</v>
      </c>
      <c r="Y807" s="46"/>
      <c r="Z807" s="32">
        <f t="shared" si="1222"/>
        <v>1038.1422649934536</v>
      </c>
      <c r="AA807" s="27">
        <f t="shared" si="1223"/>
        <v>17856.783919372978</v>
      </c>
      <c r="AB807" s="27">
        <f t="shared" si="1224"/>
        <v>19933.068449359886</v>
      </c>
      <c r="AC807" s="29">
        <f t="shared" si="1225"/>
        <v>18.783108484530764</v>
      </c>
      <c r="AD807" s="30" t="str">
        <f t="shared" si="1226"/>
        <v>PASS</v>
      </c>
      <c r="AE807" s="4"/>
    </row>
    <row r="808" spans="5:31" x14ac:dyDescent="0.25">
      <c r="E808" s="46"/>
      <c r="F808" s="46"/>
      <c r="G808" s="50" t="str">
        <f t="shared" si="1209"/>
        <v>24(OPE)</v>
      </c>
      <c r="H808" s="27">
        <f t="shared" ref="H808:J808" si="1243">IF($G808="","",Q24+Q180+Q336+Q492+Q648)</f>
        <v>-13633</v>
      </c>
      <c r="I808" s="27">
        <f t="shared" si="1243"/>
        <v>-25777</v>
      </c>
      <c r="J808" s="27">
        <f t="shared" si="1243"/>
        <v>-30923</v>
      </c>
      <c r="K808" s="27">
        <f t="shared" ref="K808:M808" si="1244">IF($G808="","",AQ24+AQ180+AQ336+AQ492+AQ648)</f>
        <v>-14237</v>
      </c>
      <c r="L808" s="27">
        <f t="shared" si="1244"/>
        <v>-43907.92</v>
      </c>
      <c r="M808" s="27">
        <f t="shared" si="1244"/>
        <v>62602.090000000004</v>
      </c>
      <c r="N808" s="27">
        <f t="shared" si="1212"/>
        <v>42503.462764814823</v>
      </c>
      <c r="O808" s="33">
        <f t="shared" si="1213"/>
        <v>77779.298531771943</v>
      </c>
      <c r="P808" s="31"/>
      <c r="Q808" s="32">
        <f t="shared" si="1214"/>
        <v>-3064.807464</v>
      </c>
      <c r="R808" s="27">
        <f t="shared" si="1215"/>
        <v>-5794.8758159999998</v>
      </c>
      <c r="S808" s="27">
        <f t="shared" si="1216"/>
        <v>-6951.7377839999999</v>
      </c>
      <c r="T808" s="27">
        <f t="shared" si="1217"/>
        <v>-10500.670194</v>
      </c>
      <c r="U808" s="27">
        <f t="shared" si="1218"/>
        <v>-32384.813291040002</v>
      </c>
      <c r="V808" s="27">
        <f t="shared" si="1219"/>
        <v>46172.922704580007</v>
      </c>
      <c r="W808" s="29">
        <f t="shared" si="1220"/>
        <v>87.018315159182706</v>
      </c>
      <c r="X808" s="30" t="str">
        <f t="shared" si="1221"/>
        <v>PASS</v>
      </c>
      <c r="Y808" s="46"/>
      <c r="Z808" s="32">
        <f t="shared" si="1222"/>
        <v>9555.118457232491</v>
      </c>
      <c r="AA808" s="27">
        <f t="shared" si="1223"/>
        <v>57367.054983690781</v>
      </c>
      <c r="AB808" s="27">
        <f t="shared" si="1224"/>
        <v>76477.29189815576</v>
      </c>
      <c r="AC808" s="29">
        <f t="shared" si="1225"/>
        <v>72.065235413984411</v>
      </c>
      <c r="AD808" s="30" t="str">
        <f t="shared" si="1226"/>
        <v>PASS</v>
      </c>
      <c r="AE808" s="4"/>
    </row>
    <row r="809" spans="5:31" x14ac:dyDescent="0.25">
      <c r="E809" s="46"/>
      <c r="F809" s="46"/>
      <c r="G809" s="50" t="str">
        <f t="shared" si="1209"/>
        <v>25(OPE)</v>
      </c>
      <c r="H809" s="27">
        <f t="shared" ref="H809:J809" si="1245">IF($G809="","",Q25+Q181+Q337+Q493+Q649)</f>
        <v>-16472</v>
      </c>
      <c r="I809" s="27">
        <f t="shared" si="1245"/>
        <v>-24894</v>
      </c>
      <c r="J809" s="27">
        <f t="shared" si="1245"/>
        <v>-21464</v>
      </c>
      <c r="K809" s="27">
        <f t="shared" ref="K809:M809" si="1246">IF($G809="","",AQ25+AQ181+AQ337+AQ493+AQ649)</f>
        <v>-6144.5</v>
      </c>
      <c r="L809" s="27">
        <f t="shared" si="1246"/>
        <v>-35262.740000000005</v>
      </c>
      <c r="M809" s="27">
        <f t="shared" si="1246"/>
        <v>55258.32</v>
      </c>
      <c r="N809" s="27">
        <f t="shared" si="1212"/>
        <v>36766.034814758037</v>
      </c>
      <c r="O809" s="33">
        <f t="shared" si="1213"/>
        <v>65838.420711466038</v>
      </c>
      <c r="P809" s="31"/>
      <c r="Q809" s="32">
        <f t="shared" si="1214"/>
        <v>-3703.0373760000002</v>
      </c>
      <c r="R809" s="27">
        <f t="shared" si="1215"/>
        <v>-5596.3703519999999</v>
      </c>
      <c r="S809" s="27">
        <f t="shared" si="1216"/>
        <v>-4825.2789119999998</v>
      </c>
      <c r="T809" s="27">
        <f t="shared" si="1217"/>
        <v>-4531.9497090000004</v>
      </c>
      <c r="U809" s="27">
        <f t="shared" si="1218"/>
        <v>-26008.457039880006</v>
      </c>
      <c r="V809" s="27">
        <f t="shared" si="1219"/>
        <v>40756.437015840005</v>
      </c>
      <c r="W809" s="29">
        <f t="shared" si="1220"/>
        <v>76.810309446968432</v>
      </c>
      <c r="X809" s="30" t="str">
        <f t="shared" si="1221"/>
        <v>PASS</v>
      </c>
      <c r="Y809" s="46"/>
      <c r="Z809" s="32">
        <f t="shared" si="1222"/>
        <v>8265.2987546361255</v>
      </c>
      <c r="AA809" s="27">
        <f t="shared" si="1223"/>
        <v>48559.917256790322</v>
      </c>
      <c r="AB809" s="27">
        <f t="shared" si="1224"/>
        <v>65090.514766062573</v>
      </c>
      <c r="AC809" s="29">
        <f t="shared" si="1225"/>
        <v>61.335373591423483</v>
      </c>
      <c r="AD809" s="30" t="str">
        <f t="shared" si="1226"/>
        <v>PASS</v>
      </c>
      <c r="AE809" s="4"/>
    </row>
    <row r="810" spans="5:31" x14ac:dyDescent="0.25">
      <c r="E810" s="46"/>
      <c r="F810" s="46"/>
      <c r="G810" s="50" t="str">
        <f t="shared" si="1209"/>
        <v>26(OPE)</v>
      </c>
      <c r="H810" s="27">
        <f t="shared" ref="H810:J810" si="1247">IF($G810="","",Q26+Q182+Q338+Q494+Q650)</f>
        <v>-13633</v>
      </c>
      <c r="I810" s="27">
        <f t="shared" si="1247"/>
        <v>-25777</v>
      </c>
      <c r="J810" s="27">
        <f t="shared" si="1247"/>
        <v>-30923</v>
      </c>
      <c r="K810" s="27">
        <f t="shared" ref="K810:M810" si="1248">IF($G810="","",AQ26+AQ182+AQ338+AQ494+AQ650)</f>
        <v>-14237</v>
      </c>
      <c r="L810" s="27">
        <f t="shared" si="1248"/>
        <v>-43907.92</v>
      </c>
      <c r="M810" s="27">
        <f t="shared" si="1248"/>
        <v>62602.090000000004</v>
      </c>
      <c r="N810" s="27">
        <f t="shared" si="1212"/>
        <v>42503.462764814823</v>
      </c>
      <c r="O810" s="33">
        <f t="shared" si="1213"/>
        <v>77779.298531771943</v>
      </c>
      <c r="P810" s="31"/>
      <c r="Q810" s="32">
        <f t="shared" si="1214"/>
        <v>-3064.807464</v>
      </c>
      <c r="R810" s="27">
        <f t="shared" si="1215"/>
        <v>-5794.8758159999998</v>
      </c>
      <c r="S810" s="27">
        <f t="shared" si="1216"/>
        <v>-6951.7377839999999</v>
      </c>
      <c r="T810" s="27">
        <f t="shared" si="1217"/>
        <v>-10500.670194</v>
      </c>
      <c r="U810" s="27">
        <f t="shared" si="1218"/>
        <v>-32384.813291040002</v>
      </c>
      <c r="V810" s="27">
        <f t="shared" si="1219"/>
        <v>46172.922704580007</v>
      </c>
      <c r="W810" s="29">
        <f t="shared" si="1220"/>
        <v>87.018315159182706</v>
      </c>
      <c r="X810" s="30" t="str">
        <f t="shared" si="1221"/>
        <v>PASS</v>
      </c>
      <c r="Y810" s="46"/>
      <c r="Z810" s="32">
        <f t="shared" si="1222"/>
        <v>9555.118457232491</v>
      </c>
      <c r="AA810" s="27">
        <f t="shared" si="1223"/>
        <v>57367.054983690781</v>
      </c>
      <c r="AB810" s="27">
        <f t="shared" si="1224"/>
        <v>76477.29189815576</v>
      </c>
      <c r="AC810" s="29">
        <f t="shared" si="1225"/>
        <v>72.065235413984411</v>
      </c>
      <c r="AD810" s="30" t="str">
        <f t="shared" si="1226"/>
        <v>PASS</v>
      </c>
      <c r="AE810" s="4"/>
    </row>
    <row r="811" spans="5:31" x14ac:dyDescent="0.25">
      <c r="E811" s="46"/>
      <c r="F811" s="46"/>
      <c r="G811" s="50" t="str">
        <f t="shared" si="1209"/>
        <v>27(OPE)</v>
      </c>
      <c r="H811" s="27">
        <f t="shared" ref="H811:J811" si="1249">IF($G811="","",Q27+Q183+Q339+Q495+Q651)</f>
        <v>-16472</v>
      </c>
      <c r="I811" s="27">
        <f t="shared" si="1249"/>
        <v>-24894</v>
      </c>
      <c r="J811" s="27">
        <f t="shared" si="1249"/>
        <v>-21464</v>
      </c>
      <c r="K811" s="27">
        <f t="shared" ref="K811:M811" si="1250">IF($G811="","",AQ27+AQ183+AQ339+AQ495+AQ651)</f>
        <v>-6144.5</v>
      </c>
      <c r="L811" s="27">
        <f t="shared" si="1250"/>
        <v>-35262.740000000005</v>
      </c>
      <c r="M811" s="27">
        <f t="shared" si="1250"/>
        <v>55258.32</v>
      </c>
      <c r="N811" s="27">
        <f t="shared" si="1212"/>
        <v>36766.034814758037</v>
      </c>
      <c r="O811" s="33">
        <f t="shared" si="1213"/>
        <v>65838.420711466038</v>
      </c>
      <c r="P811" s="31"/>
      <c r="Q811" s="32">
        <f t="shared" si="1214"/>
        <v>-3703.0373760000002</v>
      </c>
      <c r="R811" s="27">
        <f t="shared" si="1215"/>
        <v>-5596.3703519999999</v>
      </c>
      <c r="S811" s="27">
        <f t="shared" si="1216"/>
        <v>-4825.2789119999998</v>
      </c>
      <c r="T811" s="27">
        <f t="shared" si="1217"/>
        <v>-4531.9497090000004</v>
      </c>
      <c r="U811" s="27">
        <f t="shared" si="1218"/>
        <v>-26008.457039880006</v>
      </c>
      <c r="V811" s="27">
        <f t="shared" si="1219"/>
        <v>40756.437015840005</v>
      </c>
      <c r="W811" s="29">
        <f t="shared" si="1220"/>
        <v>76.810309446968432</v>
      </c>
      <c r="X811" s="30" t="str">
        <f t="shared" si="1221"/>
        <v>PASS</v>
      </c>
      <c r="Y811" s="46"/>
      <c r="Z811" s="32">
        <f t="shared" si="1222"/>
        <v>8265.2987546361255</v>
      </c>
      <c r="AA811" s="27">
        <f t="shared" si="1223"/>
        <v>48559.917256790322</v>
      </c>
      <c r="AB811" s="27">
        <f t="shared" si="1224"/>
        <v>65090.514766062573</v>
      </c>
      <c r="AC811" s="29">
        <f t="shared" si="1225"/>
        <v>61.335373591423483</v>
      </c>
      <c r="AD811" s="30" t="str">
        <f t="shared" si="1226"/>
        <v>PASS</v>
      </c>
      <c r="AE811" s="4"/>
    </row>
    <row r="812" spans="5:31" x14ac:dyDescent="0.25">
      <c r="E812" s="46"/>
      <c r="F812" s="46"/>
      <c r="G812" s="50" t="str">
        <f t="shared" si="1209"/>
        <v>28(OPE)</v>
      </c>
      <c r="H812" s="27">
        <f t="shared" ref="H812:J812" si="1251">IF($G812="","",Q28+Q184+Q340+Q496+Q652)</f>
        <v>-13289</v>
      </c>
      <c r="I812" s="27">
        <f t="shared" si="1251"/>
        <v>-25524</v>
      </c>
      <c r="J812" s="27">
        <f t="shared" si="1251"/>
        <v>-32991</v>
      </c>
      <c r="K812" s="27">
        <f t="shared" ref="K812:M812" si="1252">IF($G812="","",AQ28+AQ184+AQ340+AQ496+AQ652)</f>
        <v>-11966.5</v>
      </c>
      <c r="L812" s="27">
        <f t="shared" si="1252"/>
        <v>-46127.39</v>
      </c>
      <c r="M812" s="27">
        <f t="shared" si="1252"/>
        <v>50495.45</v>
      </c>
      <c r="N812" s="27">
        <f t="shared" si="1212"/>
        <v>43777.599043346359</v>
      </c>
      <c r="O812" s="33">
        <f t="shared" si="1213"/>
        <v>69431.431651411316</v>
      </c>
      <c r="P812" s="31"/>
      <c r="Q812" s="32">
        <f t="shared" si="1214"/>
        <v>-2987.473512</v>
      </c>
      <c r="R812" s="27">
        <f t="shared" si="1215"/>
        <v>-5737.9993920000006</v>
      </c>
      <c r="S812" s="27">
        <f t="shared" si="1216"/>
        <v>-7416.6407280000003</v>
      </c>
      <c r="T812" s="27">
        <f t="shared" si="1217"/>
        <v>-8826.0356730000003</v>
      </c>
      <c r="U812" s="27">
        <f t="shared" si="1218"/>
        <v>-34021.810023180005</v>
      </c>
      <c r="V812" s="27">
        <f t="shared" si="1219"/>
        <v>37243.525092900003</v>
      </c>
      <c r="W812" s="29">
        <f t="shared" si="1220"/>
        <v>70.189812867345992</v>
      </c>
      <c r="X812" s="30" t="str">
        <f t="shared" si="1221"/>
        <v>PASS</v>
      </c>
      <c r="Y812" s="46"/>
      <c r="Z812" s="32">
        <f t="shared" si="1222"/>
        <v>9841.5544857366094</v>
      </c>
      <c r="AA812" s="27">
        <f t="shared" si="1223"/>
        <v>51209.985591678233</v>
      </c>
      <c r="AB812" s="27">
        <f t="shared" si="1224"/>
        <v>70893.094563151448</v>
      </c>
      <c r="AC812" s="29">
        <f t="shared" si="1225"/>
        <v>66.803196375244141</v>
      </c>
      <c r="AD812" s="30" t="str">
        <f t="shared" si="1226"/>
        <v>PASS</v>
      </c>
      <c r="AE812" s="4"/>
    </row>
    <row r="813" spans="5:31" x14ac:dyDescent="0.25">
      <c r="E813" s="46"/>
      <c r="F813" s="46"/>
      <c r="G813" s="50" t="str">
        <f t="shared" si="1209"/>
        <v>29(OPE)</v>
      </c>
      <c r="H813" s="27">
        <f t="shared" ref="H813:J813" si="1253">IF($G813="","",Q29+Q185+Q341+Q497+Q653)</f>
        <v>-733</v>
      </c>
      <c r="I813" s="27">
        <f t="shared" si="1253"/>
        <v>-22367</v>
      </c>
      <c r="J813" s="27">
        <f t="shared" si="1253"/>
        <v>-6760</v>
      </c>
      <c r="K813" s="27">
        <f t="shared" ref="K813:M813" si="1254">IF($G813="","",AQ29+AQ185+AQ341+AQ497+AQ653)</f>
        <v>12298</v>
      </c>
      <c r="L813" s="27">
        <f t="shared" si="1254"/>
        <v>-18490.620000000003</v>
      </c>
      <c r="M813" s="27">
        <f t="shared" si="1254"/>
        <v>9906.69</v>
      </c>
      <c r="N813" s="27">
        <f t="shared" si="1212"/>
        <v>23377.715414471106</v>
      </c>
      <c r="O813" s="33">
        <f t="shared" si="1213"/>
        <v>24316.38005009175</v>
      </c>
      <c r="P813" s="31"/>
      <c r="Q813" s="32">
        <f t="shared" si="1214"/>
        <v>-164.78426400000001</v>
      </c>
      <c r="R813" s="27">
        <f t="shared" si="1215"/>
        <v>-5028.2805360000002</v>
      </c>
      <c r="S813" s="27">
        <f t="shared" si="1216"/>
        <v>-1519.70208</v>
      </c>
      <c r="T813" s="27">
        <f t="shared" si="1217"/>
        <v>9070.5374760000013</v>
      </c>
      <c r="U813" s="27">
        <f t="shared" si="1218"/>
        <v>-13637.978668440002</v>
      </c>
      <c r="V813" s="27">
        <f t="shared" si="1219"/>
        <v>7306.7980897800007</v>
      </c>
      <c r="W813" s="29">
        <f t="shared" si="1220"/>
        <v>25.702378285592175</v>
      </c>
      <c r="X813" s="30" t="str">
        <f t="shared" si="1221"/>
        <v>PASS</v>
      </c>
      <c r="Y813" s="46"/>
      <c r="Z813" s="32">
        <f t="shared" si="1222"/>
        <v>5255.497446896421</v>
      </c>
      <c r="AA813" s="27">
        <f t="shared" si="1223"/>
        <v>17934.837902505773</v>
      </c>
      <c r="AB813" s="27">
        <f t="shared" si="1224"/>
        <v>28445.832796298615</v>
      </c>
      <c r="AC813" s="29">
        <f t="shared" si="1225"/>
        <v>26.804762382826119</v>
      </c>
      <c r="AD813" s="30" t="str">
        <f t="shared" si="1226"/>
        <v>PASS</v>
      </c>
      <c r="AE813" s="4"/>
    </row>
    <row r="814" spans="5:31" x14ac:dyDescent="0.25">
      <c r="E814" s="46"/>
      <c r="F814" s="46"/>
      <c r="G814" s="50" t="str">
        <f t="shared" si="1209"/>
        <v>30(OPE)</v>
      </c>
      <c r="H814" s="27">
        <f t="shared" ref="H814:J814" si="1255">IF($G814="","",Q30+Q186+Q342+Q498+Q654)</f>
        <v>-8039</v>
      </c>
      <c r="I814" s="27">
        <f t="shared" si="1255"/>
        <v>-14302</v>
      </c>
      <c r="J814" s="27">
        <f t="shared" si="1255"/>
        <v>-18506</v>
      </c>
      <c r="K814" s="27">
        <f t="shared" ref="K814:M814" si="1256">IF($G814="","",AQ30+AQ186+AQ342+AQ498+AQ654)</f>
        <v>1189.5</v>
      </c>
      <c r="L814" s="27">
        <f t="shared" si="1256"/>
        <v>-29877.62</v>
      </c>
      <c r="M814" s="27">
        <f t="shared" si="1256"/>
        <v>17569.54</v>
      </c>
      <c r="N814" s="27">
        <f t="shared" si="1212"/>
        <v>24731.452868766122</v>
      </c>
      <c r="O814" s="33">
        <f t="shared" si="1213"/>
        <v>34681.058561208883</v>
      </c>
      <c r="P814" s="31"/>
      <c r="Q814" s="32">
        <f t="shared" si="1214"/>
        <v>-1807.2315120000001</v>
      </c>
      <c r="R814" s="27">
        <f t="shared" si="1215"/>
        <v>-3215.2040160000001</v>
      </c>
      <c r="S814" s="27">
        <f t="shared" si="1216"/>
        <v>-4160.296848</v>
      </c>
      <c r="T814" s="27">
        <f t="shared" si="1217"/>
        <v>877.32999900000004</v>
      </c>
      <c r="U814" s="27">
        <f t="shared" si="1218"/>
        <v>-22036.597162440001</v>
      </c>
      <c r="V814" s="27">
        <f t="shared" si="1219"/>
        <v>12958.625061480001</v>
      </c>
      <c r="W814" s="29">
        <f t="shared" si="1220"/>
        <v>41.530564768145922</v>
      </c>
      <c r="X814" s="30" t="str">
        <f t="shared" si="1221"/>
        <v>PASS</v>
      </c>
      <c r="Y814" s="46"/>
      <c r="Z814" s="32">
        <f t="shared" si="1222"/>
        <v>5559.8284565215745</v>
      </c>
      <c r="AA814" s="27">
        <f t="shared" si="1223"/>
        <v>25579.430914522349</v>
      </c>
      <c r="AB814" s="27">
        <f t="shared" si="1224"/>
        <v>36699.087827565498</v>
      </c>
      <c r="AC814" s="29">
        <f t="shared" si="1225"/>
        <v>34.581878334472968</v>
      </c>
      <c r="AD814" s="30" t="str">
        <f t="shared" si="1226"/>
        <v>PASS</v>
      </c>
      <c r="AE814" s="4"/>
    </row>
    <row r="815" spans="5:31" x14ac:dyDescent="0.25">
      <c r="E815" s="46"/>
      <c r="F815" s="46"/>
      <c r="G815" s="50" t="str">
        <f t="shared" si="1209"/>
        <v>31(OPE)</v>
      </c>
      <c r="H815" s="27">
        <f t="shared" ref="H815:J815" si="1257">IF($G815="","",Q31+Q187+Q343+Q499+Q655)</f>
        <v>-5222</v>
      </c>
      <c r="I815" s="27">
        <f t="shared" si="1257"/>
        <v>-33566</v>
      </c>
      <c r="J815" s="27">
        <f t="shared" si="1257"/>
        <v>-21240</v>
      </c>
      <c r="K815" s="27">
        <f t="shared" ref="K815:M815" si="1258">IF($G815="","",AQ31+AQ187+AQ343+AQ499+AQ655)</f>
        <v>-916.5</v>
      </c>
      <c r="L815" s="27">
        <f t="shared" si="1258"/>
        <v>-35038.94</v>
      </c>
      <c r="M815" s="27">
        <f t="shared" si="1258"/>
        <v>39733.160000000003</v>
      </c>
      <c r="N815" s="27">
        <f t="shared" si="1212"/>
        <v>40063.490112570071</v>
      </c>
      <c r="O815" s="33">
        <f t="shared" si="1213"/>
        <v>52983.877662541847</v>
      </c>
      <c r="P815" s="31"/>
      <c r="Q815" s="32">
        <f t="shared" si="1214"/>
        <v>-1173.9473760000001</v>
      </c>
      <c r="R815" s="27">
        <f t="shared" si="1215"/>
        <v>-7545.9053279999998</v>
      </c>
      <c r="S815" s="27">
        <f t="shared" si="1216"/>
        <v>-4774.9219199999998</v>
      </c>
      <c r="T815" s="27">
        <f t="shared" si="1217"/>
        <v>-675.97557300000005</v>
      </c>
      <c r="U815" s="27">
        <f t="shared" si="1218"/>
        <v>-25843.390664280003</v>
      </c>
      <c r="V815" s="27">
        <f t="shared" si="1219"/>
        <v>29305.668955920006</v>
      </c>
      <c r="W815" s="29">
        <f t="shared" si="1220"/>
        <v>55.229987355857155</v>
      </c>
      <c r="X815" s="30" t="str">
        <f t="shared" si="1221"/>
        <v>PASS</v>
      </c>
      <c r="Y815" s="46"/>
      <c r="Z815" s="32">
        <f t="shared" si="1222"/>
        <v>9006.5930852266538</v>
      </c>
      <c r="AA815" s="27">
        <f t="shared" si="1223"/>
        <v>39078.894776539688</v>
      </c>
      <c r="AB815" s="27">
        <f t="shared" si="1224"/>
        <v>57092.080946992995</v>
      </c>
      <c r="AC815" s="29">
        <f t="shared" si="1225"/>
        <v>53.798377944636947</v>
      </c>
      <c r="AD815" s="30" t="str">
        <f t="shared" si="1226"/>
        <v>PASS</v>
      </c>
      <c r="AE815" s="4"/>
    </row>
    <row r="816" spans="5:31" x14ac:dyDescent="0.25">
      <c r="E816" s="46"/>
      <c r="F816" s="46"/>
      <c r="G816" s="50" t="str">
        <f t="shared" si="1209"/>
        <v>32(OPE)</v>
      </c>
      <c r="H816" s="27">
        <f t="shared" ref="H816:J816" si="1259">IF($G816="","",Q32+Q188+Q344+Q500+Q656)</f>
        <v>-4210</v>
      </c>
      <c r="I816" s="27">
        <f t="shared" si="1259"/>
        <v>-23582</v>
      </c>
      <c r="J816" s="27">
        <f t="shared" si="1259"/>
        <v>-18564</v>
      </c>
      <c r="K816" s="27">
        <f t="shared" ref="K816:M816" si="1260">IF($G816="","",AQ32+AQ188+AQ344+AQ500+AQ656)</f>
        <v>2629</v>
      </c>
      <c r="L816" s="27">
        <f t="shared" si="1260"/>
        <v>-31851.979999999996</v>
      </c>
      <c r="M816" s="27">
        <f t="shared" si="1260"/>
        <v>42548</v>
      </c>
      <c r="N816" s="27">
        <f t="shared" si="1212"/>
        <v>30306.054180641862</v>
      </c>
      <c r="O816" s="33">
        <f t="shared" si="1213"/>
        <v>53214.589868948533</v>
      </c>
      <c r="P816" s="31"/>
      <c r="Q816" s="32">
        <f t="shared" si="1214"/>
        <v>-946.44168000000002</v>
      </c>
      <c r="R816" s="27">
        <f t="shared" si="1215"/>
        <v>-5301.4222559999998</v>
      </c>
      <c r="S816" s="27">
        <f t="shared" si="1216"/>
        <v>-4173.3357120000001</v>
      </c>
      <c r="T816" s="27">
        <f t="shared" si="1217"/>
        <v>1939.0504980000001</v>
      </c>
      <c r="U816" s="27">
        <f t="shared" si="1218"/>
        <v>-23492.810072759999</v>
      </c>
      <c r="V816" s="27">
        <f t="shared" si="1219"/>
        <v>31381.787976000003</v>
      </c>
      <c r="W816" s="29">
        <f t="shared" si="1220"/>
        <v>59.142678357749809</v>
      </c>
      <c r="X816" s="30" t="str">
        <f t="shared" si="1221"/>
        <v>PASS</v>
      </c>
      <c r="Y816" s="46"/>
      <c r="Z816" s="32">
        <f t="shared" si="1222"/>
        <v>6813.0434282417355</v>
      </c>
      <c r="AA816" s="27">
        <f t="shared" si="1223"/>
        <v>39249.059332921417</v>
      </c>
      <c r="AB816" s="27">
        <f t="shared" si="1224"/>
        <v>52875.146189404884</v>
      </c>
      <c r="AC816" s="29">
        <f t="shared" si="1225"/>
        <v>49.824722647902661</v>
      </c>
      <c r="AD816" s="30" t="str">
        <f t="shared" si="1226"/>
        <v>PASS</v>
      </c>
      <c r="AE816" s="4"/>
    </row>
    <row r="817" spans="5:31" x14ac:dyDescent="0.25">
      <c r="E817" s="46"/>
      <c r="F817" s="46"/>
      <c r="G817" s="50" t="str">
        <f t="shared" si="1209"/>
        <v>33(OPE)</v>
      </c>
      <c r="H817" s="27">
        <f t="shared" ref="H817:J817" si="1261">IF($G817="","",Q33+Q189+Q345+Q501+Q657)</f>
        <v>-18270</v>
      </c>
      <c r="I817" s="27">
        <f t="shared" si="1261"/>
        <v>-24639</v>
      </c>
      <c r="J817" s="27">
        <f t="shared" si="1261"/>
        <v>-20906</v>
      </c>
      <c r="K817" s="27">
        <f t="shared" ref="K817:M817" si="1262">IF($G817="","",AQ33+AQ189+AQ345+AQ501+AQ657)</f>
        <v>-647.5</v>
      </c>
      <c r="L817" s="27">
        <f t="shared" si="1262"/>
        <v>-28618.17</v>
      </c>
      <c r="M817" s="27">
        <f t="shared" si="1262"/>
        <v>53762.679999999993</v>
      </c>
      <c r="N817" s="27">
        <f t="shared" si="1212"/>
        <v>37120.534169109153</v>
      </c>
      <c r="O817" s="33">
        <f t="shared" si="1213"/>
        <v>60908.494244902322</v>
      </c>
      <c r="P817" s="31"/>
      <c r="Q817" s="32">
        <f t="shared" si="1214"/>
        <v>-4107.2421599999998</v>
      </c>
      <c r="R817" s="27">
        <f t="shared" si="1215"/>
        <v>-5539.044312</v>
      </c>
      <c r="S817" s="27">
        <f t="shared" si="1216"/>
        <v>-4699.8360480000001</v>
      </c>
      <c r="T817" s="27">
        <f t="shared" si="1217"/>
        <v>-477.57139500000005</v>
      </c>
      <c r="U817" s="27">
        <f t="shared" si="1218"/>
        <v>-21107.67470154</v>
      </c>
      <c r="V817" s="27">
        <f t="shared" si="1219"/>
        <v>39653.309786159996</v>
      </c>
      <c r="W817" s="29">
        <f t="shared" si="1220"/>
        <v>74.731336158941147</v>
      </c>
      <c r="X817" s="30" t="str">
        <f t="shared" si="1221"/>
        <v>PASS</v>
      </c>
      <c r="Y817" s="46"/>
      <c r="Z817" s="32">
        <f t="shared" si="1222"/>
        <v>8344.9930454890909</v>
      </c>
      <c r="AA817" s="27">
        <f t="shared" si="1223"/>
        <v>44923.790832258652</v>
      </c>
      <c r="AB817" s="27">
        <f t="shared" si="1224"/>
        <v>61613.77692323683</v>
      </c>
      <c r="AC817" s="29">
        <f t="shared" si="1225"/>
        <v>58.059212460487998</v>
      </c>
      <c r="AD817" s="30" t="str">
        <f t="shared" si="1226"/>
        <v>PASS</v>
      </c>
      <c r="AE817" s="4"/>
    </row>
    <row r="818" spans="5:31" hidden="1" x14ac:dyDescent="0.25">
      <c r="E818" s="46"/>
      <c r="F818" s="46"/>
      <c r="G818" s="50" t="str">
        <f t="shared" si="1209"/>
        <v/>
      </c>
      <c r="H818" s="27" t="str">
        <f t="shared" ref="H818:J818" si="1263">IF($G818="","",Q34+Q190+Q346+Q502+Q658)</f>
        <v/>
      </c>
      <c r="I818" s="27" t="str">
        <f t="shared" si="1263"/>
        <v/>
      </c>
      <c r="J818" s="27" t="str">
        <f t="shared" si="1263"/>
        <v/>
      </c>
      <c r="K818" s="27" t="str">
        <f t="shared" ref="K818:M818" si="1264">IF($G818="","",AQ34+AQ190+AQ346+AQ502+AQ658)</f>
        <v/>
      </c>
      <c r="L818" s="27" t="str">
        <f t="shared" si="1264"/>
        <v/>
      </c>
      <c r="M818" s="27" t="str">
        <f t="shared" si="1264"/>
        <v/>
      </c>
      <c r="N818" s="27" t="str">
        <f t="shared" si="1212"/>
        <v/>
      </c>
      <c r="O818" s="33" t="str">
        <f t="shared" si="1213"/>
        <v/>
      </c>
      <c r="P818" s="31"/>
      <c r="Q818" s="32" t="str">
        <f t="shared" si="1214"/>
        <v/>
      </c>
      <c r="R818" s="27" t="str">
        <f t="shared" si="1215"/>
        <v/>
      </c>
      <c r="S818" s="27" t="str">
        <f t="shared" si="1216"/>
        <v/>
      </c>
      <c r="T818" s="27" t="str">
        <f t="shared" si="1217"/>
        <v/>
      </c>
      <c r="U818" s="27" t="str">
        <f t="shared" si="1218"/>
        <v/>
      </c>
      <c r="V818" s="27" t="str">
        <f t="shared" si="1219"/>
        <v/>
      </c>
      <c r="W818" s="29" t="str">
        <f t="shared" si="1220"/>
        <v/>
      </c>
      <c r="X818" s="30" t="str">
        <f t="shared" si="1221"/>
        <v/>
      </c>
      <c r="Y818" s="46"/>
      <c r="Z818" s="32" t="str">
        <f t="shared" si="1222"/>
        <v/>
      </c>
      <c r="AA818" s="27" t="str">
        <f t="shared" si="1223"/>
        <v/>
      </c>
      <c r="AB818" s="27" t="str">
        <f t="shared" si="1224"/>
        <v/>
      </c>
      <c r="AC818" s="29" t="str">
        <f t="shared" si="1225"/>
        <v/>
      </c>
      <c r="AD818" s="30" t="str">
        <f t="shared" si="1226"/>
        <v/>
      </c>
      <c r="AE818" s="4"/>
    </row>
    <row r="819" spans="5:31" hidden="1" x14ac:dyDescent="0.25">
      <c r="E819" s="46"/>
      <c r="F819" s="46"/>
      <c r="G819" s="50" t="str">
        <f t="shared" si="1209"/>
        <v/>
      </c>
      <c r="H819" s="27" t="str">
        <f t="shared" ref="H819:J819" si="1265">IF($G819="","",Q35+Q191+Q347+Q503+Q659)</f>
        <v/>
      </c>
      <c r="I819" s="27" t="str">
        <f t="shared" si="1265"/>
        <v/>
      </c>
      <c r="J819" s="27" t="str">
        <f t="shared" si="1265"/>
        <v/>
      </c>
      <c r="K819" s="27" t="str">
        <f t="shared" ref="K819:M819" si="1266">IF($G819="","",AQ35+AQ191+AQ347+AQ503+AQ659)</f>
        <v/>
      </c>
      <c r="L819" s="27" t="str">
        <f t="shared" si="1266"/>
        <v/>
      </c>
      <c r="M819" s="27" t="str">
        <f t="shared" si="1266"/>
        <v/>
      </c>
      <c r="N819" s="27" t="str">
        <f t="shared" si="1212"/>
        <v/>
      </c>
      <c r="O819" s="33" t="str">
        <f t="shared" si="1213"/>
        <v/>
      </c>
      <c r="P819" s="31"/>
      <c r="Q819" s="32" t="str">
        <f t="shared" si="1214"/>
        <v/>
      </c>
      <c r="R819" s="27" t="str">
        <f t="shared" si="1215"/>
        <v/>
      </c>
      <c r="S819" s="27" t="str">
        <f t="shared" si="1216"/>
        <v/>
      </c>
      <c r="T819" s="27" t="str">
        <f t="shared" si="1217"/>
        <v/>
      </c>
      <c r="U819" s="27" t="str">
        <f t="shared" si="1218"/>
        <v/>
      </c>
      <c r="V819" s="27" t="str">
        <f t="shared" si="1219"/>
        <v/>
      </c>
      <c r="W819" s="29" t="str">
        <f t="shared" si="1220"/>
        <v/>
      </c>
      <c r="X819" s="30" t="str">
        <f t="shared" si="1221"/>
        <v/>
      </c>
      <c r="Y819" s="46"/>
      <c r="Z819" s="32" t="str">
        <f t="shared" si="1222"/>
        <v/>
      </c>
      <c r="AA819" s="27" t="str">
        <f t="shared" si="1223"/>
        <v/>
      </c>
      <c r="AB819" s="27" t="str">
        <f t="shared" si="1224"/>
        <v/>
      </c>
      <c r="AC819" s="29" t="str">
        <f t="shared" si="1225"/>
        <v/>
      </c>
      <c r="AD819" s="30" t="str">
        <f t="shared" si="1226"/>
        <v/>
      </c>
      <c r="AE819" s="4"/>
    </row>
    <row r="820" spans="5:31" hidden="1" x14ac:dyDescent="0.25">
      <c r="E820" s="46"/>
      <c r="F820" s="46"/>
      <c r="G820" s="50" t="str">
        <f t="shared" si="1209"/>
        <v/>
      </c>
      <c r="H820" s="27" t="str">
        <f t="shared" ref="H820:J820" si="1267">IF($G820="","",Q36+Q192+Q348+Q504+Q660)</f>
        <v/>
      </c>
      <c r="I820" s="27" t="str">
        <f t="shared" si="1267"/>
        <v/>
      </c>
      <c r="J820" s="27" t="str">
        <f t="shared" si="1267"/>
        <v/>
      </c>
      <c r="K820" s="27" t="str">
        <f t="shared" ref="K820:M820" si="1268">IF($G820="","",AQ36+AQ192+AQ348+AQ504+AQ660)</f>
        <v/>
      </c>
      <c r="L820" s="27" t="str">
        <f t="shared" si="1268"/>
        <v/>
      </c>
      <c r="M820" s="27" t="str">
        <f t="shared" si="1268"/>
        <v/>
      </c>
      <c r="N820" s="27" t="str">
        <f t="shared" si="1212"/>
        <v/>
      </c>
      <c r="O820" s="33" t="str">
        <f t="shared" si="1213"/>
        <v/>
      </c>
      <c r="P820" s="31"/>
      <c r="Q820" s="32" t="str">
        <f t="shared" si="1214"/>
        <v/>
      </c>
      <c r="R820" s="27" t="str">
        <f t="shared" si="1215"/>
        <v/>
      </c>
      <c r="S820" s="27" t="str">
        <f t="shared" si="1216"/>
        <v/>
      </c>
      <c r="T820" s="27" t="str">
        <f t="shared" si="1217"/>
        <v/>
      </c>
      <c r="U820" s="27" t="str">
        <f t="shared" si="1218"/>
        <v/>
      </c>
      <c r="V820" s="27" t="str">
        <f t="shared" si="1219"/>
        <v/>
      </c>
      <c r="W820" s="29" t="str">
        <f t="shared" si="1220"/>
        <v/>
      </c>
      <c r="X820" s="30" t="str">
        <f t="shared" si="1221"/>
        <v/>
      </c>
      <c r="Y820" s="46"/>
      <c r="Z820" s="32" t="str">
        <f t="shared" si="1222"/>
        <v/>
      </c>
      <c r="AA820" s="27" t="str">
        <f t="shared" si="1223"/>
        <v/>
      </c>
      <c r="AB820" s="27" t="str">
        <f t="shared" si="1224"/>
        <v/>
      </c>
      <c r="AC820" s="29" t="str">
        <f t="shared" si="1225"/>
        <v/>
      </c>
      <c r="AD820" s="30" t="str">
        <f t="shared" si="1226"/>
        <v/>
      </c>
      <c r="AE820" s="4"/>
    </row>
    <row r="821" spans="5:31" hidden="1" x14ac:dyDescent="0.25">
      <c r="E821" s="46"/>
      <c r="F821" s="46"/>
      <c r="G821" s="50" t="str">
        <f t="shared" si="1209"/>
        <v/>
      </c>
      <c r="H821" s="27" t="str">
        <f t="shared" ref="H821:J821" si="1269">IF($G821="","",Q37+Q193+Q349+Q505+Q661)</f>
        <v/>
      </c>
      <c r="I821" s="27" t="str">
        <f t="shared" si="1269"/>
        <v/>
      </c>
      <c r="J821" s="27" t="str">
        <f t="shared" si="1269"/>
        <v/>
      </c>
      <c r="K821" s="27" t="str">
        <f t="shared" ref="K821:M821" si="1270">IF($G821="","",AQ37+AQ193+AQ349+AQ505+AQ661)</f>
        <v/>
      </c>
      <c r="L821" s="27" t="str">
        <f t="shared" si="1270"/>
        <v/>
      </c>
      <c r="M821" s="27" t="str">
        <f t="shared" si="1270"/>
        <v/>
      </c>
      <c r="N821" s="27" t="str">
        <f t="shared" si="1212"/>
        <v/>
      </c>
      <c r="O821" s="33" t="str">
        <f t="shared" si="1213"/>
        <v/>
      </c>
      <c r="P821" s="31"/>
      <c r="Q821" s="32" t="str">
        <f t="shared" si="1214"/>
        <v/>
      </c>
      <c r="R821" s="27" t="str">
        <f t="shared" si="1215"/>
        <v/>
      </c>
      <c r="S821" s="27" t="str">
        <f t="shared" si="1216"/>
        <v/>
      </c>
      <c r="T821" s="27" t="str">
        <f t="shared" si="1217"/>
        <v/>
      </c>
      <c r="U821" s="27" t="str">
        <f t="shared" si="1218"/>
        <v/>
      </c>
      <c r="V821" s="27" t="str">
        <f t="shared" si="1219"/>
        <v/>
      </c>
      <c r="W821" s="29" t="str">
        <f t="shared" si="1220"/>
        <v/>
      </c>
      <c r="X821" s="30" t="str">
        <f t="shared" si="1221"/>
        <v/>
      </c>
      <c r="Y821" s="46"/>
      <c r="Z821" s="32" t="str">
        <f t="shared" si="1222"/>
        <v/>
      </c>
      <c r="AA821" s="27" t="str">
        <f t="shared" si="1223"/>
        <v/>
      </c>
      <c r="AB821" s="27" t="str">
        <f t="shared" si="1224"/>
        <v/>
      </c>
      <c r="AC821" s="29" t="str">
        <f t="shared" si="1225"/>
        <v/>
      </c>
      <c r="AD821" s="30" t="str">
        <f t="shared" si="1226"/>
        <v/>
      </c>
      <c r="AE821" s="4"/>
    </row>
    <row r="822" spans="5:31" hidden="1" x14ac:dyDescent="0.25">
      <c r="E822" s="46"/>
      <c r="F822" s="46"/>
      <c r="G822" s="50" t="str">
        <f t="shared" si="1209"/>
        <v/>
      </c>
      <c r="H822" s="27" t="str">
        <f t="shared" ref="H822:J822" si="1271">IF($G822="","",Q38+Q194+Q350+Q506+Q662)</f>
        <v/>
      </c>
      <c r="I822" s="27" t="str">
        <f t="shared" si="1271"/>
        <v/>
      </c>
      <c r="J822" s="27" t="str">
        <f t="shared" si="1271"/>
        <v/>
      </c>
      <c r="K822" s="27" t="str">
        <f t="shared" ref="K822:M822" si="1272">IF($G822="","",AQ38+AQ194+AQ350+AQ506+AQ662)</f>
        <v/>
      </c>
      <c r="L822" s="27" t="str">
        <f t="shared" si="1272"/>
        <v/>
      </c>
      <c r="M822" s="27" t="str">
        <f t="shared" si="1272"/>
        <v/>
      </c>
      <c r="N822" s="27" t="str">
        <f t="shared" si="1212"/>
        <v/>
      </c>
      <c r="O822" s="33" t="str">
        <f t="shared" si="1213"/>
        <v/>
      </c>
      <c r="P822" s="31"/>
      <c r="Q822" s="32" t="str">
        <f t="shared" si="1214"/>
        <v/>
      </c>
      <c r="R822" s="27" t="str">
        <f t="shared" si="1215"/>
        <v/>
      </c>
      <c r="S822" s="27" t="str">
        <f t="shared" si="1216"/>
        <v/>
      </c>
      <c r="T822" s="27" t="str">
        <f t="shared" si="1217"/>
        <v/>
      </c>
      <c r="U822" s="27" t="str">
        <f t="shared" si="1218"/>
        <v/>
      </c>
      <c r="V822" s="27" t="str">
        <f t="shared" si="1219"/>
        <v/>
      </c>
      <c r="W822" s="29" t="str">
        <f t="shared" si="1220"/>
        <v/>
      </c>
      <c r="X822" s="30" t="str">
        <f t="shared" si="1221"/>
        <v/>
      </c>
      <c r="Y822" s="46"/>
      <c r="Z822" s="32" t="str">
        <f t="shared" si="1222"/>
        <v/>
      </c>
      <c r="AA822" s="27" t="str">
        <f t="shared" si="1223"/>
        <v/>
      </c>
      <c r="AB822" s="27" t="str">
        <f t="shared" si="1224"/>
        <v/>
      </c>
      <c r="AC822" s="29" t="str">
        <f t="shared" si="1225"/>
        <v/>
      </c>
      <c r="AD822" s="30" t="str">
        <f t="shared" si="1226"/>
        <v/>
      </c>
      <c r="AE822" s="4"/>
    </row>
    <row r="823" spans="5:31" hidden="1" x14ac:dyDescent="0.25">
      <c r="E823" s="46"/>
      <c r="F823" s="46"/>
      <c r="G823" s="50" t="str">
        <f t="shared" si="1209"/>
        <v/>
      </c>
      <c r="H823" s="27" t="str">
        <f t="shared" ref="H823:J823" si="1273">IF($G823="","",Q39+Q195+Q351+Q507+Q663)</f>
        <v/>
      </c>
      <c r="I823" s="27" t="str">
        <f t="shared" si="1273"/>
        <v/>
      </c>
      <c r="J823" s="27" t="str">
        <f t="shared" si="1273"/>
        <v/>
      </c>
      <c r="K823" s="27" t="str">
        <f t="shared" ref="K823:M823" si="1274">IF($G823="","",AQ39+AQ195+AQ351+AQ507+AQ663)</f>
        <v/>
      </c>
      <c r="L823" s="27" t="str">
        <f t="shared" si="1274"/>
        <v/>
      </c>
      <c r="M823" s="27" t="str">
        <f t="shared" si="1274"/>
        <v/>
      </c>
      <c r="N823" s="27" t="str">
        <f t="shared" si="1212"/>
        <v/>
      </c>
      <c r="O823" s="33" t="str">
        <f t="shared" si="1213"/>
        <v/>
      </c>
      <c r="P823" s="31"/>
      <c r="Q823" s="32" t="str">
        <f t="shared" si="1214"/>
        <v/>
      </c>
      <c r="R823" s="27" t="str">
        <f t="shared" si="1215"/>
        <v/>
      </c>
      <c r="S823" s="27" t="str">
        <f t="shared" si="1216"/>
        <v/>
      </c>
      <c r="T823" s="27" t="str">
        <f t="shared" si="1217"/>
        <v/>
      </c>
      <c r="U823" s="27" t="str">
        <f t="shared" si="1218"/>
        <v/>
      </c>
      <c r="V823" s="27" t="str">
        <f t="shared" si="1219"/>
        <v/>
      </c>
      <c r="W823" s="29" t="str">
        <f t="shared" si="1220"/>
        <v/>
      </c>
      <c r="X823" s="30" t="str">
        <f t="shared" si="1221"/>
        <v/>
      </c>
      <c r="Y823" s="46"/>
      <c r="Z823" s="32" t="str">
        <f t="shared" si="1222"/>
        <v/>
      </c>
      <c r="AA823" s="27" t="str">
        <f t="shared" si="1223"/>
        <v/>
      </c>
      <c r="AB823" s="27" t="str">
        <f t="shared" si="1224"/>
        <v/>
      </c>
      <c r="AC823" s="29" t="str">
        <f t="shared" si="1225"/>
        <v/>
      </c>
      <c r="AD823" s="30" t="str">
        <f t="shared" si="1226"/>
        <v/>
      </c>
      <c r="AE823" s="4"/>
    </row>
    <row r="824" spans="5:31" hidden="1" x14ac:dyDescent="0.25">
      <c r="E824" s="46"/>
      <c r="F824" s="46"/>
      <c r="G824" s="50" t="str">
        <f t="shared" si="1209"/>
        <v/>
      </c>
      <c r="H824" s="27" t="str">
        <f t="shared" ref="H824:J824" si="1275">IF($G824="","",Q40+Q196+Q352+Q508+Q664)</f>
        <v/>
      </c>
      <c r="I824" s="27" t="str">
        <f t="shared" si="1275"/>
        <v/>
      </c>
      <c r="J824" s="27" t="str">
        <f t="shared" si="1275"/>
        <v/>
      </c>
      <c r="K824" s="27" t="str">
        <f t="shared" ref="K824:M824" si="1276">IF($G824="","",AQ40+AQ196+AQ352+AQ508+AQ664)</f>
        <v/>
      </c>
      <c r="L824" s="27" t="str">
        <f t="shared" si="1276"/>
        <v/>
      </c>
      <c r="M824" s="27" t="str">
        <f t="shared" si="1276"/>
        <v/>
      </c>
      <c r="N824" s="27" t="str">
        <f t="shared" si="1212"/>
        <v/>
      </c>
      <c r="O824" s="33" t="str">
        <f t="shared" si="1213"/>
        <v/>
      </c>
      <c r="P824" s="31"/>
      <c r="Q824" s="32" t="str">
        <f t="shared" si="1214"/>
        <v/>
      </c>
      <c r="R824" s="27" t="str">
        <f t="shared" si="1215"/>
        <v/>
      </c>
      <c r="S824" s="27" t="str">
        <f t="shared" si="1216"/>
        <v/>
      </c>
      <c r="T824" s="27" t="str">
        <f t="shared" si="1217"/>
        <v/>
      </c>
      <c r="U824" s="27" t="str">
        <f t="shared" si="1218"/>
        <v/>
      </c>
      <c r="V824" s="27" t="str">
        <f t="shared" si="1219"/>
        <v/>
      </c>
      <c r="W824" s="29" t="str">
        <f t="shared" si="1220"/>
        <v/>
      </c>
      <c r="X824" s="30" t="str">
        <f t="shared" si="1221"/>
        <v/>
      </c>
      <c r="Y824" s="46"/>
      <c r="Z824" s="32" t="str">
        <f t="shared" si="1222"/>
        <v/>
      </c>
      <c r="AA824" s="27" t="str">
        <f t="shared" si="1223"/>
        <v/>
      </c>
      <c r="AB824" s="27" t="str">
        <f t="shared" si="1224"/>
        <v/>
      </c>
      <c r="AC824" s="29" t="str">
        <f t="shared" si="1225"/>
        <v/>
      </c>
      <c r="AD824" s="30" t="str">
        <f t="shared" si="1226"/>
        <v/>
      </c>
      <c r="AE824" s="4"/>
    </row>
    <row r="825" spans="5:31" hidden="1" x14ac:dyDescent="0.25">
      <c r="E825" s="46"/>
      <c r="F825" s="46"/>
      <c r="G825" s="50" t="str">
        <f t="shared" si="1209"/>
        <v/>
      </c>
      <c r="H825" s="27" t="str">
        <f t="shared" ref="H825:J825" si="1277">IF($G825="","",Q41+Q197+Q353+Q509+Q665)</f>
        <v/>
      </c>
      <c r="I825" s="27" t="str">
        <f t="shared" si="1277"/>
        <v/>
      </c>
      <c r="J825" s="27" t="str">
        <f t="shared" si="1277"/>
        <v/>
      </c>
      <c r="K825" s="27" t="str">
        <f t="shared" ref="K825:M825" si="1278">IF($G825="","",AQ41+AQ197+AQ353+AQ509+AQ665)</f>
        <v/>
      </c>
      <c r="L825" s="27" t="str">
        <f t="shared" si="1278"/>
        <v/>
      </c>
      <c r="M825" s="27" t="str">
        <f t="shared" si="1278"/>
        <v/>
      </c>
      <c r="N825" s="27" t="str">
        <f t="shared" si="1212"/>
        <v/>
      </c>
      <c r="O825" s="33" t="str">
        <f t="shared" si="1213"/>
        <v/>
      </c>
      <c r="P825" s="31"/>
      <c r="Q825" s="32" t="str">
        <f t="shared" si="1214"/>
        <v/>
      </c>
      <c r="R825" s="27" t="str">
        <f t="shared" si="1215"/>
        <v/>
      </c>
      <c r="S825" s="27" t="str">
        <f t="shared" si="1216"/>
        <v/>
      </c>
      <c r="T825" s="27" t="str">
        <f t="shared" si="1217"/>
        <v/>
      </c>
      <c r="U825" s="27" t="str">
        <f t="shared" si="1218"/>
        <v/>
      </c>
      <c r="V825" s="27" t="str">
        <f t="shared" si="1219"/>
        <v/>
      </c>
      <c r="W825" s="29" t="str">
        <f t="shared" si="1220"/>
        <v/>
      </c>
      <c r="X825" s="30" t="str">
        <f t="shared" si="1221"/>
        <v/>
      </c>
      <c r="Y825" s="46"/>
      <c r="Z825" s="32" t="str">
        <f t="shared" si="1222"/>
        <v/>
      </c>
      <c r="AA825" s="27" t="str">
        <f t="shared" si="1223"/>
        <v/>
      </c>
      <c r="AB825" s="27" t="str">
        <f t="shared" si="1224"/>
        <v/>
      </c>
      <c r="AC825" s="29" t="str">
        <f t="shared" si="1225"/>
        <v/>
      </c>
      <c r="AD825" s="30" t="str">
        <f t="shared" si="1226"/>
        <v/>
      </c>
      <c r="AE825" s="4"/>
    </row>
    <row r="826" spans="5:31" hidden="1" x14ac:dyDescent="0.25">
      <c r="E826" s="46"/>
      <c r="F826" s="46"/>
      <c r="G826" s="50" t="str">
        <f t="shared" si="1209"/>
        <v/>
      </c>
      <c r="H826" s="27" t="str">
        <f t="shared" ref="H826:J826" si="1279">IF($G826="","",Q42+Q198+Q354+Q510+Q666)</f>
        <v/>
      </c>
      <c r="I826" s="27" t="str">
        <f t="shared" si="1279"/>
        <v/>
      </c>
      <c r="J826" s="27" t="str">
        <f t="shared" si="1279"/>
        <v/>
      </c>
      <c r="K826" s="27" t="str">
        <f t="shared" ref="K826:M826" si="1280">IF($G826="","",AQ42+AQ198+AQ354+AQ510+AQ666)</f>
        <v/>
      </c>
      <c r="L826" s="27" t="str">
        <f t="shared" si="1280"/>
        <v/>
      </c>
      <c r="M826" s="27" t="str">
        <f t="shared" si="1280"/>
        <v/>
      </c>
      <c r="N826" s="27" t="str">
        <f t="shared" si="1212"/>
        <v/>
      </c>
      <c r="O826" s="33" t="str">
        <f t="shared" si="1213"/>
        <v/>
      </c>
      <c r="P826" s="31"/>
      <c r="Q826" s="32" t="str">
        <f t="shared" si="1214"/>
        <v/>
      </c>
      <c r="R826" s="27" t="str">
        <f t="shared" si="1215"/>
        <v/>
      </c>
      <c r="S826" s="27" t="str">
        <f t="shared" si="1216"/>
        <v/>
      </c>
      <c r="T826" s="27" t="str">
        <f t="shared" si="1217"/>
        <v/>
      </c>
      <c r="U826" s="27" t="str">
        <f t="shared" si="1218"/>
        <v/>
      </c>
      <c r="V826" s="27" t="str">
        <f t="shared" si="1219"/>
        <v/>
      </c>
      <c r="W826" s="29" t="str">
        <f t="shared" si="1220"/>
        <v/>
      </c>
      <c r="X826" s="30" t="str">
        <f t="shared" si="1221"/>
        <v/>
      </c>
      <c r="Y826" s="46"/>
      <c r="Z826" s="32" t="str">
        <f t="shared" si="1222"/>
        <v/>
      </c>
      <c r="AA826" s="27" t="str">
        <f t="shared" si="1223"/>
        <v/>
      </c>
      <c r="AB826" s="27" t="str">
        <f t="shared" si="1224"/>
        <v/>
      </c>
      <c r="AC826" s="29" t="str">
        <f t="shared" si="1225"/>
        <v/>
      </c>
      <c r="AD826" s="30" t="str">
        <f t="shared" si="1226"/>
        <v/>
      </c>
      <c r="AE826" s="4"/>
    </row>
    <row r="827" spans="5:31" hidden="1" x14ac:dyDescent="0.25">
      <c r="E827" s="46"/>
      <c r="F827" s="46"/>
      <c r="G827" s="50" t="str">
        <f t="shared" si="1209"/>
        <v/>
      </c>
      <c r="H827" s="27" t="str">
        <f t="shared" ref="H827:J827" si="1281">IF($G827="","",Q43+Q199+Q355+Q511+Q667)</f>
        <v/>
      </c>
      <c r="I827" s="27" t="str">
        <f t="shared" si="1281"/>
        <v/>
      </c>
      <c r="J827" s="27" t="str">
        <f t="shared" si="1281"/>
        <v/>
      </c>
      <c r="K827" s="27" t="str">
        <f t="shared" ref="K827:M827" si="1282">IF($G827="","",AQ43+AQ199+AQ355+AQ511+AQ667)</f>
        <v/>
      </c>
      <c r="L827" s="27" t="str">
        <f t="shared" si="1282"/>
        <v/>
      </c>
      <c r="M827" s="27" t="str">
        <f t="shared" si="1282"/>
        <v/>
      </c>
      <c r="N827" s="27" t="str">
        <f t="shared" si="1212"/>
        <v/>
      </c>
      <c r="O827" s="33" t="str">
        <f t="shared" si="1213"/>
        <v/>
      </c>
      <c r="P827" s="31"/>
      <c r="Q827" s="32" t="str">
        <f t="shared" si="1214"/>
        <v/>
      </c>
      <c r="R827" s="27" t="str">
        <f t="shared" si="1215"/>
        <v/>
      </c>
      <c r="S827" s="27" t="str">
        <f t="shared" si="1216"/>
        <v/>
      </c>
      <c r="T827" s="27" t="str">
        <f t="shared" si="1217"/>
        <v/>
      </c>
      <c r="U827" s="27" t="str">
        <f t="shared" si="1218"/>
        <v/>
      </c>
      <c r="V827" s="27" t="str">
        <f t="shared" si="1219"/>
        <v/>
      </c>
      <c r="W827" s="29" t="str">
        <f t="shared" si="1220"/>
        <v/>
      </c>
      <c r="X827" s="30" t="str">
        <f t="shared" si="1221"/>
        <v/>
      </c>
      <c r="Y827" s="46"/>
      <c r="Z827" s="32" t="str">
        <f t="shared" si="1222"/>
        <v/>
      </c>
      <c r="AA827" s="27" t="str">
        <f t="shared" si="1223"/>
        <v/>
      </c>
      <c r="AB827" s="27" t="str">
        <f t="shared" si="1224"/>
        <v/>
      </c>
      <c r="AC827" s="29" t="str">
        <f t="shared" si="1225"/>
        <v/>
      </c>
      <c r="AD827" s="30" t="str">
        <f t="shared" si="1226"/>
        <v/>
      </c>
      <c r="AE827" s="4"/>
    </row>
    <row r="828" spans="5:31" hidden="1" x14ac:dyDescent="0.25">
      <c r="E828" s="46"/>
      <c r="F828" s="46"/>
      <c r="G828" s="50" t="str">
        <f t="shared" si="1209"/>
        <v/>
      </c>
      <c r="H828" s="27" t="str">
        <f t="shared" ref="H828:J828" si="1283">IF($G828="","",Q44+Q200+Q356+Q512+Q668)</f>
        <v/>
      </c>
      <c r="I828" s="27" t="str">
        <f t="shared" si="1283"/>
        <v/>
      </c>
      <c r="J828" s="27" t="str">
        <f t="shared" si="1283"/>
        <v/>
      </c>
      <c r="K828" s="27" t="str">
        <f t="shared" ref="K828:M828" si="1284">IF($G828="","",AQ44+AQ200+AQ356+AQ512+AQ668)</f>
        <v/>
      </c>
      <c r="L828" s="27" t="str">
        <f t="shared" si="1284"/>
        <v/>
      </c>
      <c r="M828" s="27" t="str">
        <f t="shared" si="1284"/>
        <v/>
      </c>
      <c r="N828" s="27" t="str">
        <f t="shared" si="1212"/>
        <v/>
      </c>
      <c r="O828" s="33" t="str">
        <f t="shared" si="1213"/>
        <v/>
      </c>
      <c r="P828" s="31"/>
      <c r="Q828" s="32" t="str">
        <f t="shared" si="1214"/>
        <v/>
      </c>
      <c r="R828" s="27" t="str">
        <f t="shared" si="1215"/>
        <v/>
      </c>
      <c r="S828" s="27" t="str">
        <f t="shared" si="1216"/>
        <v/>
      </c>
      <c r="T828" s="27" t="str">
        <f t="shared" si="1217"/>
        <v/>
      </c>
      <c r="U828" s="27" t="str">
        <f t="shared" si="1218"/>
        <v/>
      </c>
      <c r="V828" s="27" t="str">
        <f t="shared" si="1219"/>
        <v/>
      </c>
      <c r="W828" s="29" t="str">
        <f t="shared" si="1220"/>
        <v/>
      </c>
      <c r="X828" s="30" t="str">
        <f t="shared" si="1221"/>
        <v/>
      </c>
      <c r="Y828" s="46"/>
      <c r="Z828" s="32" t="str">
        <f t="shared" si="1222"/>
        <v/>
      </c>
      <c r="AA828" s="27" t="str">
        <f t="shared" si="1223"/>
        <v/>
      </c>
      <c r="AB828" s="27" t="str">
        <f t="shared" si="1224"/>
        <v/>
      </c>
      <c r="AC828" s="29" t="str">
        <f t="shared" si="1225"/>
        <v/>
      </c>
      <c r="AD828" s="30" t="str">
        <f t="shared" si="1226"/>
        <v/>
      </c>
      <c r="AE828" s="4"/>
    </row>
    <row r="829" spans="5:31" hidden="1" x14ac:dyDescent="0.25">
      <c r="E829" s="46"/>
      <c r="F829" s="46"/>
      <c r="G829" s="50" t="str">
        <f t="shared" si="1209"/>
        <v/>
      </c>
      <c r="H829" s="27" t="str">
        <f t="shared" ref="H829:J829" si="1285">IF($G829="","",Q45+Q201+Q357+Q513+Q669)</f>
        <v/>
      </c>
      <c r="I829" s="27" t="str">
        <f t="shared" si="1285"/>
        <v/>
      </c>
      <c r="J829" s="27" t="str">
        <f t="shared" si="1285"/>
        <v/>
      </c>
      <c r="K829" s="27" t="str">
        <f t="shared" ref="K829:M829" si="1286">IF($G829="","",AQ45+AQ201+AQ357+AQ513+AQ669)</f>
        <v/>
      </c>
      <c r="L829" s="27" t="str">
        <f t="shared" si="1286"/>
        <v/>
      </c>
      <c r="M829" s="27" t="str">
        <f t="shared" si="1286"/>
        <v/>
      </c>
      <c r="N829" s="27" t="str">
        <f t="shared" si="1212"/>
        <v/>
      </c>
      <c r="O829" s="33" t="str">
        <f t="shared" si="1213"/>
        <v/>
      </c>
      <c r="P829" s="31"/>
      <c r="Q829" s="32" t="str">
        <f t="shared" si="1214"/>
        <v/>
      </c>
      <c r="R829" s="27" t="str">
        <f t="shared" si="1215"/>
        <v/>
      </c>
      <c r="S829" s="27" t="str">
        <f t="shared" si="1216"/>
        <v/>
      </c>
      <c r="T829" s="27" t="str">
        <f t="shared" si="1217"/>
        <v/>
      </c>
      <c r="U829" s="27" t="str">
        <f t="shared" si="1218"/>
        <v/>
      </c>
      <c r="V829" s="27" t="str">
        <f t="shared" si="1219"/>
        <v/>
      </c>
      <c r="W829" s="29" t="str">
        <f t="shared" si="1220"/>
        <v/>
      </c>
      <c r="X829" s="30" t="str">
        <f t="shared" si="1221"/>
        <v/>
      </c>
      <c r="Y829" s="46"/>
      <c r="Z829" s="32" t="str">
        <f t="shared" si="1222"/>
        <v/>
      </c>
      <c r="AA829" s="27" t="str">
        <f t="shared" si="1223"/>
        <v/>
      </c>
      <c r="AB829" s="27" t="str">
        <f t="shared" si="1224"/>
        <v/>
      </c>
      <c r="AC829" s="29" t="str">
        <f t="shared" si="1225"/>
        <v/>
      </c>
      <c r="AD829" s="30" t="str">
        <f t="shared" si="1226"/>
        <v/>
      </c>
      <c r="AE829" s="4"/>
    </row>
    <row r="830" spans="5:31" hidden="1" x14ac:dyDescent="0.25">
      <c r="E830" s="46"/>
      <c r="F830" s="46"/>
      <c r="G830" s="50" t="str">
        <f t="shared" si="1209"/>
        <v/>
      </c>
      <c r="H830" s="27" t="str">
        <f t="shared" ref="H830:J830" si="1287">IF($G830="","",Q46+Q202+Q358+Q514+Q670)</f>
        <v/>
      </c>
      <c r="I830" s="27" t="str">
        <f t="shared" si="1287"/>
        <v/>
      </c>
      <c r="J830" s="27" t="str">
        <f t="shared" si="1287"/>
        <v/>
      </c>
      <c r="K830" s="27" t="str">
        <f t="shared" ref="K830:M830" si="1288">IF($G830="","",AQ46+AQ202+AQ358+AQ514+AQ670)</f>
        <v/>
      </c>
      <c r="L830" s="27" t="str">
        <f t="shared" si="1288"/>
        <v/>
      </c>
      <c r="M830" s="27" t="str">
        <f t="shared" si="1288"/>
        <v/>
      </c>
      <c r="N830" s="27" t="str">
        <f t="shared" si="1212"/>
        <v/>
      </c>
      <c r="O830" s="33" t="str">
        <f t="shared" si="1213"/>
        <v/>
      </c>
      <c r="P830" s="31"/>
      <c r="Q830" s="32" t="str">
        <f t="shared" si="1214"/>
        <v/>
      </c>
      <c r="R830" s="27" t="str">
        <f t="shared" si="1215"/>
        <v/>
      </c>
      <c r="S830" s="27" t="str">
        <f t="shared" si="1216"/>
        <v/>
      </c>
      <c r="T830" s="27" t="str">
        <f t="shared" si="1217"/>
        <v/>
      </c>
      <c r="U830" s="27" t="str">
        <f t="shared" si="1218"/>
        <v/>
      </c>
      <c r="V830" s="27" t="str">
        <f t="shared" si="1219"/>
        <v/>
      </c>
      <c r="W830" s="29" t="str">
        <f t="shared" si="1220"/>
        <v/>
      </c>
      <c r="X830" s="30" t="str">
        <f t="shared" si="1221"/>
        <v/>
      </c>
      <c r="Y830" s="46"/>
      <c r="Z830" s="32" t="str">
        <f t="shared" si="1222"/>
        <v/>
      </c>
      <c r="AA830" s="27" t="str">
        <f t="shared" si="1223"/>
        <v/>
      </c>
      <c r="AB830" s="27" t="str">
        <f t="shared" si="1224"/>
        <v/>
      </c>
      <c r="AC830" s="29" t="str">
        <f t="shared" si="1225"/>
        <v/>
      </c>
      <c r="AD830" s="30" t="str">
        <f t="shared" si="1226"/>
        <v/>
      </c>
      <c r="AE830" s="4"/>
    </row>
    <row r="831" spans="5:31" hidden="1" x14ac:dyDescent="0.25">
      <c r="E831" s="46"/>
      <c r="F831" s="46"/>
      <c r="G831" s="50" t="str">
        <f t="shared" si="1209"/>
        <v/>
      </c>
      <c r="H831" s="27" t="str">
        <f t="shared" ref="H831:J831" si="1289">IF($G831="","",Q47+Q203+Q359+Q515+Q671)</f>
        <v/>
      </c>
      <c r="I831" s="27" t="str">
        <f t="shared" si="1289"/>
        <v/>
      </c>
      <c r="J831" s="27" t="str">
        <f t="shared" si="1289"/>
        <v/>
      </c>
      <c r="K831" s="27" t="str">
        <f t="shared" ref="K831:M831" si="1290">IF($G831="","",AQ47+AQ203+AQ359+AQ515+AQ671)</f>
        <v/>
      </c>
      <c r="L831" s="27" t="str">
        <f t="shared" si="1290"/>
        <v/>
      </c>
      <c r="M831" s="27" t="str">
        <f t="shared" si="1290"/>
        <v/>
      </c>
      <c r="N831" s="27" t="str">
        <f t="shared" si="1212"/>
        <v/>
      </c>
      <c r="O831" s="33" t="str">
        <f t="shared" si="1213"/>
        <v/>
      </c>
      <c r="P831" s="31"/>
      <c r="Q831" s="32" t="str">
        <f t="shared" si="1214"/>
        <v/>
      </c>
      <c r="R831" s="27" t="str">
        <f t="shared" si="1215"/>
        <v/>
      </c>
      <c r="S831" s="27" t="str">
        <f t="shared" si="1216"/>
        <v/>
      </c>
      <c r="T831" s="27" t="str">
        <f t="shared" si="1217"/>
        <v/>
      </c>
      <c r="U831" s="27" t="str">
        <f t="shared" si="1218"/>
        <v/>
      </c>
      <c r="V831" s="27" t="str">
        <f t="shared" si="1219"/>
        <v/>
      </c>
      <c r="W831" s="29" t="str">
        <f t="shared" si="1220"/>
        <v/>
      </c>
      <c r="X831" s="30" t="str">
        <f t="shared" si="1221"/>
        <v/>
      </c>
      <c r="Y831" s="46"/>
      <c r="Z831" s="32" t="str">
        <f t="shared" si="1222"/>
        <v/>
      </c>
      <c r="AA831" s="27" t="str">
        <f t="shared" si="1223"/>
        <v/>
      </c>
      <c r="AB831" s="27" t="str">
        <f t="shared" si="1224"/>
        <v/>
      </c>
      <c r="AC831" s="29" t="str">
        <f t="shared" si="1225"/>
        <v/>
      </c>
      <c r="AD831" s="30" t="str">
        <f t="shared" si="1226"/>
        <v/>
      </c>
      <c r="AE831" s="4"/>
    </row>
    <row r="832" spans="5:31" hidden="1" x14ac:dyDescent="0.25">
      <c r="E832" s="46"/>
      <c r="F832" s="46"/>
      <c r="G832" s="50" t="str">
        <f t="shared" si="1209"/>
        <v/>
      </c>
      <c r="H832" s="27" t="str">
        <f t="shared" ref="H832:J832" si="1291">IF($G832="","",Q48+Q204+Q360+Q516+Q672)</f>
        <v/>
      </c>
      <c r="I832" s="27" t="str">
        <f t="shared" si="1291"/>
        <v/>
      </c>
      <c r="J832" s="27" t="str">
        <f t="shared" si="1291"/>
        <v/>
      </c>
      <c r="K832" s="27" t="str">
        <f t="shared" ref="K832:M832" si="1292">IF($G832="","",AQ48+AQ204+AQ360+AQ516+AQ672)</f>
        <v/>
      </c>
      <c r="L832" s="27" t="str">
        <f t="shared" si="1292"/>
        <v/>
      </c>
      <c r="M832" s="27" t="str">
        <f t="shared" si="1292"/>
        <v/>
      </c>
      <c r="N832" s="27" t="str">
        <f t="shared" si="1212"/>
        <v/>
      </c>
      <c r="O832" s="33" t="str">
        <f t="shared" si="1213"/>
        <v/>
      </c>
      <c r="P832" s="31"/>
      <c r="Q832" s="32" t="str">
        <f t="shared" si="1214"/>
        <v/>
      </c>
      <c r="R832" s="27" t="str">
        <f t="shared" si="1215"/>
        <v/>
      </c>
      <c r="S832" s="27" t="str">
        <f t="shared" si="1216"/>
        <v/>
      </c>
      <c r="T832" s="27" t="str">
        <f t="shared" si="1217"/>
        <v/>
      </c>
      <c r="U832" s="27" t="str">
        <f t="shared" si="1218"/>
        <v/>
      </c>
      <c r="V832" s="27" t="str">
        <f t="shared" si="1219"/>
        <v/>
      </c>
      <c r="W832" s="29" t="str">
        <f t="shared" si="1220"/>
        <v/>
      </c>
      <c r="X832" s="30" t="str">
        <f t="shared" si="1221"/>
        <v/>
      </c>
      <c r="Y832" s="46"/>
      <c r="Z832" s="32" t="str">
        <f t="shared" si="1222"/>
        <v/>
      </c>
      <c r="AA832" s="27" t="str">
        <f t="shared" si="1223"/>
        <v/>
      </c>
      <c r="AB832" s="27" t="str">
        <f t="shared" si="1224"/>
        <v/>
      </c>
      <c r="AC832" s="29" t="str">
        <f t="shared" si="1225"/>
        <v/>
      </c>
      <c r="AD832" s="30" t="str">
        <f t="shared" si="1226"/>
        <v/>
      </c>
      <c r="AE832" s="4"/>
    </row>
    <row r="833" spans="5:31" hidden="1" x14ac:dyDescent="0.25">
      <c r="E833" s="46"/>
      <c r="F833" s="46"/>
      <c r="G833" s="50" t="str">
        <f t="shared" si="1209"/>
        <v/>
      </c>
      <c r="H833" s="27" t="str">
        <f t="shared" ref="H833:J833" si="1293">IF($G833="","",Q49+Q205+Q361+Q517+Q673)</f>
        <v/>
      </c>
      <c r="I833" s="27" t="str">
        <f t="shared" si="1293"/>
        <v/>
      </c>
      <c r="J833" s="27" t="str">
        <f t="shared" si="1293"/>
        <v/>
      </c>
      <c r="K833" s="27" t="str">
        <f t="shared" ref="K833:M833" si="1294">IF($G833="","",AQ49+AQ205+AQ361+AQ517+AQ673)</f>
        <v/>
      </c>
      <c r="L833" s="27" t="str">
        <f t="shared" si="1294"/>
        <v/>
      </c>
      <c r="M833" s="27" t="str">
        <f t="shared" si="1294"/>
        <v/>
      </c>
      <c r="N833" s="27" t="str">
        <f t="shared" si="1212"/>
        <v/>
      </c>
      <c r="O833" s="33" t="str">
        <f t="shared" si="1213"/>
        <v/>
      </c>
      <c r="P833" s="31"/>
      <c r="Q833" s="32" t="str">
        <f t="shared" si="1214"/>
        <v/>
      </c>
      <c r="R833" s="27" t="str">
        <f t="shared" si="1215"/>
        <v/>
      </c>
      <c r="S833" s="27" t="str">
        <f t="shared" si="1216"/>
        <v/>
      </c>
      <c r="T833" s="27" t="str">
        <f t="shared" si="1217"/>
        <v/>
      </c>
      <c r="U833" s="27" t="str">
        <f t="shared" si="1218"/>
        <v/>
      </c>
      <c r="V833" s="27" t="str">
        <f t="shared" si="1219"/>
        <v/>
      </c>
      <c r="W833" s="29" t="str">
        <f t="shared" si="1220"/>
        <v/>
      </c>
      <c r="X833" s="30" t="str">
        <f t="shared" si="1221"/>
        <v/>
      </c>
      <c r="Y833" s="46"/>
      <c r="Z833" s="32" t="str">
        <f t="shared" si="1222"/>
        <v/>
      </c>
      <c r="AA833" s="27" t="str">
        <f t="shared" si="1223"/>
        <v/>
      </c>
      <c r="AB833" s="27" t="str">
        <f t="shared" si="1224"/>
        <v/>
      </c>
      <c r="AC833" s="29" t="str">
        <f t="shared" si="1225"/>
        <v/>
      </c>
      <c r="AD833" s="30" t="str">
        <f t="shared" si="1226"/>
        <v/>
      </c>
      <c r="AE833" s="4"/>
    </row>
    <row r="834" spans="5:31" hidden="1" x14ac:dyDescent="0.25">
      <c r="E834" s="46"/>
      <c r="F834" s="46"/>
      <c r="G834" s="50" t="str">
        <f t="shared" si="1209"/>
        <v/>
      </c>
      <c r="H834" s="27" t="str">
        <f t="shared" ref="H834:J834" si="1295">IF($G834="","",Q50+Q206+Q362+Q518+Q674)</f>
        <v/>
      </c>
      <c r="I834" s="27" t="str">
        <f t="shared" si="1295"/>
        <v/>
      </c>
      <c r="J834" s="27" t="str">
        <f t="shared" si="1295"/>
        <v/>
      </c>
      <c r="K834" s="27" t="str">
        <f t="shared" ref="K834:M834" si="1296">IF($G834="","",AQ50+AQ206+AQ362+AQ518+AQ674)</f>
        <v/>
      </c>
      <c r="L834" s="27" t="str">
        <f t="shared" si="1296"/>
        <v/>
      </c>
      <c r="M834" s="27" t="str">
        <f t="shared" si="1296"/>
        <v/>
      </c>
      <c r="N834" s="27" t="str">
        <f t="shared" si="1212"/>
        <v/>
      </c>
      <c r="O834" s="33" t="str">
        <f t="shared" si="1213"/>
        <v/>
      </c>
      <c r="P834" s="31"/>
      <c r="Q834" s="32" t="str">
        <f t="shared" si="1214"/>
        <v/>
      </c>
      <c r="R834" s="27" t="str">
        <f t="shared" si="1215"/>
        <v/>
      </c>
      <c r="S834" s="27" t="str">
        <f t="shared" si="1216"/>
        <v/>
      </c>
      <c r="T834" s="27" t="str">
        <f t="shared" si="1217"/>
        <v/>
      </c>
      <c r="U834" s="27" t="str">
        <f t="shared" si="1218"/>
        <v/>
      </c>
      <c r="V834" s="27" t="str">
        <f t="shared" si="1219"/>
        <v/>
      </c>
      <c r="W834" s="29" t="str">
        <f t="shared" si="1220"/>
        <v/>
      </c>
      <c r="X834" s="30" t="str">
        <f t="shared" si="1221"/>
        <v/>
      </c>
      <c r="Y834" s="46"/>
      <c r="Z834" s="32" t="str">
        <f t="shared" si="1222"/>
        <v/>
      </c>
      <c r="AA834" s="27" t="str">
        <f t="shared" si="1223"/>
        <v/>
      </c>
      <c r="AB834" s="27" t="str">
        <f t="shared" si="1224"/>
        <v/>
      </c>
      <c r="AC834" s="29" t="str">
        <f t="shared" si="1225"/>
        <v/>
      </c>
      <c r="AD834" s="30" t="str">
        <f t="shared" si="1226"/>
        <v/>
      </c>
      <c r="AE834" s="4"/>
    </row>
    <row r="835" spans="5:31" hidden="1" x14ac:dyDescent="0.25">
      <c r="E835" s="46"/>
      <c r="F835" s="46"/>
      <c r="G835" s="50" t="str">
        <f t="shared" si="1209"/>
        <v/>
      </c>
      <c r="H835" s="27" t="str">
        <f t="shared" ref="H835:J835" si="1297">IF($G835="","",Q51+Q207+Q363+Q519+Q675)</f>
        <v/>
      </c>
      <c r="I835" s="27" t="str">
        <f t="shared" si="1297"/>
        <v/>
      </c>
      <c r="J835" s="27" t="str">
        <f t="shared" si="1297"/>
        <v/>
      </c>
      <c r="K835" s="27" t="str">
        <f t="shared" ref="K835:M835" si="1298">IF($G835="","",AQ51+AQ207+AQ363+AQ519+AQ675)</f>
        <v/>
      </c>
      <c r="L835" s="27" t="str">
        <f t="shared" si="1298"/>
        <v/>
      </c>
      <c r="M835" s="27" t="str">
        <f t="shared" si="1298"/>
        <v/>
      </c>
      <c r="N835" s="27" t="str">
        <f t="shared" si="1212"/>
        <v/>
      </c>
      <c r="O835" s="33" t="str">
        <f t="shared" si="1213"/>
        <v/>
      </c>
      <c r="P835" s="31"/>
      <c r="Q835" s="32" t="str">
        <f t="shared" si="1214"/>
        <v/>
      </c>
      <c r="R835" s="27" t="str">
        <f t="shared" si="1215"/>
        <v/>
      </c>
      <c r="S835" s="27" t="str">
        <f t="shared" si="1216"/>
        <v/>
      </c>
      <c r="T835" s="27" t="str">
        <f t="shared" si="1217"/>
        <v/>
      </c>
      <c r="U835" s="27" t="str">
        <f t="shared" si="1218"/>
        <v/>
      </c>
      <c r="V835" s="27" t="str">
        <f t="shared" si="1219"/>
        <v/>
      </c>
      <c r="W835" s="29" t="str">
        <f t="shared" si="1220"/>
        <v/>
      </c>
      <c r="X835" s="30" t="str">
        <f t="shared" si="1221"/>
        <v/>
      </c>
      <c r="Y835" s="46"/>
      <c r="Z835" s="32" t="str">
        <f t="shared" si="1222"/>
        <v/>
      </c>
      <c r="AA835" s="27" t="str">
        <f t="shared" si="1223"/>
        <v/>
      </c>
      <c r="AB835" s="27" t="str">
        <f t="shared" si="1224"/>
        <v/>
      </c>
      <c r="AC835" s="29" t="str">
        <f t="shared" si="1225"/>
        <v/>
      </c>
      <c r="AD835" s="30" t="str">
        <f t="shared" si="1226"/>
        <v/>
      </c>
      <c r="AE835" s="4"/>
    </row>
    <row r="836" spans="5:31" hidden="1" x14ac:dyDescent="0.25">
      <c r="E836" s="46"/>
      <c r="F836" s="46"/>
      <c r="G836" s="50" t="str">
        <f t="shared" si="1209"/>
        <v/>
      </c>
      <c r="H836" s="27" t="str">
        <f t="shared" ref="H836:J836" si="1299">IF($G836="","",Q52+Q208+Q364+Q520+Q676)</f>
        <v/>
      </c>
      <c r="I836" s="27" t="str">
        <f t="shared" si="1299"/>
        <v/>
      </c>
      <c r="J836" s="27" t="str">
        <f t="shared" si="1299"/>
        <v/>
      </c>
      <c r="K836" s="27" t="str">
        <f t="shared" ref="K836:M836" si="1300">IF($G836="","",AQ52+AQ208+AQ364+AQ520+AQ676)</f>
        <v/>
      </c>
      <c r="L836" s="27" t="str">
        <f t="shared" si="1300"/>
        <v/>
      </c>
      <c r="M836" s="27" t="str">
        <f t="shared" si="1300"/>
        <v/>
      </c>
      <c r="N836" s="27" t="str">
        <f t="shared" si="1212"/>
        <v/>
      </c>
      <c r="O836" s="33" t="str">
        <f t="shared" si="1213"/>
        <v/>
      </c>
      <c r="P836" s="31"/>
      <c r="Q836" s="32" t="str">
        <f t="shared" si="1214"/>
        <v/>
      </c>
      <c r="R836" s="27" t="str">
        <f t="shared" si="1215"/>
        <v/>
      </c>
      <c r="S836" s="27" t="str">
        <f t="shared" si="1216"/>
        <v/>
      </c>
      <c r="T836" s="27" t="str">
        <f t="shared" si="1217"/>
        <v/>
      </c>
      <c r="U836" s="27" t="str">
        <f t="shared" si="1218"/>
        <v/>
      </c>
      <c r="V836" s="27" t="str">
        <f t="shared" si="1219"/>
        <v/>
      </c>
      <c r="W836" s="29" t="str">
        <f t="shared" si="1220"/>
        <v/>
      </c>
      <c r="X836" s="30" t="str">
        <f t="shared" si="1221"/>
        <v/>
      </c>
      <c r="Y836" s="46"/>
      <c r="Z836" s="32" t="str">
        <f t="shared" si="1222"/>
        <v/>
      </c>
      <c r="AA836" s="27" t="str">
        <f t="shared" si="1223"/>
        <v/>
      </c>
      <c r="AB836" s="27" t="str">
        <f t="shared" si="1224"/>
        <v/>
      </c>
      <c r="AC836" s="29" t="str">
        <f t="shared" si="1225"/>
        <v/>
      </c>
      <c r="AD836" s="30" t="str">
        <f t="shared" si="1226"/>
        <v/>
      </c>
      <c r="AE836" s="4"/>
    </row>
    <row r="837" spans="5:31" hidden="1" x14ac:dyDescent="0.25">
      <c r="E837" s="46"/>
      <c r="F837" s="46"/>
      <c r="G837" s="50" t="str">
        <f t="shared" si="1209"/>
        <v/>
      </c>
      <c r="H837" s="27" t="str">
        <f t="shared" ref="H837:J837" si="1301">IF($G837="","",Q53+Q209+Q365+Q521+Q677)</f>
        <v/>
      </c>
      <c r="I837" s="27" t="str">
        <f t="shared" si="1301"/>
        <v/>
      </c>
      <c r="J837" s="27" t="str">
        <f t="shared" si="1301"/>
        <v/>
      </c>
      <c r="K837" s="27" t="str">
        <f t="shared" ref="K837:M837" si="1302">IF($G837="","",AQ53+AQ209+AQ365+AQ521+AQ677)</f>
        <v/>
      </c>
      <c r="L837" s="27" t="str">
        <f t="shared" si="1302"/>
        <v/>
      </c>
      <c r="M837" s="27" t="str">
        <f t="shared" si="1302"/>
        <v/>
      </c>
      <c r="N837" s="27" t="str">
        <f t="shared" si="1212"/>
        <v/>
      </c>
      <c r="O837" s="33" t="str">
        <f t="shared" si="1213"/>
        <v/>
      </c>
      <c r="P837" s="31"/>
      <c r="Q837" s="32" t="str">
        <f t="shared" si="1214"/>
        <v/>
      </c>
      <c r="R837" s="27" t="str">
        <f t="shared" si="1215"/>
        <v/>
      </c>
      <c r="S837" s="27" t="str">
        <f t="shared" si="1216"/>
        <v/>
      </c>
      <c r="T837" s="27" t="str">
        <f t="shared" si="1217"/>
        <v/>
      </c>
      <c r="U837" s="27" t="str">
        <f t="shared" si="1218"/>
        <v/>
      </c>
      <c r="V837" s="27" t="str">
        <f t="shared" si="1219"/>
        <v/>
      </c>
      <c r="W837" s="29" t="str">
        <f t="shared" si="1220"/>
        <v/>
      </c>
      <c r="X837" s="30" t="str">
        <f t="shared" si="1221"/>
        <v/>
      </c>
      <c r="Y837" s="46"/>
      <c r="Z837" s="32" t="str">
        <f t="shared" si="1222"/>
        <v/>
      </c>
      <c r="AA837" s="27" t="str">
        <f t="shared" si="1223"/>
        <v/>
      </c>
      <c r="AB837" s="27" t="str">
        <f t="shared" si="1224"/>
        <v/>
      </c>
      <c r="AC837" s="29" t="str">
        <f t="shared" si="1225"/>
        <v/>
      </c>
      <c r="AD837" s="30" t="str">
        <f t="shared" si="1226"/>
        <v/>
      </c>
      <c r="AE837" s="4"/>
    </row>
    <row r="838" spans="5:31" hidden="1" x14ac:dyDescent="0.25">
      <c r="E838" s="46"/>
      <c r="F838" s="46"/>
      <c r="G838" s="50" t="str">
        <f t="shared" si="1209"/>
        <v/>
      </c>
      <c r="H838" s="27" t="str">
        <f t="shared" ref="H838:J838" si="1303">IF($G838="","",Q54+Q210+Q366+Q522+Q678)</f>
        <v/>
      </c>
      <c r="I838" s="27" t="str">
        <f t="shared" si="1303"/>
        <v/>
      </c>
      <c r="J838" s="27" t="str">
        <f t="shared" si="1303"/>
        <v/>
      </c>
      <c r="K838" s="27" t="str">
        <f t="shared" ref="K838:M838" si="1304">IF($G838="","",AQ54+AQ210+AQ366+AQ522+AQ678)</f>
        <v/>
      </c>
      <c r="L838" s="27" t="str">
        <f t="shared" si="1304"/>
        <v/>
      </c>
      <c r="M838" s="27" t="str">
        <f t="shared" si="1304"/>
        <v/>
      </c>
      <c r="N838" s="27" t="str">
        <f t="shared" si="1212"/>
        <v/>
      </c>
      <c r="O838" s="33" t="str">
        <f t="shared" si="1213"/>
        <v/>
      </c>
      <c r="P838" s="31"/>
      <c r="Q838" s="32" t="str">
        <f t="shared" si="1214"/>
        <v/>
      </c>
      <c r="R838" s="27" t="str">
        <f t="shared" si="1215"/>
        <v/>
      </c>
      <c r="S838" s="27" t="str">
        <f t="shared" si="1216"/>
        <v/>
      </c>
      <c r="T838" s="27" t="str">
        <f t="shared" si="1217"/>
        <v/>
      </c>
      <c r="U838" s="27" t="str">
        <f t="shared" si="1218"/>
        <v/>
      </c>
      <c r="V838" s="27" t="str">
        <f t="shared" si="1219"/>
        <v/>
      </c>
      <c r="W838" s="29" t="str">
        <f t="shared" si="1220"/>
        <v/>
      </c>
      <c r="X838" s="30" t="str">
        <f t="shared" si="1221"/>
        <v/>
      </c>
      <c r="Y838" s="46"/>
      <c r="Z838" s="32" t="str">
        <f t="shared" si="1222"/>
        <v/>
      </c>
      <c r="AA838" s="27" t="str">
        <f t="shared" si="1223"/>
        <v/>
      </c>
      <c r="AB838" s="27" t="str">
        <f t="shared" si="1224"/>
        <v/>
      </c>
      <c r="AC838" s="29" t="str">
        <f t="shared" si="1225"/>
        <v/>
      </c>
      <c r="AD838" s="30" t="str">
        <f t="shared" si="1226"/>
        <v/>
      </c>
      <c r="AE838" s="4"/>
    </row>
    <row r="839" spans="5:31" hidden="1" x14ac:dyDescent="0.25">
      <c r="E839" s="46"/>
      <c r="F839" s="46"/>
      <c r="G839" s="50" t="str">
        <f t="shared" si="1209"/>
        <v/>
      </c>
      <c r="H839" s="27" t="str">
        <f t="shared" ref="H839:J839" si="1305">IF($G839="","",Q55+Q211+Q367+Q523+Q679)</f>
        <v/>
      </c>
      <c r="I839" s="27" t="str">
        <f t="shared" si="1305"/>
        <v/>
      </c>
      <c r="J839" s="27" t="str">
        <f t="shared" si="1305"/>
        <v/>
      </c>
      <c r="K839" s="27" t="str">
        <f t="shared" ref="K839:M839" si="1306">IF($G839="","",AQ55+AQ211+AQ367+AQ523+AQ679)</f>
        <v/>
      </c>
      <c r="L839" s="27" t="str">
        <f t="shared" si="1306"/>
        <v/>
      </c>
      <c r="M839" s="27" t="str">
        <f t="shared" si="1306"/>
        <v/>
      </c>
      <c r="N839" s="27" t="str">
        <f t="shared" si="1212"/>
        <v/>
      </c>
      <c r="O839" s="33" t="str">
        <f t="shared" si="1213"/>
        <v/>
      </c>
      <c r="P839" s="31"/>
      <c r="Q839" s="32" t="str">
        <f t="shared" si="1214"/>
        <v/>
      </c>
      <c r="R839" s="27" t="str">
        <f t="shared" si="1215"/>
        <v/>
      </c>
      <c r="S839" s="27" t="str">
        <f t="shared" si="1216"/>
        <v/>
      </c>
      <c r="T839" s="27" t="str">
        <f t="shared" si="1217"/>
        <v/>
      </c>
      <c r="U839" s="27" t="str">
        <f t="shared" si="1218"/>
        <v/>
      </c>
      <c r="V839" s="27" t="str">
        <f t="shared" si="1219"/>
        <v/>
      </c>
      <c r="W839" s="29" t="str">
        <f t="shared" si="1220"/>
        <v/>
      </c>
      <c r="X839" s="30" t="str">
        <f t="shared" si="1221"/>
        <v/>
      </c>
      <c r="Y839" s="46"/>
      <c r="Z839" s="32" t="str">
        <f t="shared" si="1222"/>
        <v/>
      </c>
      <c r="AA839" s="27" t="str">
        <f t="shared" si="1223"/>
        <v/>
      </c>
      <c r="AB839" s="27" t="str">
        <f t="shared" si="1224"/>
        <v/>
      </c>
      <c r="AC839" s="29" t="str">
        <f t="shared" si="1225"/>
        <v/>
      </c>
      <c r="AD839" s="30" t="str">
        <f t="shared" si="1226"/>
        <v/>
      </c>
      <c r="AE839" s="4"/>
    </row>
    <row r="840" spans="5:31" hidden="1" x14ac:dyDescent="0.25">
      <c r="E840" s="46"/>
      <c r="F840" s="46"/>
      <c r="G840" s="50" t="str">
        <f t="shared" si="1209"/>
        <v/>
      </c>
      <c r="H840" s="27" t="str">
        <f t="shared" ref="H840:J840" si="1307">IF($G840="","",Q56+Q212+Q368+Q524+Q680)</f>
        <v/>
      </c>
      <c r="I840" s="27" t="str">
        <f t="shared" si="1307"/>
        <v/>
      </c>
      <c r="J840" s="27" t="str">
        <f t="shared" si="1307"/>
        <v/>
      </c>
      <c r="K840" s="27" t="str">
        <f t="shared" ref="K840:M840" si="1308">IF($G840="","",AQ56+AQ212+AQ368+AQ524+AQ680)</f>
        <v/>
      </c>
      <c r="L840" s="27" t="str">
        <f t="shared" si="1308"/>
        <v/>
      </c>
      <c r="M840" s="27" t="str">
        <f t="shared" si="1308"/>
        <v/>
      </c>
      <c r="N840" s="27" t="str">
        <f t="shared" si="1212"/>
        <v/>
      </c>
      <c r="O840" s="33" t="str">
        <f t="shared" si="1213"/>
        <v/>
      </c>
      <c r="P840" s="31"/>
      <c r="Q840" s="32" t="str">
        <f t="shared" si="1214"/>
        <v/>
      </c>
      <c r="R840" s="27" t="str">
        <f t="shared" si="1215"/>
        <v/>
      </c>
      <c r="S840" s="27" t="str">
        <f t="shared" si="1216"/>
        <v/>
      </c>
      <c r="T840" s="27" t="str">
        <f t="shared" si="1217"/>
        <v/>
      </c>
      <c r="U840" s="27" t="str">
        <f t="shared" si="1218"/>
        <v/>
      </c>
      <c r="V840" s="27" t="str">
        <f t="shared" si="1219"/>
        <v/>
      </c>
      <c r="W840" s="29" t="str">
        <f t="shared" si="1220"/>
        <v/>
      </c>
      <c r="X840" s="30" t="str">
        <f t="shared" si="1221"/>
        <v/>
      </c>
      <c r="Y840" s="46"/>
      <c r="Z840" s="32" t="str">
        <f t="shared" si="1222"/>
        <v/>
      </c>
      <c r="AA840" s="27" t="str">
        <f t="shared" si="1223"/>
        <v/>
      </c>
      <c r="AB840" s="27" t="str">
        <f t="shared" si="1224"/>
        <v/>
      </c>
      <c r="AC840" s="29" t="str">
        <f t="shared" si="1225"/>
        <v/>
      </c>
      <c r="AD840" s="30" t="str">
        <f t="shared" si="1226"/>
        <v/>
      </c>
      <c r="AE840" s="4"/>
    </row>
    <row r="841" spans="5:31" hidden="1" x14ac:dyDescent="0.25">
      <c r="E841" s="46"/>
      <c r="F841" s="46"/>
      <c r="G841" s="50" t="str">
        <f t="shared" si="1209"/>
        <v/>
      </c>
      <c r="H841" s="27" t="str">
        <f t="shared" ref="H841:J841" si="1309">IF($G841="","",Q57+Q213+Q369+Q525+Q681)</f>
        <v/>
      </c>
      <c r="I841" s="27" t="str">
        <f t="shared" si="1309"/>
        <v/>
      </c>
      <c r="J841" s="27" t="str">
        <f t="shared" si="1309"/>
        <v/>
      </c>
      <c r="K841" s="27" t="str">
        <f t="shared" ref="K841:M841" si="1310">IF($G841="","",AQ57+AQ213+AQ369+AQ525+AQ681)</f>
        <v/>
      </c>
      <c r="L841" s="27" t="str">
        <f t="shared" si="1310"/>
        <v/>
      </c>
      <c r="M841" s="27" t="str">
        <f t="shared" si="1310"/>
        <v/>
      </c>
      <c r="N841" s="27" t="str">
        <f t="shared" si="1212"/>
        <v/>
      </c>
      <c r="O841" s="33" t="str">
        <f t="shared" si="1213"/>
        <v/>
      </c>
      <c r="P841" s="31"/>
      <c r="Q841" s="32" t="str">
        <f t="shared" si="1214"/>
        <v/>
      </c>
      <c r="R841" s="27" t="str">
        <f t="shared" si="1215"/>
        <v/>
      </c>
      <c r="S841" s="27" t="str">
        <f t="shared" si="1216"/>
        <v/>
      </c>
      <c r="T841" s="27" t="str">
        <f t="shared" si="1217"/>
        <v/>
      </c>
      <c r="U841" s="27" t="str">
        <f t="shared" si="1218"/>
        <v/>
      </c>
      <c r="V841" s="27" t="str">
        <f t="shared" si="1219"/>
        <v/>
      </c>
      <c r="W841" s="29" t="str">
        <f t="shared" si="1220"/>
        <v/>
      </c>
      <c r="X841" s="30" t="str">
        <f t="shared" si="1221"/>
        <v/>
      </c>
      <c r="Y841" s="46"/>
      <c r="Z841" s="32" t="str">
        <f t="shared" si="1222"/>
        <v/>
      </c>
      <c r="AA841" s="27" t="str">
        <f t="shared" si="1223"/>
        <v/>
      </c>
      <c r="AB841" s="27" t="str">
        <f t="shared" si="1224"/>
        <v/>
      </c>
      <c r="AC841" s="29" t="str">
        <f t="shared" si="1225"/>
        <v/>
      </c>
      <c r="AD841" s="30" t="str">
        <f t="shared" si="1226"/>
        <v/>
      </c>
      <c r="AE841" s="4"/>
    </row>
    <row r="842" spans="5:31" hidden="1" x14ac:dyDescent="0.25">
      <c r="E842" s="46"/>
      <c r="F842" s="46"/>
      <c r="G842" s="50" t="str">
        <f t="shared" si="1209"/>
        <v/>
      </c>
      <c r="H842" s="27" t="str">
        <f t="shared" ref="H842:J842" si="1311">IF($G842="","",Q58+Q214+Q370+Q526+Q682)</f>
        <v/>
      </c>
      <c r="I842" s="27" t="str">
        <f t="shared" si="1311"/>
        <v/>
      </c>
      <c r="J842" s="27" t="str">
        <f t="shared" si="1311"/>
        <v/>
      </c>
      <c r="K842" s="27" t="str">
        <f t="shared" ref="K842:M842" si="1312">IF($G842="","",AQ58+AQ214+AQ370+AQ526+AQ682)</f>
        <v/>
      </c>
      <c r="L842" s="27" t="str">
        <f t="shared" si="1312"/>
        <v/>
      </c>
      <c r="M842" s="27" t="str">
        <f t="shared" si="1312"/>
        <v/>
      </c>
      <c r="N842" s="27" t="str">
        <f t="shared" si="1212"/>
        <v/>
      </c>
      <c r="O842" s="33" t="str">
        <f t="shared" si="1213"/>
        <v/>
      </c>
      <c r="P842" s="31"/>
      <c r="Q842" s="32" t="str">
        <f t="shared" si="1214"/>
        <v/>
      </c>
      <c r="R842" s="27" t="str">
        <f t="shared" si="1215"/>
        <v/>
      </c>
      <c r="S842" s="27" t="str">
        <f t="shared" si="1216"/>
        <v/>
      </c>
      <c r="T842" s="27" t="str">
        <f t="shared" si="1217"/>
        <v/>
      </c>
      <c r="U842" s="27" t="str">
        <f t="shared" si="1218"/>
        <v/>
      </c>
      <c r="V842" s="27" t="str">
        <f t="shared" si="1219"/>
        <v/>
      </c>
      <c r="W842" s="29" t="str">
        <f t="shared" si="1220"/>
        <v/>
      </c>
      <c r="X842" s="30" t="str">
        <f t="shared" si="1221"/>
        <v/>
      </c>
      <c r="Y842" s="46"/>
      <c r="Z842" s="32" t="str">
        <f t="shared" si="1222"/>
        <v/>
      </c>
      <c r="AA842" s="27" t="str">
        <f t="shared" si="1223"/>
        <v/>
      </c>
      <c r="AB842" s="27" t="str">
        <f t="shared" si="1224"/>
        <v/>
      </c>
      <c r="AC842" s="29" t="str">
        <f t="shared" si="1225"/>
        <v/>
      </c>
      <c r="AD842" s="30" t="str">
        <f t="shared" si="1226"/>
        <v/>
      </c>
      <c r="AE842" s="4"/>
    </row>
    <row r="843" spans="5:31" hidden="1" x14ac:dyDescent="0.25">
      <c r="E843" s="46"/>
      <c r="F843" s="46"/>
      <c r="G843" s="50" t="str">
        <f t="shared" si="1209"/>
        <v/>
      </c>
      <c r="H843" s="27" t="str">
        <f t="shared" ref="H843:J843" si="1313">IF($G843="","",Q59+Q215+Q371+Q527+Q683)</f>
        <v/>
      </c>
      <c r="I843" s="27" t="str">
        <f t="shared" si="1313"/>
        <v/>
      </c>
      <c r="J843" s="27" t="str">
        <f t="shared" si="1313"/>
        <v/>
      </c>
      <c r="K843" s="27" t="str">
        <f t="shared" ref="K843:M843" si="1314">IF($G843="","",AQ59+AQ215+AQ371+AQ527+AQ683)</f>
        <v/>
      </c>
      <c r="L843" s="27" t="str">
        <f t="shared" si="1314"/>
        <v/>
      </c>
      <c r="M843" s="27" t="str">
        <f t="shared" si="1314"/>
        <v/>
      </c>
      <c r="N843" s="27" t="str">
        <f t="shared" si="1212"/>
        <v/>
      </c>
      <c r="O843" s="33" t="str">
        <f t="shared" si="1213"/>
        <v/>
      </c>
      <c r="P843" s="31"/>
      <c r="Q843" s="32" t="str">
        <f t="shared" si="1214"/>
        <v/>
      </c>
      <c r="R843" s="27" t="str">
        <f t="shared" si="1215"/>
        <v/>
      </c>
      <c r="S843" s="27" t="str">
        <f t="shared" si="1216"/>
        <v/>
      </c>
      <c r="T843" s="27" t="str">
        <f t="shared" si="1217"/>
        <v/>
      </c>
      <c r="U843" s="27" t="str">
        <f t="shared" si="1218"/>
        <v/>
      </c>
      <c r="V843" s="27" t="str">
        <f t="shared" si="1219"/>
        <v/>
      </c>
      <c r="W843" s="29" t="str">
        <f t="shared" si="1220"/>
        <v/>
      </c>
      <c r="X843" s="30" t="str">
        <f t="shared" si="1221"/>
        <v/>
      </c>
      <c r="Y843" s="46"/>
      <c r="Z843" s="32" t="str">
        <f t="shared" si="1222"/>
        <v/>
      </c>
      <c r="AA843" s="27" t="str">
        <f t="shared" si="1223"/>
        <v/>
      </c>
      <c r="AB843" s="27" t="str">
        <f t="shared" si="1224"/>
        <v/>
      </c>
      <c r="AC843" s="29" t="str">
        <f t="shared" si="1225"/>
        <v/>
      </c>
      <c r="AD843" s="30" t="str">
        <f t="shared" si="1226"/>
        <v/>
      </c>
      <c r="AE843" s="4"/>
    </row>
    <row r="844" spans="5:31" hidden="1" x14ac:dyDescent="0.25">
      <c r="E844" s="46"/>
      <c r="F844" s="46"/>
      <c r="G844" s="50" t="str">
        <f t="shared" si="1209"/>
        <v/>
      </c>
      <c r="H844" s="27" t="str">
        <f t="shared" ref="H844:J844" si="1315">IF($G844="","",Q60+Q216+Q372+Q528+Q684)</f>
        <v/>
      </c>
      <c r="I844" s="27" t="str">
        <f t="shared" si="1315"/>
        <v/>
      </c>
      <c r="J844" s="27" t="str">
        <f t="shared" si="1315"/>
        <v/>
      </c>
      <c r="K844" s="27" t="str">
        <f t="shared" ref="K844:M844" si="1316">IF($G844="","",AQ60+AQ216+AQ372+AQ528+AQ684)</f>
        <v/>
      </c>
      <c r="L844" s="27" t="str">
        <f t="shared" si="1316"/>
        <v/>
      </c>
      <c r="M844" s="27" t="str">
        <f t="shared" si="1316"/>
        <v/>
      </c>
      <c r="N844" s="27" t="str">
        <f t="shared" si="1212"/>
        <v/>
      </c>
      <c r="O844" s="33" t="str">
        <f t="shared" si="1213"/>
        <v/>
      </c>
      <c r="P844" s="31"/>
      <c r="Q844" s="32" t="str">
        <f t="shared" si="1214"/>
        <v/>
      </c>
      <c r="R844" s="27" t="str">
        <f t="shared" si="1215"/>
        <v/>
      </c>
      <c r="S844" s="27" t="str">
        <f t="shared" si="1216"/>
        <v/>
      </c>
      <c r="T844" s="27" t="str">
        <f t="shared" si="1217"/>
        <v/>
      </c>
      <c r="U844" s="27" t="str">
        <f t="shared" si="1218"/>
        <v/>
      </c>
      <c r="V844" s="27" t="str">
        <f t="shared" si="1219"/>
        <v/>
      </c>
      <c r="W844" s="29" t="str">
        <f t="shared" si="1220"/>
        <v/>
      </c>
      <c r="X844" s="30" t="str">
        <f t="shared" si="1221"/>
        <v/>
      </c>
      <c r="Y844" s="46"/>
      <c r="Z844" s="32" t="str">
        <f t="shared" si="1222"/>
        <v/>
      </c>
      <c r="AA844" s="27" t="str">
        <f t="shared" si="1223"/>
        <v/>
      </c>
      <c r="AB844" s="27" t="str">
        <f t="shared" si="1224"/>
        <v/>
      </c>
      <c r="AC844" s="29" t="str">
        <f t="shared" si="1225"/>
        <v/>
      </c>
      <c r="AD844" s="30" t="str">
        <f t="shared" si="1226"/>
        <v/>
      </c>
      <c r="AE844" s="4"/>
    </row>
    <row r="845" spans="5:31" hidden="1" x14ac:dyDescent="0.25">
      <c r="E845" s="46"/>
      <c r="F845" s="46"/>
      <c r="G845" s="50" t="str">
        <f t="shared" si="1209"/>
        <v/>
      </c>
      <c r="H845" s="27" t="str">
        <f t="shared" ref="H845:J845" si="1317">IF($G845="","",Q61+Q217+Q373+Q529+Q685)</f>
        <v/>
      </c>
      <c r="I845" s="27" t="str">
        <f t="shared" si="1317"/>
        <v/>
      </c>
      <c r="J845" s="27" t="str">
        <f t="shared" si="1317"/>
        <v/>
      </c>
      <c r="K845" s="27" t="str">
        <f t="shared" ref="K845:M845" si="1318">IF($G845="","",AQ61+AQ217+AQ373+AQ529+AQ685)</f>
        <v/>
      </c>
      <c r="L845" s="27" t="str">
        <f t="shared" si="1318"/>
        <v/>
      </c>
      <c r="M845" s="27" t="str">
        <f t="shared" si="1318"/>
        <v/>
      </c>
      <c r="N845" s="27" t="str">
        <f t="shared" si="1212"/>
        <v/>
      </c>
      <c r="O845" s="33" t="str">
        <f t="shared" si="1213"/>
        <v/>
      </c>
      <c r="P845" s="31"/>
      <c r="Q845" s="32" t="str">
        <f t="shared" si="1214"/>
        <v/>
      </c>
      <c r="R845" s="27" t="str">
        <f t="shared" si="1215"/>
        <v/>
      </c>
      <c r="S845" s="27" t="str">
        <f t="shared" si="1216"/>
        <v/>
      </c>
      <c r="T845" s="27" t="str">
        <f t="shared" si="1217"/>
        <v/>
      </c>
      <c r="U845" s="27" t="str">
        <f t="shared" si="1218"/>
        <v/>
      </c>
      <c r="V845" s="27" t="str">
        <f t="shared" si="1219"/>
        <v/>
      </c>
      <c r="W845" s="29" t="str">
        <f t="shared" si="1220"/>
        <v/>
      </c>
      <c r="X845" s="30" t="str">
        <f t="shared" si="1221"/>
        <v/>
      </c>
      <c r="Y845" s="46"/>
      <c r="Z845" s="32" t="str">
        <f t="shared" si="1222"/>
        <v/>
      </c>
      <c r="AA845" s="27" t="str">
        <f t="shared" si="1223"/>
        <v/>
      </c>
      <c r="AB845" s="27" t="str">
        <f t="shared" si="1224"/>
        <v/>
      </c>
      <c r="AC845" s="29" t="str">
        <f t="shared" si="1225"/>
        <v/>
      </c>
      <c r="AD845" s="30" t="str">
        <f t="shared" si="1226"/>
        <v/>
      </c>
      <c r="AE845" s="4"/>
    </row>
    <row r="846" spans="5:31" hidden="1" x14ac:dyDescent="0.25">
      <c r="E846" s="46"/>
      <c r="F846" s="46"/>
      <c r="G846" s="50" t="str">
        <f t="shared" si="1209"/>
        <v/>
      </c>
      <c r="H846" s="27" t="str">
        <f t="shared" ref="H846:J846" si="1319">IF($G846="","",Q62+Q218+Q374+Q530+Q686)</f>
        <v/>
      </c>
      <c r="I846" s="27" t="str">
        <f t="shared" si="1319"/>
        <v/>
      </c>
      <c r="J846" s="27" t="str">
        <f t="shared" si="1319"/>
        <v/>
      </c>
      <c r="K846" s="27" t="str">
        <f t="shared" ref="K846:M846" si="1320">IF($G846="","",AQ62+AQ218+AQ374+AQ530+AQ686)</f>
        <v/>
      </c>
      <c r="L846" s="27" t="str">
        <f t="shared" si="1320"/>
        <v/>
      </c>
      <c r="M846" s="27" t="str">
        <f t="shared" si="1320"/>
        <v/>
      </c>
      <c r="N846" s="27" t="str">
        <f t="shared" si="1212"/>
        <v/>
      </c>
      <c r="O846" s="33" t="str">
        <f t="shared" si="1213"/>
        <v/>
      </c>
      <c r="P846" s="31"/>
      <c r="Q846" s="32" t="str">
        <f t="shared" si="1214"/>
        <v/>
      </c>
      <c r="R846" s="27" t="str">
        <f t="shared" si="1215"/>
        <v/>
      </c>
      <c r="S846" s="27" t="str">
        <f t="shared" si="1216"/>
        <v/>
      </c>
      <c r="T846" s="27" t="str">
        <f t="shared" si="1217"/>
        <v/>
      </c>
      <c r="U846" s="27" t="str">
        <f t="shared" si="1218"/>
        <v/>
      </c>
      <c r="V846" s="27" t="str">
        <f t="shared" si="1219"/>
        <v/>
      </c>
      <c r="W846" s="29" t="str">
        <f t="shared" si="1220"/>
        <v/>
      </c>
      <c r="X846" s="30" t="str">
        <f t="shared" si="1221"/>
        <v/>
      </c>
      <c r="Y846" s="46"/>
      <c r="Z846" s="32" t="str">
        <f t="shared" si="1222"/>
        <v/>
      </c>
      <c r="AA846" s="27" t="str">
        <f t="shared" si="1223"/>
        <v/>
      </c>
      <c r="AB846" s="27" t="str">
        <f t="shared" si="1224"/>
        <v/>
      </c>
      <c r="AC846" s="29" t="str">
        <f t="shared" si="1225"/>
        <v/>
      </c>
      <c r="AD846" s="30" t="str">
        <f t="shared" si="1226"/>
        <v/>
      </c>
      <c r="AE846" s="4"/>
    </row>
    <row r="847" spans="5:31" hidden="1" x14ac:dyDescent="0.25">
      <c r="E847" s="46"/>
      <c r="F847" s="46"/>
      <c r="G847" s="50" t="str">
        <f t="shared" si="1209"/>
        <v/>
      </c>
      <c r="H847" s="27" t="str">
        <f t="shared" ref="H847:J847" si="1321">IF($G847="","",Q63+Q219+Q375+Q531+Q687)</f>
        <v/>
      </c>
      <c r="I847" s="27" t="str">
        <f t="shared" si="1321"/>
        <v/>
      </c>
      <c r="J847" s="27" t="str">
        <f t="shared" si="1321"/>
        <v/>
      </c>
      <c r="K847" s="27" t="str">
        <f t="shared" ref="K847:M847" si="1322">IF($G847="","",AQ63+AQ219+AQ375+AQ531+AQ687)</f>
        <v/>
      </c>
      <c r="L847" s="27" t="str">
        <f t="shared" si="1322"/>
        <v/>
      </c>
      <c r="M847" s="27" t="str">
        <f t="shared" si="1322"/>
        <v/>
      </c>
      <c r="N847" s="27" t="str">
        <f t="shared" si="1212"/>
        <v/>
      </c>
      <c r="O847" s="33" t="str">
        <f t="shared" si="1213"/>
        <v/>
      </c>
      <c r="P847" s="31"/>
      <c r="Q847" s="32" t="str">
        <f t="shared" si="1214"/>
        <v/>
      </c>
      <c r="R847" s="27" t="str">
        <f t="shared" si="1215"/>
        <v/>
      </c>
      <c r="S847" s="27" t="str">
        <f t="shared" si="1216"/>
        <v/>
      </c>
      <c r="T847" s="27" t="str">
        <f t="shared" si="1217"/>
        <v/>
      </c>
      <c r="U847" s="27" t="str">
        <f t="shared" si="1218"/>
        <v/>
      </c>
      <c r="V847" s="27" t="str">
        <f t="shared" si="1219"/>
        <v/>
      </c>
      <c r="W847" s="29" t="str">
        <f t="shared" si="1220"/>
        <v/>
      </c>
      <c r="X847" s="30" t="str">
        <f t="shared" si="1221"/>
        <v/>
      </c>
      <c r="Y847" s="46"/>
      <c r="Z847" s="32" t="str">
        <f t="shared" si="1222"/>
        <v/>
      </c>
      <c r="AA847" s="27" t="str">
        <f t="shared" si="1223"/>
        <v/>
      </c>
      <c r="AB847" s="27" t="str">
        <f t="shared" si="1224"/>
        <v/>
      </c>
      <c r="AC847" s="29" t="str">
        <f t="shared" si="1225"/>
        <v/>
      </c>
      <c r="AD847" s="30" t="str">
        <f t="shared" si="1226"/>
        <v/>
      </c>
      <c r="AE847" s="4"/>
    </row>
    <row r="848" spans="5:31" hidden="1" x14ac:dyDescent="0.25">
      <c r="E848" s="46"/>
      <c r="F848" s="46"/>
      <c r="G848" s="50" t="str">
        <f t="shared" si="1209"/>
        <v/>
      </c>
      <c r="H848" s="27" t="str">
        <f t="shared" ref="H848:J848" si="1323">IF($G848="","",Q64+Q220+Q376+Q532+Q688)</f>
        <v/>
      </c>
      <c r="I848" s="27" t="str">
        <f t="shared" si="1323"/>
        <v/>
      </c>
      <c r="J848" s="27" t="str">
        <f t="shared" si="1323"/>
        <v/>
      </c>
      <c r="K848" s="27" t="str">
        <f t="shared" ref="K848:M848" si="1324">IF($G848="","",AQ64+AQ220+AQ376+AQ532+AQ688)</f>
        <v/>
      </c>
      <c r="L848" s="27" t="str">
        <f t="shared" si="1324"/>
        <v/>
      </c>
      <c r="M848" s="27" t="str">
        <f t="shared" si="1324"/>
        <v/>
      </c>
      <c r="N848" s="27" t="str">
        <f t="shared" si="1212"/>
        <v/>
      </c>
      <c r="O848" s="33" t="str">
        <f t="shared" si="1213"/>
        <v/>
      </c>
      <c r="P848" s="31"/>
      <c r="Q848" s="32" t="str">
        <f t="shared" si="1214"/>
        <v/>
      </c>
      <c r="R848" s="27" t="str">
        <f t="shared" si="1215"/>
        <v/>
      </c>
      <c r="S848" s="27" t="str">
        <f t="shared" si="1216"/>
        <v/>
      </c>
      <c r="T848" s="27" t="str">
        <f t="shared" si="1217"/>
        <v/>
      </c>
      <c r="U848" s="27" t="str">
        <f t="shared" si="1218"/>
        <v/>
      </c>
      <c r="V848" s="27" t="str">
        <f t="shared" si="1219"/>
        <v/>
      </c>
      <c r="W848" s="29" t="str">
        <f t="shared" si="1220"/>
        <v/>
      </c>
      <c r="X848" s="30" t="str">
        <f t="shared" si="1221"/>
        <v/>
      </c>
      <c r="Y848" s="46"/>
      <c r="Z848" s="32" t="str">
        <f t="shared" si="1222"/>
        <v/>
      </c>
      <c r="AA848" s="27" t="str">
        <f t="shared" si="1223"/>
        <v/>
      </c>
      <c r="AB848" s="27" t="str">
        <f t="shared" si="1224"/>
        <v/>
      </c>
      <c r="AC848" s="29" t="str">
        <f t="shared" si="1225"/>
        <v/>
      </c>
      <c r="AD848" s="30" t="str">
        <f t="shared" si="1226"/>
        <v/>
      </c>
      <c r="AE848" s="4"/>
    </row>
    <row r="849" spans="5:31" hidden="1" x14ac:dyDescent="0.25">
      <c r="E849" s="46"/>
      <c r="F849" s="46"/>
      <c r="G849" s="50" t="str">
        <f t="shared" si="1209"/>
        <v/>
      </c>
      <c r="H849" s="27" t="str">
        <f t="shared" ref="H849:J849" si="1325">IF($G849="","",Q65+Q221+Q377+Q533+Q689)</f>
        <v/>
      </c>
      <c r="I849" s="27" t="str">
        <f t="shared" si="1325"/>
        <v/>
      </c>
      <c r="J849" s="27" t="str">
        <f t="shared" si="1325"/>
        <v/>
      </c>
      <c r="K849" s="27" t="str">
        <f t="shared" ref="K849:M849" si="1326">IF($G849="","",AQ65+AQ221+AQ377+AQ533+AQ689)</f>
        <v/>
      </c>
      <c r="L849" s="27" t="str">
        <f t="shared" si="1326"/>
        <v/>
      </c>
      <c r="M849" s="27" t="str">
        <f t="shared" si="1326"/>
        <v/>
      </c>
      <c r="N849" s="27" t="str">
        <f t="shared" si="1212"/>
        <v/>
      </c>
      <c r="O849" s="33" t="str">
        <f t="shared" si="1213"/>
        <v/>
      </c>
      <c r="P849" s="31"/>
      <c r="Q849" s="32" t="str">
        <f t="shared" si="1214"/>
        <v/>
      </c>
      <c r="R849" s="27" t="str">
        <f t="shared" si="1215"/>
        <v/>
      </c>
      <c r="S849" s="27" t="str">
        <f t="shared" si="1216"/>
        <v/>
      </c>
      <c r="T849" s="27" t="str">
        <f t="shared" si="1217"/>
        <v/>
      </c>
      <c r="U849" s="27" t="str">
        <f t="shared" si="1218"/>
        <v/>
      </c>
      <c r="V849" s="27" t="str">
        <f t="shared" si="1219"/>
        <v/>
      </c>
      <c r="W849" s="29" t="str">
        <f t="shared" si="1220"/>
        <v/>
      </c>
      <c r="X849" s="30" t="str">
        <f t="shared" si="1221"/>
        <v/>
      </c>
      <c r="Y849" s="46"/>
      <c r="Z849" s="32" t="str">
        <f t="shared" si="1222"/>
        <v/>
      </c>
      <c r="AA849" s="27" t="str">
        <f t="shared" si="1223"/>
        <v/>
      </c>
      <c r="AB849" s="27" t="str">
        <f t="shared" si="1224"/>
        <v/>
      </c>
      <c r="AC849" s="29" t="str">
        <f t="shared" si="1225"/>
        <v/>
      </c>
      <c r="AD849" s="30" t="str">
        <f t="shared" si="1226"/>
        <v/>
      </c>
      <c r="AE849" s="4"/>
    </row>
    <row r="850" spans="5:31" hidden="1" x14ac:dyDescent="0.25">
      <c r="E850" s="46"/>
      <c r="F850" s="46"/>
      <c r="G850" s="50" t="str">
        <f t="shared" si="1209"/>
        <v/>
      </c>
      <c r="H850" s="27" t="str">
        <f t="shared" ref="H850:J850" si="1327">IF($G850="","",Q66+Q222+Q378+Q534+Q690)</f>
        <v/>
      </c>
      <c r="I850" s="27" t="str">
        <f t="shared" si="1327"/>
        <v/>
      </c>
      <c r="J850" s="27" t="str">
        <f t="shared" si="1327"/>
        <v/>
      </c>
      <c r="K850" s="27" t="str">
        <f t="shared" ref="K850:M850" si="1328">IF($G850="","",AQ66+AQ222+AQ378+AQ534+AQ690)</f>
        <v/>
      </c>
      <c r="L850" s="27" t="str">
        <f t="shared" si="1328"/>
        <v/>
      </c>
      <c r="M850" s="27" t="str">
        <f t="shared" si="1328"/>
        <v/>
      </c>
      <c r="N850" s="27" t="str">
        <f t="shared" si="1212"/>
        <v/>
      </c>
      <c r="O850" s="33" t="str">
        <f t="shared" si="1213"/>
        <v/>
      </c>
      <c r="P850" s="31"/>
      <c r="Q850" s="32" t="str">
        <f t="shared" si="1214"/>
        <v/>
      </c>
      <c r="R850" s="27" t="str">
        <f t="shared" si="1215"/>
        <v/>
      </c>
      <c r="S850" s="27" t="str">
        <f t="shared" si="1216"/>
        <v/>
      </c>
      <c r="T850" s="27" t="str">
        <f t="shared" si="1217"/>
        <v/>
      </c>
      <c r="U850" s="27" t="str">
        <f t="shared" si="1218"/>
        <v/>
      </c>
      <c r="V850" s="27" t="str">
        <f t="shared" si="1219"/>
        <v/>
      </c>
      <c r="W850" s="29" t="str">
        <f t="shared" si="1220"/>
        <v/>
      </c>
      <c r="X850" s="30" t="str">
        <f t="shared" si="1221"/>
        <v/>
      </c>
      <c r="Y850" s="46"/>
      <c r="Z850" s="32" t="str">
        <f t="shared" si="1222"/>
        <v/>
      </c>
      <c r="AA850" s="27" t="str">
        <f t="shared" si="1223"/>
        <v/>
      </c>
      <c r="AB850" s="27" t="str">
        <f t="shared" si="1224"/>
        <v/>
      </c>
      <c r="AC850" s="29" t="str">
        <f t="shared" si="1225"/>
        <v/>
      </c>
      <c r="AD850" s="30" t="str">
        <f t="shared" si="1226"/>
        <v/>
      </c>
      <c r="AE850" s="4"/>
    </row>
    <row r="851" spans="5:31" hidden="1" x14ac:dyDescent="0.25">
      <c r="E851" s="46"/>
      <c r="F851" s="46"/>
      <c r="G851" s="50" t="str">
        <f t="shared" si="1209"/>
        <v/>
      </c>
      <c r="H851" s="27" t="str">
        <f t="shared" ref="H851:J851" si="1329">IF($G851="","",Q67+Q223+Q379+Q535+Q691)</f>
        <v/>
      </c>
      <c r="I851" s="27" t="str">
        <f t="shared" si="1329"/>
        <v/>
      </c>
      <c r="J851" s="27" t="str">
        <f t="shared" si="1329"/>
        <v/>
      </c>
      <c r="K851" s="27" t="str">
        <f t="shared" ref="K851:M851" si="1330">IF($G851="","",AQ67+AQ223+AQ379+AQ535+AQ691)</f>
        <v/>
      </c>
      <c r="L851" s="27" t="str">
        <f t="shared" si="1330"/>
        <v/>
      </c>
      <c r="M851" s="27" t="str">
        <f t="shared" si="1330"/>
        <v/>
      </c>
      <c r="N851" s="27" t="str">
        <f t="shared" si="1212"/>
        <v/>
      </c>
      <c r="O851" s="33" t="str">
        <f t="shared" si="1213"/>
        <v/>
      </c>
      <c r="P851" s="31"/>
      <c r="Q851" s="32" t="str">
        <f t="shared" si="1214"/>
        <v/>
      </c>
      <c r="R851" s="27" t="str">
        <f t="shared" si="1215"/>
        <v/>
      </c>
      <c r="S851" s="27" t="str">
        <f t="shared" si="1216"/>
        <v/>
      </c>
      <c r="T851" s="27" t="str">
        <f t="shared" si="1217"/>
        <v/>
      </c>
      <c r="U851" s="27" t="str">
        <f t="shared" si="1218"/>
        <v/>
      </c>
      <c r="V851" s="27" t="str">
        <f t="shared" si="1219"/>
        <v/>
      </c>
      <c r="W851" s="29" t="str">
        <f t="shared" si="1220"/>
        <v/>
      </c>
      <c r="X851" s="30" t="str">
        <f t="shared" si="1221"/>
        <v/>
      </c>
      <c r="Y851" s="46"/>
      <c r="Z851" s="32" t="str">
        <f t="shared" si="1222"/>
        <v/>
      </c>
      <c r="AA851" s="27" t="str">
        <f t="shared" si="1223"/>
        <v/>
      </c>
      <c r="AB851" s="27" t="str">
        <f t="shared" si="1224"/>
        <v/>
      </c>
      <c r="AC851" s="29" t="str">
        <f t="shared" si="1225"/>
        <v/>
      </c>
      <c r="AD851" s="30" t="str">
        <f t="shared" si="1226"/>
        <v/>
      </c>
      <c r="AE851" s="4"/>
    </row>
    <row r="852" spans="5:31" hidden="1" x14ac:dyDescent="0.25">
      <c r="E852" s="46"/>
      <c r="F852" s="46"/>
      <c r="G852" s="50" t="str">
        <f t="shared" si="1209"/>
        <v/>
      </c>
      <c r="H852" s="27" t="str">
        <f t="shared" ref="H852:J852" si="1331">IF($G852="","",Q68+Q224+Q380+Q536+Q692)</f>
        <v/>
      </c>
      <c r="I852" s="27" t="str">
        <f t="shared" si="1331"/>
        <v/>
      </c>
      <c r="J852" s="27" t="str">
        <f t="shared" si="1331"/>
        <v/>
      </c>
      <c r="K852" s="27" t="str">
        <f t="shared" ref="K852:M852" si="1332">IF($G852="","",AQ68+AQ224+AQ380+AQ536+AQ692)</f>
        <v/>
      </c>
      <c r="L852" s="27" t="str">
        <f t="shared" si="1332"/>
        <v/>
      </c>
      <c r="M852" s="27" t="str">
        <f t="shared" si="1332"/>
        <v/>
      </c>
      <c r="N852" s="27" t="str">
        <f t="shared" si="1212"/>
        <v/>
      </c>
      <c r="O852" s="33" t="str">
        <f t="shared" si="1213"/>
        <v/>
      </c>
      <c r="P852" s="31"/>
      <c r="Q852" s="32" t="str">
        <f t="shared" si="1214"/>
        <v/>
      </c>
      <c r="R852" s="27" t="str">
        <f t="shared" si="1215"/>
        <v/>
      </c>
      <c r="S852" s="27" t="str">
        <f t="shared" si="1216"/>
        <v/>
      </c>
      <c r="T852" s="27" t="str">
        <f t="shared" si="1217"/>
        <v/>
      </c>
      <c r="U852" s="27" t="str">
        <f t="shared" si="1218"/>
        <v/>
      </c>
      <c r="V852" s="27" t="str">
        <f t="shared" si="1219"/>
        <v/>
      </c>
      <c r="W852" s="29" t="str">
        <f t="shared" si="1220"/>
        <v/>
      </c>
      <c r="X852" s="30" t="str">
        <f t="shared" si="1221"/>
        <v/>
      </c>
      <c r="Y852" s="46"/>
      <c r="Z852" s="32" t="str">
        <f t="shared" si="1222"/>
        <v/>
      </c>
      <c r="AA852" s="27" t="str">
        <f t="shared" si="1223"/>
        <v/>
      </c>
      <c r="AB852" s="27" t="str">
        <f t="shared" si="1224"/>
        <v/>
      </c>
      <c r="AC852" s="29" t="str">
        <f t="shared" si="1225"/>
        <v/>
      </c>
      <c r="AD852" s="30" t="str">
        <f t="shared" si="1226"/>
        <v/>
      </c>
      <c r="AE852" s="4"/>
    </row>
    <row r="853" spans="5:31" hidden="1" x14ac:dyDescent="0.25">
      <c r="E853" s="46"/>
      <c r="F853" s="46"/>
      <c r="G853" s="50" t="str">
        <f t="shared" si="1209"/>
        <v/>
      </c>
      <c r="H853" s="27" t="str">
        <f t="shared" ref="H853:J853" si="1333">IF($G853="","",Q69+Q225+Q381+Q537+Q693)</f>
        <v/>
      </c>
      <c r="I853" s="27" t="str">
        <f t="shared" si="1333"/>
        <v/>
      </c>
      <c r="J853" s="27" t="str">
        <f t="shared" si="1333"/>
        <v/>
      </c>
      <c r="K853" s="27" t="str">
        <f t="shared" ref="K853:M853" si="1334">IF($G853="","",AQ69+AQ225+AQ381+AQ537+AQ693)</f>
        <v/>
      </c>
      <c r="L853" s="27" t="str">
        <f t="shared" si="1334"/>
        <v/>
      </c>
      <c r="M853" s="27" t="str">
        <f t="shared" si="1334"/>
        <v/>
      </c>
      <c r="N853" s="27" t="str">
        <f t="shared" si="1212"/>
        <v/>
      </c>
      <c r="O853" s="33" t="str">
        <f t="shared" si="1213"/>
        <v/>
      </c>
      <c r="P853" s="31"/>
      <c r="Q853" s="32" t="str">
        <f t="shared" si="1214"/>
        <v/>
      </c>
      <c r="R853" s="27" t="str">
        <f t="shared" si="1215"/>
        <v/>
      </c>
      <c r="S853" s="27" t="str">
        <f t="shared" si="1216"/>
        <v/>
      </c>
      <c r="T853" s="27" t="str">
        <f t="shared" si="1217"/>
        <v/>
      </c>
      <c r="U853" s="27" t="str">
        <f t="shared" si="1218"/>
        <v/>
      </c>
      <c r="V853" s="27" t="str">
        <f t="shared" si="1219"/>
        <v/>
      </c>
      <c r="W853" s="29" t="str">
        <f t="shared" si="1220"/>
        <v/>
      </c>
      <c r="X853" s="30" t="str">
        <f t="shared" si="1221"/>
        <v/>
      </c>
      <c r="Y853" s="46"/>
      <c r="Z853" s="32" t="str">
        <f t="shared" si="1222"/>
        <v/>
      </c>
      <c r="AA853" s="27" t="str">
        <f t="shared" si="1223"/>
        <v/>
      </c>
      <c r="AB853" s="27" t="str">
        <f t="shared" si="1224"/>
        <v/>
      </c>
      <c r="AC853" s="29" t="str">
        <f t="shared" si="1225"/>
        <v/>
      </c>
      <c r="AD853" s="30" t="str">
        <f t="shared" si="1226"/>
        <v/>
      </c>
      <c r="AE853" s="4"/>
    </row>
    <row r="854" spans="5:31" hidden="1" x14ac:dyDescent="0.25">
      <c r="E854" s="46"/>
      <c r="F854" s="46"/>
      <c r="G854" s="50" t="str">
        <f t="shared" si="1209"/>
        <v/>
      </c>
      <c r="H854" s="27" t="str">
        <f t="shared" ref="H854:J854" si="1335">IF($G854="","",Q70+Q226+Q382+Q538+Q694)</f>
        <v/>
      </c>
      <c r="I854" s="27" t="str">
        <f t="shared" si="1335"/>
        <v/>
      </c>
      <c r="J854" s="27" t="str">
        <f t="shared" si="1335"/>
        <v/>
      </c>
      <c r="K854" s="27" t="str">
        <f t="shared" ref="K854:M854" si="1336">IF($G854="","",AQ70+AQ226+AQ382+AQ538+AQ694)</f>
        <v/>
      </c>
      <c r="L854" s="27" t="str">
        <f t="shared" si="1336"/>
        <v/>
      </c>
      <c r="M854" s="27" t="str">
        <f t="shared" si="1336"/>
        <v/>
      </c>
      <c r="N854" s="27" t="str">
        <f t="shared" si="1212"/>
        <v/>
      </c>
      <c r="O854" s="33" t="str">
        <f t="shared" si="1213"/>
        <v/>
      </c>
      <c r="P854" s="31"/>
      <c r="Q854" s="32" t="str">
        <f t="shared" si="1214"/>
        <v/>
      </c>
      <c r="R854" s="27" t="str">
        <f t="shared" si="1215"/>
        <v/>
      </c>
      <c r="S854" s="27" t="str">
        <f t="shared" si="1216"/>
        <v/>
      </c>
      <c r="T854" s="27" t="str">
        <f t="shared" si="1217"/>
        <v/>
      </c>
      <c r="U854" s="27" t="str">
        <f t="shared" si="1218"/>
        <v/>
      </c>
      <c r="V854" s="27" t="str">
        <f t="shared" si="1219"/>
        <v/>
      </c>
      <c r="W854" s="29" t="str">
        <f t="shared" si="1220"/>
        <v/>
      </c>
      <c r="X854" s="30" t="str">
        <f t="shared" si="1221"/>
        <v/>
      </c>
      <c r="Y854" s="46"/>
      <c r="Z854" s="32" t="str">
        <f t="shared" si="1222"/>
        <v/>
      </c>
      <c r="AA854" s="27" t="str">
        <f t="shared" si="1223"/>
        <v/>
      </c>
      <c r="AB854" s="27" t="str">
        <f t="shared" si="1224"/>
        <v/>
      </c>
      <c r="AC854" s="29" t="str">
        <f t="shared" si="1225"/>
        <v/>
      </c>
      <c r="AD854" s="30" t="str">
        <f t="shared" si="1226"/>
        <v/>
      </c>
      <c r="AE854" s="4"/>
    </row>
    <row r="855" spans="5:31" hidden="1" x14ac:dyDescent="0.25">
      <c r="E855" s="46"/>
      <c r="F855" s="46"/>
      <c r="G855" s="50" t="str">
        <f t="shared" si="1209"/>
        <v/>
      </c>
      <c r="H855" s="27" t="str">
        <f t="shared" ref="H855:J855" si="1337">IF($G855="","",Q71+Q227+Q383+Q539+Q695)</f>
        <v/>
      </c>
      <c r="I855" s="27" t="str">
        <f t="shared" si="1337"/>
        <v/>
      </c>
      <c r="J855" s="27" t="str">
        <f t="shared" si="1337"/>
        <v/>
      </c>
      <c r="K855" s="27" t="str">
        <f t="shared" ref="K855:M855" si="1338">IF($G855="","",AQ71+AQ227+AQ383+AQ539+AQ695)</f>
        <v/>
      </c>
      <c r="L855" s="27" t="str">
        <f t="shared" si="1338"/>
        <v/>
      </c>
      <c r="M855" s="27" t="str">
        <f t="shared" si="1338"/>
        <v/>
      </c>
      <c r="N855" s="27" t="str">
        <f t="shared" si="1212"/>
        <v/>
      </c>
      <c r="O855" s="33" t="str">
        <f t="shared" si="1213"/>
        <v/>
      </c>
      <c r="P855" s="31"/>
      <c r="Q855" s="32" t="str">
        <f t="shared" si="1214"/>
        <v/>
      </c>
      <c r="R855" s="27" t="str">
        <f t="shared" si="1215"/>
        <v/>
      </c>
      <c r="S855" s="27" t="str">
        <f t="shared" si="1216"/>
        <v/>
      </c>
      <c r="T855" s="27" t="str">
        <f t="shared" si="1217"/>
        <v/>
      </c>
      <c r="U855" s="27" t="str">
        <f t="shared" si="1218"/>
        <v/>
      </c>
      <c r="V855" s="27" t="str">
        <f t="shared" si="1219"/>
        <v/>
      </c>
      <c r="W855" s="29" t="str">
        <f t="shared" si="1220"/>
        <v/>
      </c>
      <c r="X855" s="30" t="str">
        <f t="shared" si="1221"/>
        <v/>
      </c>
      <c r="Y855" s="46"/>
      <c r="Z855" s="32" t="str">
        <f t="shared" si="1222"/>
        <v/>
      </c>
      <c r="AA855" s="27" t="str">
        <f t="shared" si="1223"/>
        <v/>
      </c>
      <c r="AB855" s="27" t="str">
        <f t="shared" si="1224"/>
        <v/>
      </c>
      <c r="AC855" s="29" t="str">
        <f t="shared" si="1225"/>
        <v/>
      </c>
      <c r="AD855" s="30" t="str">
        <f t="shared" si="1226"/>
        <v/>
      </c>
      <c r="AE855" s="4"/>
    </row>
    <row r="856" spans="5:31" hidden="1" x14ac:dyDescent="0.25">
      <c r="E856" s="46"/>
      <c r="F856" s="46"/>
      <c r="G856" s="50" t="str">
        <f t="shared" si="1209"/>
        <v/>
      </c>
      <c r="H856" s="27" t="str">
        <f t="shared" ref="H856:J856" si="1339">IF($G856="","",Q72+Q228+Q384+Q540+Q696)</f>
        <v/>
      </c>
      <c r="I856" s="27" t="str">
        <f t="shared" si="1339"/>
        <v/>
      </c>
      <c r="J856" s="27" t="str">
        <f t="shared" si="1339"/>
        <v/>
      </c>
      <c r="K856" s="27" t="str">
        <f t="shared" ref="K856:M856" si="1340">IF($G856="","",AQ72+AQ228+AQ384+AQ540+AQ696)</f>
        <v/>
      </c>
      <c r="L856" s="27" t="str">
        <f t="shared" si="1340"/>
        <v/>
      </c>
      <c r="M856" s="27" t="str">
        <f t="shared" si="1340"/>
        <v/>
      </c>
      <c r="N856" s="27" t="str">
        <f t="shared" si="1212"/>
        <v/>
      </c>
      <c r="O856" s="33" t="str">
        <f t="shared" si="1213"/>
        <v/>
      </c>
      <c r="P856" s="31"/>
      <c r="Q856" s="32" t="str">
        <f t="shared" si="1214"/>
        <v/>
      </c>
      <c r="R856" s="27" t="str">
        <f t="shared" si="1215"/>
        <v/>
      </c>
      <c r="S856" s="27" t="str">
        <f t="shared" si="1216"/>
        <v/>
      </c>
      <c r="T856" s="27" t="str">
        <f t="shared" si="1217"/>
        <v/>
      </c>
      <c r="U856" s="27" t="str">
        <f t="shared" si="1218"/>
        <v/>
      </c>
      <c r="V856" s="27" t="str">
        <f t="shared" si="1219"/>
        <v/>
      </c>
      <c r="W856" s="29" t="str">
        <f t="shared" si="1220"/>
        <v/>
      </c>
      <c r="X856" s="30" t="str">
        <f t="shared" si="1221"/>
        <v/>
      </c>
      <c r="Y856" s="46"/>
      <c r="Z856" s="32" t="str">
        <f t="shared" si="1222"/>
        <v/>
      </c>
      <c r="AA856" s="27" t="str">
        <f t="shared" si="1223"/>
        <v/>
      </c>
      <c r="AB856" s="27" t="str">
        <f t="shared" si="1224"/>
        <v/>
      </c>
      <c r="AC856" s="29" t="str">
        <f t="shared" si="1225"/>
        <v/>
      </c>
      <c r="AD856" s="30" t="str">
        <f t="shared" si="1226"/>
        <v/>
      </c>
      <c r="AE856" s="4"/>
    </row>
    <row r="857" spans="5:31" hidden="1" x14ac:dyDescent="0.25">
      <c r="E857" s="46"/>
      <c r="F857" s="46"/>
      <c r="G857" s="50" t="str">
        <f t="shared" si="1209"/>
        <v/>
      </c>
      <c r="H857" s="27" t="str">
        <f t="shared" ref="H857:J857" si="1341">IF($G857="","",Q73+Q229+Q385+Q541+Q697)</f>
        <v/>
      </c>
      <c r="I857" s="27" t="str">
        <f t="shared" si="1341"/>
        <v/>
      </c>
      <c r="J857" s="27" t="str">
        <f t="shared" si="1341"/>
        <v/>
      </c>
      <c r="K857" s="27" t="str">
        <f t="shared" ref="K857:M857" si="1342">IF($G857="","",AQ73+AQ229+AQ385+AQ541+AQ697)</f>
        <v/>
      </c>
      <c r="L857" s="27" t="str">
        <f t="shared" si="1342"/>
        <v/>
      </c>
      <c r="M857" s="27" t="str">
        <f t="shared" si="1342"/>
        <v/>
      </c>
      <c r="N857" s="27" t="str">
        <f t="shared" si="1212"/>
        <v/>
      </c>
      <c r="O857" s="33" t="str">
        <f t="shared" si="1213"/>
        <v/>
      </c>
      <c r="P857" s="31"/>
      <c r="Q857" s="32" t="str">
        <f t="shared" si="1214"/>
        <v/>
      </c>
      <c r="R857" s="27" t="str">
        <f t="shared" si="1215"/>
        <v/>
      </c>
      <c r="S857" s="27" t="str">
        <f t="shared" si="1216"/>
        <v/>
      </c>
      <c r="T857" s="27" t="str">
        <f t="shared" si="1217"/>
        <v/>
      </c>
      <c r="U857" s="27" t="str">
        <f t="shared" si="1218"/>
        <v/>
      </c>
      <c r="V857" s="27" t="str">
        <f t="shared" si="1219"/>
        <v/>
      </c>
      <c r="W857" s="29" t="str">
        <f t="shared" si="1220"/>
        <v/>
      </c>
      <c r="X857" s="30" t="str">
        <f t="shared" si="1221"/>
        <v/>
      </c>
      <c r="Y857" s="46"/>
      <c r="Z857" s="32" t="str">
        <f t="shared" si="1222"/>
        <v/>
      </c>
      <c r="AA857" s="27" t="str">
        <f t="shared" si="1223"/>
        <v/>
      </c>
      <c r="AB857" s="27" t="str">
        <f t="shared" si="1224"/>
        <v/>
      </c>
      <c r="AC857" s="29" t="str">
        <f t="shared" si="1225"/>
        <v/>
      </c>
      <c r="AD857" s="30" t="str">
        <f t="shared" si="1226"/>
        <v/>
      </c>
      <c r="AE857" s="4"/>
    </row>
    <row r="858" spans="5:31" hidden="1" x14ac:dyDescent="0.25">
      <c r="E858" s="46"/>
      <c r="F858" s="46"/>
      <c r="G858" s="50" t="str">
        <f t="shared" si="1209"/>
        <v/>
      </c>
      <c r="H858" s="27" t="str">
        <f t="shared" ref="H858:J858" si="1343">IF($G858="","",Q74+Q230+Q386+Q542+Q698)</f>
        <v/>
      </c>
      <c r="I858" s="27" t="str">
        <f t="shared" si="1343"/>
        <v/>
      </c>
      <c r="J858" s="27" t="str">
        <f t="shared" si="1343"/>
        <v/>
      </c>
      <c r="K858" s="27" t="str">
        <f t="shared" ref="K858:M858" si="1344">IF($G858="","",AQ74+AQ230+AQ386+AQ542+AQ698)</f>
        <v/>
      </c>
      <c r="L858" s="27" t="str">
        <f t="shared" si="1344"/>
        <v/>
      </c>
      <c r="M858" s="27" t="str">
        <f t="shared" si="1344"/>
        <v/>
      </c>
      <c r="N858" s="27" t="str">
        <f t="shared" si="1212"/>
        <v/>
      </c>
      <c r="O858" s="33" t="str">
        <f t="shared" si="1213"/>
        <v/>
      </c>
      <c r="P858" s="31"/>
      <c r="Q858" s="32" t="str">
        <f t="shared" si="1214"/>
        <v/>
      </c>
      <c r="R858" s="27" t="str">
        <f t="shared" si="1215"/>
        <v/>
      </c>
      <c r="S858" s="27" t="str">
        <f t="shared" si="1216"/>
        <v/>
      </c>
      <c r="T858" s="27" t="str">
        <f t="shared" si="1217"/>
        <v/>
      </c>
      <c r="U858" s="27" t="str">
        <f t="shared" si="1218"/>
        <v/>
      </c>
      <c r="V858" s="27" t="str">
        <f t="shared" si="1219"/>
        <v/>
      </c>
      <c r="W858" s="29" t="str">
        <f t="shared" si="1220"/>
        <v/>
      </c>
      <c r="X858" s="30" t="str">
        <f t="shared" si="1221"/>
        <v/>
      </c>
      <c r="Y858" s="46"/>
      <c r="Z858" s="32" t="str">
        <f t="shared" si="1222"/>
        <v/>
      </c>
      <c r="AA858" s="27" t="str">
        <f t="shared" si="1223"/>
        <v/>
      </c>
      <c r="AB858" s="27" t="str">
        <f t="shared" si="1224"/>
        <v/>
      </c>
      <c r="AC858" s="29" t="str">
        <f t="shared" si="1225"/>
        <v/>
      </c>
      <c r="AD858" s="30" t="str">
        <f t="shared" si="1226"/>
        <v/>
      </c>
      <c r="AE858" s="4"/>
    </row>
    <row r="859" spans="5:31" hidden="1" x14ac:dyDescent="0.25">
      <c r="E859" s="46"/>
      <c r="F859" s="46"/>
      <c r="G859" s="50" t="str">
        <f t="shared" si="1209"/>
        <v/>
      </c>
      <c r="H859" s="27" t="str">
        <f t="shared" ref="H859:J859" si="1345">IF($G859="","",Q75+Q231+Q387+Q543+Q699)</f>
        <v/>
      </c>
      <c r="I859" s="27" t="str">
        <f t="shared" si="1345"/>
        <v/>
      </c>
      <c r="J859" s="27" t="str">
        <f t="shared" si="1345"/>
        <v/>
      </c>
      <c r="K859" s="27" t="str">
        <f t="shared" ref="K859:M859" si="1346">IF($G859="","",AQ75+AQ231+AQ387+AQ543+AQ699)</f>
        <v/>
      </c>
      <c r="L859" s="27" t="str">
        <f t="shared" si="1346"/>
        <v/>
      </c>
      <c r="M859" s="27" t="str">
        <f t="shared" si="1346"/>
        <v/>
      </c>
      <c r="N859" s="27" t="str">
        <f t="shared" si="1212"/>
        <v/>
      </c>
      <c r="O859" s="33" t="str">
        <f t="shared" si="1213"/>
        <v/>
      </c>
      <c r="P859" s="31"/>
      <c r="Q859" s="32" t="str">
        <f t="shared" si="1214"/>
        <v/>
      </c>
      <c r="R859" s="27" t="str">
        <f t="shared" si="1215"/>
        <v/>
      </c>
      <c r="S859" s="27" t="str">
        <f t="shared" si="1216"/>
        <v/>
      </c>
      <c r="T859" s="27" t="str">
        <f t="shared" si="1217"/>
        <v/>
      </c>
      <c r="U859" s="27" t="str">
        <f t="shared" si="1218"/>
        <v/>
      </c>
      <c r="V859" s="27" t="str">
        <f t="shared" si="1219"/>
        <v/>
      </c>
      <c r="W859" s="29" t="str">
        <f t="shared" si="1220"/>
        <v/>
      </c>
      <c r="X859" s="30" t="str">
        <f t="shared" si="1221"/>
        <v/>
      </c>
      <c r="Y859" s="46"/>
      <c r="Z859" s="32" t="str">
        <f t="shared" si="1222"/>
        <v/>
      </c>
      <c r="AA859" s="27" t="str">
        <f t="shared" si="1223"/>
        <v/>
      </c>
      <c r="AB859" s="27" t="str">
        <f t="shared" si="1224"/>
        <v/>
      </c>
      <c r="AC859" s="29" t="str">
        <f t="shared" si="1225"/>
        <v/>
      </c>
      <c r="AD859" s="30" t="str">
        <f t="shared" si="1226"/>
        <v/>
      </c>
      <c r="AE859" s="4"/>
    </row>
    <row r="860" spans="5:31" hidden="1" x14ac:dyDescent="0.25">
      <c r="E860" s="46"/>
      <c r="F860" s="46"/>
      <c r="G860" s="50" t="str">
        <f t="shared" si="1209"/>
        <v/>
      </c>
      <c r="H860" s="27" t="str">
        <f t="shared" ref="H860:J860" si="1347">IF($G860="","",Q76+Q232+Q388+Q544+Q700)</f>
        <v/>
      </c>
      <c r="I860" s="27" t="str">
        <f t="shared" si="1347"/>
        <v/>
      </c>
      <c r="J860" s="27" t="str">
        <f t="shared" si="1347"/>
        <v/>
      </c>
      <c r="K860" s="27" t="str">
        <f t="shared" ref="K860:M860" si="1348">IF($G860="","",AQ76+AQ232+AQ388+AQ544+AQ700)</f>
        <v/>
      </c>
      <c r="L860" s="27" t="str">
        <f t="shared" si="1348"/>
        <v/>
      </c>
      <c r="M860" s="27" t="str">
        <f t="shared" si="1348"/>
        <v/>
      </c>
      <c r="N860" s="27" t="str">
        <f t="shared" si="1212"/>
        <v/>
      </c>
      <c r="O860" s="33" t="str">
        <f t="shared" si="1213"/>
        <v/>
      </c>
      <c r="P860" s="31"/>
      <c r="Q860" s="32" t="str">
        <f t="shared" si="1214"/>
        <v/>
      </c>
      <c r="R860" s="27" t="str">
        <f t="shared" si="1215"/>
        <v/>
      </c>
      <c r="S860" s="27" t="str">
        <f t="shared" si="1216"/>
        <v/>
      </c>
      <c r="T860" s="27" t="str">
        <f t="shared" si="1217"/>
        <v/>
      </c>
      <c r="U860" s="27" t="str">
        <f t="shared" si="1218"/>
        <v/>
      </c>
      <c r="V860" s="27" t="str">
        <f t="shared" si="1219"/>
        <v/>
      </c>
      <c r="W860" s="29" t="str">
        <f t="shared" si="1220"/>
        <v/>
      </c>
      <c r="X860" s="30" t="str">
        <f t="shared" si="1221"/>
        <v/>
      </c>
      <c r="Y860" s="46"/>
      <c r="Z860" s="32" t="str">
        <f t="shared" si="1222"/>
        <v/>
      </c>
      <c r="AA860" s="27" t="str">
        <f t="shared" si="1223"/>
        <v/>
      </c>
      <c r="AB860" s="27" t="str">
        <f t="shared" si="1224"/>
        <v/>
      </c>
      <c r="AC860" s="29" t="str">
        <f t="shared" si="1225"/>
        <v/>
      </c>
      <c r="AD860" s="30" t="str">
        <f t="shared" si="1226"/>
        <v/>
      </c>
      <c r="AE860" s="4"/>
    </row>
    <row r="861" spans="5:31" hidden="1" x14ac:dyDescent="0.25">
      <c r="E861" s="46"/>
      <c r="F861" s="46"/>
      <c r="G861" s="50" t="str">
        <f t="shared" si="1209"/>
        <v/>
      </c>
      <c r="H861" s="27" t="str">
        <f t="shared" ref="H861:J861" si="1349">IF($G861="","",Q77+Q233+Q389+Q545+Q701)</f>
        <v/>
      </c>
      <c r="I861" s="27" t="str">
        <f t="shared" si="1349"/>
        <v/>
      </c>
      <c r="J861" s="27" t="str">
        <f t="shared" si="1349"/>
        <v/>
      </c>
      <c r="K861" s="27" t="str">
        <f t="shared" ref="K861:M861" si="1350">IF($G861="","",AQ77+AQ233+AQ389+AQ545+AQ701)</f>
        <v/>
      </c>
      <c r="L861" s="27" t="str">
        <f t="shared" si="1350"/>
        <v/>
      </c>
      <c r="M861" s="27" t="str">
        <f t="shared" si="1350"/>
        <v/>
      </c>
      <c r="N861" s="27" t="str">
        <f t="shared" si="1212"/>
        <v/>
      </c>
      <c r="O861" s="33" t="str">
        <f t="shared" si="1213"/>
        <v/>
      </c>
      <c r="P861" s="31"/>
      <c r="Q861" s="32" t="str">
        <f t="shared" si="1214"/>
        <v/>
      </c>
      <c r="R861" s="27" t="str">
        <f t="shared" si="1215"/>
        <v/>
      </c>
      <c r="S861" s="27" t="str">
        <f t="shared" si="1216"/>
        <v/>
      </c>
      <c r="T861" s="27" t="str">
        <f t="shared" si="1217"/>
        <v/>
      </c>
      <c r="U861" s="27" t="str">
        <f t="shared" si="1218"/>
        <v/>
      </c>
      <c r="V861" s="27" t="str">
        <f t="shared" si="1219"/>
        <v/>
      </c>
      <c r="W861" s="29" t="str">
        <f t="shared" si="1220"/>
        <v/>
      </c>
      <c r="X861" s="30" t="str">
        <f t="shared" si="1221"/>
        <v/>
      </c>
      <c r="Y861" s="46"/>
      <c r="Z861" s="32" t="str">
        <f t="shared" si="1222"/>
        <v/>
      </c>
      <c r="AA861" s="27" t="str">
        <f t="shared" si="1223"/>
        <v/>
      </c>
      <c r="AB861" s="27" t="str">
        <f t="shared" si="1224"/>
        <v/>
      </c>
      <c r="AC861" s="29" t="str">
        <f t="shared" si="1225"/>
        <v/>
      </c>
      <c r="AD861" s="30" t="str">
        <f t="shared" si="1226"/>
        <v/>
      </c>
      <c r="AE861" s="4"/>
    </row>
    <row r="862" spans="5:31" hidden="1" x14ac:dyDescent="0.25">
      <c r="E862" s="46"/>
      <c r="F862" s="46"/>
      <c r="G862" s="50" t="str">
        <f t="shared" si="1209"/>
        <v/>
      </c>
      <c r="H862" s="27" t="str">
        <f t="shared" ref="H862:J862" si="1351">IF($G862="","",Q78+Q234+Q390+Q546+Q702)</f>
        <v/>
      </c>
      <c r="I862" s="27" t="str">
        <f t="shared" si="1351"/>
        <v/>
      </c>
      <c r="J862" s="27" t="str">
        <f t="shared" si="1351"/>
        <v/>
      </c>
      <c r="K862" s="27" t="str">
        <f t="shared" ref="K862:M862" si="1352">IF($G862="","",AQ78+AQ234+AQ390+AQ546+AQ702)</f>
        <v/>
      </c>
      <c r="L862" s="27" t="str">
        <f t="shared" si="1352"/>
        <v/>
      </c>
      <c r="M862" s="27" t="str">
        <f t="shared" si="1352"/>
        <v/>
      </c>
      <c r="N862" s="27" t="str">
        <f t="shared" si="1212"/>
        <v/>
      </c>
      <c r="O862" s="33" t="str">
        <f t="shared" si="1213"/>
        <v/>
      </c>
      <c r="P862" s="31"/>
      <c r="Q862" s="32" t="str">
        <f t="shared" si="1214"/>
        <v/>
      </c>
      <c r="R862" s="27" t="str">
        <f t="shared" si="1215"/>
        <v/>
      </c>
      <c r="S862" s="27" t="str">
        <f t="shared" si="1216"/>
        <v/>
      </c>
      <c r="T862" s="27" t="str">
        <f t="shared" si="1217"/>
        <v/>
      </c>
      <c r="U862" s="27" t="str">
        <f t="shared" si="1218"/>
        <v/>
      </c>
      <c r="V862" s="27" t="str">
        <f t="shared" si="1219"/>
        <v/>
      </c>
      <c r="W862" s="29" t="str">
        <f t="shared" si="1220"/>
        <v/>
      </c>
      <c r="X862" s="30" t="str">
        <f t="shared" si="1221"/>
        <v/>
      </c>
      <c r="Y862" s="46"/>
      <c r="Z862" s="32" t="str">
        <f t="shared" si="1222"/>
        <v/>
      </c>
      <c r="AA862" s="27" t="str">
        <f t="shared" si="1223"/>
        <v/>
      </c>
      <c r="AB862" s="27" t="str">
        <f t="shared" si="1224"/>
        <v/>
      </c>
      <c r="AC862" s="29" t="str">
        <f t="shared" si="1225"/>
        <v/>
      </c>
      <c r="AD862" s="30" t="str">
        <f t="shared" si="1226"/>
        <v/>
      </c>
      <c r="AE862" s="4"/>
    </row>
    <row r="863" spans="5:31" hidden="1" x14ac:dyDescent="0.25">
      <c r="E863" s="46"/>
      <c r="F863" s="46"/>
      <c r="G863" s="50" t="str">
        <f t="shared" ref="G863:G926" si="1353">IF(M79="","",M79)</f>
        <v/>
      </c>
      <c r="H863" s="27" t="str">
        <f t="shared" ref="H863:J863" si="1354">IF($G863="","",Q79+Q235+Q391+Q547+Q703)</f>
        <v/>
      </c>
      <c r="I863" s="27" t="str">
        <f t="shared" si="1354"/>
        <v/>
      </c>
      <c r="J863" s="27" t="str">
        <f t="shared" si="1354"/>
        <v/>
      </c>
      <c r="K863" s="27" t="str">
        <f t="shared" ref="K863:M863" si="1355">IF($G863="","",AQ79+AQ235+AQ391+AQ547+AQ703)</f>
        <v/>
      </c>
      <c r="L863" s="27" t="str">
        <f t="shared" si="1355"/>
        <v/>
      </c>
      <c r="M863" s="27" t="str">
        <f t="shared" si="1355"/>
        <v/>
      </c>
      <c r="N863" s="27" t="str">
        <f t="shared" ref="N863:N926" si="1356">IF(G863="","",SQRT(H863^2+I863^2+J863^2))</f>
        <v/>
      </c>
      <c r="O863" s="33" t="str">
        <f t="shared" ref="O863:O926" si="1357">IF(G863="","",SQRT(K863^2+L863^2+M863^2))</f>
        <v/>
      </c>
      <c r="P863" s="31"/>
      <c r="Q863" s="32" t="str">
        <f t="shared" ref="Q863:Q926" si="1358">IF($G863="","",H863*0.224808)</f>
        <v/>
      </c>
      <c r="R863" s="27" t="str">
        <f t="shared" ref="R863:R926" si="1359">IF($G863="","",I863*0.224808)</f>
        <v/>
      </c>
      <c r="S863" s="27" t="str">
        <f t="shared" ref="S863:S926" si="1360">IF($G863="","",J863*0.224808)</f>
        <v/>
      </c>
      <c r="T863" s="27" t="str">
        <f t="shared" ref="T863:T926" si="1361">IF($G863="","",K863*0.737562)</f>
        <v/>
      </c>
      <c r="U863" s="27" t="str">
        <f t="shared" ref="U863:U926" si="1362">IF($G863="","",L863*0.737562)</f>
        <v/>
      </c>
      <c r="V863" s="27" t="str">
        <f t="shared" ref="V863:V926" si="1363">IF($G863="","",M863*0.737562)</f>
        <v/>
      </c>
      <c r="W863" s="29" t="str">
        <f t="shared" ref="W863:W926" si="1364">IF(G863="","",MAX(ABS(Q863)/$Q$948,ABS(R863)/$R$948,ABS(S863)/$S$948,ABS(T863)/$T$948,ABS(U863)/$U$948,ABS(V863)/$V$948)*100)</f>
        <v/>
      </c>
      <c r="X863" s="30" t="str">
        <f t="shared" ref="X863:X926" si="1365">IF(G863="","",IF(W863&lt;=100, "PASS","FAIL"))</f>
        <v/>
      </c>
      <c r="Y863" s="46"/>
      <c r="Z863" s="32" t="str">
        <f t="shared" ref="Z863:Z926" si="1366">IF(G863="","",SQRT(Q863^2+R863^2+S863^2))</f>
        <v/>
      </c>
      <c r="AA863" s="27" t="str">
        <f t="shared" ref="AA863:AA926" si="1367">IF(G863="","",SQRT(T863^2+U863^2+V863^2))</f>
        <v/>
      </c>
      <c r="AB863" s="27" t="str">
        <f t="shared" ref="AB863:AB926" si="1368">IF(G863="","",Z863*2+AA863)</f>
        <v/>
      </c>
      <c r="AC863" s="29" t="str">
        <f t="shared" ref="AC863:AC926" si="1369">IF(G863="","",AB863/$AB$948*100)</f>
        <v/>
      </c>
      <c r="AD863" s="30" t="str">
        <f t="shared" ref="AD863:AD926" si="1370">IF(G863="","",IF(AC863&lt;=100, "PASS","FAIL"))</f>
        <v/>
      </c>
      <c r="AE863" s="4"/>
    </row>
    <row r="864" spans="5:31" hidden="1" x14ac:dyDescent="0.25">
      <c r="E864" s="46"/>
      <c r="F864" s="46"/>
      <c r="G864" s="50" t="str">
        <f t="shared" si="1353"/>
        <v/>
      </c>
      <c r="H864" s="27" t="str">
        <f t="shared" ref="H864:J864" si="1371">IF($G864="","",Q80+Q236+Q392+Q548+Q704)</f>
        <v/>
      </c>
      <c r="I864" s="27" t="str">
        <f t="shared" si="1371"/>
        <v/>
      </c>
      <c r="J864" s="27" t="str">
        <f t="shared" si="1371"/>
        <v/>
      </c>
      <c r="K864" s="27" t="str">
        <f t="shared" ref="K864:M864" si="1372">IF($G864="","",AQ80+AQ236+AQ392+AQ548+AQ704)</f>
        <v/>
      </c>
      <c r="L864" s="27" t="str">
        <f t="shared" si="1372"/>
        <v/>
      </c>
      <c r="M864" s="27" t="str">
        <f t="shared" si="1372"/>
        <v/>
      </c>
      <c r="N864" s="27" t="str">
        <f t="shared" si="1356"/>
        <v/>
      </c>
      <c r="O864" s="33" t="str">
        <f t="shared" si="1357"/>
        <v/>
      </c>
      <c r="P864" s="31"/>
      <c r="Q864" s="32" t="str">
        <f t="shared" si="1358"/>
        <v/>
      </c>
      <c r="R864" s="27" t="str">
        <f t="shared" si="1359"/>
        <v/>
      </c>
      <c r="S864" s="27" t="str">
        <f t="shared" si="1360"/>
        <v/>
      </c>
      <c r="T864" s="27" t="str">
        <f t="shared" si="1361"/>
        <v/>
      </c>
      <c r="U864" s="27" t="str">
        <f t="shared" si="1362"/>
        <v/>
      </c>
      <c r="V864" s="27" t="str">
        <f t="shared" si="1363"/>
        <v/>
      </c>
      <c r="W864" s="29" t="str">
        <f t="shared" si="1364"/>
        <v/>
      </c>
      <c r="X864" s="30" t="str">
        <f t="shared" si="1365"/>
        <v/>
      </c>
      <c r="Y864" s="46"/>
      <c r="Z864" s="32" t="str">
        <f t="shared" si="1366"/>
        <v/>
      </c>
      <c r="AA864" s="27" t="str">
        <f t="shared" si="1367"/>
        <v/>
      </c>
      <c r="AB864" s="27" t="str">
        <f t="shared" si="1368"/>
        <v/>
      </c>
      <c r="AC864" s="29" t="str">
        <f t="shared" si="1369"/>
        <v/>
      </c>
      <c r="AD864" s="30" t="str">
        <f t="shared" si="1370"/>
        <v/>
      </c>
      <c r="AE864" s="4"/>
    </row>
    <row r="865" spans="5:31" hidden="1" x14ac:dyDescent="0.25">
      <c r="E865" s="46"/>
      <c r="F865" s="46"/>
      <c r="G865" s="50" t="str">
        <f t="shared" si="1353"/>
        <v/>
      </c>
      <c r="H865" s="27" t="str">
        <f t="shared" ref="H865:J865" si="1373">IF($G865="","",Q81+Q237+Q393+Q549+Q705)</f>
        <v/>
      </c>
      <c r="I865" s="27" t="str">
        <f t="shared" si="1373"/>
        <v/>
      </c>
      <c r="J865" s="27" t="str">
        <f t="shared" si="1373"/>
        <v/>
      </c>
      <c r="K865" s="27" t="str">
        <f t="shared" ref="K865:M865" si="1374">IF($G865="","",AQ81+AQ237+AQ393+AQ549+AQ705)</f>
        <v/>
      </c>
      <c r="L865" s="27" t="str">
        <f t="shared" si="1374"/>
        <v/>
      </c>
      <c r="M865" s="27" t="str">
        <f t="shared" si="1374"/>
        <v/>
      </c>
      <c r="N865" s="27" t="str">
        <f t="shared" si="1356"/>
        <v/>
      </c>
      <c r="O865" s="33" t="str">
        <f t="shared" si="1357"/>
        <v/>
      </c>
      <c r="P865" s="31"/>
      <c r="Q865" s="32" t="str">
        <f t="shared" si="1358"/>
        <v/>
      </c>
      <c r="R865" s="27" t="str">
        <f t="shared" si="1359"/>
        <v/>
      </c>
      <c r="S865" s="27" t="str">
        <f t="shared" si="1360"/>
        <v/>
      </c>
      <c r="T865" s="27" t="str">
        <f t="shared" si="1361"/>
        <v/>
      </c>
      <c r="U865" s="27" t="str">
        <f t="shared" si="1362"/>
        <v/>
      </c>
      <c r="V865" s="27" t="str">
        <f t="shared" si="1363"/>
        <v/>
      </c>
      <c r="W865" s="29" t="str">
        <f t="shared" si="1364"/>
        <v/>
      </c>
      <c r="X865" s="30" t="str">
        <f t="shared" si="1365"/>
        <v/>
      </c>
      <c r="Y865" s="46"/>
      <c r="Z865" s="32" t="str">
        <f t="shared" si="1366"/>
        <v/>
      </c>
      <c r="AA865" s="27" t="str">
        <f t="shared" si="1367"/>
        <v/>
      </c>
      <c r="AB865" s="27" t="str">
        <f t="shared" si="1368"/>
        <v/>
      </c>
      <c r="AC865" s="29" t="str">
        <f t="shared" si="1369"/>
        <v/>
      </c>
      <c r="AD865" s="30" t="str">
        <f t="shared" si="1370"/>
        <v/>
      </c>
      <c r="AE865" s="4"/>
    </row>
    <row r="866" spans="5:31" hidden="1" x14ac:dyDescent="0.25">
      <c r="E866" s="46"/>
      <c r="F866" s="46"/>
      <c r="G866" s="50" t="str">
        <f t="shared" si="1353"/>
        <v/>
      </c>
      <c r="H866" s="27" t="str">
        <f t="shared" ref="H866:J866" si="1375">IF($G866="","",Q82+Q238+Q394+Q550+Q706)</f>
        <v/>
      </c>
      <c r="I866" s="27" t="str">
        <f t="shared" si="1375"/>
        <v/>
      </c>
      <c r="J866" s="27" t="str">
        <f t="shared" si="1375"/>
        <v/>
      </c>
      <c r="K866" s="27" t="str">
        <f t="shared" ref="K866:M866" si="1376">IF($G866="","",AQ82+AQ238+AQ394+AQ550+AQ706)</f>
        <v/>
      </c>
      <c r="L866" s="27" t="str">
        <f t="shared" si="1376"/>
        <v/>
      </c>
      <c r="M866" s="27" t="str">
        <f t="shared" si="1376"/>
        <v/>
      </c>
      <c r="N866" s="27" t="str">
        <f t="shared" si="1356"/>
        <v/>
      </c>
      <c r="O866" s="33" t="str">
        <f t="shared" si="1357"/>
        <v/>
      </c>
      <c r="P866" s="31"/>
      <c r="Q866" s="32" t="str">
        <f t="shared" si="1358"/>
        <v/>
      </c>
      <c r="R866" s="27" t="str">
        <f t="shared" si="1359"/>
        <v/>
      </c>
      <c r="S866" s="27" t="str">
        <f t="shared" si="1360"/>
        <v/>
      </c>
      <c r="T866" s="27" t="str">
        <f t="shared" si="1361"/>
        <v/>
      </c>
      <c r="U866" s="27" t="str">
        <f t="shared" si="1362"/>
        <v/>
      </c>
      <c r="V866" s="27" t="str">
        <f t="shared" si="1363"/>
        <v/>
      </c>
      <c r="W866" s="29" t="str">
        <f t="shared" si="1364"/>
        <v/>
      </c>
      <c r="X866" s="30" t="str">
        <f t="shared" si="1365"/>
        <v/>
      </c>
      <c r="Y866" s="46"/>
      <c r="Z866" s="32" t="str">
        <f t="shared" si="1366"/>
        <v/>
      </c>
      <c r="AA866" s="27" t="str">
        <f t="shared" si="1367"/>
        <v/>
      </c>
      <c r="AB866" s="27" t="str">
        <f t="shared" si="1368"/>
        <v/>
      </c>
      <c r="AC866" s="29" t="str">
        <f t="shared" si="1369"/>
        <v/>
      </c>
      <c r="AD866" s="30" t="str">
        <f t="shared" si="1370"/>
        <v/>
      </c>
      <c r="AE866" s="4"/>
    </row>
    <row r="867" spans="5:31" hidden="1" x14ac:dyDescent="0.25">
      <c r="E867" s="46"/>
      <c r="F867" s="46"/>
      <c r="G867" s="50" t="str">
        <f t="shared" si="1353"/>
        <v/>
      </c>
      <c r="H867" s="27" t="str">
        <f t="shared" ref="H867:J867" si="1377">IF($G867="","",Q83+Q239+Q395+Q551+Q707)</f>
        <v/>
      </c>
      <c r="I867" s="27" t="str">
        <f t="shared" si="1377"/>
        <v/>
      </c>
      <c r="J867" s="27" t="str">
        <f t="shared" si="1377"/>
        <v/>
      </c>
      <c r="K867" s="27" t="str">
        <f t="shared" ref="K867:M867" si="1378">IF($G867="","",AQ83+AQ239+AQ395+AQ551+AQ707)</f>
        <v/>
      </c>
      <c r="L867" s="27" t="str">
        <f t="shared" si="1378"/>
        <v/>
      </c>
      <c r="M867" s="27" t="str">
        <f t="shared" si="1378"/>
        <v/>
      </c>
      <c r="N867" s="27" t="str">
        <f t="shared" si="1356"/>
        <v/>
      </c>
      <c r="O867" s="33" t="str">
        <f t="shared" si="1357"/>
        <v/>
      </c>
      <c r="P867" s="31"/>
      <c r="Q867" s="32" t="str">
        <f t="shared" si="1358"/>
        <v/>
      </c>
      <c r="R867" s="27" t="str">
        <f t="shared" si="1359"/>
        <v/>
      </c>
      <c r="S867" s="27" t="str">
        <f t="shared" si="1360"/>
        <v/>
      </c>
      <c r="T867" s="27" t="str">
        <f t="shared" si="1361"/>
        <v/>
      </c>
      <c r="U867" s="27" t="str">
        <f t="shared" si="1362"/>
        <v/>
      </c>
      <c r="V867" s="27" t="str">
        <f t="shared" si="1363"/>
        <v/>
      </c>
      <c r="W867" s="29" t="str">
        <f t="shared" si="1364"/>
        <v/>
      </c>
      <c r="X867" s="30" t="str">
        <f t="shared" si="1365"/>
        <v/>
      </c>
      <c r="Y867" s="46"/>
      <c r="Z867" s="32" t="str">
        <f t="shared" si="1366"/>
        <v/>
      </c>
      <c r="AA867" s="27" t="str">
        <f t="shared" si="1367"/>
        <v/>
      </c>
      <c r="AB867" s="27" t="str">
        <f t="shared" si="1368"/>
        <v/>
      </c>
      <c r="AC867" s="29" t="str">
        <f t="shared" si="1369"/>
        <v/>
      </c>
      <c r="AD867" s="30" t="str">
        <f t="shared" si="1370"/>
        <v/>
      </c>
      <c r="AE867" s="4"/>
    </row>
    <row r="868" spans="5:31" hidden="1" x14ac:dyDescent="0.25">
      <c r="E868" s="46"/>
      <c r="F868" s="46"/>
      <c r="G868" s="50" t="str">
        <f t="shared" si="1353"/>
        <v/>
      </c>
      <c r="H868" s="27" t="str">
        <f t="shared" ref="H868:J868" si="1379">IF($G868="","",Q84+Q240+Q396+Q552+Q708)</f>
        <v/>
      </c>
      <c r="I868" s="27" t="str">
        <f t="shared" si="1379"/>
        <v/>
      </c>
      <c r="J868" s="27" t="str">
        <f t="shared" si="1379"/>
        <v/>
      </c>
      <c r="K868" s="27" t="str">
        <f t="shared" ref="K868:M868" si="1380">IF($G868="","",AQ84+AQ240+AQ396+AQ552+AQ708)</f>
        <v/>
      </c>
      <c r="L868" s="27" t="str">
        <f t="shared" si="1380"/>
        <v/>
      </c>
      <c r="M868" s="27" t="str">
        <f t="shared" si="1380"/>
        <v/>
      </c>
      <c r="N868" s="27" t="str">
        <f t="shared" si="1356"/>
        <v/>
      </c>
      <c r="O868" s="33" t="str">
        <f t="shared" si="1357"/>
        <v/>
      </c>
      <c r="P868" s="31"/>
      <c r="Q868" s="32" t="str">
        <f t="shared" si="1358"/>
        <v/>
      </c>
      <c r="R868" s="27" t="str">
        <f t="shared" si="1359"/>
        <v/>
      </c>
      <c r="S868" s="27" t="str">
        <f t="shared" si="1360"/>
        <v/>
      </c>
      <c r="T868" s="27" t="str">
        <f t="shared" si="1361"/>
        <v/>
      </c>
      <c r="U868" s="27" t="str">
        <f t="shared" si="1362"/>
        <v/>
      </c>
      <c r="V868" s="27" t="str">
        <f t="shared" si="1363"/>
        <v/>
      </c>
      <c r="W868" s="29" t="str">
        <f t="shared" si="1364"/>
        <v/>
      </c>
      <c r="X868" s="30" t="str">
        <f t="shared" si="1365"/>
        <v/>
      </c>
      <c r="Y868" s="46"/>
      <c r="Z868" s="32" t="str">
        <f t="shared" si="1366"/>
        <v/>
      </c>
      <c r="AA868" s="27" t="str">
        <f t="shared" si="1367"/>
        <v/>
      </c>
      <c r="AB868" s="27" t="str">
        <f t="shared" si="1368"/>
        <v/>
      </c>
      <c r="AC868" s="29" t="str">
        <f t="shared" si="1369"/>
        <v/>
      </c>
      <c r="AD868" s="30" t="str">
        <f t="shared" si="1370"/>
        <v/>
      </c>
      <c r="AE868" s="4"/>
    </row>
    <row r="869" spans="5:31" hidden="1" x14ac:dyDescent="0.25">
      <c r="E869" s="46"/>
      <c r="F869" s="46"/>
      <c r="G869" s="50" t="str">
        <f t="shared" si="1353"/>
        <v/>
      </c>
      <c r="H869" s="27" t="str">
        <f t="shared" ref="H869:J869" si="1381">IF($G869="","",Q85+Q241+Q397+Q553+Q709)</f>
        <v/>
      </c>
      <c r="I869" s="27" t="str">
        <f t="shared" si="1381"/>
        <v/>
      </c>
      <c r="J869" s="27" t="str">
        <f t="shared" si="1381"/>
        <v/>
      </c>
      <c r="K869" s="27" t="str">
        <f t="shared" ref="K869:M869" si="1382">IF($G869="","",AQ85+AQ241+AQ397+AQ553+AQ709)</f>
        <v/>
      </c>
      <c r="L869" s="27" t="str">
        <f t="shared" si="1382"/>
        <v/>
      </c>
      <c r="M869" s="27" t="str">
        <f t="shared" si="1382"/>
        <v/>
      </c>
      <c r="N869" s="27" t="str">
        <f t="shared" si="1356"/>
        <v/>
      </c>
      <c r="O869" s="33" t="str">
        <f t="shared" si="1357"/>
        <v/>
      </c>
      <c r="P869" s="31"/>
      <c r="Q869" s="32" t="str">
        <f t="shared" si="1358"/>
        <v/>
      </c>
      <c r="R869" s="27" t="str">
        <f t="shared" si="1359"/>
        <v/>
      </c>
      <c r="S869" s="27" t="str">
        <f t="shared" si="1360"/>
        <v/>
      </c>
      <c r="T869" s="27" t="str">
        <f t="shared" si="1361"/>
        <v/>
      </c>
      <c r="U869" s="27" t="str">
        <f t="shared" si="1362"/>
        <v/>
      </c>
      <c r="V869" s="27" t="str">
        <f t="shared" si="1363"/>
        <v/>
      </c>
      <c r="W869" s="29" t="str">
        <f t="shared" si="1364"/>
        <v/>
      </c>
      <c r="X869" s="30" t="str">
        <f t="shared" si="1365"/>
        <v/>
      </c>
      <c r="Y869" s="46"/>
      <c r="Z869" s="32" t="str">
        <f t="shared" si="1366"/>
        <v/>
      </c>
      <c r="AA869" s="27" t="str">
        <f t="shared" si="1367"/>
        <v/>
      </c>
      <c r="AB869" s="27" t="str">
        <f t="shared" si="1368"/>
        <v/>
      </c>
      <c r="AC869" s="29" t="str">
        <f t="shared" si="1369"/>
        <v/>
      </c>
      <c r="AD869" s="30" t="str">
        <f t="shared" si="1370"/>
        <v/>
      </c>
      <c r="AE869" s="4"/>
    </row>
    <row r="870" spans="5:31" hidden="1" x14ac:dyDescent="0.25">
      <c r="E870" s="46"/>
      <c r="F870" s="46"/>
      <c r="G870" s="50" t="str">
        <f t="shared" si="1353"/>
        <v/>
      </c>
      <c r="H870" s="27" t="str">
        <f t="shared" ref="H870:J870" si="1383">IF($G870="","",Q86+Q242+Q398+Q554+Q710)</f>
        <v/>
      </c>
      <c r="I870" s="27" t="str">
        <f t="shared" si="1383"/>
        <v/>
      </c>
      <c r="J870" s="27" t="str">
        <f t="shared" si="1383"/>
        <v/>
      </c>
      <c r="K870" s="27" t="str">
        <f t="shared" ref="K870:M870" si="1384">IF($G870="","",AQ86+AQ242+AQ398+AQ554+AQ710)</f>
        <v/>
      </c>
      <c r="L870" s="27" t="str">
        <f t="shared" si="1384"/>
        <v/>
      </c>
      <c r="M870" s="27" t="str">
        <f t="shared" si="1384"/>
        <v/>
      </c>
      <c r="N870" s="27" t="str">
        <f t="shared" si="1356"/>
        <v/>
      </c>
      <c r="O870" s="33" t="str">
        <f t="shared" si="1357"/>
        <v/>
      </c>
      <c r="P870" s="31"/>
      <c r="Q870" s="32" t="str">
        <f t="shared" si="1358"/>
        <v/>
      </c>
      <c r="R870" s="27" t="str">
        <f t="shared" si="1359"/>
        <v/>
      </c>
      <c r="S870" s="27" t="str">
        <f t="shared" si="1360"/>
        <v/>
      </c>
      <c r="T870" s="27" t="str">
        <f t="shared" si="1361"/>
        <v/>
      </c>
      <c r="U870" s="27" t="str">
        <f t="shared" si="1362"/>
        <v/>
      </c>
      <c r="V870" s="27" t="str">
        <f t="shared" si="1363"/>
        <v/>
      </c>
      <c r="W870" s="29" t="str">
        <f t="shared" si="1364"/>
        <v/>
      </c>
      <c r="X870" s="30" t="str">
        <f t="shared" si="1365"/>
        <v/>
      </c>
      <c r="Y870" s="46"/>
      <c r="Z870" s="32" t="str">
        <f t="shared" si="1366"/>
        <v/>
      </c>
      <c r="AA870" s="27" t="str">
        <f t="shared" si="1367"/>
        <v/>
      </c>
      <c r="AB870" s="27" t="str">
        <f t="shared" si="1368"/>
        <v/>
      </c>
      <c r="AC870" s="29" t="str">
        <f t="shared" si="1369"/>
        <v/>
      </c>
      <c r="AD870" s="30" t="str">
        <f t="shared" si="1370"/>
        <v/>
      </c>
      <c r="AE870" s="4"/>
    </row>
    <row r="871" spans="5:31" hidden="1" x14ac:dyDescent="0.25">
      <c r="E871" s="46"/>
      <c r="F871" s="46"/>
      <c r="G871" s="50" t="str">
        <f t="shared" si="1353"/>
        <v/>
      </c>
      <c r="H871" s="27" t="str">
        <f t="shared" ref="H871:J871" si="1385">IF($G871="","",Q87+Q243+Q399+Q555+Q711)</f>
        <v/>
      </c>
      <c r="I871" s="27" t="str">
        <f t="shared" si="1385"/>
        <v/>
      </c>
      <c r="J871" s="27" t="str">
        <f t="shared" si="1385"/>
        <v/>
      </c>
      <c r="K871" s="27" t="str">
        <f t="shared" ref="K871:M871" si="1386">IF($G871="","",AQ87+AQ243+AQ399+AQ555+AQ711)</f>
        <v/>
      </c>
      <c r="L871" s="27" t="str">
        <f t="shared" si="1386"/>
        <v/>
      </c>
      <c r="M871" s="27" t="str">
        <f t="shared" si="1386"/>
        <v/>
      </c>
      <c r="N871" s="27" t="str">
        <f t="shared" si="1356"/>
        <v/>
      </c>
      <c r="O871" s="33" t="str">
        <f t="shared" si="1357"/>
        <v/>
      </c>
      <c r="P871" s="31"/>
      <c r="Q871" s="32" t="str">
        <f t="shared" si="1358"/>
        <v/>
      </c>
      <c r="R871" s="27" t="str">
        <f t="shared" si="1359"/>
        <v/>
      </c>
      <c r="S871" s="27" t="str">
        <f t="shared" si="1360"/>
        <v/>
      </c>
      <c r="T871" s="27" t="str">
        <f t="shared" si="1361"/>
        <v/>
      </c>
      <c r="U871" s="27" t="str">
        <f t="shared" si="1362"/>
        <v/>
      </c>
      <c r="V871" s="27" t="str">
        <f t="shared" si="1363"/>
        <v/>
      </c>
      <c r="W871" s="29" t="str">
        <f t="shared" si="1364"/>
        <v/>
      </c>
      <c r="X871" s="30" t="str">
        <f t="shared" si="1365"/>
        <v/>
      </c>
      <c r="Y871" s="46"/>
      <c r="Z871" s="32" t="str">
        <f t="shared" si="1366"/>
        <v/>
      </c>
      <c r="AA871" s="27" t="str">
        <f t="shared" si="1367"/>
        <v/>
      </c>
      <c r="AB871" s="27" t="str">
        <f t="shared" si="1368"/>
        <v/>
      </c>
      <c r="AC871" s="29" t="str">
        <f t="shared" si="1369"/>
        <v/>
      </c>
      <c r="AD871" s="30" t="str">
        <f t="shared" si="1370"/>
        <v/>
      </c>
      <c r="AE871" s="4"/>
    </row>
    <row r="872" spans="5:31" hidden="1" x14ac:dyDescent="0.25">
      <c r="E872" s="46"/>
      <c r="F872" s="46"/>
      <c r="G872" s="50" t="str">
        <f t="shared" si="1353"/>
        <v/>
      </c>
      <c r="H872" s="27" t="str">
        <f t="shared" ref="H872:J872" si="1387">IF($G872="","",Q88+Q244+Q400+Q556+Q712)</f>
        <v/>
      </c>
      <c r="I872" s="27" t="str">
        <f t="shared" si="1387"/>
        <v/>
      </c>
      <c r="J872" s="27" t="str">
        <f t="shared" si="1387"/>
        <v/>
      </c>
      <c r="K872" s="27" t="str">
        <f t="shared" ref="K872:M872" si="1388">IF($G872="","",AQ88+AQ244+AQ400+AQ556+AQ712)</f>
        <v/>
      </c>
      <c r="L872" s="27" t="str">
        <f t="shared" si="1388"/>
        <v/>
      </c>
      <c r="M872" s="27" t="str">
        <f t="shared" si="1388"/>
        <v/>
      </c>
      <c r="N872" s="27" t="str">
        <f t="shared" si="1356"/>
        <v/>
      </c>
      <c r="O872" s="33" t="str">
        <f t="shared" si="1357"/>
        <v/>
      </c>
      <c r="P872" s="31"/>
      <c r="Q872" s="32" t="str">
        <f t="shared" si="1358"/>
        <v/>
      </c>
      <c r="R872" s="27" t="str">
        <f t="shared" si="1359"/>
        <v/>
      </c>
      <c r="S872" s="27" t="str">
        <f t="shared" si="1360"/>
        <v/>
      </c>
      <c r="T872" s="27" t="str">
        <f t="shared" si="1361"/>
        <v/>
      </c>
      <c r="U872" s="27" t="str">
        <f t="shared" si="1362"/>
        <v/>
      </c>
      <c r="V872" s="27" t="str">
        <f t="shared" si="1363"/>
        <v/>
      </c>
      <c r="W872" s="29" t="str">
        <f t="shared" si="1364"/>
        <v/>
      </c>
      <c r="X872" s="30" t="str">
        <f t="shared" si="1365"/>
        <v/>
      </c>
      <c r="Y872" s="46"/>
      <c r="Z872" s="32" t="str">
        <f t="shared" si="1366"/>
        <v/>
      </c>
      <c r="AA872" s="27" t="str">
        <f t="shared" si="1367"/>
        <v/>
      </c>
      <c r="AB872" s="27" t="str">
        <f t="shared" si="1368"/>
        <v/>
      </c>
      <c r="AC872" s="29" t="str">
        <f t="shared" si="1369"/>
        <v/>
      </c>
      <c r="AD872" s="30" t="str">
        <f t="shared" si="1370"/>
        <v/>
      </c>
      <c r="AE872" s="4"/>
    </row>
    <row r="873" spans="5:31" hidden="1" x14ac:dyDescent="0.25">
      <c r="E873" s="46"/>
      <c r="F873" s="46"/>
      <c r="G873" s="50" t="str">
        <f t="shared" si="1353"/>
        <v/>
      </c>
      <c r="H873" s="27" t="str">
        <f t="shared" ref="H873:J873" si="1389">IF($G873="","",Q89+Q245+Q401+Q557+Q713)</f>
        <v/>
      </c>
      <c r="I873" s="27" t="str">
        <f t="shared" si="1389"/>
        <v/>
      </c>
      <c r="J873" s="27" t="str">
        <f t="shared" si="1389"/>
        <v/>
      </c>
      <c r="K873" s="27" t="str">
        <f t="shared" ref="K873:M873" si="1390">IF($G873="","",AQ89+AQ245+AQ401+AQ557+AQ713)</f>
        <v/>
      </c>
      <c r="L873" s="27" t="str">
        <f t="shared" si="1390"/>
        <v/>
      </c>
      <c r="M873" s="27" t="str">
        <f t="shared" si="1390"/>
        <v/>
      </c>
      <c r="N873" s="27" t="str">
        <f t="shared" si="1356"/>
        <v/>
      </c>
      <c r="O873" s="33" t="str">
        <f t="shared" si="1357"/>
        <v/>
      </c>
      <c r="P873" s="31"/>
      <c r="Q873" s="32" t="str">
        <f t="shared" si="1358"/>
        <v/>
      </c>
      <c r="R873" s="27" t="str">
        <f t="shared" si="1359"/>
        <v/>
      </c>
      <c r="S873" s="27" t="str">
        <f t="shared" si="1360"/>
        <v/>
      </c>
      <c r="T873" s="27" t="str">
        <f t="shared" si="1361"/>
        <v/>
      </c>
      <c r="U873" s="27" t="str">
        <f t="shared" si="1362"/>
        <v/>
      </c>
      <c r="V873" s="27" t="str">
        <f t="shared" si="1363"/>
        <v/>
      </c>
      <c r="W873" s="29" t="str">
        <f t="shared" si="1364"/>
        <v/>
      </c>
      <c r="X873" s="30" t="str">
        <f t="shared" si="1365"/>
        <v/>
      </c>
      <c r="Y873" s="46"/>
      <c r="Z873" s="32" t="str">
        <f t="shared" si="1366"/>
        <v/>
      </c>
      <c r="AA873" s="27" t="str">
        <f t="shared" si="1367"/>
        <v/>
      </c>
      <c r="AB873" s="27" t="str">
        <f t="shared" si="1368"/>
        <v/>
      </c>
      <c r="AC873" s="29" t="str">
        <f t="shared" si="1369"/>
        <v/>
      </c>
      <c r="AD873" s="30" t="str">
        <f t="shared" si="1370"/>
        <v/>
      </c>
      <c r="AE873" s="4"/>
    </row>
    <row r="874" spans="5:31" hidden="1" x14ac:dyDescent="0.25">
      <c r="E874" s="46"/>
      <c r="F874" s="46"/>
      <c r="G874" s="50" t="str">
        <f t="shared" si="1353"/>
        <v/>
      </c>
      <c r="H874" s="27" t="str">
        <f t="shared" ref="H874:J874" si="1391">IF($G874="","",Q90+Q246+Q402+Q558+Q714)</f>
        <v/>
      </c>
      <c r="I874" s="27" t="str">
        <f t="shared" si="1391"/>
        <v/>
      </c>
      <c r="J874" s="27" t="str">
        <f t="shared" si="1391"/>
        <v/>
      </c>
      <c r="K874" s="27" t="str">
        <f t="shared" ref="K874:M874" si="1392">IF($G874="","",AQ90+AQ246+AQ402+AQ558+AQ714)</f>
        <v/>
      </c>
      <c r="L874" s="27" t="str">
        <f t="shared" si="1392"/>
        <v/>
      </c>
      <c r="M874" s="27" t="str">
        <f t="shared" si="1392"/>
        <v/>
      </c>
      <c r="N874" s="27" t="str">
        <f t="shared" si="1356"/>
        <v/>
      </c>
      <c r="O874" s="33" t="str">
        <f t="shared" si="1357"/>
        <v/>
      </c>
      <c r="P874" s="31"/>
      <c r="Q874" s="32" t="str">
        <f t="shared" si="1358"/>
        <v/>
      </c>
      <c r="R874" s="27" t="str">
        <f t="shared" si="1359"/>
        <v/>
      </c>
      <c r="S874" s="27" t="str">
        <f t="shared" si="1360"/>
        <v/>
      </c>
      <c r="T874" s="27" t="str">
        <f t="shared" si="1361"/>
        <v/>
      </c>
      <c r="U874" s="27" t="str">
        <f t="shared" si="1362"/>
        <v/>
      </c>
      <c r="V874" s="27" t="str">
        <f t="shared" si="1363"/>
        <v/>
      </c>
      <c r="W874" s="29" t="str">
        <f t="shared" si="1364"/>
        <v/>
      </c>
      <c r="X874" s="30" t="str">
        <f t="shared" si="1365"/>
        <v/>
      </c>
      <c r="Y874" s="46"/>
      <c r="Z874" s="32" t="str">
        <f t="shared" si="1366"/>
        <v/>
      </c>
      <c r="AA874" s="27" t="str">
        <f t="shared" si="1367"/>
        <v/>
      </c>
      <c r="AB874" s="27" t="str">
        <f t="shared" si="1368"/>
        <v/>
      </c>
      <c r="AC874" s="29" t="str">
        <f t="shared" si="1369"/>
        <v/>
      </c>
      <c r="AD874" s="30" t="str">
        <f t="shared" si="1370"/>
        <v/>
      </c>
      <c r="AE874" s="4"/>
    </row>
    <row r="875" spans="5:31" hidden="1" x14ac:dyDescent="0.25">
      <c r="E875" s="46"/>
      <c r="F875" s="46"/>
      <c r="G875" s="50" t="str">
        <f t="shared" si="1353"/>
        <v/>
      </c>
      <c r="H875" s="27" t="str">
        <f t="shared" ref="H875:J875" si="1393">IF($G875="","",Q91+Q247+Q403+Q559+Q715)</f>
        <v/>
      </c>
      <c r="I875" s="27" t="str">
        <f t="shared" si="1393"/>
        <v/>
      </c>
      <c r="J875" s="27" t="str">
        <f t="shared" si="1393"/>
        <v/>
      </c>
      <c r="K875" s="27" t="str">
        <f t="shared" ref="K875:M875" si="1394">IF($G875="","",AQ91+AQ247+AQ403+AQ559+AQ715)</f>
        <v/>
      </c>
      <c r="L875" s="27" t="str">
        <f t="shared" si="1394"/>
        <v/>
      </c>
      <c r="M875" s="27" t="str">
        <f t="shared" si="1394"/>
        <v/>
      </c>
      <c r="N875" s="27" t="str">
        <f t="shared" si="1356"/>
        <v/>
      </c>
      <c r="O875" s="33" t="str">
        <f t="shared" si="1357"/>
        <v/>
      </c>
      <c r="P875" s="31"/>
      <c r="Q875" s="32" t="str">
        <f t="shared" si="1358"/>
        <v/>
      </c>
      <c r="R875" s="27" t="str">
        <f t="shared" si="1359"/>
        <v/>
      </c>
      <c r="S875" s="27" t="str">
        <f t="shared" si="1360"/>
        <v/>
      </c>
      <c r="T875" s="27" t="str">
        <f t="shared" si="1361"/>
        <v/>
      </c>
      <c r="U875" s="27" t="str">
        <f t="shared" si="1362"/>
        <v/>
      </c>
      <c r="V875" s="27" t="str">
        <f t="shared" si="1363"/>
        <v/>
      </c>
      <c r="W875" s="29" t="str">
        <f t="shared" si="1364"/>
        <v/>
      </c>
      <c r="X875" s="30" t="str">
        <f t="shared" si="1365"/>
        <v/>
      </c>
      <c r="Y875" s="46"/>
      <c r="Z875" s="32" t="str">
        <f t="shared" si="1366"/>
        <v/>
      </c>
      <c r="AA875" s="27" t="str">
        <f t="shared" si="1367"/>
        <v/>
      </c>
      <c r="AB875" s="27" t="str">
        <f t="shared" si="1368"/>
        <v/>
      </c>
      <c r="AC875" s="29" t="str">
        <f t="shared" si="1369"/>
        <v/>
      </c>
      <c r="AD875" s="30" t="str">
        <f t="shared" si="1370"/>
        <v/>
      </c>
      <c r="AE875" s="4"/>
    </row>
    <row r="876" spans="5:31" hidden="1" x14ac:dyDescent="0.25">
      <c r="E876" s="46"/>
      <c r="F876" s="46"/>
      <c r="G876" s="50" t="str">
        <f t="shared" si="1353"/>
        <v/>
      </c>
      <c r="H876" s="27" t="str">
        <f t="shared" ref="H876:J876" si="1395">IF($G876="","",Q92+Q248+Q404+Q560+Q716)</f>
        <v/>
      </c>
      <c r="I876" s="27" t="str">
        <f t="shared" si="1395"/>
        <v/>
      </c>
      <c r="J876" s="27" t="str">
        <f t="shared" si="1395"/>
        <v/>
      </c>
      <c r="K876" s="27" t="str">
        <f t="shared" ref="K876:M876" si="1396">IF($G876="","",AQ92+AQ248+AQ404+AQ560+AQ716)</f>
        <v/>
      </c>
      <c r="L876" s="27" t="str">
        <f t="shared" si="1396"/>
        <v/>
      </c>
      <c r="M876" s="27" t="str">
        <f t="shared" si="1396"/>
        <v/>
      </c>
      <c r="N876" s="27" t="str">
        <f t="shared" si="1356"/>
        <v/>
      </c>
      <c r="O876" s="33" t="str">
        <f t="shared" si="1357"/>
        <v/>
      </c>
      <c r="P876" s="31"/>
      <c r="Q876" s="32" t="str">
        <f t="shared" si="1358"/>
        <v/>
      </c>
      <c r="R876" s="27" t="str">
        <f t="shared" si="1359"/>
        <v/>
      </c>
      <c r="S876" s="27" t="str">
        <f t="shared" si="1360"/>
        <v/>
      </c>
      <c r="T876" s="27" t="str">
        <f t="shared" si="1361"/>
        <v/>
      </c>
      <c r="U876" s="27" t="str">
        <f t="shared" si="1362"/>
        <v/>
      </c>
      <c r="V876" s="27" t="str">
        <f t="shared" si="1363"/>
        <v/>
      </c>
      <c r="W876" s="29" t="str">
        <f t="shared" si="1364"/>
        <v/>
      </c>
      <c r="X876" s="30" t="str">
        <f t="shared" si="1365"/>
        <v/>
      </c>
      <c r="Y876" s="46"/>
      <c r="Z876" s="32" t="str">
        <f t="shared" si="1366"/>
        <v/>
      </c>
      <c r="AA876" s="27" t="str">
        <f t="shared" si="1367"/>
        <v/>
      </c>
      <c r="AB876" s="27" t="str">
        <f t="shared" si="1368"/>
        <v/>
      </c>
      <c r="AC876" s="29" t="str">
        <f t="shared" si="1369"/>
        <v/>
      </c>
      <c r="AD876" s="30" t="str">
        <f t="shared" si="1370"/>
        <v/>
      </c>
      <c r="AE876" s="4"/>
    </row>
    <row r="877" spans="5:31" hidden="1" x14ac:dyDescent="0.25">
      <c r="E877" s="46"/>
      <c r="F877" s="46"/>
      <c r="G877" s="50" t="str">
        <f t="shared" si="1353"/>
        <v/>
      </c>
      <c r="H877" s="27" t="str">
        <f t="shared" ref="H877:J877" si="1397">IF($G877="","",Q93+Q249+Q405+Q561+Q717)</f>
        <v/>
      </c>
      <c r="I877" s="27" t="str">
        <f t="shared" si="1397"/>
        <v/>
      </c>
      <c r="J877" s="27" t="str">
        <f t="shared" si="1397"/>
        <v/>
      </c>
      <c r="K877" s="27" t="str">
        <f t="shared" ref="K877:M877" si="1398">IF($G877="","",AQ93+AQ249+AQ405+AQ561+AQ717)</f>
        <v/>
      </c>
      <c r="L877" s="27" t="str">
        <f t="shared" si="1398"/>
        <v/>
      </c>
      <c r="M877" s="27" t="str">
        <f t="shared" si="1398"/>
        <v/>
      </c>
      <c r="N877" s="27" t="str">
        <f t="shared" si="1356"/>
        <v/>
      </c>
      <c r="O877" s="33" t="str">
        <f t="shared" si="1357"/>
        <v/>
      </c>
      <c r="P877" s="31"/>
      <c r="Q877" s="32" t="str">
        <f t="shared" si="1358"/>
        <v/>
      </c>
      <c r="R877" s="27" t="str">
        <f t="shared" si="1359"/>
        <v/>
      </c>
      <c r="S877" s="27" t="str">
        <f t="shared" si="1360"/>
        <v/>
      </c>
      <c r="T877" s="27" t="str">
        <f t="shared" si="1361"/>
        <v/>
      </c>
      <c r="U877" s="27" t="str">
        <f t="shared" si="1362"/>
        <v/>
      </c>
      <c r="V877" s="27" t="str">
        <f t="shared" si="1363"/>
        <v/>
      </c>
      <c r="W877" s="29" t="str">
        <f t="shared" si="1364"/>
        <v/>
      </c>
      <c r="X877" s="30" t="str">
        <f t="shared" si="1365"/>
        <v/>
      </c>
      <c r="Y877" s="46"/>
      <c r="Z877" s="32" t="str">
        <f t="shared" si="1366"/>
        <v/>
      </c>
      <c r="AA877" s="27" t="str">
        <f t="shared" si="1367"/>
        <v/>
      </c>
      <c r="AB877" s="27" t="str">
        <f t="shared" si="1368"/>
        <v/>
      </c>
      <c r="AC877" s="29" t="str">
        <f t="shared" si="1369"/>
        <v/>
      </c>
      <c r="AD877" s="30" t="str">
        <f t="shared" si="1370"/>
        <v/>
      </c>
      <c r="AE877" s="4"/>
    </row>
    <row r="878" spans="5:31" hidden="1" x14ac:dyDescent="0.25">
      <c r="E878" s="46"/>
      <c r="F878" s="46"/>
      <c r="G878" s="50" t="str">
        <f t="shared" si="1353"/>
        <v/>
      </c>
      <c r="H878" s="27" t="str">
        <f t="shared" ref="H878:J878" si="1399">IF($G878="","",Q94+Q250+Q406+Q562+Q718)</f>
        <v/>
      </c>
      <c r="I878" s="27" t="str">
        <f t="shared" si="1399"/>
        <v/>
      </c>
      <c r="J878" s="27" t="str">
        <f t="shared" si="1399"/>
        <v/>
      </c>
      <c r="K878" s="27" t="str">
        <f t="shared" ref="K878:M878" si="1400">IF($G878="","",AQ94+AQ250+AQ406+AQ562+AQ718)</f>
        <v/>
      </c>
      <c r="L878" s="27" t="str">
        <f t="shared" si="1400"/>
        <v/>
      </c>
      <c r="M878" s="27" t="str">
        <f t="shared" si="1400"/>
        <v/>
      </c>
      <c r="N878" s="27" t="str">
        <f t="shared" si="1356"/>
        <v/>
      </c>
      <c r="O878" s="33" t="str">
        <f t="shared" si="1357"/>
        <v/>
      </c>
      <c r="P878" s="31"/>
      <c r="Q878" s="32" t="str">
        <f t="shared" si="1358"/>
        <v/>
      </c>
      <c r="R878" s="27" t="str">
        <f t="shared" si="1359"/>
        <v/>
      </c>
      <c r="S878" s="27" t="str">
        <f t="shared" si="1360"/>
        <v/>
      </c>
      <c r="T878" s="27" t="str">
        <f t="shared" si="1361"/>
        <v/>
      </c>
      <c r="U878" s="27" t="str">
        <f t="shared" si="1362"/>
        <v/>
      </c>
      <c r="V878" s="27" t="str">
        <f t="shared" si="1363"/>
        <v/>
      </c>
      <c r="W878" s="29" t="str">
        <f t="shared" si="1364"/>
        <v/>
      </c>
      <c r="X878" s="30" t="str">
        <f t="shared" si="1365"/>
        <v/>
      </c>
      <c r="Y878" s="46"/>
      <c r="Z878" s="32" t="str">
        <f t="shared" si="1366"/>
        <v/>
      </c>
      <c r="AA878" s="27" t="str">
        <f t="shared" si="1367"/>
        <v/>
      </c>
      <c r="AB878" s="27" t="str">
        <f t="shared" si="1368"/>
        <v/>
      </c>
      <c r="AC878" s="29" t="str">
        <f t="shared" si="1369"/>
        <v/>
      </c>
      <c r="AD878" s="30" t="str">
        <f t="shared" si="1370"/>
        <v/>
      </c>
      <c r="AE878" s="4"/>
    </row>
    <row r="879" spans="5:31" hidden="1" x14ac:dyDescent="0.25">
      <c r="E879" s="46"/>
      <c r="F879" s="46"/>
      <c r="G879" s="50" t="str">
        <f t="shared" si="1353"/>
        <v/>
      </c>
      <c r="H879" s="27" t="str">
        <f t="shared" ref="H879:J879" si="1401">IF($G879="","",Q95+Q251+Q407+Q563+Q719)</f>
        <v/>
      </c>
      <c r="I879" s="27" t="str">
        <f t="shared" si="1401"/>
        <v/>
      </c>
      <c r="J879" s="27" t="str">
        <f t="shared" si="1401"/>
        <v/>
      </c>
      <c r="K879" s="27" t="str">
        <f t="shared" ref="K879:M879" si="1402">IF($G879="","",AQ95+AQ251+AQ407+AQ563+AQ719)</f>
        <v/>
      </c>
      <c r="L879" s="27" t="str">
        <f t="shared" si="1402"/>
        <v/>
      </c>
      <c r="M879" s="27" t="str">
        <f t="shared" si="1402"/>
        <v/>
      </c>
      <c r="N879" s="27" t="str">
        <f t="shared" si="1356"/>
        <v/>
      </c>
      <c r="O879" s="33" t="str">
        <f t="shared" si="1357"/>
        <v/>
      </c>
      <c r="P879" s="31"/>
      <c r="Q879" s="32" t="str">
        <f t="shared" si="1358"/>
        <v/>
      </c>
      <c r="R879" s="27" t="str">
        <f t="shared" si="1359"/>
        <v/>
      </c>
      <c r="S879" s="27" t="str">
        <f t="shared" si="1360"/>
        <v/>
      </c>
      <c r="T879" s="27" t="str">
        <f t="shared" si="1361"/>
        <v/>
      </c>
      <c r="U879" s="27" t="str">
        <f t="shared" si="1362"/>
        <v/>
      </c>
      <c r="V879" s="27" t="str">
        <f t="shared" si="1363"/>
        <v/>
      </c>
      <c r="W879" s="29" t="str">
        <f t="shared" si="1364"/>
        <v/>
      </c>
      <c r="X879" s="30" t="str">
        <f t="shared" si="1365"/>
        <v/>
      </c>
      <c r="Y879" s="46"/>
      <c r="Z879" s="32" t="str">
        <f t="shared" si="1366"/>
        <v/>
      </c>
      <c r="AA879" s="27" t="str">
        <f t="shared" si="1367"/>
        <v/>
      </c>
      <c r="AB879" s="27" t="str">
        <f t="shared" si="1368"/>
        <v/>
      </c>
      <c r="AC879" s="29" t="str">
        <f t="shared" si="1369"/>
        <v/>
      </c>
      <c r="AD879" s="30" t="str">
        <f t="shared" si="1370"/>
        <v/>
      </c>
      <c r="AE879" s="4"/>
    </row>
    <row r="880" spans="5:31" hidden="1" x14ac:dyDescent="0.25">
      <c r="E880" s="46"/>
      <c r="F880" s="46"/>
      <c r="G880" s="50" t="str">
        <f t="shared" si="1353"/>
        <v/>
      </c>
      <c r="H880" s="27" t="str">
        <f t="shared" ref="H880:J880" si="1403">IF($G880="","",Q96+Q252+Q408+Q564+Q720)</f>
        <v/>
      </c>
      <c r="I880" s="27" t="str">
        <f t="shared" si="1403"/>
        <v/>
      </c>
      <c r="J880" s="27" t="str">
        <f t="shared" si="1403"/>
        <v/>
      </c>
      <c r="K880" s="27" t="str">
        <f t="shared" ref="K880:M880" si="1404">IF($G880="","",AQ96+AQ252+AQ408+AQ564+AQ720)</f>
        <v/>
      </c>
      <c r="L880" s="27" t="str">
        <f t="shared" si="1404"/>
        <v/>
      </c>
      <c r="M880" s="27" t="str">
        <f t="shared" si="1404"/>
        <v/>
      </c>
      <c r="N880" s="27" t="str">
        <f t="shared" si="1356"/>
        <v/>
      </c>
      <c r="O880" s="33" t="str">
        <f t="shared" si="1357"/>
        <v/>
      </c>
      <c r="P880" s="31"/>
      <c r="Q880" s="32" t="str">
        <f t="shared" si="1358"/>
        <v/>
      </c>
      <c r="R880" s="27" t="str">
        <f t="shared" si="1359"/>
        <v/>
      </c>
      <c r="S880" s="27" t="str">
        <f t="shared" si="1360"/>
        <v/>
      </c>
      <c r="T880" s="27" t="str">
        <f t="shared" si="1361"/>
        <v/>
      </c>
      <c r="U880" s="27" t="str">
        <f t="shared" si="1362"/>
        <v/>
      </c>
      <c r="V880" s="27" t="str">
        <f t="shared" si="1363"/>
        <v/>
      </c>
      <c r="W880" s="29" t="str">
        <f t="shared" si="1364"/>
        <v/>
      </c>
      <c r="X880" s="30" t="str">
        <f t="shared" si="1365"/>
        <v/>
      </c>
      <c r="Y880" s="46"/>
      <c r="Z880" s="32" t="str">
        <f t="shared" si="1366"/>
        <v/>
      </c>
      <c r="AA880" s="27" t="str">
        <f t="shared" si="1367"/>
        <v/>
      </c>
      <c r="AB880" s="27" t="str">
        <f t="shared" si="1368"/>
        <v/>
      </c>
      <c r="AC880" s="29" t="str">
        <f t="shared" si="1369"/>
        <v/>
      </c>
      <c r="AD880" s="30" t="str">
        <f t="shared" si="1370"/>
        <v/>
      </c>
      <c r="AE880" s="4"/>
    </row>
    <row r="881" spans="5:31" hidden="1" x14ac:dyDescent="0.25">
      <c r="E881" s="46"/>
      <c r="F881" s="46"/>
      <c r="G881" s="50" t="str">
        <f t="shared" si="1353"/>
        <v/>
      </c>
      <c r="H881" s="27" t="str">
        <f t="shared" ref="H881:J881" si="1405">IF($G881="","",Q97+Q253+Q409+Q565+Q721)</f>
        <v/>
      </c>
      <c r="I881" s="27" t="str">
        <f t="shared" si="1405"/>
        <v/>
      </c>
      <c r="J881" s="27" t="str">
        <f t="shared" si="1405"/>
        <v/>
      </c>
      <c r="K881" s="27" t="str">
        <f t="shared" ref="K881:M881" si="1406">IF($G881="","",AQ97+AQ253+AQ409+AQ565+AQ721)</f>
        <v/>
      </c>
      <c r="L881" s="27" t="str">
        <f t="shared" si="1406"/>
        <v/>
      </c>
      <c r="M881" s="27" t="str">
        <f t="shared" si="1406"/>
        <v/>
      </c>
      <c r="N881" s="27" t="str">
        <f t="shared" si="1356"/>
        <v/>
      </c>
      <c r="O881" s="33" t="str">
        <f t="shared" si="1357"/>
        <v/>
      </c>
      <c r="P881" s="31"/>
      <c r="Q881" s="32" t="str">
        <f t="shared" si="1358"/>
        <v/>
      </c>
      <c r="R881" s="27" t="str">
        <f t="shared" si="1359"/>
        <v/>
      </c>
      <c r="S881" s="27" t="str">
        <f t="shared" si="1360"/>
        <v/>
      </c>
      <c r="T881" s="27" t="str">
        <f t="shared" si="1361"/>
        <v/>
      </c>
      <c r="U881" s="27" t="str">
        <f t="shared" si="1362"/>
        <v/>
      </c>
      <c r="V881" s="27" t="str">
        <f t="shared" si="1363"/>
        <v/>
      </c>
      <c r="W881" s="29" t="str">
        <f t="shared" si="1364"/>
        <v/>
      </c>
      <c r="X881" s="30" t="str">
        <f t="shared" si="1365"/>
        <v/>
      </c>
      <c r="Y881" s="46"/>
      <c r="Z881" s="32" t="str">
        <f t="shared" si="1366"/>
        <v/>
      </c>
      <c r="AA881" s="27" t="str">
        <f t="shared" si="1367"/>
        <v/>
      </c>
      <c r="AB881" s="27" t="str">
        <f t="shared" si="1368"/>
        <v/>
      </c>
      <c r="AC881" s="29" t="str">
        <f t="shared" si="1369"/>
        <v/>
      </c>
      <c r="AD881" s="30" t="str">
        <f t="shared" si="1370"/>
        <v/>
      </c>
      <c r="AE881" s="4"/>
    </row>
    <row r="882" spans="5:31" hidden="1" x14ac:dyDescent="0.25">
      <c r="E882" s="46"/>
      <c r="F882" s="46"/>
      <c r="G882" s="50" t="str">
        <f t="shared" si="1353"/>
        <v/>
      </c>
      <c r="H882" s="27" t="str">
        <f t="shared" ref="H882:J882" si="1407">IF($G882="","",Q98+Q254+Q410+Q566+Q722)</f>
        <v/>
      </c>
      <c r="I882" s="27" t="str">
        <f t="shared" si="1407"/>
        <v/>
      </c>
      <c r="J882" s="27" t="str">
        <f t="shared" si="1407"/>
        <v/>
      </c>
      <c r="K882" s="27" t="str">
        <f t="shared" ref="K882:M882" si="1408">IF($G882="","",AQ98+AQ254+AQ410+AQ566+AQ722)</f>
        <v/>
      </c>
      <c r="L882" s="27" t="str">
        <f t="shared" si="1408"/>
        <v/>
      </c>
      <c r="M882" s="27" t="str">
        <f t="shared" si="1408"/>
        <v/>
      </c>
      <c r="N882" s="27" t="str">
        <f t="shared" si="1356"/>
        <v/>
      </c>
      <c r="O882" s="33" t="str">
        <f t="shared" si="1357"/>
        <v/>
      </c>
      <c r="P882" s="31"/>
      <c r="Q882" s="32" t="str">
        <f t="shared" si="1358"/>
        <v/>
      </c>
      <c r="R882" s="27" t="str">
        <f t="shared" si="1359"/>
        <v/>
      </c>
      <c r="S882" s="27" t="str">
        <f t="shared" si="1360"/>
        <v/>
      </c>
      <c r="T882" s="27" t="str">
        <f t="shared" si="1361"/>
        <v/>
      </c>
      <c r="U882" s="27" t="str">
        <f t="shared" si="1362"/>
        <v/>
      </c>
      <c r="V882" s="27" t="str">
        <f t="shared" si="1363"/>
        <v/>
      </c>
      <c r="W882" s="29" t="str">
        <f t="shared" si="1364"/>
        <v/>
      </c>
      <c r="X882" s="30" t="str">
        <f t="shared" si="1365"/>
        <v/>
      </c>
      <c r="Y882" s="46"/>
      <c r="Z882" s="32" t="str">
        <f t="shared" si="1366"/>
        <v/>
      </c>
      <c r="AA882" s="27" t="str">
        <f t="shared" si="1367"/>
        <v/>
      </c>
      <c r="AB882" s="27" t="str">
        <f t="shared" si="1368"/>
        <v/>
      </c>
      <c r="AC882" s="29" t="str">
        <f t="shared" si="1369"/>
        <v/>
      </c>
      <c r="AD882" s="30" t="str">
        <f t="shared" si="1370"/>
        <v/>
      </c>
      <c r="AE882" s="4"/>
    </row>
    <row r="883" spans="5:31" hidden="1" x14ac:dyDescent="0.25">
      <c r="E883" s="46"/>
      <c r="F883" s="46"/>
      <c r="G883" s="50" t="str">
        <f t="shared" si="1353"/>
        <v/>
      </c>
      <c r="H883" s="27" t="str">
        <f t="shared" ref="H883:J883" si="1409">IF($G883="","",Q99+Q255+Q411+Q567+Q723)</f>
        <v/>
      </c>
      <c r="I883" s="27" t="str">
        <f t="shared" si="1409"/>
        <v/>
      </c>
      <c r="J883" s="27" t="str">
        <f t="shared" si="1409"/>
        <v/>
      </c>
      <c r="K883" s="27" t="str">
        <f t="shared" ref="K883:M883" si="1410">IF($G883="","",AQ99+AQ255+AQ411+AQ567+AQ723)</f>
        <v/>
      </c>
      <c r="L883" s="27" t="str">
        <f t="shared" si="1410"/>
        <v/>
      </c>
      <c r="M883" s="27" t="str">
        <f t="shared" si="1410"/>
        <v/>
      </c>
      <c r="N883" s="27" t="str">
        <f t="shared" si="1356"/>
        <v/>
      </c>
      <c r="O883" s="33" t="str">
        <f t="shared" si="1357"/>
        <v/>
      </c>
      <c r="P883" s="31"/>
      <c r="Q883" s="32" t="str">
        <f t="shared" si="1358"/>
        <v/>
      </c>
      <c r="R883" s="27" t="str">
        <f t="shared" si="1359"/>
        <v/>
      </c>
      <c r="S883" s="27" t="str">
        <f t="shared" si="1360"/>
        <v/>
      </c>
      <c r="T883" s="27" t="str">
        <f t="shared" si="1361"/>
        <v/>
      </c>
      <c r="U883" s="27" t="str">
        <f t="shared" si="1362"/>
        <v/>
      </c>
      <c r="V883" s="27" t="str">
        <f t="shared" si="1363"/>
        <v/>
      </c>
      <c r="W883" s="29" t="str">
        <f t="shared" si="1364"/>
        <v/>
      </c>
      <c r="X883" s="30" t="str">
        <f t="shared" si="1365"/>
        <v/>
      </c>
      <c r="Y883" s="46"/>
      <c r="Z883" s="32" t="str">
        <f t="shared" si="1366"/>
        <v/>
      </c>
      <c r="AA883" s="27" t="str">
        <f t="shared" si="1367"/>
        <v/>
      </c>
      <c r="AB883" s="27" t="str">
        <f t="shared" si="1368"/>
        <v/>
      </c>
      <c r="AC883" s="29" t="str">
        <f t="shared" si="1369"/>
        <v/>
      </c>
      <c r="AD883" s="30" t="str">
        <f t="shared" si="1370"/>
        <v/>
      </c>
      <c r="AE883" s="4"/>
    </row>
    <row r="884" spans="5:31" hidden="1" x14ac:dyDescent="0.25">
      <c r="E884" s="46"/>
      <c r="F884" s="46"/>
      <c r="G884" s="50" t="str">
        <f t="shared" si="1353"/>
        <v/>
      </c>
      <c r="H884" s="27" t="str">
        <f t="shared" ref="H884:J884" si="1411">IF($G884="","",Q100+Q256+Q412+Q568+Q724)</f>
        <v/>
      </c>
      <c r="I884" s="27" t="str">
        <f t="shared" si="1411"/>
        <v/>
      </c>
      <c r="J884" s="27" t="str">
        <f t="shared" si="1411"/>
        <v/>
      </c>
      <c r="K884" s="27" t="str">
        <f t="shared" ref="K884:M884" si="1412">IF($G884="","",AQ100+AQ256+AQ412+AQ568+AQ724)</f>
        <v/>
      </c>
      <c r="L884" s="27" t="str">
        <f t="shared" si="1412"/>
        <v/>
      </c>
      <c r="M884" s="27" t="str">
        <f t="shared" si="1412"/>
        <v/>
      </c>
      <c r="N884" s="27" t="str">
        <f t="shared" si="1356"/>
        <v/>
      </c>
      <c r="O884" s="33" t="str">
        <f t="shared" si="1357"/>
        <v/>
      </c>
      <c r="P884" s="31"/>
      <c r="Q884" s="32" t="str">
        <f t="shared" si="1358"/>
        <v/>
      </c>
      <c r="R884" s="27" t="str">
        <f t="shared" si="1359"/>
        <v/>
      </c>
      <c r="S884" s="27" t="str">
        <f t="shared" si="1360"/>
        <v/>
      </c>
      <c r="T884" s="27" t="str">
        <f t="shared" si="1361"/>
        <v/>
      </c>
      <c r="U884" s="27" t="str">
        <f t="shared" si="1362"/>
        <v/>
      </c>
      <c r="V884" s="27" t="str">
        <f t="shared" si="1363"/>
        <v/>
      </c>
      <c r="W884" s="29" t="str">
        <f t="shared" si="1364"/>
        <v/>
      </c>
      <c r="X884" s="30" t="str">
        <f t="shared" si="1365"/>
        <v/>
      </c>
      <c r="Y884" s="46"/>
      <c r="Z884" s="32" t="str">
        <f t="shared" si="1366"/>
        <v/>
      </c>
      <c r="AA884" s="27" t="str">
        <f t="shared" si="1367"/>
        <v/>
      </c>
      <c r="AB884" s="27" t="str">
        <f t="shared" si="1368"/>
        <v/>
      </c>
      <c r="AC884" s="29" t="str">
        <f t="shared" si="1369"/>
        <v/>
      </c>
      <c r="AD884" s="30" t="str">
        <f t="shared" si="1370"/>
        <v/>
      </c>
      <c r="AE884" s="4"/>
    </row>
    <row r="885" spans="5:31" hidden="1" x14ac:dyDescent="0.25">
      <c r="E885" s="46"/>
      <c r="F885" s="46"/>
      <c r="G885" s="50" t="str">
        <f t="shared" si="1353"/>
        <v/>
      </c>
      <c r="H885" s="27" t="str">
        <f t="shared" ref="H885:J885" si="1413">IF($G885="","",Q101+Q257+Q413+Q569+Q725)</f>
        <v/>
      </c>
      <c r="I885" s="27" t="str">
        <f t="shared" si="1413"/>
        <v/>
      </c>
      <c r="J885" s="27" t="str">
        <f t="shared" si="1413"/>
        <v/>
      </c>
      <c r="K885" s="27" t="str">
        <f t="shared" ref="K885:M885" si="1414">IF($G885="","",AQ101+AQ257+AQ413+AQ569+AQ725)</f>
        <v/>
      </c>
      <c r="L885" s="27" t="str">
        <f t="shared" si="1414"/>
        <v/>
      </c>
      <c r="M885" s="27" t="str">
        <f t="shared" si="1414"/>
        <v/>
      </c>
      <c r="N885" s="27" t="str">
        <f t="shared" si="1356"/>
        <v/>
      </c>
      <c r="O885" s="33" t="str">
        <f t="shared" si="1357"/>
        <v/>
      </c>
      <c r="P885" s="31"/>
      <c r="Q885" s="32" t="str">
        <f t="shared" si="1358"/>
        <v/>
      </c>
      <c r="R885" s="27" t="str">
        <f t="shared" si="1359"/>
        <v/>
      </c>
      <c r="S885" s="27" t="str">
        <f t="shared" si="1360"/>
        <v/>
      </c>
      <c r="T885" s="27" t="str">
        <f t="shared" si="1361"/>
        <v/>
      </c>
      <c r="U885" s="27" t="str">
        <f t="shared" si="1362"/>
        <v/>
      </c>
      <c r="V885" s="27" t="str">
        <f t="shared" si="1363"/>
        <v/>
      </c>
      <c r="W885" s="29" t="str">
        <f t="shared" si="1364"/>
        <v/>
      </c>
      <c r="X885" s="30" t="str">
        <f t="shared" si="1365"/>
        <v/>
      </c>
      <c r="Y885" s="46"/>
      <c r="Z885" s="32" t="str">
        <f t="shared" si="1366"/>
        <v/>
      </c>
      <c r="AA885" s="27" t="str">
        <f t="shared" si="1367"/>
        <v/>
      </c>
      <c r="AB885" s="27" t="str">
        <f t="shared" si="1368"/>
        <v/>
      </c>
      <c r="AC885" s="29" t="str">
        <f t="shared" si="1369"/>
        <v/>
      </c>
      <c r="AD885" s="30" t="str">
        <f t="shared" si="1370"/>
        <v/>
      </c>
      <c r="AE885" s="4"/>
    </row>
    <row r="886" spans="5:31" hidden="1" x14ac:dyDescent="0.25">
      <c r="E886" s="46"/>
      <c r="F886" s="46"/>
      <c r="G886" s="50" t="str">
        <f t="shared" si="1353"/>
        <v/>
      </c>
      <c r="H886" s="27" t="str">
        <f t="shared" ref="H886:J886" si="1415">IF($G886="","",Q102+Q258+Q414+Q570+Q726)</f>
        <v/>
      </c>
      <c r="I886" s="27" t="str">
        <f t="shared" si="1415"/>
        <v/>
      </c>
      <c r="J886" s="27" t="str">
        <f t="shared" si="1415"/>
        <v/>
      </c>
      <c r="K886" s="27" t="str">
        <f t="shared" ref="K886:M886" si="1416">IF($G886="","",AQ102+AQ258+AQ414+AQ570+AQ726)</f>
        <v/>
      </c>
      <c r="L886" s="27" t="str">
        <f t="shared" si="1416"/>
        <v/>
      </c>
      <c r="M886" s="27" t="str">
        <f t="shared" si="1416"/>
        <v/>
      </c>
      <c r="N886" s="27" t="str">
        <f t="shared" si="1356"/>
        <v/>
      </c>
      <c r="O886" s="33" t="str">
        <f t="shared" si="1357"/>
        <v/>
      </c>
      <c r="P886" s="31"/>
      <c r="Q886" s="32" t="str">
        <f t="shared" si="1358"/>
        <v/>
      </c>
      <c r="R886" s="27" t="str">
        <f t="shared" si="1359"/>
        <v/>
      </c>
      <c r="S886" s="27" t="str">
        <f t="shared" si="1360"/>
        <v/>
      </c>
      <c r="T886" s="27" t="str">
        <f t="shared" si="1361"/>
        <v/>
      </c>
      <c r="U886" s="27" t="str">
        <f t="shared" si="1362"/>
        <v/>
      </c>
      <c r="V886" s="27" t="str">
        <f t="shared" si="1363"/>
        <v/>
      </c>
      <c r="W886" s="29" t="str">
        <f t="shared" si="1364"/>
        <v/>
      </c>
      <c r="X886" s="30" t="str">
        <f t="shared" si="1365"/>
        <v/>
      </c>
      <c r="Y886" s="46"/>
      <c r="Z886" s="32" t="str">
        <f t="shared" si="1366"/>
        <v/>
      </c>
      <c r="AA886" s="27" t="str">
        <f t="shared" si="1367"/>
        <v/>
      </c>
      <c r="AB886" s="27" t="str">
        <f t="shared" si="1368"/>
        <v/>
      </c>
      <c r="AC886" s="29" t="str">
        <f t="shared" si="1369"/>
        <v/>
      </c>
      <c r="AD886" s="30" t="str">
        <f t="shared" si="1370"/>
        <v/>
      </c>
      <c r="AE886" s="4"/>
    </row>
    <row r="887" spans="5:31" hidden="1" x14ac:dyDescent="0.25">
      <c r="E887" s="46"/>
      <c r="F887" s="46"/>
      <c r="G887" s="50" t="str">
        <f t="shared" si="1353"/>
        <v/>
      </c>
      <c r="H887" s="27" t="str">
        <f t="shared" ref="H887:J887" si="1417">IF($G887="","",Q103+Q259+Q415+Q571+Q727)</f>
        <v/>
      </c>
      <c r="I887" s="27" t="str">
        <f t="shared" si="1417"/>
        <v/>
      </c>
      <c r="J887" s="27" t="str">
        <f t="shared" si="1417"/>
        <v/>
      </c>
      <c r="K887" s="27" t="str">
        <f t="shared" ref="K887:M887" si="1418">IF($G887="","",AQ103+AQ259+AQ415+AQ571+AQ727)</f>
        <v/>
      </c>
      <c r="L887" s="27" t="str">
        <f t="shared" si="1418"/>
        <v/>
      </c>
      <c r="M887" s="27" t="str">
        <f t="shared" si="1418"/>
        <v/>
      </c>
      <c r="N887" s="27" t="str">
        <f t="shared" si="1356"/>
        <v/>
      </c>
      <c r="O887" s="33" t="str">
        <f t="shared" si="1357"/>
        <v/>
      </c>
      <c r="P887" s="31"/>
      <c r="Q887" s="32" t="str">
        <f t="shared" si="1358"/>
        <v/>
      </c>
      <c r="R887" s="27" t="str">
        <f t="shared" si="1359"/>
        <v/>
      </c>
      <c r="S887" s="27" t="str">
        <f t="shared" si="1360"/>
        <v/>
      </c>
      <c r="T887" s="27" t="str">
        <f t="shared" si="1361"/>
        <v/>
      </c>
      <c r="U887" s="27" t="str">
        <f t="shared" si="1362"/>
        <v/>
      </c>
      <c r="V887" s="27" t="str">
        <f t="shared" si="1363"/>
        <v/>
      </c>
      <c r="W887" s="29" t="str">
        <f t="shared" si="1364"/>
        <v/>
      </c>
      <c r="X887" s="30" t="str">
        <f t="shared" si="1365"/>
        <v/>
      </c>
      <c r="Y887" s="46"/>
      <c r="Z887" s="32" t="str">
        <f t="shared" si="1366"/>
        <v/>
      </c>
      <c r="AA887" s="27" t="str">
        <f t="shared" si="1367"/>
        <v/>
      </c>
      <c r="AB887" s="27" t="str">
        <f t="shared" si="1368"/>
        <v/>
      </c>
      <c r="AC887" s="29" t="str">
        <f t="shared" si="1369"/>
        <v/>
      </c>
      <c r="AD887" s="30" t="str">
        <f t="shared" si="1370"/>
        <v/>
      </c>
      <c r="AE887" s="4"/>
    </row>
    <row r="888" spans="5:31" hidden="1" x14ac:dyDescent="0.25">
      <c r="E888" s="46"/>
      <c r="F888" s="46"/>
      <c r="G888" s="50" t="str">
        <f t="shared" si="1353"/>
        <v/>
      </c>
      <c r="H888" s="27" t="str">
        <f t="shared" ref="H888:J888" si="1419">IF($G888="","",Q104+Q260+Q416+Q572+Q728)</f>
        <v/>
      </c>
      <c r="I888" s="27" t="str">
        <f t="shared" si="1419"/>
        <v/>
      </c>
      <c r="J888" s="27" t="str">
        <f t="shared" si="1419"/>
        <v/>
      </c>
      <c r="K888" s="27" t="str">
        <f t="shared" ref="K888:M888" si="1420">IF($G888="","",AQ104+AQ260+AQ416+AQ572+AQ728)</f>
        <v/>
      </c>
      <c r="L888" s="27" t="str">
        <f t="shared" si="1420"/>
        <v/>
      </c>
      <c r="M888" s="27" t="str">
        <f t="shared" si="1420"/>
        <v/>
      </c>
      <c r="N888" s="27" t="str">
        <f t="shared" si="1356"/>
        <v/>
      </c>
      <c r="O888" s="33" t="str">
        <f t="shared" si="1357"/>
        <v/>
      </c>
      <c r="P888" s="31"/>
      <c r="Q888" s="32" t="str">
        <f t="shared" si="1358"/>
        <v/>
      </c>
      <c r="R888" s="27" t="str">
        <f t="shared" si="1359"/>
        <v/>
      </c>
      <c r="S888" s="27" t="str">
        <f t="shared" si="1360"/>
        <v/>
      </c>
      <c r="T888" s="27" t="str">
        <f t="shared" si="1361"/>
        <v/>
      </c>
      <c r="U888" s="27" t="str">
        <f t="shared" si="1362"/>
        <v/>
      </c>
      <c r="V888" s="27" t="str">
        <f t="shared" si="1363"/>
        <v/>
      </c>
      <c r="W888" s="29" t="str">
        <f t="shared" si="1364"/>
        <v/>
      </c>
      <c r="X888" s="30" t="str">
        <f t="shared" si="1365"/>
        <v/>
      </c>
      <c r="Y888" s="46"/>
      <c r="Z888" s="32" t="str">
        <f t="shared" si="1366"/>
        <v/>
      </c>
      <c r="AA888" s="27" t="str">
        <f t="shared" si="1367"/>
        <v/>
      </c>
      <c r="AB888" s="27" t="str">
        <f t="shared" si="1368"/>
        <v/>
      </c>
      <c r="AC888" s="29" t="str">
        <f t="shared" si="1369"/>
        <v/>
      </c>
      <c r="AD888" s="30" t="str">
        <f t="shared" si="1370"/>
        <v/>
      </c>
      <c r="AE888" s="4"/>
    </row>
    <row r="889" spans="5:31" hidden="1" x14ac:dyDescent="0.25">
      <c r="E889" s="46"/>
      <c r="F889" s="46"/>
      <c r="G889" s="50" t="str">
        <f t="shared" si="1353"/>
        <v/>
      </c>
      <c r="H889" s="27" t="str">
        <f t="shared" ref="H889:J889" si="1421">IF($G889="","",Q105+Q261+Q417+Q573+Q729)</f>
        <v/>
      </c>
      <c r="I889" s="27" t="str">
        <f t="shared" si="1421"/>
        <v/>
      </c>
      <c r="J889" s="27" t="str">
        <f t="shared" si="1421"/>
        <v/>
      </c>
      <c r="K889" s="27" t="str">
        <f t="shared" ref="K889:M889" si="1422">IF($G889="","",AQ105+AQ261+AQ417+AQ573+AQ729)</f>
        <v/>
      </c>
      <c r="L889" s="27" t="str">
        <f t="shared" si="1422"/>
        <v/>
      </c>
      <c r="M889" s="27" t="str">
        <f t="shared" si="1422"/>
        <v/>
      </c>
      <c r="N889" s="27" t="str">
        <f t="shared" si="1356"/>
        <v/>
      </c>
      <c r="O889" s="33" t="str">
        <f t="shared" si="1357"/>
        <v/>
      </c>
      <c r="P889" s="31"/>
      <c r="Q889" s="32" t="str">
        <f t="shared" si="1358"/>
        <v/>
      </c>
      <c r="R889" s="27" t="str">
        <f t="shared" si="1359"/>
        <v/>
      </c>
      <c r="S889" s="27" t="str">
        <f t="shared" si="1360"/>
        <v/>
      </c>
      <c r="T889" s="27" t="str">
        <f t="shared" si="1361"/>
        <v/>
      </c>
      <c r="U889" s="27" t="str">
        <f t="shared" si="1362"/>
        <v/>
      </c>
      <c r="V889" s="27" t="str">
        <f t="shared" si="1363"/>
        <v/>
      </c>
      <c r="W889" s="29" t="str">
        <f t="shared" si="1364"/>
        <v/>
      </c>
      <c r="X889" s="30" t="str">
        <f t="shared" si="1365"/>
        <v/>
      </c>
      <c r="Y889" s="46"/>
      <c r="Z889" s="32" t="str">
        <f t="shared" si="1366"/>
        <v/>
      </c>
      <c r="AA889" s="27" t="str">
        <f t="shared" si="1367"/>
        <v/>
      </c>
      <c r="AB889" s="27" t="str">
        <f t="shared" si="1368"/>
        <v/>
      </c>
      <c r="AC889" s="29" t="str">
        <f t="shared" si="1369"/>
        <v/>
      </c>
      <c r="AD889" s="30" t="str">
        <f t="shared" si="1370"/>
        <v/>
      </c>
      <c r="AE889" s="4"/>
    </row>
    <row r="890" spans="5:31" hidden="1" x14ac:dyDescent="0.25">
      <c r="E890" s="46"/>
      <c r="F890" s="46"/>
      <c r="G890" s="50" t="str">
        <f t="shared" si="1353"/>
        <v/>
      </c>
      <c r="H890" s="27" t="str">
        <f t="shared" ref="H890:J890" si="1423">IF($G890="","",Q106+Q262+Q418+Q574+Q730)</f>
        <v/>
      </c>
      <c r="I890" s="27" t="str">
        <f t="shared" si="1423"/>
        <v/>
      </c>
      <c r="J890" s="27" t="str">
        <f t="shared" si="1423"/>
        <v/>
      </c>
      <c r="K890" s="27" t="str">
        <f t="shared" ref="K890:M890" si="1424">IF($G890="","",AQ106+AQ262+AQ418+AQ574+AQ730)</f>
        <v/>
      </c>
      <c r="L890" s="27" t="str">
        <f t="shared" si="1424"/>
        <v/>
      </c>
      <c r="M890" s="27" t="str">
        <f t="shared" si="1424"/>
        <v/>
      </c>
      <c r="N890" s="27" t="str">
        <f t="shared" si="1356"/>
        <v/>
      </c>
      <c r="O890" s="33" t="str">
        <f t="shared" si="1357"/>
        <v/>
      </c>
      <c r="P890" s="31"/>
      <c r="Q890" s="32" t="str">
        <f t="shared" si="1358"/>
        <v/>
      </c>
      <c r="R890" s="27" t="str">
        <f t="shared" si="1359"/>
        <v/>
      </c>
      <c r="S890" s="27" t="str">
        <f t="shared" si="1360"/>
        <v/>
      </c>
      <c r="T890" s="27" t="str">
        <f t="shared" si="1361"/>
        <v/>
      </c>
      <c r="U890" s="27" t="str">
        <f t="shared" si="1362"/>
        <v/>
      </c>
      <c r="V890" s="27" t="str">
        <f t="shared" si="1363"/>
        <v/>
      </c>
      <c r="W890" s="29" t="str">
        <f t="shared" si="1364"/>
        <v/>
      </c>
      <c r="X890" s="30" t="str">
        <f t="shared" si="1365"/>
        <v/>
      </c>
      <c r="Y890" s="46"/>
      <c r="Z890" s="32" t="str">
        <f t="shared" si="1366"/>
        <v/>
      </c>
      <c r="AA890" s="27" t="str">
        <f t="shared" si="1367"/>
        <v/>
      </c>
      <c r="AB890" s="27" t="str">
        <f t="shared" si="1368"/>
        <v/>
      </c>
      <c r="AC890" s="29" t="str">
        <f t="shared" si="1369"/>
        <v/>
      </c>
      <c r="AD890" s="30" t="str">
        <f t="shared" si="1370"/>
        <v/>
      </c>
      <c r="AE890" s="4"/>
    </row>
    <row r="891" spans="5:31" hidden="1" x14ac:dyDescent="0.25">
      <c r="E891" s="46"/>
      <c r="F891" s="46"/>
      <c r="G891" s="50" t="str">
        <f t="shared" si="1353"/>
        <v/>
      </c>
      <c r="H891" s="27" t="str">
        <f t="shared" ref="H891:J891" si="1425">IF($G891="","",Q107+Q263+Q419+Q575+Q731)</f>
        <v/>
      </c>
      <c r="I891" s="27" t="str">
        <f t="shared" si="1425"/>
        <v/>
      </c>
      <c r="J891" s="27" t="str">
        <f t="shared" si="1425"/>
        <v/>
      </c>
      <c r="K891" s="27" t="str">
        <f t="shared" ref="K891:M891" si="1426">IF($G891="","",AQ107+AQ263+AQ419+AQ575+AQ731)</f>
        <v/>
      </c>
      <c r="L891" s="27" t="str">
        <f t="shared" si="1426"/>
        <v/>
      </c>
      <c r="M891" s="27" t="str">
        <f t="shared" si="1426"/>
        <v/>
      </c>
      <c r="N891" s="27" t="str">
        <f t="shared" si="1356"/>
        <v/>
      </c>
      <c r="O891" s="33" t="str">
        <f t="shared" si="1357"/>
        <v/>
      </c>
      <c r="P891" s="31"/>
      <c r="Q891" s="32" t="str">
        <f t="shared" si="1358"/>
        <v/>
      </c>
      <c r="R891" s="27" t="str">
        <f t="shared" si="1359"/>
        <v/>
      </c>
      <c r="S891" s="27" t="str">
        <f t="shared" si="1360"/>
        <v/>
      </c>
      <c r="T891" s="27" t="str">
        <f t="shared" si="1361"/>
        <v/>
      </c>
      <c r="U891" s="27" t="str">
        <f t="shared" si="1362"/>
        <v/>
      </c>
      <c r="V891" s="27" t="str">
        <f t="shared" si="1363"/>
        <v/>
      </c>
      <c r="W891" s="29" t="str">
        <f t="shared" si="1364"/>
        <v/>
      </c>
      <c r="X891" s="30" t="str">
        <f t="shared" si="1365"/>
        <v/>
      </c>
      <c r="Y891" s="46"/>
      <c r="Z891" s="32" t="str">
        <f t="shared" si="1366"/>
        <v/>
      </c>
      <c r="AA891" s="27" t="str">
        <f t="shared" si="1367"/>
        <v/>
      </c>
      <c r="AB891" s="27" t="str">
        <f t="shared" si="1368"/>
        <v/>
      </c>
      <c r="AC891" s="29" t="str">
        <f t="shared" si="1369"/>
        <v/>
      </c>
      <c r="AD891" s="30" t="str">
        <f t="shared" si="1370"/>
        <v/>
      </c>
      <c r="AE891" s="4"/>
    </row>
    <row r="892" spans="5:31" hidden="1" x14ac:dyDescent="0.25">
      <c r="E892" s="46"/>
      <c r="F892" s="46"/>
      <c r="G892" s="50" t="str">
        <f t="shared" si="1353"/>
        <v/>
      </c>
      <c r="H892" s="27" t="str">
        <f t="shared" ref="H892:J892" si="1427">IF($G892="","",Q108+Q264+Q420+Q576+Q732)</f>
        <v/>
      </c>
      <c r="I892" s="27" t="str">
        <f t="shared" si="1427"/>
        <v/>
      </c>
      <c r="J892" s="27" t="str">
        <f t="shared" si="1427"/>
        <v/>
      </c>
      <c r="K892" s="27" t="str">
        <f t="shared" ref="K892:M892" si="1428">IF($G892="","",AQ108+AQ264+AQ420+AQ576+AQ732)</f>
        <v/>
      </c>
      <c r="L892" s="27" t="str">
        <f t="shared" si="1428"/>
        <v/>
      </c>
      <c r="M892" s="27" t="str">
        <f t="shared" si="1428"/>
        <v/>
      </c>
      <c r="N892" s="27" t="str">
        <f t="shared" si="1356"/>
        <v/>
      </c>
      <c r="O892" s="33" t="str">
        <f t="shared" si="1357"/>
        <v/>
      </c>
      <c r="P892" s="31"/>
      <c r="Q892" s="32" t="str">
        <f t="shared" si="1358"/>
        <v/>
      </c>
      <c r="R892" s="27" t="str">
        <f t="shared" si="1359"/>
        <v/>
      </c>
      <c r="S892" s="27" t="str">
        <f t="shared" si="1360"/>
        <v/>
      </c>
      <c r="T892" s="27" t="str">
        <f t="shared" si="1361"/>
        <v/>
      </c>
      <c r="U892" s="27" t="str">
        <f t="shared" si="1362"/>
        <v/>
      </c>
      <c r="V892" s="27" t="str">
        <f t="shared" si="1363"/>
        <v/>
      </c>
      <c r="W892" s="29" t="str">
        <f t="shared" si="1364"/>
        <v/>
      </c>
      <c r="X892" s="30" t="str">
        <f t="shared" si="1365"/>
        <v/>
      </c>
      <c r="Y892" s="46"/>
      <c r="Z892" s="32" t="str">
        <f t="shared" si="1366"/>
        <v/>
      </c>
      <c r="AA892" s="27" t="str">
        <f t="shared" si="1367"/>
        <v/>
      </c>
      <c r="AB892" s="27" t="str">
        <f t="shared" si="1368"/>
        <v/>
      </c>
      <c r="AC892" s="29" t="str">
        <f t="shared" si="1369"/>
        <v/>
      </c>
      <c r="AD892" s="30" t="str">
        <f t="shared" si="1370"/>
        <v/>
      </c>
      <c r="AE892" s="4"/>
    </row>
    <row r="893" spans="5:31" hidden="1" x14ac:dyDescent="0.25">
      <c r="E893" s="46"/>
      <c r="F893" s="46"/>
      <c r="G893" s="50" t="str">
        <f t="shared" si="1353"/>
        <v/>
      </c>
      <c r="H893" s="27" t="str">
        <f t="shared" ref="H893:J893" si="1429">IF($G893="","",Q109+Q265+Q421+Q577+Q733)</f>
        <v/>
      </c>
      <c r="I893" s="27" t="str">
        <f t="shared" si="1429"/>
        <v/>
      </c>
      <c r="J893" s="27" t="str">
        <f t="shared" si="1429"/>
        <v/>
      </c>
      <c r="K893" s="27" t="str">
        <f t="shared" ref="K893:M893" si="1430">IF($G893="","",AQ109+AQ265+AQ421+AQ577+AQ733)</f>
        <v/>
      </c>
      <c r="L893" s="27" t="str">
        <f t="shared" si="1430"/>
        <v/>
      </c>
      <c r="M893" s="27" t="str">
        <f t="shared" si="1430"/>
        <v/>
      </c>
      <c r="N893" s="27" t="str">
        <f t="shared" si="1356"/>
        <v/>
      </c>
      <c r="O893" s="33" t="str">
        <f t="shared" si="1357"/>
        <v/>
      </c>
      <c r="P893" s="31"/>
      <c r="Q893" s="32" t="str">
        <f t="shared" si="1358"/>
        <v/>
      </c>
      <c r="R893" s="27" t="str">
        <f t="shared" si="1359"/>
        <v/>
      </c>
      <c r="S893" s="27" t="str">
        <f t="shared" si="1360"/>
        <v/>
      </c>
      <c r="T893" s="27" t="str">
        <f t="shared" si="1361"/>
        <v/>
      </c>
      <c r="U893" s="27" t="str">
        <f t="shared" si="1362"/>
        <v/>
      </c>
      <c r="V893" s="27" t="str">
        <f t="shared" si="1363"/>
        <v/>
      </c>
      <c r="W893" s="29" t="str">
        <f t="shared" si="1364"/>
        <v/>
      </c>
      <c r="X893" s="30" t="str">
        <f t="shared" si="1365"/>
        <v/>
      </c>
      <c r="Y893" s="46"/>
      <c r="Z893" s="32" t="str">
        <f t="shared" si="1366"/>
        <v/>
      </c>
      <c r="AA893" s="27" t="str">
        <f t="shared" si="1367"/>
        <v/>
      </c>
      <c r="AB893" s="27" t="str">
        <f t="shared" si="1368"/>
        <v/>
      </c>
      <c r="AC893" s="29" t="str">
        <f t="shared" si="1369"/>
        <v/>
      </c>
      <c r="AD893" s="30" t="str">
        <f t="shared" si="1370"/>
        <v/>
      </c>
      <c r="AE893" s="4"/>
    </row>
    <row r="894" spans="5:31" hidden="1" x14ac:dyDescent="0.25">
      <c r="E894" s="46"/>
      <c r="F894" s="46"/>
      <c r="G894" s="50" t="str">
        <f t="shared" si="1353"/>
        <v/>
      </c>
      <c r="H894" s="27" t="str">
        <f t="shared" ref="H894:J894" si="1431">IF($G894="","",Q110+Q266+Q422+Q578+Q734)</f>
        <v/>
      </c>
      <c r="I894" s="27" t="str">
        <f t="shared" si="1431"/>
        <v/>
      </c>
      <c r="J894" s="27" t="str">
        <f t="shared" si="1431"/>
        <v/>
      </c>
      <c r="K894" s="27" t="str">
        <f t="shared" ref="K894:M894" si="1432">IF($G894="","",AQ110+AQ266+AQ422+AQ578+AQ734)</f>
        <v/>
      </c>
      <c r="L894" s="27" t="str">
        <f t="shared" si="1432"/>
        <v/>
      </c>
      <c r="M894" s="27" t="str">
        <f t="shared" si="1432"/>
        <v/>
      </c>
      <c r="N894" s="27" t="str">
        <f t="shared" si="1356"/>
        <v/>
      </c>
      <c r="O894" s="33" t="str">
        <f t="shared" si="1357"/>
        <v/>
      </c>
      <c r="P894" s="31"/>
      <c r="Q894" s="32" t="str">
        <f t="shared" si="1358"/>
        <v/>
      </c>
      <c r="R894" s="27" t="str">
        <f t="shared" si="1359"/>
        <v/>
      </c>
      <c r="S894" s="27" t="str">
        <f t="shared" si="1360"/>
        <v/>
      </c>
      <c r="T894" s="27" t="str">
        <f t="shared" si="1361"/>
        <v/>
      </c>
      <c r="U894" s="27" t="str">
        <f t="shared" si="1362"/>
        <v/>
      </c>
      <c r="V894" s="27" t="str">
        <f t="shared" si="1363"/>
        <v/>
      </c>
      <c r="W894" s="29" t="str">
        <f t="shared" si="1364"/>
        <v/>
      </c>
      <c r="X894" s="30" t="str">
        <f t="shared" si="1365"/>
        <v/>
      </c>
      <c r="Y894" s="46"/>
      <c r="Z894" s="32" t="str">
        <f t="shared" si="1366"/>
        <v/>
      </c>
      <c r="AA894" s="27" t="str">
        <f t="shared" si="1367"/>
        <v/>
      </c>
      <c r="AB894" s="27" t="str">
        <f t="shared" si="1368"/>
        <v/>
      </c>
      <c r="AC894" s="29" t="str">
        <f t="shared" si="1369"/>
        <v/>
      </c>
      <c r="AD894" s="30" t="str">
        <f t="shared" si="1370"/>
        <v/>
      </c>
      <c r="AE894" s="4"/>
    </row>
    <row r="895" spans="5:31" hidden="1" x14ac:dyDescent="0.25">
      <c r="E895" s="46"/>
      <c r="F895" s="46"/>
      <c r="G895" s="50" t="str">
        <f t="shared" si="1353"/>
        <v/>
      </c>
      <c r="H895" s="27" t="str">
        <f t="shared" ref="H895:J895" si="1433">IF($G895="","",Q111+Q267+Q423+Q579+Q735)</f>
        <v/>
      </c>
      <c r="I895" s="27" t="str">
        <f t="shared" si="1433"/>
        <v/>
      </c>
      <c r="J895" s="27" t="str">
        <f t="shared" si="1433"/>
        <v/>
      </c>
      <c r="K895" s="27" t="str">
        <f t="shared" ref="K895:M895" si="1434">IF($G895="","",AQ111+AQ267+AQ423+AQ579+AQ735)</f>
        <v/>
      </c>
      <c r="L895" s="27" t="str">
        <f t="shared" si="1434"/>
        <v/>
      </c>
      <c r="M895" s="27" t="str">
        <f t="shared" si="1434"/>
        <v/>
      </c>
      <c r="N895" s="27" t="str">
        <f t="shared" si="1356"/>
        <v/>
      </c>
      <c r="O895" s="33" t="str">
        <f t="shared" si="1357"/>
        <v/>
      </c>
      <c r="P895" s="31"/>
      <c r="Q895" s="32" t="str">
        <f t="shared" si="1358"/>
        <v/>
      </c>
      <c r="R895" s="27" t="str">
        <f t="shared" si="1359"/>
        <v/>
      </c>
      <c r="S895" s="27" t="str">
        <f t="shared" si="1360"/>
        <v/>
      </c>
      <c r="T895" s="27" t="str">
        <f t="shared" si="1361"/>
        <v/>
      </c>
      <c r="U895" s="27" t="str">
        <f t="shared" si="1362"/>
        <v/>
      </c>
      <c r="V895" s="27" t="str">
        <f t="shared" si="1363"/>
        <v/>
      </c>
      <c r="W895" s="29" t="str">
        <f t="shared" si="1364"/>
        <v/>
      </c>
      <c r="X895" s="30" t="str">
        <f t="shared" si="1365"/>
        <v/>
      </c>
      <c r="Y895" s="46"/>
      <c r="Z895" s="32" t="str">
        <f t="shared" si="1366"/>
        <v/>
      </c>
      <c r="AA895" s="27" t="str">
        <f t="shared" si="1367"/>
        <v/>
      </c>
      <c r="AB895" s="27" t="str">
        <f t="shared" si="1368"/>
        <v/>
      </c>
      <c r="AC895" s="29" t="str">
        <f t="shared" si="1369"/>
        <v/>
      </c>
      <c r="AD895" s="30" t="str">
        <f t="shared" si="1370"/>
        <v/>
      </c>
      <c r="AE895" s="4"/>
    </row>
    <row r="896" spans="5:31" hidden="1" x14ac:dyDescent="0.25">
      <c r="E896" s="46"/>
      <c r="F896" s="46"/>
      <c r="G896" s="50" t="str">
        <f t="shared" si="1353"/>
        <v/>
      </c>
      <c r="H896" s="27" t="str">
        <f t="shared" ref="H896:J896" si="1435">IF($G896="","",Q112+Q268+Q424+Q580+Q736)</f>
        <v/>
      </c>
      <c r="I896" s="27" t="str">
        <f t="shared" si="1435"/>
        <v/>
      </c>
      <c r="J896" s="27" t="str">
        <f t="shared" si="1435"/>
        <v/>
      </c>
      <c r="K896" s="27" t="str">
        <f t="shared" ref="K896:M896" si="1436">IF($G896="","",AQ112+AQ268+AQ424+AQ580+AQ736)</f>
        <v/>
      </c>
      <c r="L896" s="27" t="str">
        <f t="shared" si="1436"/>
        <v/>
      </c>
      <c r="M896" s="27" t="str">
        <f t="shared" si="1436"/>
        <v/>
      </c>
      <c r="N896" s="27" t="str">
        <f t="shared" si="1356"/>
        <v/>
      </c>
      <c r="O896" s="33" t="str">
        <f t="shared" si="1357"/>
        <v/>
      </c>
      <c r="P896" s="31"/>
      <c r="Q896" s="32" t="str">
        <f t="shared" si="1358"/>
        <v/>
      </c>
      <c r="R896" s="27" t="str">
        <f t="shared" si="1359"/>
        <v/>
      </c>
      <c r="S896" s="27" t="str">
        <f t="shared" si="1360"/>
        <v/>
      </c>
      <c r="T896" s="27" t="str">
        <f t="shared" si="1361"/>
        <v/>
      </c>
      <c r="U896" s="27" t="str">
        <f t="shared" si="1362"/>
        <v/>
      </c>
      <c r="V896" s="27" t="str">
        <f t="shared" si="1363"/>
        <v/>
      </c>
      <c r="W896" s="29" t="str">
        <f t="shared" si="1364"/>
        <v/>
      </c>
      <c r="X896" s="30" t="str">
        <f t="shared" si="1365"/>
        <v/>
      </c>
      <c r="Y896" s="46"/>
      <c r="Z896" s="32" t="str">
        <f t="shared" si="1366"/>
        <v/>
      </c>
      <c r="AA896" s="27" t="str">
        <f t="shared" si="1367"/>
        <v/>
      </c>
      <c r="AB896" s="27" t="str">
        <f t="shared" si="1368"/>
        <v/>
      </c>
      <c r="AC896" s="29" t="str">
        <f t="shared" si="1369"/>
        <v/>
      </c>
      <c r="AD896" s="30" t="str">
        <f t="shared" si="1370"/>
        <v/>
      </c>
      <c r="AE896" s="4"/>
    </row>
    <row r="897" spans="5:31" hidden="1" x14ac:dyDescent="0.25">
      <c r="E897" s="46"/>
      <c r="F897" s="46"/>
      <c r="G897" s="50" t="str">
        <f t="shared" si="1353"/>
        <v/>
      </c>
      <c r="H897" s="27" t="str">
        <f t="shared" ref="H897:J897" si="1437">IF($G897="","",Q113+Q269+Q425+Q581+Q737)</f>
        <v/>
      </c>
      <c r="I897" s="27" t="str">
        <f t="shared" si="1437"/>
        <v/>
      </c>
      <c r="J897" s="27" t="str">
        <f t="shared" si="1437"/>
        <v/>
      </c>
      <c r="K897" s="27" t="str">
        <f t="shared" ref="K897:M897" si="1438">IF($G897="","",AQ113+AQ269+AQ425+AQ581+AQ737)</f>
        <v/>
      </c>
      <c r="L897" s="27" t="str">
        <f t="shared" si="1438"/>
        <v/>
      </c>
      <c r="M897" s="27" t="str">
        <f t="shared" si="1438"/>
        <v/>
      </c>
      <c r="N897" s="27" t="str">
        <f t="shared" si="1356"/>
        <v/>
      </c>
      <c r="O897" s="33" t="str">
        <f t="shared" si="1357"/>
        <v/>
      </c>
      <c r="P897" s="31"/>
      <c r="Q897" s="32" t="str">
        <f t="shared" si="1358"/>
        <v/>
      </c>
      <c r="R897" s="27" t="str">
        <f t="shared" si="1359"/>
        <v/>
      </c>
      <c r="S897" s="27" t="str">
        <f t="shared" si="1360"/>
        <v/>
      </c>
      <c r="T897" s="27" t="str">
        <f t="shared" si="1361"/>
        <v/>
      </c>
      <c r="U897" s="27" t="str">
        <f t="shared" si="1362"/>
        <v/>
      </c>
      <c r="V897" s="27" t="str">
        <f t="shared" si="1363"/>
        <v/>
      </c>
      <c r="W897" s="29" t="str">
        <f t="shared" si="1364"/>
        <v/>
      </c>
      <c r="X897" s="30" t="str">
        <f t="shared" si="1365"/>
        <v/>
      </c>
      <c r="Y897" s="46"/>
      <c r="Z897" s="32" t="str">
        <f t="shared" si="1366"/>
        <v/>
      </c>
      <c r="AA897" s="27" t="str">
        <f t="shared" si="1367"/>
        <v/>
      </c>
      <c r="AB897" s="27" t="str">
        <f t="shared" si="1368"/>
        <v/>
      </c>
      <c r="AC897" s="29" t="str">
        <f t="shared" si="1369"/>
        <v/>
      </c>
      <c r="AD897" s="30" t="str">
        <f t="shared" si="1370"/>
        <v/>
      </c>
      <c r="AE897" s="4"/>
    </row>
    <row r="898" spans="5:31" hidden="1" x14ac:dyDescent="0.25">
      <c r="E898" s="46"/>
      <c r="F898" s="46"/>
      <c r="G898" s="50" t="str">
        <f t="shared" si="1353"/>
        <v/>
      </c>
      <c r="H898" s="27" t="str">
        <f t="shared" ref="H898:J898" si="1439">IF($G898="","",Q114+Q270+Q426+Q582+Q738)</f>
        <v/>
      </c>
      <c r="I898" s="27" t="str">
        <f t="shared" si="1439"/>
        <v/>
      </c>
      <c r="J898" s="27" t="str">
        <f t="shared" si="1439"/>
        <v/>
      </c>
      <c r="K898" s="27" t="str">
        <f t="shared" ref="K898:M898" si="1440">IF($G898="","",AQ114+AQ270+AQ426+AQ582+AQ738)</f>
        <v/>
      </c>
      <c r="L898" s="27" t="str">
        <f t="shared" si="1440"/>
        <v/>
      </c>
      <c r="M898" s="27" t="str">
        <f t="shared" si="1440"/>
        <v/>
      </c>
      <c r="N898" s="27" t="str">
        <f t="shared" si="1356"/>
        <v/>
      </c>
      <c r="O898" s="33" t="str">
        <f t="shared" si="1357"/>
        <v/>
      </c>
      <c r="P898" s="31"/>
      <c r="Q898" s="32" t="str">
        <f t="shared" si="1358"/>
        <v/>
      </c>
      <c r="R898" s="27" t="str">
        <f t="shared" si="1359"/>
        <v/>
      </c>
      <c r="S898" s="27" t="str">
        <f t="shared" si="1360"/>
        <v/>
      </c>
      <c r="T898" s="27" t="str">
        <f t="shared" si="1361"/>
        <v/>
      </c>
      <c r="U898" s="27" t="str">
        <f t="shared" si="1362"/>
        <v/>
      </c>
      <c r="V898" s="27" t="str">
        <f t="shared" si="1363"/>
        <v/>
      </c>
      <c r="W898" s="29" t="str">
        <f t="shared" si="1364"/>
        <v/>
      </c>
      <c r="X898" s="30" t="str">
        <f t="shared" si="1365"/>
        <v/>
      </c>
      <c r="Y898" s="46"/>
      <c r="Z898" s="32" t="str">
        <f t="shared" si="1366"/>
        <v/>
      </c>
      <c r="AA898" s="27" t="str">
        <f t="shared" si="1367"/>
        <v/>
      </c>
      <c r="AB898" s="27" t="str">
        <f t="shared" si="1368"/>
        <v/>
      </c>
      <c r="AC898" s="29" t="str">
        <f t="shared" si="1369"/>
        <v/>
      </c>
      <c r="AD898" s="30" t="str">
        <f t="shared" si="1370"/>
        <v/>
      </c>
      <c r="AE898" s="4"/>
    </row>
    <row r="899" spans="5:31" hidden="1" x14ac:dyDescent="0.25">
      <c r="E899" s="46"/>
      <c r="F899" s="46"/>
      <c r="G899" s="50" t="str">
        <f t="shared" si="1353"/>
        <v/>
      </c>
      <c r="H899" s="27" t="str">
        <f t="shared" ref="H899:J899" si="1441">IF($G899="","",Q115+Q271+Q427+Q583+Q739)</f>
        <v/>
      </c>
      <c r="I899" s="27" t="str">
        <f t="shared" si="1441"/>
        <v/>
      </c>
      <c r="J899" s="27" t="str">
        <f t="shared" si="1441"/>
        <v/>
      </c>
      <c r="K899" s="27" t="str">
        <f t="shared" ref="K899:M899" si="1442">IF($G899="","",AQ115+AQ271+AQ427+AQ583+AQ739)</f>
        <v/>
      </c>
      <c r="L899" s="27" t="str">
        <f t="shared" si="1442"/>
        <v/>
      </c>
      <c r="M899" s="27" t="str">
        <f t="shared" si="1442"/>
        <v/>
      </c>
      <c r="N899" s="27" t="str">
        <f t="shared" si="1356"/>
        <v/>
      </c>
      <c r="O899" s="33" t="str">
        <f t="shared" si="1357"/>
        <v/>
      </c>
      <c r="P899" s="31"/>
      <c r="Q899" s="32" t="str">
        <f t="shared" si="1358"/>
        <v/>
      </c>
      <c r="R899" s="27" t="str">
        <f t="shared" si="1359"/>
        <v/>
      </c>
      <c r="S899" s="27" t="str">
        <f t="shared" si="1360"/>
        <v/>
      </c>
      <c r="T899" s="27" t="str">
        <f t="shared" si="1361"/>
        <v/>
      </c>
      <c r="U899" s="27" t="str">
        <f t="shared" si="1362"/>
        <v/>
      </c>
      <c r="V899" s="27" t="str">
        <f t="shared" si="1363"/>
        <v/>
      </c>
      <c r="W899" s="29" t="str">
        <f t="shared" si="1364"/>
        <v/>
      </c>
      <c r="X899" s="30" t="str">
        <f t="shared" si="1365"/>
        <v/>
      </c>
      <c r="Y899" s="46"/>
      <c r="Z899" s="32" t="str">
        <f t="shared" si="1366"/>
        <v/>
      </c>
      <c r="AA899" s="27" t="str">
        <f t="shared" si="1367"/>
        <v/>
      </c>
      <c r="AB899" s="27" t="str">
        <f t="shared" si="1368"/>
        <v/>
      </c>
      <c r="AC899" s="29" t="str">
        <f t="shared" si="1369"/>
        <v/>
      </c>
      <c r="AD899" s="30" t="str">
        <f t="shared" si="1370"/>
        <v/>
      </c>
      <c r="AE899" s="4"/>
    </row>
    <row r="900" spans="5:31" hidden="1" x14ac:dyDescent="0.25">
      <c r="E900" s="46"/>
      <c r="F900" s="46"/>
      <c r="G900" s="50" t="str">
        <f t="shared" si="1353"/>
        <v/>
      </c>
      <c r="H900" s="27" t="str">
        <f t="shared" ref="H900:J900" si="1443">IF($G900="","",Q116+Q272+Q428+Q584+Q740)</f>
        <v/>
      </c>
      <c r="I900" s="27" t="str">
        <f t="shared" si="1443"/>
        <v/>
      </c>
      <c r="J900" s="27" t="str">
        <f t="shared" si="1443"/>
        <v/>
      </c>
      <c r="K900" s="27" t="str">
        <f t="shared" ref="K900:M900" si="1444">IF($G900="","",AQ116+AQ272+AQ428+AQ584+AQ740)</f>
        <v/>
      </c>
      <c r="L900" s="27" t="str">
        <f t="shared" si="1444"/>
        <v/>
      </c>
      <c r="M900" s="27" t="str">
        <f t="shared" si="1444"/>
        <v/>
      </c>
      <c r="N900" s="27" t="str">
        <f t="shared" si="1356"/>
        <v/>
      </c>
      <c r="O900" s="33" t="str">
        <f t="shared" si="1357"/>
        <v/>
      </c>
      <c r="P900" s="31"/>
      <c r="Q900" s="32" t="str">
        <f t="shared" si="1358"/>
        <v/>
      </c>
      <c r="R900" s="27" t="str">
        <f t="shared" si="1359"/>
        <v/>
      </c>
      <c r="S900" s="27" t="str">
        <f t="shared" si="1360"/>
        <v/>
      </c>
      <c r="T900" s="27" t="str">
        <f t="shared" si="1361"/>
        <v/>
      </c>
      <c r="U900" s="27" t="str">
        <f t="shared" si="1362"/>
        <v/>
      </c>
      <c r="V900" s="27" t="str">
        <f t="shared" si="1363"/>
        <v/>
      </c>
      <c r="W900" s="29" t="str">
        <f t="shared" si="1364"/>
        <v/>
      </c>
      <c r="X900" s="30" t="str">
        <f t="shared" si="1365"/>
        <v/>
      </c>
      <c r="Y900" s="46"/>
      <c r="Z900" s="32" t="str">
        <f t="shared" si="1366"/>
        <v/>
      </c>
      <c r="AA900" s="27" t="str">
        <f t="shared" si="1367"/>
        <v/>
      </c>
      <c r="AB900" s="27" t="str">
        <f t="shared" si="1368"/>
        <v/>
      </c>
      <c r="AC900" s="29" t="str">
        <f t="shared" si="1369"/>
        <v/>
      </c>
      <c r="AD900" s="30" t="str">
        <f t="shared" si="1370"/>
        <v/>
      </c>
      <c r="AE900" s="4"/>
    </row>
    <row r="901" spans="5:31" hidden="1" x14ac:dyDescent="0.25">
      <c r="E901" s="46"/>
      <c r="F901" s="46"/>
      <c r="G901" s="50" t="str">
        <f t="shared" si="1353"/>
        <v/>
      </c>
      <c r="H901" s="27" t="str">
        <f t="shared" ref="H901:J901" si="1445">IF($G901="","",Q117+Q273+Q429+Q585+Q741)</f>
        <v/>
      </c>
      <c r="I901" s="27" t="str">
        <f t="shared" si="1445"/>
        <v/>
      </c>
      <c r="J901" s="27" t="str">
        <f t="shared" si="1445"/>
        <v/>
      </c>
      <c r="K901" s="27" t="str">
        <f t="shared" ref="K901:M901" si="1446">IF($G901="","",AQ117+AQ273+AQ429+AQ585+AQ741)</f>
        <v/>
      </c>
      <c r="L901" s="27" t="str">
        <f t="shared" si="1446"/>
        <v/>
      </c>
      <c r="M901" s="27" t="str">
        <f t="shared" si="1446"/>
        <v/>
      </c>
      <c r="N901" s="27" t="str">
        <f t="shared" si="1356"/>
        <v/>
      </c>
      <c r="O901" s="33" t="str">
        <f t="shared" si="1357"/>
        <v/>
      </c>
      <c r="P901" s="31"/>
      <c r="Q901" s="32" t="str">
        <f t="shared" si="1358"/>
        <v/>
      </c>
      <c r="R901" s="27" t="str">
        <f t="shared" si="1359"/>
        <v/>
      </c>
      <c r="S901" s="27" t="str">
        <f t="shared" si="1360"/>
        <v/>
      </c>
      <c r="T901" s="27" t="str">
        <f t="shared" si="1361"/>
        <v/>
      </c>
      <c r="U901" s="27" t="str">
        <f t="shared" si="1362"/>
        <v/>
      </c>
      <c r="V901" s="27" t="str">
        <f t="shared" si="1363"/>
        <v/>
      </c>
      <c r="W901" s="29" t="str">
        <f t="shared" si="1364"/>
        <v/>
      </c>
      <c r="X901" s="30" t="str">
        <f t="shared" si="1365"/>
        <v/>
      </c>
      <c r="Y901" s="46"/>
      <c r="Z901" s="32" t="str">
        <f t="shared" si="1366"/>
        <v/>
      </c>
      <c r="AA901" s="27" t="str">
        <f t="shared" si="1367"/>
        <v/>
      </c>
      <c r="AB901" s="27" t="str">
        <f t="shared" si="1368"/>
        <v/>
      </c>
      <c r="AC901" s="29" t="str">
        <f t="shared" si="1369"/>
        <v/>
      </c>
      <c r="AD901" s="30" t="str">
        <f t="shared" si="1370"/>
        <v/>
      </c>
      <c r="AE901" s="4"/>
    </row>
    <row r="902" spans="5:31" hidden="1" x14ac:dyDescent="0.25">
      <c r="E902" s="46"/>
      <c r="F902" s="46"/>
      <c r="G902" s="50" t="str">
        <f t="shared" si="1353"/>
        <v/>
      </c>
      <c r="H902" s="27" t="str">
        <f t="shared" ref="H902:J902" si="1447">IF($G902="","",Q118+Q274+Q430+Q586+Q742)</f>
        <v/>
      </c>
      <c r="I902" s="27" t="str">
        <f t="shared" si="1447"/>
        <v/>
      </c>
      <c r="J902" s="27" t="str">
        <f t="shared" si="1447"/>
        <v/>
      </c>
      <c r="K902" s="27" t="str">
        <f t="shared" ref="K902:M902" si="1448">IF($G902="","",AQ118+AQ274+AQ430+AQ586+AQ742)</f>
        <v/>
      </c>
      <c r="L902" s="27" t="str">
        <f t="shared" si="1448"/>
        <v/>
      </c>
      <c r="M902" s="27" t="str">
        <f t="shared" si="1448"/>
        <v/>
      </c>
      <c r="N902" s="27" t="str">
        <f t="shared" si="1356"/>
        <v/>
      </c>
      <c r="O902" s="33" t="str">
        <f t="shared" si="1357"/>
        <v/>
      </c>
      <c r="P902" s="31"/>
      <c r="Q902" s="32" t="str">
        <f t="shared" si="1358"/>
        <v/>
      </c>
      <c r="R902" s="27" t="str">
        <f t="shared" si="1359"/>
        <v/>
      </c>
      <c r="S902" s="27" t="str">
        <f t="shared" si="1360"/>
        <v/>
      </c>
      <c r="T902" s="27" t="str">
        <f t="shared" si="1361"/>
        <v/>
      </c>
      <c r="U902" s="27" t="str">
        <f t="shared" si="1362"/>
        <v/>
      </c>
      <c r="V902" s="27" t="str">
        <f t="shared" si="1363"/>
        <v/>
      </c>
      <c r="W902" s="29" t="str">
        <f t="shared" si="1364"/>
        <v/>
      </c>
      <c r="X902" s="30" t="str">
        <f t="shared" si="1365"/>
        <v/>
      </c>
      <c r="Y902" s="46"/>
      <c r="Z902" s="32" t="str">
        <f t="shared" si="1366"/>
        <v/>
      </c>
      <c r="AA902" s="27" t="str">
        <f t="shared" si="1367"/>
        <v/>
      </c>
      <c r="AB902" s="27" t="str">
        <f t="shared" si="1368"/>
        <v/>
      </c>
      <c r="AC902" s="29" t="str">
        <f t="shared" si="1369"/>
        <v/>
      </c>
      <c r="AD902" s="30" t="str">
        <f t="shared" si="1370"/>
        <v/>
      </c>
      <c r="AE902" s="4"/>
    </row>
    <row r="903" spans="5:31" hidden="1" x14ac:dyDescent="0.25">
      <c r="E903" s="46"/>
      <c r="F903" s="46"/>
      <c r="G903" s="50" t="str">
        <f t="shared" si="1353"/>
        <v/>
      </c>
      <c r="H903" s="27" t="str">
        <f t="shared" ref="H903:J903" si="1449">IF($G903="","",Q119+Q275+Q431+Q587+Q743)</f>
        <v/>
      </c>
      <c r="I903" s="27" t="str">
        <f t="shared" si="1449"/>
        <v/>
      </c>
      <c r="J903" s="27" t="str">
        <f t="shared" si="1449"/>
        <v/>
      </c>
      <c r="K903" s="27" t="str">
        <f t="shared" ref="K903:M903" si="1450">IF($G903="","",AQ119+AQ275+AQ431+AQ587+AQ743)</f>
        <v/>
      </c>
      <c r="L903" s="27" t="str">
        <f t="shared" si="1450"/>
        <v/>
      </c>
      <c r="M903" s="27" t="str">
        <f t="shared" si="1450"/>
        <v/>
      </c>
      <c r="N903" s="27" t="str">
        <f t="shared" si="1356"/>
        <v/>
      </c>
      <c r="O903" s="33" t="str">
        <f t="shared" si="1357"/>
        <v/>
      </c>
      <c r="P903" s="31"/>
      <c r="Q903" s="32" t="str">
        <f t="shared" si="1358"/>
        <v/>
      </c>
      <c r="R903" s="27" t="str">
        <f t="shared" si="1359"/>
        <v/>
      </c>
      <c r="S903" s="27" t="str">
        <f t="shared" si="1360"/>
        <v/>
      </c>
      <c r="T903" s="27" t="str">
        <f t="shared" si="1361"/>
        <v/>
      </c>
      <c r="U903" s="27" t="str">
        <f t="shared" si="1362"/>
        <v/>
      </c>
      <c r="V903" s="27" t="str">
        <f t="shared" si="1363"/>
        <v/>
      </c>
      <c r="W903" s="29" t="str">
        <f t="shared" si="1364"/>
        <v/>
      </c>
      <c r="X903" s="30" t="str">
        <f t="shared" si="1365"/>
        <v/>
      </c>
      <c r="Y903" s="46"/>
      <c r="Z903" s="32" t="str">
        <f t="shared" si="1366"/>
        <v/>
      </c>
      <c r="AA903" s="27" t="str">
        <f t="shared" si="1367"/>
        <v/>
      </c>
      <c r="AB903" s="27" t="str">
        <f t="shared" si="1368"/>
        <v/>
      </c>
      <c r="AC903" s="29" t="str">
        <f t="shared" si="1369"/>
        <v/>
      </c>
      <c r="AD903" s="30" t="str">
        <f t="shared" si="1370"/>
        <v/>
      </c>
      <c r="AE903" s="4"/>
    </row>
    <row r="904" spans="5:31" hidden="1" x14ac:dyDescent="0.25">
      <c r="E904" s="46"/>
      <c r="F904" s="46"/>
      <c r="G904" s="50" t="str">
        <f t="shared" si="1353"/>
        <v/>
      </c>
      <c r="H904" s="27" t="str">
        <f t="shared" ref="H904:J904" si="1451">IF($G904="","",Q120+Q276+Q432+Q588+Q744)</f>
        <v/>
      </c>
      <c r="I904" s="27" t="str">
        <f t="shared" si="1451"/>
        <v/>
      </c>
      <c r="J904" s="27" t="str">
        <f t="shared" si="1451"/>
        <v/>
      </c>
      <c r="K904" s="27" t="str">
        <f t="shared" ref="K904:M904" si="1452">IF($G904="","",AQ120+AQ276+AQ432+AQ588+AQ744)</f>
        <v/>
      </c>
      <c r="L904" s="27" t="str">
        <f t="shared" si="1452"/>
        <v/>
      </c>
      <c r="M904" s="27" t="str">
        <f t="shared" si="1452"/>
        <v/>
      </c>
      <c r="N904" s="27" t="str">
        <f t="shared" si="1356"/>
        <v/>
      </c>
      <c r="O904" s="33" t="str">
        <f t="shared" si="1357"/>
        <v/>
      </c>
      <c r="P904" s="31"/>
      <c r="Q904" s="32" t="str">
        <f t="shared" si="1358"/>
        <v/>
      </c>
      <c r="R904" s="27" t="str">
        <f t="shared" si="1359"/>
        <v/>
      </c>
      <c r="S904" s="27" t="str">
        <f t="shared" si="1360"/>
        <v/>
      </c>
      <c r="T904" s="27" t="str">
        <f t="shared" si="1361"/>
        <v/>
      </c>
      <c r="U904" s="27" t="str">
        <f t="shared" si="1362"/>
        <v/>
      </c>
      <c r="V904" s="27" t="str">
        <f t="shared" si="1363"/>
        <v/>
      </c>
      <c r="W904" s="29" t="str">
        <f t="shared" si="1364"/>
        <v/>
      </c>
      <c r="X904" s="30" t="str">
        <f t="shared" si="1365"/>
        <v/>
      </c>
      <c r="Y904" s="46"/>
      <c r="Z904" s="32" t="str">
        <f t="shared" si="1366"/>
        <v/>
      </c>
      <c r="AA904" s="27" t="str">
        <f t="shared" si="1367"/>
        <v/>
      </c>
      <c r="AB904" s="27" t="str">
        <f t="shared" si="1368"/>
        <v/>
      </c>
      <c r="AC904" s="29" t="str">
        <f t="shared" si="1369"/>
        <v/>
      </c>
      <c r="AD904" s="30" t="str">
        <f t="shared" si="1370"/>
        <v/>
      </c>
      <c r="AE904" s="4"/>
    </row>
    <row r="905" spans="5:31" hidden="1" x14ac:dyDescent="0.25">
      <c r="E905" s="46"/>
      <c r="F905" s="46"/>
      <c r="G905" s="50" t="str">
        <f t="shared" si="1353"/>
        <v/>
      </c>
      <c r="H905" s="27" t="str">
        <f t="shared" ref="H905:J905" si="1453">IF($G905="","",Q121+Q277+Q433+Q589+Q745)</f>
        <v/>
      </c>
      <c r="I905" s="27" t="str">
        <f t="shared" si="1453"/>
        <v/>
      </c>
      <c r="J905" s="27" t="str">
        <f t="shared" si="1453"/>
        <v/>
      </c>
      <c r="K905" s="27" t="str">
        <f t="shared" ref="K905:M905" si="1454">IF($G905="","",AQ121+AQ277+AQ433+AQ589+AQ745)</f>
        <v/>
      </c>
      <c r="L905" s="27" t="str">
        <f t="shared" si="1454"/>
        <v/>
      </c>
      <c r="M905" s="27" t="str">
        <f t="shared" si="1454"/>
        <v/>
      </c>
      <c r="N905" s="27" t="str">
        <f t="shared" si="1356"/>
        <v/>
      </c>
      <c r="O905" s="33" t="str">
        <f t="shared" si="1357"/>
        <v/>
      </c>
      <c r="P905" s="31"/>
      <c r="Q905" s="32" t="str">
        <f t="shared" si="1358"/>
        <v/>
      </c>
      <c r="R905" s="27" t="str">
        <f t="shared" si="1359"/>
        <v/>
      </c>
      <c r="S905" s="27" t="str">
        <f t="shared" si="1360"/>
        <v/>
      </c>
      <c r="T905" s="27" t="str">
        <f t="shared" si="1361"/>
        <v/>
      </c>
      <c r="U905" s="27" t="str">
        <f t="shared" si="1362"/>
        <v/>
      </c>
      <c r="V905" s="27" t="str">
        <f t="shared" si="1363"/>
        <v/>
      </c>
      <c r="W905" s="29" t="str">
        <f t="shared" si="1364"/>
        <v/>
      </c>
      <c r="X905" s="30" t="str">
        <f t="shared" si="1365"/>
        <v/>
      </c>
      <c r="Y905" s="46"/>
      <c r="Z905" s="32" t="str">
        <f t="shared" si="1366"/>
        <v/>
      </c>
      <c r="AA905" s="27" t="str">
        <f t="shared" si="1367"/>
        <v/>
      </c>
      <c r="AB905" s="27" t="str">
        <f t="shared" si="1368"/>
        <v/>
      </c>
      <c r="AC905" s="29" t="str">
        <f t="shared" si="1369"/>
        <v/>
      </c>
      <c r="AD905" s="30" t="str">
        <f t="shared" si="1370"/>
        <v/>
      </c>
      <c r="AE905" s="4"/>
    </row>
    <row r="906" spans="5:31" hidden="1" x14ac:dyDescent="0.25">
      <c r="E906" s="46"/>
      <c r="F906" s="46"/>
      <c r="G906" s="50" t="str">
        <f t="shared" si="1353"/>
        <v/>
      </c>
      <c r="H906" s="27" t="str">
        <f t="shared" ref="H906:J906" si="1455">IF($G906="","",Q122+Q278+Q434+Q590+Q746)</f>
        <v/>
      </c>
      <c r="I906" s="27" t="str">
        <f t="shared" si="1455"/>
        <v/>
      </c>
      <c r="J906" s="27" t="str">
        <f t="shared" si="1455"/>
        <v/>
      </c>
      <c r="K906" s="27" t="str">
        <f t="shared" ref="K906:M906" si="1456">IF($G906="","",AQ122+AQ278+AQ434+AQ590+AQ746)</f>
        <v/>
      </c>
      <c r="L906" s="27" t="str">
        <f t="shared" si="1456"/>
        <v/>
      </c>
      <c r="M906" s="27" t="str">
        <f t="shared" si="1456"/>
        <v/>
      </c>
      <c r="N906" s="27" t="str">
        <f t="shared" si="1356"/>
        <v/>
      </c>
      <c r="O906" s="33" t="str">
        <f t="shared" si="1357"/>
        <v/>
      </c>
      <c r="P906" s="31"/>
      <c r="Q906" s="32" t="str">
        <f t="shared" si="1358"/>
        <v/>
      </c>
      <c r="R906" s="27" t="str">
        <f t="shared" si="1359"/>
        <v/>
      </c>
      <c r="S906" s="27" t="str">
        <f t="shared" si="1360"/>
        <v/>
      </c>
      <c r="T906" s="27" t="str">
        <f t="shared" si="1361"/>
        <v/>
      </c>
      <c r="U906" s="27" t="str">
        <f t="shared" si="1362"/>
        <v/>
      </c>
      <c r="V906" s="27" t="str">
        <f t="shared" si="1363"/>
        <v/>
      </c>
      <c r="W906" s="29" t="str">
        <f t="shared" si="1364"/>
        <v/>
      </c>
      <c r="X906" s="30" t="str">
        <f t="shared" si="1365"/>
        <v/>
      </c>
      <c r="Y906" s="46"/>
      <c r="Z906" s="32" t="str">
        <f t="shared" si="1366"/>
        <v/>
      </c>
      <c r="AA906" s="27" t="str">
        <f t="shared" si="1367"/>
        <v/>
      </c>
      <c r="AB906" s="27" t="str">
        <f t="shared" si="1368"/>
        <v/>
      </c>
      <c r="AC906" s="29" t="str">
        <f t="shared" si="1369"/>
        <v/>
      </c>
      <c r="AD906" s="30" t="str">
        <f t="shared" si="1370"/>
        <v/>
      </c>
      <c r="AE906" s="4"/>
    </row>
    <row r="907" spans="5:31" hidden="1" x14ac:dyDescent="0.25">
      <c r="E907" s="46"/>
      <c r="F907" s="46"/>
      <c r="G907" s="50" t="str">
        <f t="shared" si="1353"/>
        <v/>
      </c>
      <c r="H907" s="27" t="str">
        <f t="shared" ref="H907:J907" si="1457">IF($G907="","",Q123+Q279+Q435+Q591+Q747)</f>
        <v/>
      </c>
      <c r="I907" s="27" t="str">
        <f t="shared" si="1457"/>
        <v/>
      </c>
      <c r="J907" s="27" t="str">
        <f t="shared" si="1457"/>
        <v/>
      </c>
      <c r="K907" s="27" t="str">
        <f t="shared" ref="K907:M907" si="1458">IF($G907="","",AQ123+AQ279+AQ435+AQ591+AQ747)</f>
        <v/>
      </c>
      <c r="L907" s="27" t="str">
        <f t="shared" si="1458"/>
        <v/>
      </c>
      <c r="M907" s="27" t="str">
        <f t="shared" si="1458"/>
        <v/>
      </c>
      <c r="N907" s="27" t="str">
        <f t="shared" si="1356"/>
        <v/>
      </c>
      <c r="O907" s="33" t="str">
        <f t="shared" si="1357"/>
        <v/>
      </c>
      <c r="P907" s="31"/>
      <c r="Q907" s="32" t="str">
        <f t="shared" si="1358"/>
        <v/>
      </c>
      <c r="R907" s="27" t="str">
        <f t="shared" si="1359"/>
        <v/>
      </c>
      <c r="S907" s="27" t="str">
        <f t="shared" si="1360"/>
        <v/>
      </c>
      <c r="T907" s="27" t="str">
        <f t="shared" si="1361"/>
        <v/>
      </c>
      <c r="U907" s="27" t="str">
        <f t="shared" si="1362"/>
        <v/>
      </c>
      <c r="V907" s="27" t="str">
        <f t="shared" si="1363"/>
        <v/>
      </c>
      <c r="W907" s="29" t="str">
        <f t="shared" si="1364"/>
        <v/>
      </c>
      <c r="X907" s="30" t="str">
        <f t="shared" si="1365"/>
        <v/>
      </c>
      <c r="Y907" s="46"/>
      <c r="Z907" s="32" t="str">
        <f t="shared" si="1366"/>
        <v/>
      </c>
      <c r="AA907" s="27" t="str">
        <f t="shared" si="1367"/>
        <v/>
      </c>
      <c r="AB907" s="27" t="str">
        <f t="shared" si="1368"/>
        <v/>
      </c>
      <c r="AC907" s="29" t="str">
        <f t="shared" si="1369"/>
        <v/>
      </c>
      <c r="AD907" s="30" t="str">
        <f t="shared" si="1370"/>
        <v/>
      </c>
      <c r="AE907" s="4"/>
    </row>
    <row r="908" spans="5:31" hidden="1" x14ac:dyDescent="0.25">
      <c r="E908" s="46"/>
      <c r="F908" s="46"/>
      <c r="G908" s="50" t="str">
        <f t="shared" si="1353"/>
        <v/>
      </c>
      <c r="H908" s="27" t="str">
        <f t="shared" ref="H908:J908" si="1459">IF($G908="","",Q124+Q280+Q436+Q592+Q748)</f>
        <v/>
      </c>
      <c r="I908" s="27" t="str">
        <f t="shared" si="1459"/>
        <v/>
      </c>
      <c r="J908" s="27" t="str">
        <f t="shared" si="1459"/>
        <v/>
      </c>
      <c r="K908" s="27" t="str">
        <f t="shared" ref="K908:M908" si="1460">IF($G908="","",AQ124+AQ280+AQ436+AQ592+AQ748)</f>
        <v/>
      </c>
      <c r="L908" s="27" t="str">
        <f t="shared" si="1460"/>
        <v/>
      </c>
      <c r="M908" s="27" t="str">
        <f t="shared" si="1460"/>
        <v/>
      </c>
      <c r="N908" s="27" t="str">
        <f t="shared" si="1356"/>
        <v/>
      </c>
      <c r="O908" s="33" t="str">
        <f t="shared" si="1357"/>
        <v/>
      </c>
      <c r="P908" s="31"/>
      <c r="Q908" s="32" t="str">
        <f t="shared" si="1358"/>
        <v/>
      </c>
      <c r="R908" s="27" t="str">
        <f t="shared" si="1359"/>
        <v/>
      </c>
      <c r="S908" s="27" t="str">
        <f t="shared" si="1360"/>
        <v/>
      </c>
      <c r="T908" s="27" t="str">
        <f t="shared" si="1361"/>
        <v/>
      </c>
      <c r="U908" s="27" t="str">
        <f t="shared" si="1362"/>
        <v/>
      </c>
      <c r="V908" s="27" t="str">
        <f t="shared" si="1363"/>
        <v/>
      </c>
      <c r="W908" s="29" t="str">
        <f t="shared" si="1364"/>
        <v/>
      </c>
      <c r="X908" s="30" t="str">
        <f t="shared" si="1365"/>
        <v/>
      </c>
      <c r="Y908" s="46"/>
      <c r="Z908" s="32" t="str">
        <f t="shared" si="1366"/>
        <v/>
      </c>
      <c r="AA908" s="27" t="str">
        <f t="shared" si="1367"/>
        <v/>
      </c>
      <c r="AB908" s="27" t="str">
        <f t="shared" si="1368"/>
        <v/>
      </c>
      <c r="AC908" s="29" t="str">
        <f t="shared" si="1369"/>
        <v/>
      </c>
      <c r="AD908" s="30" t="str">
        <f t="shared" si="1370"/>
        <v/>
      </c>
      <c r="AE908" s="4"/>
    </row>
    <row r="909" spans="5:31" hidden="1" x14ac:dyDescent="0.25">
      <c r="E909" s="46"/>
      <c r="F909" s="46"/>
      <c r="G909" s="50" t="str">
        <f t="shared" si="1353"/>
        <v/>
      </c>
      <c r="H909" s="27" t="str">
        <f t="shared" ref="H909:J909" si="1461">IF($G909="","",Q125+Q281+Q437+Q593+Q749)</f>
        <v/>
      </c>
      <c r="I909" s="27" t="str">
        <f t="shared" si="1461"/>
        <v/>
      </c>
      <c r="J909" s="27" t="str">
        <f t="shared" si="1461"/>
        <v/>
      </c>
      <c r="K909" s="27" t="str">
        <f t="shared" ref="K909:M909" si="1462">IF($G909="","",AQ125+AQ281+AQ437+AQ593+AQ749)</f>
        <v/>
      </c>
      <c r="L909" s="27" t="str">
        <f t="shared" si="1462"/>
        <v/>
      </c>
      <c r="M909" s="27" t="str">
        <f t="shared" si="1462"/>
        <v/>
      </c>
      <c r="N909" s="27" t="str">
        <f t="shared" si="1356"/>
        <v/>
      </c>
      <c r="O909" s="33" t="str">
        <f t="shared" si="1357"/>
        <v/>
      </c>
      <c r="P909" s="31"/>
      <c r="Q909" s="32" t="str">
        <f t="shared" si="1358"/>
        <v/>
      </c>
      <c r="R909" s="27" t="str">
        <f t="shared" si="1359"/>
        <v/>
      </c>
      <c r="S909" s="27" t="str">
        <f t="shared" si="1360"/>
        <v/>
      </c>
      <c r="T909" s="27" t="str">
        <f t="shared" si="1361"/>
        <v/>
      </c>
      <c r="U909" s="27" t="str">
        <f t="shared" si="1362"/>
        <v/>
      </c>
      <c r="V909" s="27" t="str">
        <f t="shared" si="1363"/>
        <v/>
      </c>
      <c r="W909" s="29" t="str">
        <f t="shared" si="1364"/>
        <v/>
      </c>
      <c r="X909" s="30" t="str">
        <f t="shared" si="1365"/>
        <v/>
      </c>
      <c r="Y909" s="46"/>
      <c r="Z909" s="32" t="str">
        <f t="shared" si="1366"/>
        <v/>
      </c>
      <c r="AA909" s="27" t="str">
        <f t="shared" si="1367"/>
        <v/>
      </c>
      <c r="AB909" s="27" t="str">
        <f t="shared" si="1368"/>
        <v/>
      </c>
      <c r="AC909" s="29" t="str">
        <f t="shared" si="1369"/>
        <v/>
      </c>
      <c r="AD909" s="30" t="str">
        <f t="shared" si="1370"/>
        <v/>
      </c>
      <c r="AE909" s="4"/>
    </row>
    <row r="910" spans="5:31" hidden="1" x14ac:dyDescent="0.25">
      <c r="E910" s="46"/>
      <c r="F910" s="46"/>
      <c r="G910" s="50" t="str">
        <f t="shared" si="1353"/>
        <v/>
      </c>
      <c r="H910" s="27" t="str">
        <f t="shared" ref="H910:J910" si="1463">IF($G910="","",Q126+Q282+Q438+Q594+Q750)</f>
        <v/>
      </c>
      <c r="I910" s="27" t="str">
        <f t="shared" si="1463"/>
        <v/>
      </c>
      <c r="J910" s="27" t="str">
        <f t="shared" si="1463"/>
        <v/>
      </c>
      <c r="K910" s="27" t="str">
        <f t="shared" ref="K910:M910" si="1464">IF($G910="","",AQ126+AQ282+AQ438+AQ594+AQ750)</f>
        <v/>
      </c>
      <c r="L910" s="27" t="str">
        <f t="shared" si="1464"/>
        <v/>
      </c>
      <c r="M910" s="27" t="str">
        <f t="shared" si="1464"/>
        <v/>
      </c>
      <c r="N910" s="27" t="str">
        <f t="shared" si="1356"/>
        <v/>
      </c>
      <c r="O910" s="33" t="str">
        <f t="shared" si="1357"/>
        <v/>
      </c>
      <c r="P910" s="31"/>
      <c r="Q910" s="32" t="str">
        <f t="shared" si="1358"/>
        <v/>
      </c>
      <c r="R910" s="27" t="str">
        <f t="shared" si="1359"/>
        <v/>
      </c>
      <c r="S910" s="27" t="str">
        <f t="shared" si="1360"/>
        <v/>
      </c>
      <c r="T910" s="27" t="str">
        <f t="shared" si="1361"/>
        <v/>
      </c>
      <c r="U910" s="27" t="str">
        <f t="shared" si="1362"/>
        <v/>
      </c>
      <c r="V910" s="27" t="str">
        <f t="shared" si="1363"/>
        <v/>
      </c>
      <c r="W910" s="29" t="str">
        <f t="shared" si="1364"/>
        <v/>
      </c>
      <c r="X910" s="30" t="str">
        <f t="shared" si="1365"/>
        <v/>
      </c>
      <c r="Y910" s="46"/>
      <c r="Z910" s="32" t="str">
        <f t="shared" si="1366"/>
        <v/>
      </c>
      <c r="AA910" s="27" t="str">
        <f t="shared" si="1367"/>
        <v/>
      </c>
      <c r="AB910" s="27" t="str">
        <f t="shared" si="1368"/>
        <v/>
      </c>
      <c r="AC910" s="29" t="str">
        <f t="shared" si="1369"/>
        <v/>
      </c>
      <c r="AD910" s="30" t="str">
        <f t="shared" si="1370"/>
        <v/>
      </c>
      <c r="AE910" s="4"/>
    </row>
    <row r="911" spans="5:31" hidden="1" x14ac:dyDescent="0.25">
      <c r="E911" s="46"/>
      <c r="F911" s="46"/>
      <c r="G911" s="50" t="str">
        <f t="shared" si="1353"/>
        <v/>
      </c>
      <c r="H911" s="27" t="str">
        <f t="shared" ref="H911:J911" si="1465">IF($G911="","",Q127+Q283+Q439+Q595+Q751)</f>
        <v/>
      </c>
      <c r="I911" s="27" t="str">
        <f t="shared" si="1465"/>
        <v/>
      </c>
      <c r="J911" s="27" t="str">
        <f t="shared" si="1465"/>
        <v/>
      </c>
      <c r="K911" s="27" t="str">
        <f t="shared" ref="K911:M911" si="1466">IF($G911="","",AQ127+AQ283+AQ439+AQ595+AQ751)</f>
        <v/>
      </c>
      <c r="L911" s="27" t="str">
        <f t="shared" si="1466"/>
        <v/>
      </c>
      <c r="M911" s="27" t="str">
        <f t="shared" si="1466"/>
        <v/>
      </c>
      <c r="N911" s="27" t="str">
        <f t="shared" si="1356"/>
        <v/>
      </c>
      <c r="O911" s="33" t="str">
        <f t="shared" si="1357"/>
        <v/>
      </c>
      <c r="P911" s="31"/>
      <c r="Q911" s="32" t="str">
        <f t="shared" si="1358"/>
        <v/>
      </c>
      <c r="R911" s="27" t="str">
        <f t="shared" si="1359"/>
        <v/>
      </c>
      <c r="S911" s="27" t="str">
        <f t="shared" si="1360"/>
        <v/>
      </c>
      <c r="T911" s="27" t="str">
        <f t="shared" si="1361"/>
        <v/>
      </c>
      <c r="U911" s="27" t="str">
        <f t="shared" si="1362"/>
        <v/>
      </c>
      <c r="V911" s="27" t="str">
        <f t="shared" si="1363"/>
        <v/>
      </c>
      <c r="W911" s="29" t="str">
        <f t="shared" si="1364"/>
        <v/>
      </c>
      <c r="X911" s="30" t="str">
        <f t="shared" si="1365"/>
        <v/>
      </c>
      <c r="Y911" s="46"/>
      <c r="Z911" s="32" t="str">
        <f t="shared" si="1366"/>
        <v/>
      </c>
      <c r="AA911" s="27" t="str">
        <f t="shared" si="1367"/>
        <v/>
      </c>
      <c r="AB911" s="27" t="str">
        <f t="shared" si="1368"/>
        <v/>
      </c>
      <c r="AC911" s="29" t="str">
        <f t="shared" si="1369"/>
        <v/>
      </c>
      <c r="AD911" s="30" t="str">
        <f t="shared" si="1370"/>
        <v/>
      </c>
      <c r="AE911" s="4"/>
    </row>
    <row r="912" spans="5:31" hidden="1" x14ac:dyDescent="0.25">
      <c r="E912" s="46"/>
      <c r="F912" s="46"/>
      <c r="G912" s="50" t="str">
        <f t="shared" si="1353"/>
        <v/>
      </c>
      <c r="H912" s="27" t="str">
        <f t="shared" ref="H912:J912" si="1467">IF($G912="","",Q128+Q284+Q440+Q596+Q752)</f>
        <v/>
      </c>
      <c r="I912" s="27" t="str">
        <f t="shared" si="1467"/>
        <v/>
      </c>
      <c r="J912" s="27" t="str">
        <f t="shared" si="1467"/>
        <v/>
      </c>
      <c r="K912" s="27" t="str">
        <f t="shared" ref="K912:M912" si="1468">IF($G912="","",AQ128+AQ284+AQ440+AQ596+AQ752)</f>
        <v/>
      </c>
      <c r="L912" s="27" t="str">
        <f t="shared" si="1468"/>
        <v/>
      </c>
      <c r="M912" s="27" t="str">
        <f t="shared" si="1468"/>
        <v/>
      </c>
      <c r="N912" s="27" t="str">
        <f t="shared" si="1356"/>
        <v/>
      </c>
      <c r="O912" s="33" t="str">
        <f t="shared" si="1357"/>
        <v/>
      </c>
      <c r="P912" s="31"/>
      <c r="Q912" s="32" t="str">
        <f t="shared" si="1358"/>
        <v/>
      </c>
      <c r="R912" s="27" t="str">
        <f t="shared" si="1359"/>
        <v/>
      </c>
      <c r="S912" s="27" t="str">
        <f t="shared" si="1360"/>
        <v/>
      </c>
      <c r="T912" s="27" t="str">
        <f t="shared" si="1361"/>
        <v/>
      </c>
      <c r="U912" s="27" t="str">
        <f t="shared" si="1362"/>
        <v/>
      </c>
      <c r="V912" s="27" t="str">
        <f t="shared" si="1363"/>
        <v/>
      </c>
      <c r="W912" s="29" t="str">
        <f t="shared" si="1364"/>
        <v/>
      </c>
      <c r="X912" s="30" t="str">
        <f t="shared" si="1365"/>
        <v/>
      </c>
      <c r="Y912" s="46"/>
      <c r="Z912" s="32" t="str">
        <f t="shared" si="1366"/>
        <v/>
      </c>
      <c r="AA912" s="27" t="str">
        <f t="shared" si="1367"/>
        <v/>
      </c>
      <c r="AB912" s="27" t="str">
        <f t="shared" si="1368"/>
        <v/>
      </c>
      <c r="AC912" s="29" t="str">
        <f t="shared" si="1369"/>
        <v/>
      </c>
      <c r="AD912" s="30" t="str">
        <f t="shared" si="1370"/>
        <v/>
      </c>
      <c r="AE912" s="4"/>
    </row>
    <row r="913" spans="5:31" hidden="1" x14ac:dyDescent="0.25">
      <c r="E913" s="46"/>
      <c r="F913" s="46"/>
      <c r="G913" s="50" t="str">
        <f t="shared" si="1353"/>
        <v/>
      </c>
      <c r="H913" s="27" t="str">
        <f t="shared" ref="H913:J913" si="1469">IF($G913="","",Q129+Q285+Q441+Q597+Q753)</f>
        <v/>
      </c>
      <c r="I913" s="27" t="str">
        <f t="shared" si="1469"/>
        <v/>
      </c>
      <c r="J913" s="27" t="str">
        <f t="shared" si="1469"/>
        <v/>
      </c>
      <c r="K913" s="27" t="str">
        <f t="shared" ref="K913:M913" si="1470">IF($G913="","",AQ129+AQ285+AQ441+AQ597+AQ753)</f>
        <v/>
      </c>
      <c r="L913" s="27" t="str">
        <f t="shared" si="1470"/>
        <v/>
      </c>
      <c r="M913" s="27" t="str">
        <f t="shared" si="1470"/>
        <v/>
      </c>
      <c r="N913" s="27" t="str">
        <f t="shared" si="1356"/>
        <v/>
      </c>
      <c r="O913" s="33" t="str">
        <f t="shared" si="1357"/>
        <v/>
      </c>
      <c r="P913" s="31"/>
      <c r="Q913" s="32" t="str">
        <f t="shared" si="1358"/>
        <v/>
      </c>
      <c r="R913" s="27" t="str">
        <f t="shared" si="1359"/>
        <v/>
      </c>
      <c r="S913" s="27" t="str">
        <f t="shared" si="1360"/>
        <v/>
      </c>
      <c r="T913" s="27" t="str">
        <f t="shared" si="1361"/>
        <v/>
      </c>
      <c r="U913" s="27" t="str">
        <f t="shared" si="1362"/>
        <v/>
      </c>
      <c r="V913" s="27" t="str">
        <f t="shared" si="1363"/>
        <v/>
      </c>
      <c r="W913" s="29" t="str">
        <f t="shared" si="1364"/>
        <v/>
      </c>
      <c r="X913" s="30" t="str">
        <f t="shared" si="1365"/>
        <v/>
      </c>
      <c r="Y913" s="46"/>
      <c r="Z913" s="32" t="str">
        <f t="shared" si="1366"/>
        <v/>
      </c>
      <c r="AA913" s="27" t="str">
        <f t="shared" si="1367"/>
        <v/>
      </c>
      <c r="AB913" s="27" t="str">
        <f t="shared" si="1368"/>
        <v/>
      </c>
      <c r="AC913" s="29" t="str">
        <f t="shared" si="1369"/>
        <v/>
      </c>
      <c r="AD913" s="30" t="str">
        <f t="shared" si="1370"/>
        <v/>
      </c>
      <c r="AE913" s="4"/>
    </row>
    <row r="914" spans="5:31" hidden="1" x14ac:dyDescent="0.25">
      <c r="E914" s="46"/>
      <c r="F914" s="46"/>
      <c r="G914" s="50" t="str">
        <f t="shared" si="1353"/>
        <v/>
      </c>
      <c r="H914" s="27" t="str">
        <f t="shared" ref="H914:J914" si="1471">IF($G914="","",Q130+Q286+Q442+Q598+Q754)</f>
        <v/>
      </c>
      <c r="I914" s="27" t="str">
        <f t="shared" si="1471"/>
        <v/>
      </c>
      <c r="J914" s="27" t="str">
        <f t="shared" si="1471"/>
        <v/>
      </c>
      <c r="K914" s="27" t="str">
        <f t="shared" ref="K914:M914" si="1472">IF($G914="","",AQ130+AQ286+AQ442+AQ598+AQ754)</f>
        <v/>
      </c>
      <c r="L914" s="27" t="str">
        <f t="shared" si="1472"/>
        <v/>
      </c>
      <c r="M914" s="27" t="str">
        <f t="shared" si="1472"/>
        <v/>
      </c>
      <c r="N914" s="27" t="str">
        <f t="shared" si="1356"/>
        <v/>
      </c>
      <c r="O914" s="33" t="str">
        <f t="shared" si="1357"/>
        <v/>
      </c>
      <c r="P914" s="31"/>
      <c r="Q914" s="32" t="str">
        <f t="shared" si="1358"/>
        <v/>
      </c>
      <c r="R914" s="27" t="str">
        <f t="shared" si="1359"/>
        <v/>
      </c>
      <c r="S914" s="27" t="str">
        <f t="shared" si="1360"/>
        <v/>
      </c>
      <c r="T914" s="27" t="str">
        <f t="shared" si="1361"/>
        <v/>
      </c>
      <c r="U914" s="27" t="str">
        <f t="shared" si="1362"/>
        <v/>
      </c>
      <c r="V914" s="27" t="str">
        <f t="shared" si="1363"/>
        <v/>
      </c>
      <c r="W914" s="29" t="str">
        <f t="shared" si="1364"/>
        <v/>
      </c>
      <c r="X914" s="30" t="str">
        <f t="shared" si="1365"/>
        <v/>
      </c>
      <c r="Y914" s="46"/>
      <c r="Z914" s="32" t="str">
        <f t="shared" si="1366"/>
        <v/>
      </c>
      <c r="AA914" s="27" t="str">
        <f t="shared" si="1367"/>
        <v/>
      </c>
      <c r="AB914" s="27" t="str">
        <f t="shared" si="1368"/>
        <v/>
      </c>
      <c r="AC914" s="29" t="str">
        <f t="shared" si="1369"/>
        <v/>
      </c>
      <c r="AD914" s="30" t="str">
        <f t="shared" si="1370"/>
        <v/>
      </c>
      <c r="AE914" s="4"/>
    </row>
    <row r="915" spans="5:31" hidden="1" x14ac:dyDescent="0.25">
      <c r="E915" s="46"/>
      <c r="F915" s="46"/>
      <c r="G915" s="50" t="str">
        <f t="shared" si="1353"/>
        <v/>
      </c>
      <c r="H915" s="27" t="str">
        <f t="shared" ref="H915:J915" si="1473">IF($G915="","",Q131+Q287+Q443+Q599+Q755)</f>
        <v/>
      </c>
      <c r="I915" s="27" t="str">
        <f t="shared" si="1473"/>
        <v/>
      </c>
      <c r="J915" s="27" t="str">
        <f t="shared" si="1473"/>
        <v/>
      </c>
      <c r="K915" s="27" t="str">
        <f t="shared" ref="K915:M915" si="1474">IF($G915="","",AQ131+AQ287+AQ443+AQ599+AQ755)</f>
        <v/>
      </c>
      <c r="L915" s="27" t="str">
        <f t="shared" si="1474"/>
        <v/>
      </c>
      <c r="M915" s="27" t="str">
        <f t="shared" si="1474"/>
        <v/>
      </c>
      <c r="N915" s="27" t="str">
        <f t="shared" si="1356"/>
        <v/>
      </c>
      <c r="O915" s="33" t="str">
        <f t="shared" si="1357"/>
        <v/>
      </c>
      <c r="P915" s="31"/>
      <c r="Q915" s="32" t="str">
        <f t="shared" si="1358"/>
        <v/>
      </c>
      <c r="R915" s="27" t="str">
        <f t="shared" si="1359"/>
        <v/>
      </c>
      <c r="S915" s="27" t="str">
        <f t="shared" si="1360"/>
        <v/>
      </c>
      <c r="T915" s="27" t="str">
        <f t="shared" si="1361"/>
        <v/>
      </c>
      <c r="U915" s="27" t="str">
        <f t="shared" si="1362"/>
        <v/>
      </c>
      <c r="V915" s="27" t="str">
        <f t="shared" si="1363"/>
        <v/>
      </c>
      <c r="W915" s="29" t="str">
        <f t="shared" si="1364"/>
        <v/>
      </c>
      <c r="X915" s="30" t="str">
        <f t="shared" si="1365"/>
        <v/>
      </c>
      <c r="Y915" s="46"/>
      <c r="Z915" s="32" t="str">
        <f t="shared" si="1366"/>
        <v/>
      </c>
      <c r="AA915" s="27" t="str">
        <f t="shared" si="1367"/>
        <v/>
      </c>
      <c r="AB915" s="27" t="str">
        <f t="shared" si="1368"/>
        <v/>
      </c>
      <c r="AC915" s="29" t="str">
        <f t="shared" si="1369"/>
        <v/>
      </c>
      <c r="AD915" s="30" t="str">
        <f t="shared" si="1370"/>
        <v/>
      </c>
      <c r="AE915" s="4"/>
    </row>
    <row r="916" spans="5:31" hidden="1" x14ac:dyDescent="0.25">
      <c r="E916" s="46"/>
      <c r="F916" s="46"/>
      <c r="G916" s="50" t="str">
        <f t="shared" si="1353"/>
        <v/>
      </c>
      <c r="H916" s="27" t="str">
        <f t="shared" ref="H916:J916" si="1475">IF($G916="","",Q132+Q288+Q444+Q600+Q756)</f>
        <v/>
      </c>
      <c r="I916" s="27" t="str">
        <f t="shared" si="1475"/>
        <v/>
      </c>
      <c r="J916" s="27" t="str">
        <f t="shared" si="1475"/>
        <v/>
      </c>
      <c r="K916" s="27" t="str">
        <f t="shared" ref="K916:M916" si="1476">IF($G916="","",AQ132+AQ288+AQ444+AQ600+AQ756)</f>
        <v/>
      </c>
      <c r="L916" s="27" t="str">
        <f t="shared" si="1476"/>
        <v/>
      </c>
      <c r="M916" s="27" t="str">
        <f t="shared" si="1476"/>
        <v/>
      </c>
      <c r="N916" s="27" t="str">
        <f t="shared" si="1356"/>
        <v/>
      </c>
      <c r="O916" s="33" t="str">
        <f t="shared" si="1357"/>
        <v/>
      </c>
      <c r="P916" s="31"/>
      <c r="Q916" s="32" t="str">
        <f t="shared" si="1358"/>
        <v/>
      </c>
      <c r="R916" s="27" t="str">
        <f t="shared" si="1359"/>
        <v/>
      </c>
      <c r="S916" s="27" t="str">
        <f t="shared" si="1360"/>
        <v/>
      </c>
      <c r="T916" s="27" t="str">
        <f t="shared" si="1361"/>
        <v/>
      </c>
      <c r="U916" s="27" t="str">
        <f t="shared" si="1362"/>
        <v/>
      </c>
      <c r="V916" s="27" t="str">
        <f t="shared" si="1363"/>
        <v/>
      </c>
      <c r="W916" s="29" t="str">
        <f t="shared" si="1364"/>
        <v/>
      </c>
      <c r="X916" s="30" t="str">
        <f t="shared" si="1365"/>
        <v/>
      </c>
      <c r="Y916" s="46"/>
      <c r="Z916" s="32" t="str">
        <f t="shared" si="1366"/>
        <v/>
      </c>
      <c r="AA916" s="27" t="str">
        <f t="shared" si="1367"/>
        <v/>
      </c>
      <c r="AB916" s="27" t="str">
        <f t="shared" si="1368"/>
        <v/>
      </c>
      <c r="AC916" s="29" t="str">
        <f t="shared" si="1369"/>
        <v/>
      </c>
      <c r="AD916" s="30" t="str">
        <f t="shared" si="1370"/>
        <v/>
      </c>
      <c r="AE916" s="4"/>
    </row>
    <row r="917" spans="5:31" hidden="1" x14ac:dyDescent="0.25">
      <c r="E917" s="46"/>
      <c r="F917" s="46"/>
      <c r="G917" s="50" t="str">
        <f t="shared" si="1353"/>
        <v/>
      </c>
      <c r="H917" s="27" t="str">
        <f t="shared" ref="H917:J917" si="1477">IF($G917="","",Q133+Q289+Q445+Q601+Q757)</f>
        <v/>
      </c>
      <c r="I917" s="27" t="str">
        <f t="shared" si="1477"/>
        <v/>
      </c>
      <c r="J917" s="27" t="str">
        <f t="shared" si="1477"/>
        <v/>
      </c>
      <c r="K917" s="27" t="str">
        <f t="shared" ref="K917:M917" si="1478">IF($G917="","",AQ133+AQ289+AQ445+AQ601+AQ757)</f>
        <v/>
      </c>
      <c r="L917" s="27" t="str">
        <f t="shared" si="1478"/>
        <v/>
      </c>
      <c r="M917" s="27" t="str">
        <f t="shared" si="1478"/>
        <v/>
      </c>
      <c r="N917" s="27" t="str">
        <f t="shared" si="1356"/>
        <v/>
      </c>
      <c r="O917" s="33" t="str">
        <f t="shared" si="1357"/>
        <v/>
      </c>
      <c r="P917" s="31"/>
      <c r="Q917" s="32" t="str">
        <f t="shared" si="1358"/>
        <v/>
      </c>
      <c r="R917" s="27" t="str">
        <f t="shared" si="1359"/>
        <v/>
      </c>
      <c r="S917" s="27" t="str">
        <f t="shared" si="1360"/>
        <v/>
      </c>
      <c r="T917" s="27" t="str">
        <f t="shared" si="1361"/>
        <v/>
      </c>
      <c r="U917" s="27" t="str">
        <f t="shared" si="1362"/>
        <v/>
      </c>
      <c r="V917" s="27" t="str">
        <f t="shared" si="1363"/>
        <v/>
      </c>
      <c r="W917" s="29" t="str">
        <f t="shared" si="1364"/>
        <v/>
      </c>
      <c r="X917" s="30" t="str">
        <f t="shared" si="1365"/>
        <v/>
      </c>
      <c r="Y917" s="46"/>
      <c r="Z917" s="32" t="str">
        <f t="shared" si="1366"/>
        <v/>
      </c>
      <c r="AA917" s="27" t="str">
        <f t="shared" si="1367"/>
        <v/>
      </c>
      <c r="AB917" s="27" t="str">
        <f t="shared" si="1368"/>
        <v/>
      </c>
      <c r="AC917" s="29" t="str">
        <f t="shared" si="1369"/>
        <v/>
      </c>
      <c r="AD917" s="30" t="str">
        <f t="shared" si="1370"/>
        <v/>
      </c>
      <c r="AE917" s="4"/>
    </row>
    <row r="918" spans="5:31" hidden="1" x14ac:dyDescent="0.25">
      <c r="E918" s="46"/>
      <c r="F918" s="46"/>
      <c r="G918" s="50" t="str">
        <f t="shared" si="1353"/>
        <v/>
      </c>
      <c r="H918" s="27" t="str">
        <f t="shared" ref="H918:J918" si="1479">IF($G918="","",Q134+Q290+Q446+Q602+Q758)</f>
        <v/>
      </c>
      <c r="I918" s="27" t="str">
        <f t="shared" si="1479"/>
        <v/>
      </c>
      <c r="J918" s="27" t="str">
        <f t="shared" si="1479"/>
        <v/>
      </c>
      <c r="K918" s="27" t="str">
        <f t="shared" ref="K918:M918" si="1480">IF($G918="","",AQ134+AQ290+AQ446+AQ602+AQ758)</f>
        <v/>
      </c>
      <c r="L918" s="27" t="str">
        <f t="shared" si="1480"/>
        <v/>
      </c>
      <c r="M918" s="27" t="str">
        <f t="shared" si="1480"/>
        <v/>
      </c>
      <c r="N918" s="27" t="str">
        <f t="shared" si="1356"/>
        <v/>
      </c>
      <c r="O918" s="33" t="str">
        <f t="shared" si="1357"/>
        <v/>
      </c>
      <c r="P918" s="31"/>
      <c r="Q918" s="32" t="str">
        <f t="shared" si="1358"/>
        <v/>
      </c>
      <c r="R918" s="27" t="str">
        <f t="shared" si="1359"/>
        <v/>
      </c>
      <c r="S918" s="27" t="str">
        <f t="shared" si="1360"/>
        <v/>
      </c>
      <c r="T918" s="27" t="str">
        <f t="shared" si="1361"/>
        <v/>
      </c>
      <c r="U918" s="27" t="str">
        <f t="shared" si="1362"/>
        <v/>
      </c>
      <c r="V918" s="27" t="str">
        <f t="shared" si="1363"/>
        <v/>
      </c>
      <c r="W918" s="29" t="str">
        <f t="shared" si="1364"/>
        <v/>
      </c>
      <c r="X918" s="30" t="str">
        <f t="shared" si="1365"/>
        <v/>
      </c>
      <c r="Y918" s="46"/>
      <c r="Z918" s="32" t="str">
        <f t="shared" si="1366"/>
        <v/>
      </c>
      <c r="AA918" s="27" t="str">
        <f t="shared" si="1367"/>
        <v/>
      </c>
      <c r="AB918" s="27" t="str">
        <f t="shared" si="1368"/>
        <v/>
      </c>
      <c r="AC918" s="29" t="str">
        <f t="shared" si="1369"/>
        <v/>
      </c>
      <c r="AD918" s="30" t="str">
        <f t="shared" si="1370"/>
        <v/>
      </c>
      <c r="AE918" s="4"/>
    </row>
    <row r="919" spans="5:31" hidden="1" x14ac:dyDescent="0.25">
      <c r="E919" s="46"/>
      <c r="F919" s="46"/>
      <c r="G919" s="50" t="str">
        <f t="shared" si="1353"/>
        <v/>
      </c>
      <c r="H919" s="27" t="str">
        <f t="shared" ref="H919:J919" si="1481">IF($G919="","",Q135+Q291+Q447+Q603+Q759)</f>
        <v/>
      </c>
      <c r="I919" s="27" t="str">
        <f t="shared" si="1481"/>
        <v/>
      </c>
      <c r="J919" s="27" t="str">
        <f t="shared" si="1481"/>
        <v/>
      </c>
      <c r="K919" s="27" t="str">
        <f t="shared" ref="K919:M919" si="1482">IF($G919="","",AQ135+AQ291+AQ447+AQ603+AQ759)</f>
        <v/>
      </c>
      <c r="L919" s="27" t="str">
        <f t="shared" si="1482"/>
        <v/>
      </c>
      <c r="M919" s="27" t="str">
        <f t="shared" si="1482"/>
        <v/>
      </c>
      <c r="N919" s="27" t="str">
        <f t="shared" si="1356"/>
        <v/>
      </c>
      <c r="O919" s="33" t="str">
        <f t="shared" si="1357"/>
        <v/>
      </c>
      <c r="P919" s="31"/>
      <c r="Q919" s="32" t="str">
        <f t="shared" si="1358"/>
        <v/>
      </c>
      <c r="R919" s="27" t="str">
        <f t="shared" si="1359"/>
        <v/>
      </c>
      <c r="S919" s="27" t="str">
        <f t="shared" si="1360"/>
        <v/>
      </c>
      <c r="T919" s="27" t="str">
        <f t="shared" si="1361"/>
        <v/>
      </c>
      <c r="U919" s="27" t="str">
        <f t="shared" si="1362"/>
        <v/>
      </c>
      <c r="V919" s="27" t="str">
        <f t="shared" si="1363"/>
        <v/>
      </c>
      <c r="W919" s="29" t="str">
        <f t="shared" si="1364"/>
        <v/>
      </c>
      <c r="X919" s="30" t="str">
        <f t="shared" si="1365"/>
        <v/>
      </c>
      <c r="Y919" s="46"/>
      <c r="Z919" s="32" t="str">
        <f t="shared" si="1366"/>
        <v/>
      </c>
      <c r="AA919" s="27" t="str">
        <f t="shared" si="1367"/>
        <v/>
      </c>
      <c r="AB919" s="27" t="str">
        <f t="shared" si="1368"/>
        <v/>
      </c>
      <c r="AC919" s="29" t="str">
        <f t="shared" si="1369"/>
        <v/>
      </c>
      <c r="AD919" s="30" t="str">
        <f t="shared" si="1370"/>
        <v/>
      </c>
      <c r="AE919" s="4"/>
    </row>
    <row r="920" spans="5:31" hidden="1" x14ac:dyDescent="0.25">
      <c r="E920" s="46"/>
      <c r="F920" s="46"/>
      <c r="G920" s="50" t="str">
        <f t="shared" si="1353"/>
        <v/>
      </c>
      <c r="H920" s="27" t="str">
        <f t="shared" ref="H920:J920" si="1483">IF($G920="","",Q136+Q292+Q448+Q604+Q760)</f>
        <v/>
      </c>
      <c r="I920" s="27" t="str">
        <f t="shared" si="1483"/>
        <v/>
      </c>
      <c r="J920" s="27" t="str">
        <f t="shared" si="1483"/>
        <v/>
      </c>
      <c r="K920" s="27" t="str">
        <f t="shared" ref="K920:M920" si="1484">IF($G920="","",AQ136+AQ292+AQ448+AQ604+AQ760)</f>
        <v/>
      </c>
      <c r="L920" s="27" t="str">
        <f t="shared" si="1484"/>
        <v/>
      </c>
      <c r="M920" s="27" t="str">
        <f t="shared" si="1484"/>
        <v/>
      </c>
      <c r="N920" s="27" t="str">
        <f t="shared" si="1356"/>
        <v/>
      </c>
      <c r="O920" s="33" t="str">
        <f t="shared" si="1357"/>
        <v/>
      </c>
      <c r="P920" s="31"/>
      <c r="Q920" s="32" t="str">
        <f t="shared" si="1358"/>
        <v/>
      </c>
      <c r="R920" s="27" t="str">
        <f t="shared" si="1359"/>
        <v/>
      </c>
      <c r="S920" s="27" t="str">
        <f t="shared" si="1360"/>
        <v/>
      </c>
      <c r="T920" s="27" t="str">
        <f t="shared" si="1361"/>
        <v/>
      </c>
      <c r="U920" s="27" t="str">
        <f t="shared" si="1362"/>
        <v/>
      </c>
      <c r="V920" s="27" t="str">
        <f t="shared" si="1363"/>
        <v/>
      </c>
      <c r="W920" s="29" t="str">
        <f t="shared" si="1364"/>
        <v/>
      </c>
      <c r="X920" s="30" t="str">
        <f t="shared" si="1365"/>
        <v/>
      </c>
      <c r="Y920" s="46"/>
      <c r="Z920" s="32" t="str">
        <f t="shared" si="1366"/>
        <v/>
      </c>
      <c r="AA920" s="27" t="str">
        <f t="shared" si="1367"/>
        <v/>
      </c>
      <c r="AB920" s="27" t="str">
        <f t="shared" si="1368"/>
        <v/>
      </c>
      <c r="AC920" s="29" t="str">
        <f t="shared" si="1369"/>
        <v/>
      </c>
      <c r="AD920" s="30" t="str">
        <f t="shared" si="1370"/>
        <v/>
      </c>
      <c r="AE920" s="4"/>
    </row>
    <row r="921" spans="5:31" hidden="1" x14ac:dyDescent="0.25">
      <c r="E921" s="46"/>
      <c r="F921" s="46"/>
      <c r="G921" s="50" t="str">
        <f t="shared" si="1353"/>
        <v/>
      </c>
      <c r="H921" s="27" t="str">
        <f t="shared" ref="H921:J921" si="1485">IF($G921="","",Q137+Q293+Q449+Q605+Q761)</f>
        <v/>
      </c>
      <c r="I921" s="27" t="str">
        <f t="shared" si="1485"/>
        <v/>
      </c>
      <c r="J921" s="27" t="str">
        <f t="shared" si="1485"/>
        <v/>
      </c>
      <c r="K921" s="27" t="str">
        <f t="shared" ref="K921:M921" si="1486">IF($G921="","",AQ137+AQ293+AQ449+AQ605+AQ761)</f>
        <v/>
      </c>
      <c r="L921" s="27" t="str">
        <f t="shared" si="1486"/>
        <v/>
      </c>
      <c r="M921" s="27" t="str">
        <f t="shared" si="1486"/>
        <v/>
      </c>
      <c r="N921" s="27" t="str">
        <f t="shared" si="1356"/>
        <v/>
      </c>
      <c r="O921" s="33" t="str">
        <f t="shared" si="1357"/>
        <v/>
      </c>
      <c r="P921" s="31"/>
      <c r="Q921" s="32" t="str">
        <f t="shared" si="1358"/>
        <v/>
      </c>
      <c r="R921" s="27" t="str">
        <f t="shared" si="1359"/>
        <v/>
      </c>
      <c r="S921" s="27" t="str">
        <f t="shared" si="1360"/>
        <v/>
      </c>
      <c r="T921" s="27" t="str">
        <f t="shared" si="1361"/>
        <v/>
      </c>
      <c r="U921" s="27" t="str">
        <f t="shared" si="1362"/>
        <v/>
      </c>
      <c r="V921" s="27" t="str">
        <f t="shared" si="1363"/>
        <v/>
      </c>
      <c r="W921" s="29" t="str">
        <f t="shared" si="1364"/>
        <v/>
      </c>
      <c r="X921" s="30" t="str">
        <f t="shared" si="1365"/>
        <v/>
      </c>
      <c r="Y921" s="46"/>
      <c r="Z921" s="32" t="str">
        <f t="shared" si="1366"/>
        <v/>
      </c>
      <c r="AA921" s="27" t="str">
        <f t="shared" si="1367"/>
        <v/>
      </c>
      <c r="AB921" s="27" t="str">
        <f t="shared" si="1368"/>
        <v/>
      </c>
      <c r="AC921" s="29" t="str">
        <f t="shared" si="1369"/>
        <v/>
      </c>
      <c r="AD921" s="30" t="str">
        <f t="shared" si="1370"/>
        <v/>
      </c>
      <c r="AE921" s="4"/>
    </row>
    <row r="922" spans="5:31" hidden="1" x14ac:dyDescent="0.25">
      <c r="E922" s="46"/>
      <c r="F922" s="46"/>
      <c r="G922" s="50" t="str">
        <f t="shared" si="1353"/>
        <v/>
      </c>
      <c r="H922" s="27" t="str">
        <f t="shared" ref="H922:J922" si="1487">IF($G922="","",Q138+Q294+Q450+Q606+Q762)</f>
        <v/>
      </c>
      <c r="I922" s="27" t="str">
        <f t="shared" si="1487"/>
        <v/>
      </c>
      <c r="J922" s="27" t="str">
        <f t="shared" si="1487"/>
        <v/>
      </c>
      <c r="K922" s="27" t="str">
        <f t="shared" ref="K922:M922" si="1488">IF($G922="","",AQ138+AQ294+AQ450+AQ606+AQ762)</f>
        <v/>
      </c>
      <c r="L922" s="27" t="str">
        <f t="shared" si="1488"/>
        <v/>
      </c>
      <c r="M922" s="27" t="str">
        <f t="shared" si="1488"/>
        <v/>
      </c>
      <c r="N922" s="27" t="str">
        <f t="shared" si="1356"/>
        <v/>
      </c>
      <c r="O922" s="33" t="str">
        <f t="shared" si="1357"/>
        <v/>
      </c>
      <c r="P922" s="31"/>
      <c r="Q922" s="32" t="str">
        <f t="shared" si="1358"/>
        <v/>
      </c>
      <c r="R922" s="27" t="str">
        <f t="shared" si="1359"/>
        <v/>
      </c>
      <c r="S922" s="27" t="str">
        <f t="shared" si="1360"/>
        <v/>
      </c>
      <c r="T922" s="27" t="str">
        <f t="shared" si="1361"/>
        <v/>
      </c>
      <c r="U922" s="27" t="str">
        <f t="shared" si="1362"/>
        <v/>
      </c>
      <c r="V922" s="27" t="str">
        <f t="shared" si="1363"/>
        <v/>
      </c>
      <c r="W922" s="29" t="str">
        <f t="shared" si="1364"/>
        <v/>
      </c>
      <c r="X922" s="30" t="str">
        <f t="shared" si="1365"/>
        <v/>
      </c>
      <c r="Y922" s="46"/>
      <c r="Z922" s="32" t="str">
        <f t="shared" si="1366"/>
        <v/>
      </c>
      <c r="AA922" s="27" t="str">
        <f t="shared" si="1367"/>
        <v/>
      </c>
      <c r="AB922" s="27" t="str">
        <f t="shared" si="1368"/>
        <v/>
      </c>
      <c r="AC922" s="29" t="str">
        <f t="shared" si="1369"/>
        <v/>
      </c>
      <c r="AD922" s="30" t="str">
        <f t="shared" si="1370"/>
        <v/>
      </c>
      <c r="AE922" s="4"/>
    </row>
    <row r="923" spans="5:31" hidden="1" x14ac:dyDescent="0.25">
      <c r="E923" s="46"/>
      <c r="F923" s="46"/>
      <c r="G923" s="50" t="str">
        <f t="shared" si="1353"/>
        <v/>
      </c>
      <c r="H923" s="27" t="str">
        <f t="shared" ref="H923:J923" si="1489">IF($G923="","",Q139+Q295+Q451+Q607+Q763)</f>
        <v/>
      </c>
      <c r="I923" s="27" t="str">
        <f t="shared" si="1489"/>
        <v/>
      </c>
      <c r="J923" s="27" t="str">
        <f t="shared" si="1489"/>
        <v/>
      </c>
      <c r="K923" s="27" t="str">
        <f t="shared" ref="K923:M923" si="1490">IF($G923="","",AQ139+AQ295+AQ451+AQ607+AQ763)</f>
        <v/>
      </c>
      <c r="L923" s="27" t="str">
        <f t="shared" si="1490"/>
        <v/>
      </c>
      <c r="M923" s="27" t="str">
        <f t="shared" si="1490"/>
        <v/>
      </c>
      <c r="N923" s="27" t="str">
        <f t="shared" si="1356"/>
        <v/>
      </c>
      <c r="O923" s="33" t="str">
        <f t="shared" si="1357"/>
        <v/>
      </c>
      <c r="P923" s="31"/>
      <c r="Q923" s="32" t="str">
        <f t="shared" si="1358"/>
        <v/>
      </c>
      <c r="R923" s="27" t="str">
        <f t="shared" si="1359"/>
        <v/>
      </c>
      <c r="S923" s="27" t="str">
        <f t="shared" si="1360"/>
        <v/>
      </c>
      <c r="T923" s="27" t="str">
        <f t="shared" si="1361"/>
        <v/>
      </c>
      <c r="U923" s="27" t="str">
        <f t="shared" si="1362"/>
        <v/>
      </c>
      <c r="V923" s="27" t="str">
        <f t="shared" si="1363"/>
        <v/>
      </c>
      <c r="W923" s="29" t="str">
        <f t="shared" si="1364"/>
        <v/>
      </c>
      <c r="X923" s="30" t="str">
        <f t="shared" si="1365"/>
        <v/>
      </c>
      <c r="Y923" s="46"/>
      <c r="Z923" s="32" t="str">
        <f t="shared" si="1366"/>
        <v/>
      </c>
      <c r="AA923" s="27" t="str">
        <f t="shared" si="1367"/>
        <v/>
      </c>
      <c r="AB923" s="27" t="str">
        <f t="shared" si="1368"/>
        <v/>
      </c>
      <c r="AC923" s="29" t="str">
        <f t="shared" si="1369"/>
        <v/>
      </c>
      <c r="AD923" s="30" t="str">
        <f t="shared" si="1370"/>
        <v/>
      </c>
      <c r="AE923" s="4"/>
    </row>
    <row r="924" spans="5:31" hidden="1" x14ac:dyDescent="0.25">
      <c r="E924" s="46"/>
      <c r="F924" s="46"/>
      <c r="G924" s="50" t="str">
        <f t="shared" si="1353"/>
        <v/>
      </c>
      <c r="H924" s="27" t="str">
        <f t="shared" ref="H924:J924" si="1491">IF($G924="","",Q140+Q296+Q452+Q608+Q764)</f>
        <v/>
      </c>
      <c r="I924" s="27" t="str">
        <f t="shared" si="1491"/>
        <v/>
      </c>
      <c r="J924" s="27" t="str">
        <f t="shared" si="1491"/>
        <v/>
      </c>
      <c r="K924" s="27" t="str">
        <f t="shared" ref="K924:M924" si="1492">IF($G924="","",AQ140+AQ296+AQ452+AQ608+AQ764)</f>
        <v/>
      </c>
      <c r="L924" s="27" t="str">
        <f t="shared" si="1492"/>
        <v/>
      </c>
      <c r="M924" s="27" t="str">
        <f t="shared" si="1492"/>
        <v/>
      </c>
      <c r="N924" s="27" t="str">
        <f t="shared" si="1356"/>
        <v/>
      </c>
      <c r="O924" s="33" t="str">
        <f t="shared" si="1357"/>
        <v/>
      </c>
      <c r="P924" s="31"/>
      <c r="Q924" s="32" t="str">
        <f t="shared" si="1358"/>
        <v/>
      </c>
      <c r="R924" s="27" t="str">
        <f t="shared" si="1359"/>
        <v/>
      </c>
      <c r="S924" s="27" t="str">
        <f t="shared" si="1360"/>
        <v/>
      </c>
      <c r="T924" s="27" t="str">
        <f t="shared" si="1361"/>
        <v/>
      </c>
      <c r="U924" s="27" t="str">
        <f t="shared" si="1362"/>
        <v/>
      </c>
      <c r="V924" s="27" t="str">
        <f t="shared" si="1363"/>
        <v/>
      </c>
      <c r="W924" s="29" t="str">
        <f t="shared" si="1364"/>
        <v/>
      </c>
      <c r="X924" s="30" t="str">
        <f t="shared" si="1365"/>
        <v/>
      </c>
      <c r="Y924" s="46"/>
      <c r="Z924" s="32" t="str">
        <f t="shared" si="1366"/>
        <v/>
      </c>
      <c r="AA924" s="27" t="str">
        <f t="shared" si="1367"/>
        <v/>
      </c>
      <c r="AB924" s="27" t="str">
        <f t="shared" si="1368"/>
        <v/>
      </c>
      <c r="AC924" s="29" t="str">
        <f t="shared" si="1369"/>
        <v/>
      </c>
      <c r="AD924" s="30" t="str">
        <f t="shared" si="1370"/>
        <v/>
      </c>
      <c r="AE924" s="4"/>
    </row>
    <row r="925" spans="5:31" hidden="1" x14ac:dyDescent="0.25">
      <c r="E925" s="46"/>
      <c r="F925" s="46"/>
      <c r="G925" s="50" t="str">
        <f t="shared" si="1353"/>
        <v/>
      </c>
      <c r="H925" s="27" t="str">
        <f t="shared" ref="H925:J925" si="1493">IF($G925="","",Q141+Q297+Q453+Q609+Q765)</f>
        <v/>
      </c>
      <c r="I925" s="27" t="str">
        <f t="shared" si="1493"/>
        <v/>
      </c>
      <c r="J925" s="27" t="str">
        <f t="shared" si="1493"/>
        <v/>
      </c>
      <c r="K925" s="27" t="str">
        <f t="shared" ref="K925:M925" si="1494">IF($G925="","",AQ141+AQ297+AQ453+AQ609+AQ765)</f>
        <v/>
      </c>
      <c r="L925" s="27" t="str">
        <f t="shared" si="1494"/>
        <v/>
      </c>
      <c r="M925" s="27" t="str">
        <f t="shared" si="1494"/>
        <v/>
      </c>
      <c r="N925" s="27" t="str">
        <f t="shared" si="1356"/>
        <v/>
      </c>
      <c r="O925" s="33" t="str">
        <f t="shared" si="1357"/>
        <v/>
      </c>
      <c r="P925" s="31"/>
      <c r="Q925" s="32" t="str">
        <f t="shared" si="1358"/>
        <v/>
      </c>
      <c r="R925" s="27" t="str">
        <f t="shared" si="1359"/>
        <v/>
      </c>
      <c r="S925" s="27" t="str">
        <f t="shared" si="1360"/>
        <v/>
      </c>
      <c r="T925" s="27" t="str">
        <f t="shared" si="1361"/>
        <v/>
      </c>
      <c r="U925" s="27" t="str">
        <f t="shared" si="1362"/>
        <v/>
      </c>
      <c r="V925" s="27" t="str">
        <f t="shared" si="1363"/>
        <v/>
      </c>
      <c r="W925" s="29" t="str">
        <f t="shared" si="1364"/>
        <v/>
      </c>
      <c r="X925" s="30" t="str">
        <f t="shared" si="1365"/>
        <v/>
      </c>
      <c r="Y925" s="46"/>
      <c r="Z925" s="32" t="str">
        <f t="shared" si="1366"/>
        <v/>
      </c>
      <c r="AA925" s="27" t="str">
        <f t="shared" si="1367"/>
        <v/>
      </c>
      <c r="AB925" s="27" t="str">
        <f t="shared" si="1368"/>
        <v/>
      </c>
      <c r="AC925" s="29" t="str">
        <f t="shared" si="1369"/>
        <v/>
      </c>
      <c r="AD925" s="30" t="str">
        <f t="shared" si="1370"/>
        <v/>
      </c>
      <c r="AE925" s="4"/>
    </row>
    <row r="926" spans="5:31" hidden="1" x14ac:dyDescent="0.25">
      <c r="E926" s="46"/>
      <c r="F926" s="46"/>
      <c r="G926" s="50" t="str">
        <f t="shared" si="1353"/>
        <v/>
      </c>
      <c r="H926" s="27" t="str">
        <f t="shared" ref="H926:J926" si="1495">IF($G926="","",Q142+Q298+Q454+Q610+Q766)</f>
        <v/>
      </c>
      <c r="I926" s="27" t="str">
        <f t="shared" si="1495"/>
        <v/>
      </c>
      <c r="J926" s="27" t="str">
        <f t="shared" si="1495"/>
        <v/>
      </c>
      <c r="K926" s="27" t="str">
        <f t="shared" ref="K926:M926" si="1496">IF($G926="","",AQ142+AQ298+AQ454+AQ610+AQ766)</f>
        <v/>
      </c>
      <c r="L926" s="27" t="str">
        <f t="shared" si="1496"/>
        <v/>
      </c>
      <c r="M926" s="27" t="str">
        <f t="shared" si="1496"/>
        <v/>
      </c>
      <c r="N926" s="27" t="str">
        <f t="shared" si="1356"/>
        <v/>
      </c>
      <c r="O926" s="33" t="str">
        <f t="shared" si="1357"/>
        <v/>
      </c>
      <c r="P926" s="31"/>
      <c r="Q926" s="32" t="str">
        <f t="shared" si="1358"/>
        <v/>
      </c>
      <c r="R926" s="27" t="str">
        <f t="shared" si="1359"/>
        <v/>
      </c>
      <c r="S926" s="27" t="str">
        <f t="shared" si="1360"/>
        <v/>
      </c>
      <c r="T926" s="27" t="str">
        <f t="shared" si="1361"/>
        <v/>
      </c>
      <c r="U926" s="27" t="str">
        <f t="shared" si="1362"/>
        <v/>
      </c>
      <c r="V926" s="27" t="str">
        <f t="shared" si="1363"/>
        <v/>
      </c>
      <c r="W926" s="29" t="str">
        <f t="shared" si="1364"/>
        <v/>
      </c>
      <c r="X926" s="30" t="str">
        <f t="shared" si="1365"/>
        <v/>
      </c>
      <c r="Y926" s="46"/>
      <c r="Z926" s="32" t="str">
        <f t="shared" si="1366"/>
        <v/>
      </c>
      <c r="AA926" s="27" t="str">
        <f t="shared" si="1367"/>
        <v/>
      </c>
      <c r="AB926" s="27" t="str">
        <f t="shared" si="1368"/>
        <v/>
      </c>
      <c r="AC926" s="29" t="str">
        <f t="shared" si="1369"/>
        <v/>
      </c>
      <c r="AD926" s="30" t="str">
        <f t="shared" si="1370"/>
        <v/>
      </c>
      <c r="AE926" s="4"/>
    </row>
    <row r="927" spans="5:31" hidden="1" x14ac:dyDescent="0.25">
      <c r="E927" s="46"/>
      <c r="F927" s="46"/>
      <c r="G927" s="50" t="str">
        <f t="shared" ref="G927:G947" si="1497">IF(M143="","",M143)</f>
        <v/>
      </c>
      <c r="H927" s="27" t="str">
        <f t="shared" ref="H927:J927" si="1498">IF($G927="","",Q143+Q299+Q455+Q611+Q767)</f>
        <v/>
      </c>
      <c r="I927" s="27" t="str">
        <f t="shared" si="1498"/>
        <v/>
      </c>
      <c r="J927" s="27" t="str">
        <f t="shared" si="1498"/>
        <v/>
      </c>
      <c r="K927" s="27" t="str">
        <f t="shared" ref="K927:M927" si="1499">IF($G927="","",AQ143+AQ299+AQ455+AQ611+AQ767)</f>
        <v/>
      </c>
      <c r="L927" s="27" t="str">
        <f t="shared" si="1499"/>
        <v/>
      </c>
      <c r="M927" s="27" t="str">
        <f t="shared" si="1499"/>
        <v/>
      </c>
      <c r="N927" s="27" t="str">
        <f t="shared" ref="N927:N947" si="1500">IF(G927="","",SQRT(H927^2+I927^2+J927^2))</f>
        <v/>
      </c>
      <c r="O927" s="33" t="str">
        <f t="shared" ref="O927:O947" si="1501">IF(G927="","",SQRT(K927^2+L927^2+M927^2))</f>
        <v/>
      </c>
      <c r="P927" s="31"/>
      <c r="Q927" s="32" t="str">
        <f t="shared" ref="Q927:Q947" si="1502">IF($G927="","",H927*0.224808)</f>
        <v/>
      </c>
      <c r="R927" s="27" t="str">
        <f t="shared" ref="R927:R947" si="1503">IF($G927="","",I927*0.224808)</f>
        <v/>
      </c>
      <c r="S927" s="27" t="str">
        <f t="shared" ref="S927:S947" si="1504">IF($G927="","",J927*0.224808)</f>
        <v/>
      </c>
      <c r="T927" s="27" t="str">
        <f t="shared" ref="T927:T947" si="1505">IF($G927="","",K927*0.737562)</f>
        <v/>
      </c>
      <c r="U927" s="27" t="str">
        <f t="shared" ref="U927:U947" si="1506">IF($G927="","",L927*0.737562)</f>
        <v/>
      </c>
      <c r="V927" s="27" t="str">
        <f t="shared" ref="V927:V947" si="1507">IF($G927="","",M927*0.737562)</f>
        <v/>
      </c>
      <c r="W927" s="29" t="str">
        <f t="shared" ref="W927:W947" si="1508">IF(G927="","",MAX(ABS(Q927)/$Q$948,ABS(R927)/$R$948,ABS(S927)/$S$948,ABS(T927)/$T$948,ABS(U927)/$U$948,ABS(V927)/$V$948)*100)</f>
        <v/>
      </c>
      <c r="X927" s="30" t="str">
        <f t="shared" ref="X927:X947" si="1509">IF(G927="","",IF(W927&lt;=100, "PASS","FAIL"))</f>
        <v/>
      </c>
      <c r="Y927" s="46"/>
      <c r="Z927" s="32" t="str">
        <f t="shared" ref="Z927:Z947" si="1510">IF(G927="","",SQRT(Q927^2+R927^2+S927^2))</f>
        <v/>
      </c>
      <c r="AA927" s="27" t="str">
        <f t="shared" ref="AA927:AA947" si="1511">IF(G927="","",SQRT(T927^2+U927^2+V927^2))</f>
        <v/>
      </c>
      <c r="AB927" s="27" t="str">
        <f t="shared" ref="AB927:AB947" si="1512">IF(G927="","",Z927*2+AA927)</f>
        <v/>
      </c>
      <c r="AC927" s="29" t="str">
        <f t="shared" ref="AC927:AC947" si="1513">IF(G927="","",AB927/$AB$948*100)</f>
        <v/>
      </c>
      <c r="AD927" s="30" t="str">
        <f t="shared" ref="AD927:AD947" si="1514">IF(G927="","",IF(AC927&lt;=100, "PASS","FAIL"))</f>
        <v/>
      </c>
      <c r="AE927" s="4"/>
    </row>
    <row r="928" spans="5:31" hidden="1" x14ac:dyDescent="0.25">
      <c r="E928" s="46"/>
      <c r="F928" s="46"/>
      <c r="G928" s="50" t="str">
        <f t="shared" si="1497"/>
        <v/>
      </c>
      <c r="H928" s="27" t="str">
        <f t="shared" ref="H928:J928" si="1515">IF($G928="","",Q144+Q300+Q456+Q612+Q768)</f>
        <v/>
      </c>
      <c r="I928" s="27" t="str">
        <f t="shared" si="1515"/>
        <v/>
      </c>
      <c r="J928" s="27" t="str">
        <f t="shared" si="1515"/>
        <v/>
      </c>
      <c r="K928" s="27" t="str">
        <f t="shared" ref="K928:M928" si="1516">IF($G928="","",AQ144+AQ300+AQ456+AQ612+AQ768)</f>
        <v/>
      </c>
      <c r="L928" s="27" t="str">
        <f t="shared" si="1516"/>
        <v/>
      </c>
      <c r="M928" s="27" t="str">
        <f t="shared" si="1516"/>
        <v/>
      </c>
      <c r="N928" s="27" t="str">
        <f t="shared" si="1500"/>
        <v/>
      </c>
      <c r="O928" s="33" t="str">
        <f t="shared" si="1501"/>
        <v/>
      </c>
      <c r="P928" s="31"/>
      <c r="Q928" s="32" t="str">
        <f t="shared" si="1502"/>
        <v/>
      </c>
      <c r="R928" s="27" t="str">
        <f t="shared" si="1503"/>
        <v/>
      </c>
      <c r="S928" s="27" t="str">
        <f t="shared" si="1504"/>
        <v/>
      </c>
      <c r="T928" s="27" t="str">
        <f t="shared" si="1505"/>
        <v/>
      </c>
      <c r="U928" s="27" t="str">
        <f t="shared" si="1506"/>
        <v/>
      </c>
      <c r="V928" s="27" t="str">
        <f t="shared" si="1507"/>
        <v/>
      </c>
      <c r="W928" s="29" t="str">
        <f t="shared" si="1508"/>
        <v/>
      </c>
      <c r="X928" s="30" t="str">
        <f t="shared" si="1509"/>
        <v/>
      </c>
      <c r="Y928" s="46"/>
      <c r="Z928" s="32" t="str">
        <f t="shared" si="1510"/>
        <v/>
      </c>
      <c r="AA928" s="27" t="str">
        <f t="shared" si="1511"/>
        <v/>
      </c>
      <c r="AB928" s="27" t="str">
        <f t="shared" si="1512"/>
        <v/>
      </c>
      <c r="AC928" s="29" t="str">
        <f t="shared" si="1513"/>
        <v/>
      </c>
      <c r="AD928" s="30" t="str">
        <f t="shared" si="1514"/>
        <v/>
      </c>
      <c r="AE928" s="4"/>
    </row>
    <row r="929" spans="5:31" hidden="1" x14ac:dyDescent="0.25">
      <c r="E929" s="46"/>
      <c r="F929" s="46"/>
      <c r="G929" s="50" t="str">
        <f t="shared" si="1497"/>
        <v/>
      </c>
      <c r="H929" s="27" t="str">
        <f t="shared" ref="H929:J929" si="1517">IF($G929="","",Q145+Q301+Q457+Q613+Q769)</f>
        <v/>
      </c>
      <c r="I929" s="27" t="str">
        <f t="shared" si="1517"/>
        <v/>
      </c>
      <c r="J929" s="27" t="str">
        <f t="shared" si="1517"/>
        <v/>
      </c>
      <c r="K929" s="27" t="str">
        <f t="shared" ref="K929:M929" si="1518">IF($G929="","",AQ145+AQ301+AQ457+AQ613+AQ769)</f>
        <v/>
      </c>
      <c r="L929" s="27" t="str">
        <f t="shared" si="1518"/>
        <v/>
      </c>
      <c r="M929" s="27" t="str">
        <f t="shared" si="1518"/>
        <v/>
      </c>
      <c r="N929" s="27" t="str">
        <f t="shared" si="1500"/>
        <v/>
      </c>
      <c r="O929" s="33" t="str">
        <f t="shared" si="1501"/>
        <v/>
      </c>
      <c r="P929" s="31"/>
      <c r="Q929" s="32" t="str">
        <f t="shared" si="1502"/>
        <v/>
      </c>
      <c r="R929" s="27" t="str">
        <f t="shared" si="1503"/>
        <v/>
      </c>
      <c r="S929" s="27" t="str">
        <f t="shared" si="1504"/>
        <v/>
      </c>
      <c r="T929" s="27" t="str">
        <f t="shared" si="1505"/>
        <v/>
      </c>
      <c r="U929" s="27" t="str">
        <f t="shared" si="1506"/>
        <v/>
      </c>
      <c r="V929" s="27" t="str">
        <f t="shared" si="1507"/>
        <v/>
      </c>
      <c r="W929" s="29" t="str">
        <f t="shared" si="1508"/>
        <v/>
      </c>
      <c r="X929" s="30" t="str">
        <f t="shared" si="1509"/>
        <v/>
      </c>
      <c r="Y929" s="46"/>
      <c r="Z929" s="32" t="str">
        <f t="shared" si="1510"/>
        <v/>
      </c>
      <c r="AA929" s="27" t="str">
        <f t="shared" si="1511"/>
        <v/>
      </c>
      <c r="AB929" s="27" t="str">
        <f t="shared" si="1512"/>
        <v/>
      </c>
      <c r="AC929" s="29" t="str">
        <f t="shared" si="1513"/>
        <v/>
      </c>
      <c r="AD929" s="30" t="str">
        <f t="shared" si="1514"/>
        <v/>
      </c>
      <c r="AE929" s="4"/>
    </row>
    <row r="930" spans="5:31" hidden="1" x14ac:dyDescent="0.25">
      <c r="E930" s="46"/>
      <c r="F930" s="46"/>
      <c r="G930" s="50" t="str">
        <f t="shared" si="1497"/>
        <v/>
      </c>
      <c r="H930" s="27" t="str">
        <f t="shared" ref="H930:J930" si="1519">IF($G930="","",Q146+Q302+Q458+Q614+Q770)</f>
        <v/>
      </c>
      <c r="I930" s="27" t="str">
        <f t="shared" si="1519"/>
        <v/>
      </c>
      <c r="J930" s="27" t="str">
        <f t="shared" si="1519"/>
        <v/>
      </c>
      <c r="K930" s="27" t="str">
        <f t="shared" ref="K930:M930" si="1520">IF($G930="","",AQ146+AQ302+AQ458+AQ614+AQ770)</f>
        <v/>
      </c>
      <c r="L930" s="27" t="str">
        <f t="shared" si="1520"/>
        <v/>
      </c>
      <c r="M930" s="27" t="str">
        <f t="shared" si="1520"/>
        <v/>
      </c>
      <c r="N930" s="27" t="str">
        <f t="shared" si="1500"/>
        <v/>
      </c>
      <c r="O930" s="33" t="str">
        <f t="shared" si="1501"/>
        <v/>
      </c>
      <c r="P930" s="31"/>
      <c r="Q930" s="32" t="str">
        <f t="shared" si="1502"/>
        <v/>
      </c>
      <c r="R930" s="27" t="str">
        <f t="shared" si="1503"/>
        <v/>
      </c>
      <c r="S930" s="27" t="str">
        <f t="shared" si="1504"/>
        <v/>
      </c>
      <c r="T930" s="27" t="str">
        <f t="shared" si="1505"/>
        <v/>
      </c>
      <c r="U930" s="27" t="str">
        <f t="shared" si="1506"/>
        <v/>
      </c>
      <c r="V930" s="27" t="str">
        <f t="shared" si="1507"/>
        <v/>
      </c>
      <c r="W930" s="29" t="str">
        <f t="shared" si="1508"/>
        <v/>
      </c>
      <c r="X930" s="30" t="str">
        <f t="shared" si="1509"/>
        <v/>
      </c>
      <c r="Y930" s="46"/>
      <c r="Z930" s="32" t="str">
        <f t="shared" si="1510"/>
        <v/>
      </c>
      <c r="AA930" s="27" t="str">
        <f t="shared" si="1511"/>
        <v/>
      </c>
      <c r="AB930" s="27" t="str">
        <f t="shared" si="1512"/>
        <v/>
      </c>
      <c r="AC930" s="29" t="str">
        <f t="shared" si="1513"/>
        <v/>
      </c>
      <c r="AD930" s="30" t="str">
        <f t="shared" si="1514"/>
        <v/>
      </c>
      <c r="AE930" s="4"/>
    </row>
    <row r="931" spans="5:31" hidden="1" x14ac:dyDescent="0.25">
      <c r="E931" s="46"/>
      <c r="F931" s="46"/>
      <c r="G931" s="50" t="str">
        <f t="shared" si="1497"/>
        <v/>
      </c>
      <c r="H931" s="27" t="str">
        <f t="shared" ref="H931:J931" si="1521">IF($G931="","",Q147+Q303+Q459+Q615+Q771)</f>
        <v/>
      </c>
      <c r="I931" s="27" t="str">
        <f t="shared" si="1521"/>
        <v/>
      </c>
      <c r="J931" s="27" t="str">
        <f t="shared" si="1521"/>
        <v/>
      </c>
      <c r="K931" s="27" t="str">
        <f t="shared" ref="K931:M931" si="1522">IF($G931="","",AQ147+AQ303+AQ459+AQ615+AQ771)</f>
        <v/>
      </c>
      <c r="L931" s="27" t="str">
        <f t="shared" si="1522"/>
        <v/>
      </c>
      <c r="M931" s="27" t="str">
        <f t="shared" si="1522"/>
        <v/>
      </c>
      <c r="N931" s="27" t="str">
        <f t="shared" si="1500"/>
        <v/>
      </c>
      <c r="O931" s="33" t="str">
        <f t="shared" si="1501"/>
        <v/>
      </c>
      <c r="P931" s="31"/>
      <c r="Q931" s="32" t="str">
        <f t="shared" si="1502"/>
        <v/>
      </c>
      <c r="R931" s="27" t="str">
        <f t="shared" si="1503"/>
        <v/>
      </c>
      <c r="S931" s="27" t="str">
        <f t="shared" si="1504"/>
        <v/>
      </c>
      <c r="T931" s="27" t="str">
        <f t="shared" si="1505"/>
        <v/>
      </c>
      <c r="U931" s="27" t="str">
        <f t="shared" si="1506"/>
        <v/>
      </c>
      <c r="V931" s="27" t="str">
        <f t="shared" si="1507"/>
        <v/>
      </c>
      <c r="W931" s="29" t="str">
        <f t="shared" si="1508"/>
        <v/>
      </c>
      <c r="X931" s="30" t="str">
        <f t="shared" si="1509"/>
        <v/>
      </c>
      <c r="Y931" s="46"/>
      <c r="Z931" s="32" t="str">
        <f t="shared" si="1510"/>
        <v/>
      </c>
      <c r="AA931" s="27" t="str">
        <f t="shared" si="1511"/>
        <v/>
      </c>
      <c r="AB931" s="27" t="str">
        <f t="shared" si="1512"/>
        <v/>
      </c>
      <c r="AC931" s="29" t="str">
        <f t="shared" si="1513"/>
        <v/>
      </c>
      <c r="AD931" s="30" t="str">
        <f t="shared" si="1514"/>
        <v/>
      </c>
      <c r="AE931" s="4"/>
    </row>
    <row r="932" spans="5:31" hidden="1" x14ac:dyDescent="0.25">
      <c r="E932" s="46"/>
      <c r="F932" s="46"/>
      <c r="G932" s="50" t="str">
        <f t="shared" si="1497"/>
        <v/>
      </c>
      <c r="H932" s="27" t="str">
        <f t="shared" ref="H932:J932" si="1523">IF($G932="","",Q148+Q304+Q460+Q616+Q772)</f>
        <v/>
      </c>
      <c r="I932" s="27" t="str">
        <f t="shared" si="1523"/>
        <v/>
      </c>
      <c r="J932" s="27" t="str">
        <f t="shared" si="1523"/>
        <v/>
      </c>
      <c r="K932" s="27" t="str">
        <f t="shared" ref="K932:M932" si="1524">IF($G932="","",AQ148+AQ304+AQ460+AQ616+AQ772)</f>
        <v/>
      </c>
      <c r="L932" s="27" t="str">
        <f t="shared" si="1524"/>
        <v/>
      </c>
      <c r="M932" s="27" t="str">
        <f t="shared" si="1524"/>
        <v/>
      </c>
      <c r="N932" s="27" t="str">
        <f t="shared" si="1500"/>
        <v/>
      </c>
      <c r="O932" s="33" t="str">
        <f t="shared" si="1501"/>
        <v/>
      </c>
      <c r="P932" s="31"/>
      <c r="Q932" s="32" t="str">
        <f t="shared" si="1502"/>
        <v/>
      </c>
      <c r="R932" s="27" t="str">
        <f t="shared" si="1503"/>
        <v/>
      </c>
      <c r="S932" s="27" t="str">
        <f t="shared" si="1504"/>
        <v/>
      </c>
      <c r="T932" s="27" t="str">
        <f t="shared" si="1505"/>
        <v/>
      </c>
      <c r="U932" s="27" t="str">
        <f t="shared" si="1506"/>
        <v/>
      </c>
      <c r="V932" s="27" t="str">
        <f t="shared" si="1507"/>
        <v/>
      </c>
      <c r="W932" s="29" t="str">
        <f t="shared" si="1508"/>
        <v/>
      </c>
      <c r="X932" s="30" t="str">
        <f t="shared" si="1509"/>
        <v/>
      </c>
      <c r="Y932" s="46"/>
      <c r="Z932" s="32" t="str">
        <f t="shared" si="1510"/>
        <v/>
      </c>
      <c r="AA932" s="27" t="str">
        <f t="shared" si="1511"/>
        <v/>
      </c>
      <c r="AB932" s="27" t="str">
        <f t="shared" si="1512"/>
        <v/>
      </c>
      <c r="AC932" s="29" t="str">
        <f t="shared" si="1513"/>
        <v/>
      </c>
      <c r="AD932" s="30" t="str">
        <f t="shared" si="1514"/>
        <v/>
      </c>
      <c r="AE932" s="4"/>
    </row>
    <row r="933" spans="5:31" hidden="1" x14ac:dyDescent="0.25">
      <c r="E933" s="46"/>
      <c r="F933" s="46"/>
      <c r="G933" s="50" t="str">
        <f t="shared" si="1497"/>
        <v/>
      </c>
      <c r="H933" s="27" t="str">
        <f t="shared" ref="H933:J933" si="1525">IF($G933="","",Q149+Q305+Q461+Q617+Q773)</f>
        <v/>
      </c>
      <c r="I933" s="27" t="str">
        <f t="shared" si="1525"/>
        <v/>
      </c>
      <c r="J933" s="27" t="str">
        <f t="shared" si="1525"/>
        <v/>
      </c>
      <c r="K933" s="27" t="str">
        <f t="shared" ref="K933:M933" si="1526">IF($G933="","",AQ149+AQ305+AQ461+AQ617+AQ773)</f>
        <v/>
      </c>
      <c r="L933" s="27" t="str">
        <f t="shared" si="1526"/>
        <v/>
      </c>
      <c r="M933" s="27" t="str">
        <f t="shared" si="1526"/>
        <v/>
      </c>
      <c r="N933" s="27" t="str">
        <f t="shared" si="1500"/>
        <v/>
      </c>
      <c r="O933" s="33" t="str">
        <f t="shared" si="1501"/>
        <v/>
      </c>
      <c r="P933" s="31"/>
      <c r="Q933" s="32" t="str">
        <f t="shared" si="1502"/>
        <v/>
      </c>
      <c r="R933" s="27" t="str">
        <f t="shared" si="1503"/>
        <v/>
      </c>
      <c r="S933" s="27" t="str">
        <f t="shared" si="1504"/>
        <v/>
      </c>
      <c r="T933" s="27" t="str">
        <f t="shared" si="1505"/>
        <v/>
      </c>
      <c r="U933" s="27" t="str">
        <f t="shared" si="1506"/>
        <v/>
      </c>
      <c r="V933" s="27" t="str">
        <f t="shared" si="1507"/>
        <v/>
      </c>
      <c r="W933" s="29" t="str">
        <f t="shared" si="1508"/>
        <v/>
      </c>
      <c r="X933" s="30" t="str">
        <f t="shared" si="1509"/>
        <v/>
      </c>
      <c r="Y933" s="46"/>
      <c r="Z933" s="32" t="str">
        <f t="shared" si="1510"/>
        <v/>
      </c>
      <c r="AA933" s="27" t="str">
        <f t="shared" si="1511"/>
        <v/>
      </c>
      <c r="AB933" s="27" t="str">
        <f t="shared" si="1512"/>
        <v/>
      </c>
      <c r="AC933" s="29" t="str">
        <f t="shared" si="1513"/>
        <v/>
      </c>
      <c r="AD933" s="30" t="str">
        <f t="shared" si="1514"/>
        <v/>
      </c>
      <c r="AE933" s="4"/>
    </row>
    <row r="934" spans="5:31" hidden="1" x14ac:dyDescent="0.25">
      <c r="E934" s="46"/>
      <c r="F934" s="46"/>
      <c r="G934" s="50" t="str">
        <f t="shared" si="1497"/>
        <v/>
      </c>
      <c r="H934" s="27" t="str">
        <f t="shared" ref="H934:J934" si="1527">IF($G934="","",Q150+Q306+Q462+Q618+Q774)</f>
        <v/>
      </c>
      <c r="I934" s="27" t="str">
        <f t="shared" si="1527"/>
        <v/>
      </c>
      <c r="J934" s="27" t="str">
        <f t="shared" si="1527"/>
        <v/>
      </c>
      <c r="K934" s="27" t="str">
        <f t="shared" ref="K934:M934" si="1528">IF($G934="","",AQ150+AQ306+AQ462+AQ618+AQ774)</f>
        <v/>
      </c>
      <c r="L934" s="27" t="str">
        <f t="shared" si="1528"/>
        <v/>
      </c>
      <c r="M934" s="27" t="str">
        <f t="shared" si="1528"/>
        <v/>
      </c>
      <c r="N934" s="27" t="str">
        <f t="shared" si="1500"/>
        <v/>
      </c>
      <c r="O934" s="33" t="str">
        <f t="shared" si="1501"/>
        <v/>
      </c>
      <c r="P934" s="31"/>
      <c r="Q934" s="32" t="str">
        <f t="shared" si="1502"/>
        <v/>
      </c>
      <c r="R934" s="27" t="str">
        <f t="shared" si="1503"/>
        <v/>
      </c>
      <c r="S934" s="27" t="str">
        <f t="shared" si="1504"/>
        <v/>
      </c>
      <c r="T934" s="27" t="str">
        <f t="shared" si="1505"/>
        <v/>
      </c>
      <c r="U934" s="27" t="str">
        <f t="shared" si="1506"/>
        <v/>
      </c>
      <c r="V934" s="27" t="str">
        <f t="shared" si="1507"/>
        <v/>
      </c>
      <c r="W934" s="29" t="str">
        <f t="shared" si="1508"/>
        <v/>
      </c>
      <c r="X934" s="30" t="str">
        <f t="shared" si="1509"/>
        <v/>
      </c>
      <c r="Y934" s="46"/>
      <c r="Z934" s="32" t="str">
        <f t="shared" si="1510"/>
        <v/>
      </c>
      <c r="AA934" s="27" t="str">
        <f t="shared" si="1511"/>
        <v/>
      </c>
      <c r="AB934" s="27" t="str">
        <f t="shared" si="1512"/>
        <v/>
      </c>
      <c r="AC934" s="29" t="str">
        <f t="shared" si="1513"/>
        <v/>
      </c>
      <c r="AD934" s="30" t="str">
        <f t="shared" si="1514"/>
        <v/>
      </c>
      <c r="AE934" s="4"/>
    </row>
    <row r="935" spans="5:31" hidden="1" x14ac:dyDescent="0.25">
      <c r="E935" s="46"/>
      <c r="F935" s="46"/>
      <c r="G935" s="50" t="str">
        <f t="shared" si="1497"/>
        <v/>
      </c>
      <c r="H935" s="27" t="str">
        <f t="shared" ref="H935:J935" si="1529">IF($G935="","",Q151+Q307+Q463+Q619+Q775)</f>
        <v/>
      </c>
      <c r="I935" s="27" t="str">
        <f t="shared" si="1529"/>
        <v/>
      </c>
      <c r="J935" s="27" t="str">
        <f t="shared" si="1529"/>
        <v/>
      </c>
      <c r="K935" s="27" t="str">
        <f t="shared" ref="K935:M935" si="1530">IF($G935="","",AQ151+AQ307+AQ463+AQ619+AQ775)</f>
        <v/>
      </c>
      <c r="L935" s="27" t="str">
        <f t="shared" si="1530"/>
        <v/>
      </c>
      <c r="M935" s="27" t="str">
        <f t="shared" si="1530"/>
        <v/>
      </c>
      <c r="N935" s="27" t="str">
        <f t="shared" si="1500"/>
        <v/>
      </c>
      <c r="O935" s="33" t="str">
        <f t="shared" si="1501"/>
        <v/>
      </c>
      <c r="P935" s="31"/>
      <c r="Q935" s="32" t="str">
        <f t="shared" si="1502"/>
        <v/>
      </c>
      <c r="R935" s="27" t="str">
        <f t="shared" si="1503"/>
        <v/>
      </c>
      <c r="S935" s="27" t="str">
        <f t="shared" si="1504"/>
        <v/>
      </c>
      <c r="T935" s="27" t="str">
        <f t="shared" si="1505"/>
        <v/>
      </c>
      <c r="U935" s="27" t="str">
        <f t="shared" si="1506"/>
        <v/>
      </c>
      <c r="V935" s="27" t="str">
        <f t="shared" si="1507"/>
        <v/>
      </c>
      <c r="W935" s="29" t="str">
        <f t="shared" si="1508"/>
        <v/>
      </c>
      <c r="X935" s="30" t="str">
        <f t="shared" si="1509"/>
        <v/>
      </c>
      <c r="Y935" s="46"/>
      <c r="Z935" s="32" t="str">
        <f t="shared" si="1510"/>
        <v/>
      </c>
      <c r="AA935" s="27" t="str">
        <f t="shared" si="1511"/>
        <v/>
      </c>
      <c r="AB935" s="27" t="str">
        <f t="shared" si="1512"/>
        <v/>
      </c>
      <c r="AC935" s="29" t="str">
        <f t="shared" si="1513"/>
        <v/>
      </c>
      <c r="AD935" s="30" t="str">
        <f t="shared" si="1514"/>
        <v/>
      </c>
      <c r="AE935" s="4"/>
    </row>
    <row r="936" spans="5:31" hidden="1" x14ac:dyDescent="0.25">
      <c r="E936" s="46"/>
      <c r="F936" s="46"/>
      <c r="G936" s="50" t="str">
        <f t="shared" si="1497"/>
        <v/>
      </c>
      <c r="H936" s="27" t="str">
        <f t="shared" ref="H936:J936" si="1531">IF($G936="","",Q152+Q308+Q464+Q620+Q776)</f>
        <v/>
      </c>
      <c r="I936" s="27" t="str">
        <f t="shared" si="1531"/>
        <v/>
      </c>
      <c r="J936" s="27" t="str">
        <f t="shared" si="1531"/>
        <v/>
      </c>
      <c r="K936" s="27" t="str">
        <f t="shared" ref="K936:M936" si="1532">IF($G936="","",AQ152+AQ308+AQ464+AQ620+AQ776)</f>
        <v/>
      </c>
      <c r="L936" s="27" t="str">
        <f t="shared" si="1532"/>
        <v/>
      </c>
      <c r="M936" s="27" t="str">
        <f t="shared" si="1532"/>
        <v/>
      </c>
      <c r="N936" s="27" t="str">
        <f t="shared" si="1500"/>
        <v/>
      </c>
      <c r="O936" s="33" t="str">
        <f t="shared" si="1501"/>
        <v/>
      </c>
      <c r="P936" s="31"/>
      <c r="Q936" s="32" t="str">
        <f t="shared" si="1502"/>
        <v/>
      </c>
      <c r="R936" s="27" t="str">
        <f t="shared" si="1503"/>
        <v/>
      </c>
      <c r="S936" s="27" t="str">
        <f t="shared" si="1504"/>
        <v/>
      </c>
      <c r="T936" s="27" t="str">
        <f t="shared" si="1505"/>
        <v/>
      </c>
      <c r="U936" s="27" t="str">
        <f t="shared" si="1506"/>
        <v/>
      </c>
      <c r="V936" s="27" t="str">
        <f t="shared" si="1507"/>
        <v/>
      </c>
      <c r="W936" s="29" t="str">
        <f t="shared" si="1508"/>
        <v/>
      </c>
      <c r="X936" s="30" t="str">
        <f t="shared" si="1509"/>
        <v/>
      </c>
      <c r="Y936" s="46"/>
      <c r="Z936" s="32" t="str">
        <f t="shared" si="1510"/>
        <v/>
      </c>
      <c r="AA936" s="27" t="str">
        <f t="shared" si="1511"/>
        <v/>
      </c>
      <c r="AB936" s="27" t="str">
        <f t="shared" si="1512"/>
        <v/>
      </c>
      <c r="AC936" s="29" t="str">
        <f t="shared" si="1513"/>
        <v/>
      </c>
      <c r="AD936" s="30" t="str">
        <f t="shared" si="1514"/>
        <v/>
      </c>
      <c r="AE936" s="4"/>
    </row>
    <row r="937" spans="5:31" hidden="1" x14ac:dyDescent="0.25">
      <c r="E937" s="46"/>
      <c r="F937" s="46"/>
      <c r="G937" s="50" t="str">
        <f t="shared" si="1497"/>
        <v/>
      </c>
      <c r="H937" s="27" t="str">
        <f t="shared" ref="H937:J937" si="1533">IF($G937="","",Q153+Q309+Q465+Q621+Q777)</f>
        <v/>
      </c>
      <c r="I937" s="27" t="str">
        <f t="shared" si="1533"/>
        <v/>
      </c>
      <c r="J937" s="27" t="str">
        <f t="shared" si="1533"/>
        <v/>
      </c>
      <c r="K937" s="27" t="str">
        <f t="shared" ref="K937:M937" si="1534">IF($G937="","",AQ153+AQ309+AQ465+AQ621+AQ777)</f>
        <v/>
      </c>
      <c r="L937" s="27" t="str">
        <f t="shared" si="1534"/>
        <v/>
      </c>
      <c r="M937" s="27" t="str">
        <f t="shared" si="1534"/>
        <v/>
      </c>
      <c r="N937" s="27" t="str">
        <f t="shared" si="1500"/>
        <v/>
      </c>
      <c r="O937" s="33" t="str">
        <f t="shared" si="1501"/>
        <v/>
      </c>
      <c r="P937" s="31"/>
      <c r="Q937" s="32" t="str">
        <f t="shared" si="1502"/>
        <v/>
      </c>
      <c r="R937" s="27" t="str">
        <f t="shared" si="1503"/>
        <v/>
      </c>
      <c r="S937" s="27" t="str">
        <f t="shared" si="1504"/>
        <v/>
      </c>
      <c r="T937" s="27" t="str">
        <f t="shared" si="1505"/>
        <v/>
      </c>
      <c r="U937" s="27" t="str">
        <f t="shared" si="1506"/>
        <v/>
      </c>
      <c r="V937" s="27" t="str">
        <f t="shared" si="1507"/>
        <v/>
      </c>
      <c r="W937" s="29" t="str">
        <f t="shared" si="1508"/>
        <v/>
      </c>
      <c r="X937" s="30" t="str">
        <f t="shared" si="1509"/>
        <v/>
      </c>
      <c r="Y937" s="46"/>
      <c r="Z937" s="32" t="str">
        <f t="shared" si="1510"/>
        <v/>
      </c>
      <c r="AA937" s="27" t="str">
        <f t="shared" si="1511"/>
        <v/>
      </c>
      <c r="AB937" s="27" t="str">
        <f t="shared" si="1512"/>
        <v/>
      </c>
      <c r="AC937" s="29" t="str">
        <f t="shared" si="1513"/>
        <v/>
      </c>
      <c r="AD937" s="30" t="str">
        <f t="shared" si="1514"/>
        <v/>
      </c>
      <c r="AE937" s="4"/>
    </row>
    <row r="938" spans="5:31" hidden="1" x14ac:dyDescent="0.25">
      <c r="E938" s="46"/>
      <c r="F938" s="46"/>
      <c r="G938" s="50" t="str">
        <f t="shared" si="1497"/>
        <v/>
      </c>
      <c r="H938" s="27" t="str">
        <f t="shared" ref="H938:J938" si="1535">IF($G938="","",Q154+Q310+Q466+Q622+Q778)</f>
        <v/>
      </c>
      <c r="I938" s="27" t="str">
        <f t="shared" si="1535"/>
        <v/>
      </c>
      <c r="J938" s="27" t="str">
        <f t="shared" si="1535"/>
        <v/>
      </c>
      <c r="K938" s="27" t="str">
        <f t="shared" ref="K938:M938" si="1536">IF($G938="","",AQ154+AQ310+AQ466+AQ622+AQ778)</f>
        <v/>
      </c>
      <c r="L938" s="27" t="str">
        <f t="shared" si="1536"/>
        <v/>
      </c>
      <c r="M938" s="27" t="str">
        <f t="shared" si="1536"/>
        <v/>
      </c>
      <c r="N938" s="27" t="str">
        <f t="shared" si="1500"/>
        <v/>
      </c>
      <c r="O938" s="33" t="str">
        <f t="shared" si="1501"/>
        <v/>
      </c>
      <c r="P938" s="31"/>
      <c r="Q938" s="32" t="str">
        <f t="shared" si="1502"/>
        <v/>
      </c>
      <c r="R938" s="27" t="str">
        <f t="shared" si="1503"/>
        <v/>
      </c>
      <c r="S938" s="27" t="str">
        <f t="shared" si="1504"/>
        <v/>
      </c>
      <c r="T938" s="27" t="str">
        <f t="shared" si="1505"/>
        <v/>
      </c>
      <c r="U938" s="27" t="str">
        <f t="shared" si="1506"/>
        <v/>
      </c>
      <c r="V938" s="27" t="str">
        <f t="shared" si="1507"/>
        <v/>
      </c>
      <c r="W938" s="29" t="str">
        <f t="shared" si="1508"/>
        <v/>
      </c>
      <c r="X938" s="30" t="str">
        <f t="shared" si="1509"/>
        <v/>
      </c>
      <c r="Y938" s="46"/>
      <c r="Z938" s="32" t="str">
        <f t="shared" si="1510"/>
        <v/>
      </c>
      <c r="AA938" s="27" t="str">
        <f t="shared" si="1511"/>
        <v/>
      </c>
      <c r="AB938" s="27" t="str">
        <f t="shared" si="1512"/>
        <v/>
      </c>
      <c r="AC938" s="29" t="str">
        <f t="shared" si="1513"/>
        <v/>
      </c>
      <c r="AD938" s="30" t="str">
        <f t="shared" si="1514"/>
        <v/>
      </c>
      <c r="AE938" s="4"/>
    </row>
    <row r="939" spans="5:31" hidden="1" x14ac:dyDescent="0.25">
      <c r="E939" s="46"/>
      <c r="F939" s="46"/>
      <c r="G939" s="50" t="str">
        <f t="shared" si="1497"/>
        <v/>
      </c>
      <c r="H939" s="27" t="str">
        <f t="shared" ref="H939:J939" si="1537">IF($G939="","",Q155+Q311+Q467+Q623+Q779)</f>
        <v/>
      </c>
      <c r="I939" s="27" t="str">
        <f t="shared" si="1537"/>
        <v/>
      </c>
      <c r="J939" s="27" t="str">
        <f t="shared" si="1537"/>
        <v/>
      </c>
      <c r="K939" s="27" t="str">
        <f t="shared" ref="K939:M939" si="1538">IF($G939="","",AQ155+AQ311+AQ467+AQ623+AQ779)</f>
        <v/>
      </c>
      <c r="L939" s="27" t="str">
        <f t="shared" si="1538"/>
        <v/>
      </c>
      <c r="M939" s="27" t="str">
        <f t="shared" si="1538"/>
        <v/>
      </c>
      <c r="N939" s="27" t="str">
        <f t="shared" si="1500"/>
        <v/>
      </c>
      <c r="O939" s="33" t="str">
        <f t="shared" si="1501"/>
        <v/>
      </c>
      <c r="P939" s="31"/>
      <c r="Q939" s="32" t="str">
        <f t="shared" si="1502"/>
        <v/>
      </c>
      <c r="R939" s="27" t="str">
        <f t="shared" si="1503"/>
        <v/>
      </c>
      <c r="S939" s="27" t="str">
        <f t="shared" si="1504"/>
        <v/>
      </c>
      <c r="T939" s="27" t="str">
        <f t="shared" si="1505"/>
        <v/>
      </c>
      <c r="U939" s="27" t="str">
        <f t="shared" si="1506"/>
        <v/>
      </c>
      <c r="V939" s="27" t="str">
        <f t="shared" si="1507"/>
        <v/>
      </c>
      <c r="W939" s="29" t="str">
        <f t="shared" si="1508"/>
        <v/>
      </c>
      <c r="X939" s="30" t="str">
        <f t="shared" si="1509"/>
        <v/>
      </c>
      <c r="Y939" s="46"/>
      <c r="Z939" s="32" t="str">
        <f t="shared" si="1510"/>
        <v/>
      </c>
      <c r="AA939" s="27" t="str">
        <f t="shared" si="1511"/>
        <v/>
      </c>
      <c r="AB939" s="27" t="str">
        <f t="shared" si="1512"/>
        <v/>
      </c>
      <c r="AC939" s="29" t="str">
        <f t="shared" si="1513"/>
        <v/>
      </c>
      <c r="AD939" s="30" t="str">
        <f t="shared" si="1514"/>
        <v/>
      </c>
      <c r="AE939" s="4"/>
    </row>
    <row r="940" spans="5:31" hidden="1" x14ac:dyDescent="0.25">
      <c r="E940" s="46"/>
      <c r="F940" s="46"/>
      <c r="G940" s="50" t="str">
        <f t="shared" si="1497"/>
        <v/>
      </c>
      <c r="H940" s="27" t="str">
        <f t="shared" ref="H940:J940" si="1539">IF($G940="","",Q156+Q312+Q468+Q624+Q780)</f>
        <v/>
      </c>
      <c r="I940" s="27" t="str">
        <f t="shared" si="1539"/>
        <v/>
      </c>
      <c r="J940" s="27" t="str">
        <f t="shared" si="1539"/>
        <v/>
      </c>
      <c r="K940" s="27" t="str">
        <f t="shared" ref="K940:M940" si="1540">IF($G940="","",AQ156+AQ312+AQ468+AQ624+AQ780)</f>
        <v/>
      </c>
      <c r="L940" s="27" t="str">
        <f t="shared" si="1540"/>
        <v/>
      </c>
      <c r="M940" s="27" t="str">
        <f t="shared" si="1540"/>
        <v/>
      </c>
      <c r="N940" s="27" t="str">
        <f t="shared" si="1500"/>
        <v/>
      </c>
      <c r="O940" s="33" t="str">
        <f t="shared" si="1501"/>
        <v/>
      </c>
      <c r="P940" s="31"/>
      <c r="Q940" s="32" t="str">
        <f t="shared" si="1502"/>
        <v/>
      </c>
      <c r="R940" s="27" t="str">
        <f t="shared" si="1503"/>
        <v/>
      </c>
      <c r="S940" s="27" t="str">
        <f t="shared" si="1504"/>
        <v/>
      </c>
      <c r="T940" s="27" t="str">
        <f t="shared" si="1505"/>
        <v/>
      </c>
      <c r="U940" s="27" t="str">
        <f t="shared" si="1506"/>
        <v/>
      </c>
      <c r="V940" s="27" t="str">
        <f t="shared" si="1507"/>
        <v/>
      </c>
      <c r="W940" s="29" t="str">
        <f t="shared" si="1508"/>
        <v/>
      </c>
      <c r="X940" s="30" t="str">
        <f t="shared" si="1509"/>
        <v/>
      </c>
      <c r="Y940" s="46"/>
      <c r="Z940" s="32" t="str">
        <f t="shared" si="1510"/>
        <v/>
      </c>
      <c r="AA940" s="27" t="str">
        <f t="shared" si="1511"/>
        <v/>
      </c>
      <c r="AB940" s="27" t="str">
        <f t="shared" si="1512"/>
        <v/>
      </c>
      <c r="AC940" s="29" t="str">
        <f t="shared" si="1513"/>
        <v/>
      </c>
      <c r="AD940" s="30" t="str">
        <f t="shared" si="1514"/>
        <v/>
      </c>
      <c r="AE940" s="4"/>
    </row>
    <row r="941" spans="5:31" hidden="1" x14ac:dyDescent="0.25">
      <c r="E941" s="46"/>
      <c r="F941" s="46"/>
      <c r="G941" s="50" t="str">
        <f t="shared" si="1497"/>
        <v/>
      </c>
      <c r="H941" s="27" t="str">
        <f t="shared" ref="H941:J941" si="1541">IF($G941="","",Q157+Q313+Q469+Q625+Q781)</f>
        <v/>
      </c>
      <c r="I941" s="27" t="str">
        <f t="shared" si="1541"/>
        <v/>
      </c>
      <c r="J941" s="27" t="str">
        <f t="shared" si="1541"/>
        <v/>
      </c>
      <c r="K941" s="27" t="str">
        <f t="shared" ref="K941:M941" si="1542">IF($G941="","",AQ157+AQ313+AQ469+AQ625+AQ781)</f>
        <v/>
      </c>
      <c r="L941" s="27" t="str">
        <f t="shared" si="1542"/>
        <v/>
      </c>
      <c r="M941" s="27" t="str">
        <f t="shared" si="1542"/>
        <v/>
      </c>
      <c r="N941" s="27" t="str">
        <f t="shared" si="1500"/>
        <v/>
      </c>
      <c r="O941" s="33" t="str">
        <f t="shared" si="1501"/>
        <v/>
      </c>
      <c r="P941" s="31"/>
      <c r="Q941" s="32" t="str">
        <f t="shared" si="1502"/>
        <v/>
      </c>
      <c r="R941" s="27" t="str">
        <f t="shared" si="1503"/>
        <v/>
      </c>
      <c r="S941" s="27" t="str">
        <f t="shared" si="1504"/>
        <v/>
      </c>
      <c r="T941" s="27" t="str">
        <f t="shared" si="1505"/>
        <v/>
      </c>
      <c r="U941" s="27" t="str">
        <f t="shared" si="1506"/>
        <v/>
      </c>
      <c r="V941" s="27" t="str">
        <f t="shared" si="1507"/>
        <v/>
      </c>
      <c r="W941" s="29" t="str">
        <f t="shared" si="1508"/>
        <v/>
      </c>
      <c r="X941" s="30" t="str">
        <f t="shared" si="1509"/>
        <v/>
      </c>
      <c r="Y941" s="46"/>
      <c r="Z941" s="32" t="str">
        <f t="shared" si="1510"/>
        <v/>
      </c>
      <c r="AA941" s="27" t="str">
        <f t="shared" si="1511"/>
        <v/>
      </c>
      <c r="AB941" s="27" t="str">
        <f t="shared" si="1512"/>
        <v/>
      </c>
      <c r="AC941" s="29" t="str">
        <f t="shared" si="1513"/>
        <v/>
      </c>
      <c r="AD941" s="30" t="str">
        <f t="shared" si="1514"/>
        <v/>
      </c>
      <c r="AE941" s="4"/>
    </row>
    <row r="942" spans="5:31" hidden="1" x14ac:dyDescent="0.25">
      <c r="E942" s="46"/>
      <c r="F942" s="46"/>
      <c r="G942" s="50" t="str">
        <f t="shared" si="1497"/>
        <v/>
      </c>
      <c r="H942" s="27" t="str">
        <f t="shared" ref="H942:J942" si="1543">IF($G942="","",Q158+Q314+Q470+Q626+Q782)</f>
        <v/>
      </c>
      <c r="I942" s="27" t="str">
        <f t="shared" si="1543"/>
        <v/>
      </c>
      <c r="J942" s="27" t="str">
        <f t="shared" si="1543"/>
        <v/>
      </c>
      <c r="K942" s="27" t="str">
        <f t="shared" ref="K942:M942" si="1544">IF($G942="","",AQ158+AQ314+AQ470+AQ626+AQ782)</f>
        <v/>
      </c>
      <c r="L942" s="27" t="str">
        <f t="shared" si="1544"/>
        <v/>
      </c>
      <c r="M942" s="27" t="str">
        <f t="shared" si="1544"/>
        <v/>
      </c>
      <c r="N942" s="27" t="str">
        <f t="shared" si="1500"/>
        <v/>
      </c>
      <c r="O942" s="33" t="str">
        <f t="shared" si="1501"/>
        <v/>
      </c>
      <c r="P942" s="31"/>
      <c r="Q942" s="32" t="str">
        <f t="shared" si="1502"/>
        <v/>
      </c>
      <c r="R942" s="27" t="str">
        <f t="shared" si="1503"/>
        <v/>
      </c>
      <c r="S942" s="27" t="str">
        <f t="shared" si="1504"/>
        <v/>
      </c>
      <c r="T942" s="27" t="str">
        <f t="shared" si="1505"/>
        <v/>
      </c>
      <c r="U942" s="27" t="str">
        <f t="shared" si="1506"/>
        <v/>
      </c>
      <c r="V942" s="27" t="str">
        <f t="shared" si="1507"/>
        <v/>
      </c>
      <c r="W942" s="29" t="str">
        <f t="shared" si="1508"/>
        <v/>
      </c>
      <c r="X942" s="30" t="str">
        <f t="shared" si="1509"/>
        <v/>
      </c>
      <c r="Y942" s="46"/>
      <c r="Z942" s="32" t="str">
        <f t="shared" si="1510"/>
        <v/>
      </c>
      <c r="AA942" s="27" t="str">
        <f t="shared" si="1511"/>
        <v/>
      </c>
      <c r="AB942" s="27" t="str">
        <f t="shared" si="1512"/>
        <v/>
      </c>
      <c r="AC942" s="29" t="str">
        <f t="shared" si="1513"/>
        <v/>
      </c>
      <c r="AD942" s="30" t="str">
        <f t="shared" si="1514"/>
        <v/>
      </c>
      <c r="AE942" s="4"/>
    </row>
    <row r="943" spans="5:31" hidden="1" x14ac:dyDescent="0.25">
      <c r="E943" s="46"/>
      <c r="F943" s="46"/>
      <c r="G943" s="50" t="str">
        <f t="shared" si="1497"/>
        <v/>
      </c>
      <c r="H943" s="27" t="str">
        <f t="shared" ref="H943:J943" si="1545">IF($G943="","",Q159+Q315+Q471+Q627+Q783)</f>
        <v/>
      </c>
      <c r="I943" s="27" t="str">
        <f t="shared" si="1545"/>
        <v/>
      </c>
      <c r="J943" s="27" t="str">
        <f t="shared" si="1545"/>
        <v/>
      </c>
      <c r="K943" s="27" t="str">
        <f t="shared" ref="K943:M943" si="1546">IF($G943="","",AQ159+AQ315+AQ471+AQ627+AQ783)</f>
        <v/>
      </c>
      <c r="L943" s="27" t="str">
        <f t="shared" si="1546"/>
        <v/>
      </c>
      <c r="M943" s="27" t="str">
        <f t="shared" si="1546"/>
        <v/>
      </c>
      <c r="N943" s="27" t="str">
        <f t="shared" si="1500"/>
        <v/>
      </c>
      <c r="O943" s="33" t="str">
        <f t="shared" si="1501"/>
        <v/>
      </c>
      <c r="P943" s="31"/>
      <c r="Q943" s="32" t="str">
        <f t="shared" si="1502"/>
        <v/>
      </c>
      <c r="R943" s="27" t="str">
        <f t="shared" si="1503"/>
        <v/>
      </c>
      <c r="S943" s="27" t="str">
        <f t="shared" si="1504"/>
        <v/>
      </c>
      <c r="T943" s="27" t="str">
        <f t="shared" si="1505"/>
        <v/>
      </c>
      <c r="U943" s="27" t="str">
        <f t="shared" si="1506"/>
        <v/>
      </c>
      <c r="V943" s="27" t="str">
        <f t="shared" si="1507"/>
        <v/>
      </c>
      <c r="W943" s="29" t="str">
        <f t="shared" si="1508"/>
        <v/>
      </c>
      <c r="X943" s="30" t="str">
        <f t="shared" si="1509"/>
        <v/>
      </c>
      <c r="Y943" s="46"/>
      <c r="Z943" s="32" t="str">
        <f t="shared" si="1510"/>
        <v/>
      </c>
      <c r="AA943" s="27" t="str">
        <f t="shared" si="1511"/>
        <v/>
      </c>
      <c r="AB943" s="27" t="str">
        <f t="shared" si="1512"/>
        <v/>
      </c>
      <c r="AC943" s="29" t="str">
        <f t="shared" si="1513"/>
        <v/>
      </c>
      <c r="AD943" s="30" t="str">
        <f t="shared" si="1514"/>
        <v/>
      </c>
      <c r="AE943" s="4"/>
    </row>
    <row r="944" spans="5:31" hidden="1" x14ac:dyDescent="0.25">
      <c r="E944" s="46"/>
      <c r="F944" s="46"/>
      <c r="G944" s="50" t="str">
        <f t="shared" si="1497"/>
        <v/>
      </c>
      <c r="H944" s="27" t="str">
        <f t="shared" ref="H944:J944" si="1547">IF($G944="","",Q160+Q316+Q472+Q628+Q784)</f>
        <v/>
      </c>
      <c r="I944" s="27" t="str">
        <f t="shared" si="1547"/>
        <v/>
      </c>
      <c r="J944" s="27" t="str">
        <f t="shared" si="1547"/>
        <v/>
      </c>
      <c r="K944" s="27" t="str">
        <f t="shared" ref="K944:M944" si="1548">IF($G944="","",AQ160+AQ316+AQ472+AQ628+AQ784)</f>
        <v/>
      </c>
      <c r="L944" s="27" t="str">
        <f t="shared" si="1548"/>
        <v/>
      </c>
      <c r="M944" s="27" t="str">
        <f t="shared" si="1548"/>
        <v/>
      </c>
      <c r="N944" s="27" t="str">
        <f t="shared" si="1500"/>
        <v/>
      </c>
      <c r="O944" s="33" t="str">
        <f t="shared" si="1501"/>
        <v/>
      </c>
      <c r="P944" s="31"/>
      <c r="Q944" s="32" t="str">
        <f t="shared" si="1502"/>
        <v/>
      </c>
      <c r="R944" s="27" t="str">
        <f t="shared" si="1503"/>
        <v/>
      </c>
      <c r="S944" s="27" t="str">
        <f t="shared" si="1504"/>
        <v/>
      </c>
      <c r="T944" s="27" t="str">
        <f t="shared" si="1505"/>
        <v/>
      </c>
      <c r="U944" s="27" t="str">
        <f t="shared" si="1506"/>
        <v/>
      </c>
      <c r="V944" s="27" t="str">
        <f t="shared" si="1507"/>
        <v/>
      </c>
      <c r="W944" s="29" t="str">
        <f t="shared" si="1508"/>
        <v/>
      </c>
      <c r="X944" s="30" t="str">
        <f t="shared" si="1509"/>
        <v/>
      </c>
      <c r="Y944" s="46"/>
      <c r="Z944" s="32" t="str">
        <f t="shared" si="1510"/>
        <v/>
      </c>
      <c r="AA944" s="27" t="str">
        <f t="shared" si="1511"/>
        <v/>
      </c>
      <c r="AB944" s="27" t="str">
        <f t="shared" si="1512"/>
        <v/>
      </c>
      <c r="AC944" s="29" t="str">
        <f t="shared" si="1513"/>
        <v/>
      </c>
      <c r="AD944" s="30" t="str">
        <f t="shared" si="1514"/>
        <v/>
      </c>
      <c r="AE944" s="4"/>
    </row>
    <row r="945" spans="4:31" hidden="1" x14ac:dyDescent="0.25">
      <c r="E945" s="46"/>
      <c r="F945" s="46"/>
      <c r="G945" s="50" t="str">
        <f t="shared" si="1497"/>
        <v/>
      </c>
      <c r="H945" s="27" t="str">
        <f t="shared" ref="H945:J945" si="1549">IF($G945="","",Q161+Q317+Q473+Q629+Q785)</f>
        <v/>
      </c>
      <c r="I945" s="27" t="str">
        <f t="shared" si="1549"/>
        <v/>
      </c>
      <c r="J945" s="27" t="str">
        <f t="shared" si="1549"/>
        <v/>
      </c>
      <c r="K945" s="27" t="str">
        <f t="shared" ref="K945:M945" si="1550">IF($G945="","",AQ161+AQ317+AQ473+AQ629+AQ785)</f>
        <v/>
      </c>
      <c r="L945" s="27" t="str">
        <f t="shared" si="1550"/>
        <v/>
      </c>
      <c r="M945" s="27" t="str">
        <f t="shared" si="1550"/>
        <v/>
      </c>
      <c r="N945" s="27" t="str">
        <f t="shared" si="1500"/>
        <v/>
      </c>
      <c r="O945" s="33" t="str">
        <f t="shared" si="1501"/>
        <v/>
      </c>
      <c r="P945" s="31"/>
      <c r="Q945" s="32" t="str">
        <f t="shared" si="1502"/>
        <v/>
      </c>
      <c r="R945" s="27" t="str">
        <f t="shared" si="1503"/>
        <v/>
      </c>
      <c r="S945" s="27" t="str">
        <f t="shared" si="1504"/>
        <v/>
      </c>
      <c r="T945" s="27" t="str">
        <f t="shared" si="1505"/>
        <v/>
      </c>
      <c r="U945" s="27" t="str">
        <f t="shared" si="1506"/>
        <v/>
      </c>
      <c r="V945" s="27" t="str">
        <f t="shared" si="1507"/>
        <v/>
      </c>
      <c r="W945" s="29" t="str">
        <f t="shared" si="1508"/>
        <v/>
      </c>
      <c r="X945" s="30" t="str">
        <f t="shared" si="1509"/>
        <v/>
      </c>
      <c r="Y945" s="46"/>
      <c r="Z945" s="32" t="str">
        <f t="shared" si="1510"/>
        <v/>
      </c>
      <c r="AA945" s="27" t="str">
        <f t="shared" si="1511"/>
        <v/>
      </c>
      <c r="AB945" s="27" t="str">
        <f t="shared" si="1512"/>
        <v/>
      </c>
      <c r="AC945" s="29" t="str">
        <f t="shared" si="1513"/>
        <v/>
      </c>
      <c r="AD945" s="30" t="str">
        <f t="shared" si="1514"/>
        <v/>
      </c>
      <c r="AE945" s="4"/>
    </row>
    <row r="946" spans="4:31" hidden="1" x14ac:dyDescent="0.25">
      <c r="E946" s="46"/>
      <c r="F946" s="46"/>
      <c r="G946" s="50" t="str">
        <f t="shared" si="1497"/>
        <v/>
      </c>
      <c r="H946" s="27" t="str">
        <f t="shared" ref="H946:J946" si="1551">IF($G946="","",Q162+Q318+Q474+Q630+Q786)</f>
        <v/>
      </c>
      <c r="I946" s="27" t="str">
        <f t="shared" si="1551"/>
        <v/>
      </c>
      <c r="J946" s="27" t="str">
        <f t="shared" si="1551"/>
        <v/>
      </c>
      <c r="K946" s="27" t="str">
        <f t="shared" ref="K946:M946" si="1552">IF($G946="","",AQ162+AQ318+AQ474+AQ630+AQ786)</f>
        <v/>
      </c>
      <c r="L946" s="27" t="str">
        <f t="shared" si="1552"/>
        <v/>
      </c>
      <c r="M946" s="27" t="str">
        <f t="shared" si="1552"/>
        <v/>
      </c>
      <c r="N946" s="27" t="str">
        <f t="shared" si="1500"/>
        <v/>
      </c>
      <c r="O946" s="33" t="str">
        <f t="shared" si="1501"/>
        <v/>
      </c>
      <c r="P946" s="31"/>
      <c r="Q946" s="32" t="str">
        <f t="shared" si="1502"/>
        <v/>
      </c>
      <c r="R946" s="27" t="str">
        <f t="shared" si="1503"/>
        <v/>
      </c>
      <c r="S946" s="27" t="str">
        <f t="shared" si="1504"/>
        <v/>
      </c>
      <c r="T946" s="27" t="str">
        <f t="shared" si="1505"/>
        <v/>
      </c>
      <c r="U946" s="27" t="str">
        <f t="shared" si="1506"/>
        <v/>
      </c>
      <c r="V946" s="27" t="str">
        <f t="shared" si="1507"/>
        <v/>
      </c>
      <c r="W946" s="29" t="str">
        <f t="shared" si="1508"/>
        <v/>
      </c>
      <c r="X946" s="30" t="str">
        <f t="shared" si="1509"/>
        <v/>
      </c>
      <c r="Y946" s="46"/>
      <c r="Z946" s="32" t="str">
        <f t="shared" si="1510"/>
        <v/>
      </c>
      <c r="AA946" s="27" t="str">
        <f t="shared" si="1511"/>
        <v/>
      </c>
      <c r="AB946" s="27" t="str">
        <f t="shared" si="1512"/>
        <v/>
      </c>
      <c r="AC946" s="29" t="str">
        <f t="shared" si="1513"/>
        <v/>
      </c>
      <c r="AD946" s="30" t="str">
        <f t="shared" si="1514"/>
        <v/>
      </c>
      <c r="AE946" s="4"/>
    </row>
    <row r="947" spans="4:31" ht="16.5" hidden="1" thickBot="1" x14ac:dyDescent="0.3">
      <c r="E947" s="46"/>
      <c r="F947" s="46"/>
      <c r="G947" s="51" t="str">
        <f t="shared" si="1497"/>
        <v/>
      </c>
      <c r="H947" s="39" t="str">
        <f t="shared" ref="H947:J947" si="1553">IF($G947="","",Q163+Q319+Q475+Q631+Q787)</f>
        <v/>
      </c>
      <c r="I947" s="39" t="str">
        <f t="shared" si="1553"/>
        <v/>
      </c>
      <c r="J947" s="39" t="str">
        <f t="shared" si="1553"/>
        <v/>
      </c>
      <c r="K947" s="39" t="str">
        <f t="shared" ref="K947:M947" si="1554">IF($G947="","",AQ163+AQ319+AQ475+AQ631+AQ787)</f>
        <v/>
      </c>
      <c r="L947" s="39" t="str">
        <f t="shared" si="1554"/>
        <v/>
      </c>
      <c r="M947" s="39" t="str">
        <f t="shared" si="1554"/>
        <v/>
      </c>
      <c r="N947" s="39" t="str">
        <f t="shared" si="1500"/>
        <v/>
      </c>
      <c r="O947" s="43" t="str">
        <f t="shared" si="1501"/>
        <v/>
      </c>
      <c r="P947" s="31"/>
      <c r="Q947" s="32" t="str">
        <f t="shared" si="1502"/>
        <v/>
      </c>
      <c r="R947" s="27" t="str">
        <f t="shared" si="1503"/>
        <v/>
      </c>
      <c r="S947" s="27" t="str">
        <f t="shared" si="1504"/>
        <v/>
      </c>
      <c r="T947" s="27" t="str">
        <f t="shared" si="1505"/>
        <v/>
      </c>
      <c r="U947" s="27" t="str">
        <f t="shared" si="1506"/>
        <v/>
      </c>
      <c r="V947" s="27" t="str">
        <f t="shared" si="1507"/>
        <v/>
      </c>
      <c r="W947" s="29" t="str">
        <f t="shared" si="1508"/>
        <v/>
      </c>
      <c r="X947" s="30" t="str">
        <f t="shared" si="1509"/>
        <v/>
      </c>
      <c r="Y947" s="46"/>
      <c r="Z947" s="32" t="str">
        <f t="shared" si="1510"/>
        <v/>
      </c>
      <c r="AA947" s="27" t="str">
        <f t="shared" si="1511"/>
        <v/>
      </c>
      <c r="AB947" s="27" t="str">
        <f t="shared" si="1512"/>
        <v/>
      </c>
      <c r="AC947" s="29" t="str">
        <f t="shared" si="1513"/>
        <v/>
      </c>
      <c r="AD947" s="30" t="str">
        <f t="shared" si="1514"/>
        <v/>
      </c>
      <c r="AE947" s="4"/>
    </row>
    <row r="948" spans="4:31" x14ac:dyDescent="0.25">
      <c r="G948" s="3"/>
      <c r="H948" s="3"/>
      <c r="I948" s="3"/>
      <c r="J948" s="3"/>
      <c r="K948" s="3"/>
      <c r="L948" s="3"/>
      <c r="M948" s="3"/>
      <c r="N948" s="3"/>
      <c r="O948" s="3"/>
      <c r="P948" s="46"/>
      <c r="Q948" s="52">
        <f>$O$7*50*$M$793</f>
        <v>21224.461825129951</v>
      </c>
      <c r="R948" s="53">
        <f>$O$7*125*$M$793</f>
        <v>53061.154562824879</v>
      </c>
      <c r="S948" s="53">
        <f>$O$7*100*$M$793</f>
        <v>42448.923650259901</v>
      </c>
      <c r="T948" s="53">
        <f>$O$7*250*$M$793</f>
        <v>106122.30912564976</v>
      </c>
      <c r="U948" s="53">
        <f>$O$7*125*$M$793</f>
        <v>53061.154562824879</v>
      </c>
      <c r="V948" s="53">
        <f>$O$7*125*$M$793</f>
        <v>53061.154562824879</v>
      </c>
      <c r="W948" s="53"/>
      <c r="X948" s="54"/>
      <c r="Y948" s="46"/>
      <c r="Z948" s="52"/>
      <c r="AA948" s="53"/>
      <c r="AB948" s="53">
        <f>$O$7*250*$M$793</f>
        <v>106122.30912564976</v>
      </c>
      <c r="AC948" s="55"/>
      <c r="AD948" s="54"/>
      <c r="AE948" s="4"/>
    </row>
    <row r="949" spans="4:31" ht="16.5" thickBot="1" x14ac:dyDescent="0.3">
      <c r="P949" s="46"/>
      <c r="Q949" s="56" t="s">
        <v>33</v>
      </c>
      <c r="R949" s="57" t="s">
        <v>34</v>
      </c>
      <c r="S949" s="57" t="s">
        <v>35</v>
      </c>
      <c r="T949" s="57" t="s">
        <v>36</v>
      </c>
      <c r="U949" s="57" t="s">
        <v>34</v>
      </c>
      <c r="V949" s="57" t="s">
        <v>34</v>
      </c>
      <c r="W949" s="57"/>
      <c r="X949" s="58"/>
      <c r="Y949" s="46"/>
      <c r="Z949" s="56"/>
      <c r="AA949" s="57"/>
      <c r="AB949" s="57" t="s">
        <v>36</v>
      </c>
      <c r="AC949" s="59"/>
      <c r="AD949" s="58"/>
      <c r="AE949" s="4"/>
    </row>
    <row r="950" spans="4:31" x14ac:dyDescent="0.25"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5" spans="4:31" x14ac:dyDescent="0.25">
      <c r="D955" s="144"/>
      <c r="E955" s="145"/>
    </row>
  </sheetData>
  <mergeCells count="137">
    <mergeCell ref="AC796:AC797"/>
    <mergeCell ref="AD796:AD797"/>
    <mergeCell ref="D955:E955"/>
    <mergeCell ref="G793:L793"/>
    <mergeCell ref="Q793:AD793"/>
    <mergeCell ref="Q795:X795"/>
    <mergeCell ref="Z795:AD795"/>
    <mergeCell ref="H796:O796"/>
    <mergeCell ref="W796:W797"/>
    <mergeCell ref="X796:X797"/>
    <mergeCell ref="Z796:Z797"/>
    <mergeCell ref="AA796:AA797"/>
    <mergeCell ref="AB796:AB797"/>
    <mergeCell ref="AN635:AP636"/>
    <mergeCell ref="AQ635:AS636"/>
    <mergeCell ref="D636:F636"/>
    <mergeCell ref="G636:L636"/>
    <mergeCell ref="N636:P636"/>
    <mergeCell ref="Q636:X636"/>
    <mergeCell ref="Y636:Y637"/>
    <mergeCell ref="B634:C634"/>
    <mergeCell ref="D634:F634"/>
    <mergeCell ref="G634:H634"/>
    <mergeCell ref="I634:L634"/>
    <mergeCell ref="B635:B637"/>
    <mergeCell ref="C635:C637"/>
    <mergeCell ref="D635:L635"/>
    <mergeCell ref="Z636:Z637"/>
    <mergeCell ref="AA636:AA637"/>
    <mergeCell ref="AB636:AB637"/>
    <mergeCell ref="AC636:AC637"/>
    <mergeCell ref="AD636:AD637"/>
    <mergeCell ref="AE636:AE637"/>
    <mergeCell ref="M635:M637"/>
    <mergeCell ref="N635:X635"/>
    <mergeCell ref="Y635:AE635"/>
    <mergeCell ref="AN479:AP480"/>
    <mergeCell ref="AQ479:AS480"/>
    <mergeCell ref="D480:F480"/>
    <mergeCell ref="G480:L480"/>
    <mergeCell ref="N480:P480"/>
    <mergeCell ref="Q480:X480"/>
    <mergeCell ref="Y480:Y481"/>
    <mergeCell ref="B478:C478"/>
    <mergeCell ref="D478:F478"/>
    <mergeCell ref="G478:H478"/>
    <mergeCell ref="I478:L478"/>
    <mergeCell ref="B479:B481"/>
    <mergeCell ref="C479:C481"/>
    <mergeCell ref="D479:L479"/>
    <mergeCell ref="Z480:Z481"/>
    <mergeCell ref="AA480:AA481"/>
    <mergeCell ref="AB480:AB481"/>
    <mergeCell ref="AC480:AC481"/>
    <mergeCell ref="AD480:AD481"/>
    <mergeCell ref="AE480:AE481"/>
    <mergeCell ref="M479:M481"/>
    <mergeCell ref="N479:X479"/>
    <mergeCell ref="Y479:AE479"/>
    <mergeCell ref="AN323:AP324"/>
    <mergeCell ref="AQ323:AS324"/>
    <mergeCell ref="D324:F324"/>
    <mergeCell ref="G324:L324"/>
    <mergeCell ref="N324:P324"/>
    <mergeCell ref="Q324:X324"/>
    <mergeCell ref="Y324:Y325"/>
    <mergeCell ref="B322:C322"/>
    <mergeCell ref="D322:F322"/>
    <mergeCell ref="G322:H322"/>
    <mergeCell ref="I322:L322"/>
    <mergeCell ref="B323:B325"/>
    <mergeCell ref="C323:C325"/>
    <mergeCell ref="D323:L323"/>
    <mergeCell ref="Z324:Z325"/>
    <mergeCell ref="AA324:AA325"/>
    <mergeCell ref="AB324:AB325"/>
    <mergeCell ref="AC324:AC325"/>
    <mergeCell ref="AD324:AD325"/>
    <mergeCell ref="AE324:AE325"/>
    <mergeCell ref="M323:M325"/>
    <mergeCell ref="N323:X323"/>
    <mergeCell ref="Y323:AE323"/>
    <mergeCell ref="AN167:AP168"/>
    <mergeCell ref="AQ167:AS168"/>
    <mergeCell ref="D168:F168"/>
    <mergeCell ref="G168:L168"/>
    <mergeCell ref="N168:P168"/>
    <mergeCell ref="Q168:X168"/>
    <mergeCell ref="Y168:Y169"/>
    <mergeCell ref="B166:C166"/>
    <mergeCell ref="D166:F166"/>
    <mergeCell ref="G166:H166"/>
    <mergeCell ref="I166:L166"/>
    <mergeCell ref="B167:B169"/>
    <mergeCell ref="C167:C169"/>
    <mergeCell ref="D167:L167"/>
    <mergeCell ref="Z168:Z169"/>
    <mergeCell ref="AA168:AA169"/>
    <mergeCell ref="AB168:AB169"/>
    <mergeCell ref="AC168:AC169"/>
    <mergeCell ref="AD168:AD169"/>
    <mergeCell ref="AE168:AE169"/>
    <mergeCell ref="M167:M169"/>
    <mergeCell ref="N167:X167"/>
    <mergeCell ref="Y167:AE167"/>
    <mergeCell ref="AN11:AP12"/>
    <mergeCell ref="AQ11:AS12"/>
    <mergeCell ref="D12:F12"/>
    <mergeCell ref="G12:L12"/>
    <mergeCell ref="N12:P12"/>
    <mergeCell ref="Q12:X12"/>
    <mergeCell ref="Y12:Y13"/>
    <mergeCell ref="Z12:Z13"/>
    <mergeCell ref="AA12:AA13"/>
    <mergeCell ref="AB12:AB13"/>
    <mergeCell ref="B11:B13"/>
    <mergeCell ref="C11:C13"/>
    <mergeCell ref="D11:L11"/>
    <mergeCell ref="M11:M13"/>
    <mergeCell ref="N11:X11"/>
    <mergeCell ref="Y11:AE11"/>
    <mergeCell ref="AC12:AC13"/>
    <mergeCell ref="AD12:AD13"/>
    <mergeCell ref="AE12:AE13"/>
    <mergeCell ref="B5:D5"/>
    <mergeCell ref="E5:I5"/>
    <mergeCell ref="B7:D7"/>
    <mergeCell ref="B10:C10"/>
    <mergeCell ref="D10:F10"/>
    <mergeCell ref="G10:H10"/>
    <mergeCell ref="I10:L10"/>
    <mergeCell ref="B2:D2"/>
    <mergeCell ref="E2:I2"/>
    <mergeCell ref="B3:D3"/>
    <mergeCell ref="E3:I3"/>
    <mergeCell ref="B4:D4"/>
    <mergeCell ref="E4:I4"/>
  </mergeCells>
  <conditionalFormatting sqref="Q798:V947 Z798:AA947">
    <cfRule type="expression" dxfId="15" priority="223">
      <formula>IF(ABS(Q798)&lt;=Q$948,TRUE,FALSE)</formula>
    </cfRule>
  </conditionalFormatting>
  <conditionalFormatting sqref="Q798:V947">
    <cfRule type="expression" dxfId="14" priority="224">
      <formula>IF(ABS(Q798)&gt;Q$948,TRUE,FALSE)</formula>
    </cfRule>
  </conditionalFormatting>
  <conditionalFormatting sqref="W798:W947">
    <cfRule type="expression" dxfId="13" priority="217">
      <formula>IF(AND(W798&lt;=100, W798&lt;&gt;""),TRUE,FALSE)</formula>
    </cfRule>
    <cfRule type="expression" dxfId="12" priority="218">
      <formula>IF(AND(W798&gt;100, W798&lt;&gt;""),TRUE,FALSE)</formula>
    </cfRule>
  </conditionalFormatting>
  <conditionalFormatting sqref="AC798:AC947">
    <cfRule type="expression" dxfId="11" priority="219">
      <formula>IF(AND(AC798&lt;=100, AC798&lt;&gt;""),TRUE,FALSE)</formula>
    </cfRule>
    <cfRule type="expression" dxfId="10" priority="220">
      <formula>IF(AND(AC798&gt;100, AC798&lt;&gt;""),TRUE,FALSE)</formula>
    </cfRule>
  </conditionalFormatting>
  <conditionalFormatting sqref="AD14:AD163">
    <cfRule type="expression" dxfId="9" priority="221">
      <formula>IF(AND(AD14&lt;=100, AD14&lt;&gt;""),TRUE,FALSE)</formula>
    </cfRule>
    <cfRule type="expression" dxfId="8" priority="222">
      <formula>IF(AND(AD14&gt;100, AD14&lt;&gt;""),TRUE,FALSE)</formula>
    </cfRule>
  </conditionalFormatting>
  <conditionalFormatting sqref="AD170:AD319">
    <cfRule type="expression" dxfId="7" priority="215">
      <formula>IF(AND(AD170&lt;=100, AD170&lt;&gt;""),TRUE,FALSE)</formula>
    </cfRule>
    <cfRule type="expression" dxfId="6" priority="216">
      <formula>IF(AND(AD170&gt;100, AD170&lt;&gt;""),TRUE,FALSE)</formula>
    </cfRule>
  </conditionalFormatting>
  <conditionalFormatting sqref="AD326:AD475">
    <cfRule type="expression" dxfId="5" priority="213">
      <formula>IF(AND(AD326&lt;=100, AD326&lt;&gt;""),TRUE,FALSE)</formula>
    </cfRule>
    <cfRule type="expression" dxfId="4" priority="214">
      <formula>IF(AND(AD326&gt;100, AD326&lt;&gt;""),TRUE,FALSE)</formula>
    </cfRule>
  </conditionalFormatting>
  <conditionalFormatting sqref="AD482:AD631">
    <cfRule type="expression" dxfId="3" priority="211">
      <formula>IF(AND(AD482&lt;=100, AD482&lt;&gt;""),TRUE,FALSE)</formula>
    </cfRule>
    <cfRule type="expression" dxfId="2" priority="212">
      <formula>IF(AND(AD482&gt;100, AD482&lt;&gt;""),TRUE,FALSE)</formula>
    </cfRule>
  </conditionalFormatting>
  <conditionalFormatting sqref="AD638:AD788">
    <cfRule type="expression" dxfId="1" priority="209">
      <formula>IF(AND(AD638&lt;=100, AD638&lt;&gt;""),TRUE,FALSE)</formula>
    </cfRule>
    <cfRule type="expression" dxfId="0" priority="210">
      <formula>IF(AND(AD638&gt;100, AD638&lt;&gt;""),TRUE,FALSE)</formula>
    </cfRule>
  </conditionalFormatting>
  <dataValidations count="1">
    <dataValidation type="list" allowBlank="1" showInputMessage="1" showErrorMessage="1" sqref="J7" xr:uid="{0E810B66-C4DF-4972-9F50-166A41A4A2C3}">
      <formula1>"YES,NO"</formula1>
    </dataValidation>
  </dataValidations>
  <pageMargins left="0.25" right="0.25" top="0.75" bottom="0.75" header="0.3" footer="0.3"/>
  <pageSetup paperSize="8" scale="31"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E329D69A-6046-4FA3-B1A7-315F1061F683}">
          <x14:formula1>
            <xm:f>IF(J7="YES",DATA!$C$2:$C$5,DATA!$B$2:$B$5)</xm:f>
          </x14:formula1>
          <xm:sqref>E7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D820B1FD11B14598160D0B2D8C9371" ma:contentTypeVersion="13" ma:contentTypeDescription="Create a new document." ma:contentTypeScope="" ma:versionID="739685e839025f2050669d510d18241c">
  <xsd:schema xmlns:xsd="http://www.w3.org/2001/XMLSchema" xmlns:xs="http://www.w3.org/2001/XMLSchema" xmlns:p="http://schemas.microsoft.com/office/2006/metadata/properties" xmlns:ns3="bd39c84f-5716-496c-90cd-b6435b628cec" xmlns:ns4="362054b8-74ab-42fb-b794-2ed897b81285" targetNamespace="http://schemas.microsoft.com/office/2006/metadata/properties" ma:root="true" ma:fieldsID="1938f7b3a85fbb83359d94fece2d8cea" ns3:_="" ns4:_="">
    <xsd:import namespace="bd39c84f-5716-496c-90cd-b6435b628cec"/>
    <xsd:import namespace="362054b8-74ab-42fb-b794-2ed897b812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39c84f-5716-496c-90cd-b6435b628c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2054b8-74ab-42fb-b794-2ed897b8128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FD9AC9-1B47-4245-B7E3-FC686DFE95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7E6941-BB4F-4EEC-930B-33BEF3E65F21}">
  <ds:schemaRefs>
    <ds:schemaRef ds:uri="http://schemas.microsoft.com/office/infopath/2007/PartnerControls"/>
    <ds:schemaRef ds:uri="http://schemas.microsoft.com/office/2006/metadata/properties"/>
    <ds:schemaRef ds:uri="362054b8-74ab-42fb-b794-2ed897b81285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openxmlformats.org/package/2006/metadata/core-properties"/>
    <ds:schemaRef ds:uri="bd39c84f-5716-496c-90cd-b6435b628ce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97C36BA-C9CE-410B-8DEC-3D0D91690A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39c84f-5716-496c-90cd-b6435b628cec"/>
    <ds:schemaRef ds:uri="362054b8-74ab-42fb-b794-2ed897b81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Revision</vt:lpstr>
      <vt:lpstr>NEMA SM-23</vt:lpstr>
    </vt:vector>
  </TitlesOfParts>
  <Company>Saipem SpA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Sivanantham Paramasivam</dc:creator>
  <cp:lastModifiedBy>Venkateshwarlu B</cp:lastModifiedBy>
  <cp:lastPrinted>2024-09-27T12:57:46Z</cp:lastPrinted>
  <dcterms:created xsi:type="dcterms:W3CDTF">2020-06-12T11:37:59Z</dcterms:created>
  <dcterms:modified xsi:type="dcterms:W3CDTF">2024-09-30T05:29:06Z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0x010100ACD820B1FD11B14598160D0B2D8C9371</vt:lpwstr>
  </property>
  <property fmtid="{D5CDD505-2E9C-101B-9397-08002B2CF9AE}" pid="3" name="MSIP_Label_f115ad2b-2b08-4b4b-ab33-60fb39cd9089_Enabled">
    <vt:lpwstr>true</vt:lpwstr>
  </property>
  <property fmtid="{D5CDD505-2E9C-101B-9397-08002B2CF9AE}" pid="4" name="MSIP_Label_f115ad2b-2b08-4b4b-ab33-60fb39cd9089_SetDate">
    <vt:lpwstr>2024-09-27T13:00:51Z</vt:lpwstr>
  </property>
  <property fmtid="{D5CDD505-2E9C-101B-9397-08002B2CF9AE}" pid="5" name="MSIP_Label_f115ad2b-2b08-4b4b-ab33-60fb39cd9089_Method">
    <vt:lpwstr>Standard</vt:lpwstr>
  </property>
  <property fmtid="{D5CDD505-2E9C-101B-9397-08002B2CF9AE}" pid="6" name="MSIP_Label_f115ad2b-2b08-4b4b-ab33-60fb39cd9089_Name">
    <vt:lpwstr>f115ad2b-2b08-4b4b-ab33-60fb39cd9089</vt:lpwstr>
  </property>
  <property fmtid="{D5CDD505-2E9C-101B-9397-08002B2CF9AE}" pid="7" name="MSIP_Label_f115ad2b-2b08-4b4b-ab33-60fb39cd9089_SiteId">
    <vt:lpwstr>16a4d712-85ca-455c-bba0-139c059e16e3</vt:lpwstr>
  </property>
  <property fmtid="{D5CDD505-2E9C-101B-9397-08002B2CF9AE}" pid="8" name="MSIP_Label_f115ad2b-2b08-4b4b-ab33-60fb39cd9089_ActionId">
    <vt:lpwstr>d59c4e47-d062-40f0-be4a-e18e271687c8</vt:lpwstr>
  </property>
  <property fmtid="{D5CDD505-2E9C-101B-9397-08002B2CF9AE}" pid="9" name="MSIP_Label_f115ad2b-2b08-4b4b-ab33-60fb39cd9089_ContentBits">
    <vt:lpwstr>0</vt:lpwstr>
  </property>
</Properties>
</file>