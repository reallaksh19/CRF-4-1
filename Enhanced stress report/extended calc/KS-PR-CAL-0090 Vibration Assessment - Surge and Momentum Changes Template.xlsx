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drawings/drawing12.xml" ContentType="application/vnd.openxmlformats-officedocument.drawing+xml"/>
  <Override PartName="/xl/comments6.xml" ContentType="application/vnd.openxmlformats-officedocument.spreadsheetml.comments+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comments8.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comments9.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mc:AlternateContent xmlns:mc="http://schemas.openxmlformats.org/markup-compatibility/2006">
    <mc:Choice Requires="x15">
      <x15ac:absPath xmlns:x15ac="http://schemas.microsoft.com/office/spreadsheetml/2010/11/ac" url="https://worleyparsons-my.sharepoint.com/personal/priyanka_verma_worley_com/Documents/Phase 2 QC2 Document Folder/KS/Calculations KS/Compare/"/>
    </mc:Choice>
  </mc:AlternateContent>
  <xr:revisionPtr revIDLastSave="19" documentId="13_ncr:1_{B157A3B8-2A7D-410B-8A8A-70D7F3046166}" xr6:coauthVersionLast="47" xr6:coauthVersionMax="47" xr10:uidLastSave="{6FDB8AA3-1FBF-46AF-AE7C-FCDA5019BD99}"/>
  <bookViews>
    <workbookView xWindow="-110" yWindow="-110" windowWidth="19420" windowHeight="10420" tabRatio="905" xr2:uid="{00000000-000D-0000-FFFF-FFFF00000000}"/>
  </bookViews>
  <sheets>
    <sheet name="Cover Sheet" sheetId="1" r:id="rId1"/>
    <sheet name="Module1" sheetId="3" state="veryHidden" r:id="rId2"/>
    <sheet name="Checklist" sheetId="16" r:id="rId3"/>
    <sheet name="ToC" sheetId="5" r:id="rId4"/>
    <sheet name="P4 - Introduction" sheetId="33" r:id="rId5"/>
    <sheet name="P5 - Sketch" sheetId="32" r:id="rId6"/>
    <sheet name="P6-Nomenclature" sheetId="49" r:id="rId7"/>
    <sheet name="P7 - Mechanism" sheetId="31" r:id="rId8"/>
    <sheet name="P8- Liquid or Multiphase" sheetId="39" r:id="rId9"/>
    <sheet name="P 9- Liquid or Multiphase Open" sheetId="42" r:id="rId10"/>
    <sheet name="P10- Case Description" sheetId="46" r:id="rId11"/>
    <sheet name="P11-Summary (Dry Gas)" sheetId="50" r:id="rId12"/>
    <sheet name="P12-Summary (Valve Closure)" sheetId="53" r:id="rId13"/>
    <sheet name="P13-Valve open Liquid multiphas" sheetId="54" r:id="rId14"/>
    <sheet name="AppA" sheetId="12" r:id="rId15"/>
    <sheet name="App A- Dry Gas Calc " sheetId="40" r:id="rId16"/>
    <sheet name="AppB" sheetId="19" r:id="rId17"/>
    <sheet name="AppB- Liquid or Multiphase Calc" sheetId="41" r:id="rId18"/>
    <sheet name="AppC" sheetId="51" r:id="rId19"/>
    <sheet name="APPC- Liquid or Multiphase Open" sheetId="43" r:id="rId20"/>
  </sheets>
  <externalReferences>
    <externalReference r:id="rId21"/>
  </externalReferences>
  <definedNames>
    <definedName name="_app1">IF(ISBLANK('Cover Sheet'!$I$67),"",'Cover Sheet'!$I$67)</definedName>
    <definedName name="_app2">IF(ISBLANK('Cover Sheet'!$I$66),"",'Cover Sheet'!$I$66)</definedName>
    <definedName name="_app3">IF(ISBLANK('Cover Sheet'!$I$65),"",'Cover Sheet'!$I$65)</definedName>
    <definedName name="_chk1">IF(ISBLANK('Cover Sheet'!$G$67),"",'Cover Sheet'!$G$67)</definedName>
    <definedName name="_chk2">IF(ISBLANK('Cover Sheet'!$G$66),"",'Cover Sheet'!$G$66)</definedName>
    <definedName name="_chk3">IF(ISBLANK('Cover Sheet'!$G$65),"",'Cover Sheet'!$G$65)</definedName>
    <definedName name="_rev1">IF(ISBLANK('Cover Sheet'!$A$67),"",'Cover Sheet'!$A$67)</definedName>
    <definedName name="_rev2">IF(ISBLANK('Cover Sheet'!$A$66),"",'Cover Sheet'!$A$66)</definedName>
    <definedName name="_rev3">IF(ISBLANK('Cover Sheet'!$A$65),"",'Cover Sheet'!$A$65)</definedName>
    <definedName name="_Table1_In1" localSheetId="15" hidden="1">#REF!</definedName>
    <definedName name="_Table1_In1" localSheetId="17" hidden="1">#REF!</definedName>
    <definedName name="_Table1_In1" localSheetId="18" hidden="1">#REF!</definedName>
    <definedName name="_Table1_In1" localSheetId="19" hidden="1">#REF!</definedName>
    <definedName name="_Table1_In1" localSheetId="9" hidden="1">#REF!</definedName>
    <definedName name="_Table1_In1" localSheetId="10" hidden="1">#REF!</definedName>
    <definedName name="_Table1_In1" localSheetId="11" hidden="1">#REF!</definedName>
    <definedName name="_Table1_In1" localSheetId="12" hidden="1">#REF!</definedName>
    <definedName name="_Table1_In1" localSheetId="13" hidden="1">#REF!</definedName>
    <definedName name="_Table1_In1" localSheetId="6" hidden="1">#REF!</definedName>
    <definedName name="_Table1_In1" localSheetId="8" hidden="1">#REF!</definedName>
    <definedName name="_Table1_In1" hidden="1">#REF!</definedName>
    <definedName name="_Table2_In1" localSheetId="15" hidden="1">#REF!</definedName>
    <definedName name="_Table2_In1" localSheetId="17" hidden="1">#REF!</definedName>
    <definedName name="_Table2_In1" localSheetId="18" hidden="1">#REF!</definedName>
    <definedName name="_Table2_In1" localSheetId="19" hidden="1">#REF!</definedName>
    <definedName name="_Table2_In1" localSheetId="9" hidden="1">#REF!</definedName>
    <definedName name="_Table2_In1" localSheetId="10" hidden="1">#REF!</definedName>
    <definedName name="_Table2_In1" localSheetId="11" hidden="1">#REF!</definedName>
    <definedName name="_Table2_In1" localSheetId="12" hidden="1">#REF!</definedName>
    <definedName name="_Table2_In1" localSheetId="13" hidden="1">#REF!</definedName>
    <definedName name="_Table2_In1" localSheetId="6" hidden="1">#REF!</definedName>
    <definedName name="_Table2_In1" localSheetId="8" hidden="1">#REF!</definedName>
    <definedName name="_Table2_In1" hidden="1">#REF!</definedName>
    <definedName name="a" localSheetId="15">'[1]High Frequency Acoustic Excit.'!#REF!</definedName>
    <definedName name="a" localSheetId="17">'[1]High Frequency Acoustic Excit.'!#REF!</definedName>
    <definedName name="a" localSheetId="18">'[1]High Frequency Acoustic Excit.'!#REF!</definedName>
    <definedName name="a" localSheetId="19">'[1]High Frequency Acoustic Excit.'!#REF!</definedName>
    <definedName name="a" localSheetId="9">'[1]High Frequency Acoustic Excit.'!#REF!</definedName>
    <definedName name="a" localSheetId="10">'[1]High Frequency Acoustic Excit.'!#REF!</definedName>
    <definedName name="a" localSheetId="11">'[1]High Frequency Acoustic Excit.'!#REF!</definedName>
    <definedName name="a" localSheetId="12">'[1]High Frequency Acoustic Excit.'!#REF!</definedName>
    <definedName name="a" localSheetId="13">'[1]High Frequency Acoustic Excit.'!#REF!</definedName>
    <definedName name="a" localSheetId="6">'[1]High Frequency Acoustic Excit.'!#REF!</definedName>
    <definedName name="a" localSheetId="8">'[1]High Frequency Acoustic Excit.'!#REF!</definedName>
    <definedName name="a">'[1]High Frequency Acoustic Excit.'!#REF!</definedName>
    <definedName name="B" localSheetId="15">'[1]High Frequency Acoustic Excit.'!#REF!</definedName>
    <definedName name="B" localSheetId="17">'[1]High Frequency Acoustic Excit.'!#REF!</definedName>
    <definedName name="B" localSheetId="18">'[1]High Frequency Acoustic Excit.'!#REF!</definedName>
    <definedName name="B" localSheetId="19">'[1]High Frequency Acoustic Excit.'!#REF!</definedName>
    <definedName name="B" localSheetId="9">'[1]High Frequency Acoustic Excit.'!#REF!</definedName>
    <definedName name="B" localSheetId="10">'[1]High Frequency Acoustic Excit.'!#REF!</definedName>
    <definedName name="B" localSheetId="11">'[1]High Frequency Acoustic Excit.'!#REF!</definedName>
    <definedName name="B" localSheetId="12">'[1]High Frequency Acoustic Excit.'!#REF!</definedName>
    <definedName name="B" localSheetId="13">'[1]High Frequency Acoustic Excit.'!#REF!</definedName>
    <definedName name="B" localSheetId="6">'[1]High Frequency Acoustic Excit.'!#REF!</definedName>
    <definedName name="B" localSheetId="8">'[1]High Frequency Acoustic Excit.'!#REF!</definedName>
    <definedName name="B">'[1]High Frequency Acoustic Excit.'!#REF!</definedName>
    <definedName name="Calc_No">IF(ISBLANK('Cover Sheet'!$H$3),"",'Cover Sheet'!$H$3)</definedName>
    <definedName name="calc_title">IF(ISBLANK('Cover Sheet'!$D$4),"",'Cover Sheet'!$D$4)</definedName>
    <definedName name="customer">IF(ISBLANK('Cover Sheet'!$D$2),"",'Cover Sheet'!$D$2)</definedName>
    <definedName name="date1">IF(ISBLANK('Cover Sheet'!$B$67),"",'Cover Sheet'!$B$67)</definedName>
    <definedName name="date2">IF(ISBLANK('Cover Sheet'!$B$66),"",'Cover Sheet'!$B$66)</definedName>
    <definedName name="date3">IF(ISBLANK('Cover Sheet'!$B$65),"",'Cover Sheet'!$B$65)</definedName>
    <definedName name="desc1">IF(ISBLANK('Cover Sheet'!$D$67),"",'Cover Sheet'!$D$67)</definedName>
    <definedName name="desc2">IF(ISBLANK('Cover Sheet'!$D$66),"",'Cover Sheet'!$D$66)</definedName>
    <definedName name="desc3">IF(ISBLANK('Cover Sheet'!$D$65),"",'Cover Sheet'!$D$65)</definedName>
    <definedName name="Dext">'[1]High Frequency Acoustic Excit.'!$D$15</definedName>
    <definedName name="disclaimer">'Cover Sheet'!$A$69</definedName>
    <definedName name="elec_file">IF(ISBLANK('Cover Sheet'!$D$5),"",'Cover Sheet'!$D$5)</definedName>
    <definedName name="num_pages">IF(ISBLANK('Cover Sheet'!$J$6),"",'Cover Sheet'!$J$6)</definedName>
    <definedName name="orig1">IF(ISBLANK('Cover Sheet'!$F$67),"",'Cover Sheet'!$F$67)</definedName>
    <definedName name="orig2">IF(ISBLANK('Cover Sheet'!$F$66),"",'Cover Sheet'!$F$66)</definedName>
    <definedName name="orig3">IF(ISBLANK('Cover Sheet'!$F$65),"",'Cover Sheet'!$F$65)</definedName>
    <definedName name="Phase_CTR">IF(ISBLANK('Cover Sheet'!$H$4),"",'Cover Sheet'!$H$4)</definedName>
    <definedName name="_xlnm.Print_Area" localSheetId="15">'App A- Dry Gas Calc '!$B$1:$AN$52</definedName>
    <definedName name="_xlnm.Print_Area" localSheetId="14">AppA!$B$1:$AN$51</definedName>
    <definedName name="_xlnm.Print_Area" localSheetId="16">AppB!$B$1:$AN$51</definedName>
    <definedName name="_xlnm.Print_Area" localSheetId="17">'AppB- Liquid or Multiphase Calc'!$B$1:$AN$51</definedName>
    <definedName name="_xlnm.Print_Area" localSheetId="18">AppC!$B$1:$AN$51</definedName>
    <definedName name="_xlnm.Print_Area" localSheetId="19">'APPC- Liquid or Multiphase Open'!$B$1:$AN$52</definedName>
    <definedName name="_xlnm.Print_Area" localSheetId="2">Checklist!$A$1:$J$44</definedName>
    <definedName name="_xlnm.Print_Area" localSheetId="0">'Cover Sheet'!$A$1:$J$69</definedName>
    <definedName name="_xlnm.Print_Area" localSheetId="9">'P 9- Liquid or Multiphase Open'!$B$1:$AN$51</definedName>
    <definedName name="_xlnm.Print_Area" localSheetId="10">'P10- Case Description'!$B$1:$AN$51</definedName>
    <definedName name="_xlnm.Print_Area" localSheetId="11">'P11-Summary (Dry Gas)'!$B$1:$AN$65</definedName>
    <definedName name="_xlnm.Print_Area" localSheetId="12">'P12-Summary (Valve Closure)'!$B$1:$AN$49</definedName>
    <definedName name="_xlnm.Print_Area" localSheetId="13">'P13-Valve open Liquid multiphas'!$B$1:$AN$65</definedName>
    <definedName name="_xlnm.Print_Area" localSheetId="4">'P4 - Introduction'!$B$1:$AN$50</definedName>
    <definedName name="_xlnm.Print_Area" localSheetId="5">'P5 - Sketch'!$B$1:$AN$51</definedName>
    <definedName name="_xlnm.Print_Area" localSheetId="6">'P6-Nomenclature'!$B$1:$AN$51</definedName>
    <definedName name="_xlnm.Print_Area" localSheetId="7">'P7 - Mechanism'!$B$1:$AN$51</definedName>
    <definedName name="_xlnm.Print_Area" localSheetId="8">'P8- Liquid or Multiphase'!$B$1:$AN$51</definedName>
    <definedName name="_xlnm.Print_Area" localSheetId="3">ToC!$B$1:$AN$52</definedName>
    <definedName name="proj_file">IF(ISBLANK('Cover Sheet'!$D$6),"",'Cover Sheet'!$D$6)</definedName>
    <definedName name="Proj_No">IF(ISBLANK('Cover Sheet'!$H$2),"",'Cover Sheet'!$H$2)</definedName>
    <definedName name="proj_title">IF(ISBLANK('Cover Sheet'!$D$3),"",'Cover Sheet'!$D$3)</definedName>
    <definedName name="s" localSheetId="15">'[1]High Frequency Acoustic Excit.'!#REF!</definedName>
    <definedName name="s" localSheetId="17">'[1]High Frequency Acoustic Excit.'!#REF!</definedName>
    <definedName name="s" localSheetId="18">'[1]High Frequency Acoustic Excit.'!#REF!</definedName>
    <definedName name="s" localSheetId="19">'[1]High Frequency Acoustic Excit.'!#REF!</definedName>
    <definedName name="s" localSheetId="9">'[1]High Frequency Acoustic Excit.'!#REF!</definedName>
    <definedName name="s" localSheetId="10">'[1]High Frequency Acoustic Excit.'!#REF!</definedName>
    <definedName name="s" localSheetId="11">'[1]High Frequency Acoustic Excit.'!#REF!</definedName>
    <definedName name="s" localSheetId="12">'[1]High Frequency Acoustic Excit.'!#REF!</definedName>
    <definedName name="s" localSheetId="13">'[1]High Frequency Acoustic Excit.'!#REF!</definedName>
    <definedName name="s" localSheetId="6">'[1]High Frequency Acoustic Excit.'!#REF!</definedName>
    <definedName name="s" localSheetId="8">'[1]High Frequency Acoustic Excit.'!#REF!</definedName>
    <definedName name="s">'[1]High Frequency Acoustic Excit.'!#REF!</definedName>
    <definedName name="T">'[1]High Frequency Acoustic Excit.'!$D$16</definedName>
    <definedName name="Z_F302B859_9C14_40B8_A8C5_DD6CAA83CE4D_.wvu.PrintArea" localSheetId="15" hidden="1">'App A- Dry Gas Calc '!$B$1:$AN$52</definedName>
    <definedName name="Z_F302B859_9C14_40B8_A8C5_DD6CAA83CE4D_.wvu.PrintArea" localSheetId="14" hidden="1">AppA!$B$1:$AN$51</definedName>
    <definedName name="Z_F302B859_9C14_40B8_A8C5_DD6CAA83CE4D_.wvu.PrintArea" localSheetId="16" hidden="1">AppB!$B$1:$AN$51</definedName>
    <definedName name="Z_F302B859_9C14_40B8_A8C5_DD6CAA83CE4D_.wvu.PrintArea" localSheetId="17" hidden="1">'AppB- Liquid or Multiphase Calc'!$B$1:$AN$58</definedName>
    <definedName name="Z_F302B859_9C14_40B8_A8C5_DD6CAA83CE4D_.wvu.PrintArea" localSheetId="18" hidden="1">AppC!$B$1:$AN$51</definedName>
    <definedName name="Z_F302B859_9C14_40B8_A8C5_DD6CAA83CE4D_.wvu.PrintArea" localSheetId="19" hidden="1">'APPC- Liquid or Multiphase Open'!$B$1:$AN$52</definedName>
    <definedName name="Z_F302B859_9C14_40B8_A8C5_DD6CAA83CE4D_.wvu.PrintArea" localSheetId="2" hidden="1">Checklist!$A$1:$J$44</definedName>
    <definedName name="Z_F302B859_9C14_40B8_A8C5_DD6CAA83CE4D_.wvu.PrintArea" localSheetId="0" hidden="1">'Cover Sheet'!$A$1:$J$69</definedName>
    <definedName name="Z_F302B859_9C14_40B8_A8C5_DD6CAA83CE4D_.wvu.PrintArea" localSheetId="9" hidden="1">'P 9- Liquid or Multiphase Open'!$B$1:$AN$51</definedName>
    <definedName name="Z_F302B859_9C14_40B8_A8C5_DD6CAA83CE4D_.wvu.PrintArea" localSheetId="10" hidden="1">'P10- Case Description'!$B$1:$AN$51</definedName>
    <definedName name="Z_F302B859_9C14_40B8_A8C5_DD6CAA83CE4D_.wvu.PrintArea" localSheetId="11" hidden="1">'P11-Summary (Dry Gas)'!$B$1:$AN$65</definedName>
    <definedName name="Z_F302B859_9C14_40B8_A8C5_DD6CAA83CE4D_.wvu.PrintArea" localSheetId="12" hidden="1">'P12-Summary (Valve Closure)'!$B$1:$AN$49</definedName>
    <definedName name="Z_F302B859_9C14_40B8_A8C5_DD6CAA83CE4D_.wvu.PrintArea" localSheetId="13" hidden="1">'P13-Valve open Liquid multiphas'!$B$1:$AN$65</definedName>
    <definedName name="Z_F302B859_9C14_40B8_A8C5_DD6CAA83CE4D_.wvu.PrintArea" localSheetId="4" hidden="1">'P4 - Introduction'!$B$1:$AN$50</definedName>
    <definedName name="Z_F302B859_9C14_40B8_A8C5_DD6CAA83CE4D_.wvu.PrintArea" localSheetId="5" hidden="1">'P5 - Sketch'!$B$1:$AN$51</definedName>
    <definedName name="Z_F302B859_9C14_40B8_A8C5_DD6CAA83CE4D_.wvu.PrintArea" localSheetId="6" hidden="1">'P6-Nomenclature'!$B$1:$AN$51</definedName>
    <definedName name="Z_F302B859_9C14_40B8_A8C5_DD6CAA83CE4D_.wvu.PrintArea" localSheetId="7" hidden="1">'P7 - Mechanism'!$B$1:$AN$51</definedName>
    <definedName name="Z_F302B859_9C14_40B8_A8C5_DD6CAA83CE4D_.wvu.PrintArea" localSheetId="8" hidden="1">'P8- Liquid or Multiphase'!$B$1:$AN$51</definedName>
    <definedName name="Z_F302B859_9C14_40B8_A8C5_DD6CAA83CE4D_.wvu.PrintArea" localSheetId="3" hidden="1">ToC!$B$1:$AN$52</definedName>
  </definedNames>
  <calcPr calcId="191029"/>
  <customWorkbookViews>
    <customWorkbookView name="darren.millard - Personal View" guid="{F302B859-9C14-40B8-A8C5-DD6CAA83CE4D}" mergeInterval="0" personalView="1" maximized="1" windowWidth="1276" windowHeight="784" tabRatio="694"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 i="39" l="1"/>
  <c r="I4" i="43"/>
  <c r="I4" i="41"/>
  <c r="I4" i="19"/>
  <c r="I4" i="40"/>
  <c r="I4" i="12"/>
  <c r="I4" i="54"/>
  <c r="I4" i="53"/>
  <c r="I4" i="50"/>
  <c r="I4" i="46"/>
  <c r="I4" i="42"/>
  <c r="I3" i="42"/>
  <c r="I3" i="39"/>
  <c r="I4" i="31"/>
  <c r="I4" i="49"/>
  <c r="I4" i="32"/>
  <c r="I4" i="33"/>
  <c r="I4" i="5"/>
  <c r="T21" i="43" l="1"/>
  <c r="AF22" i="40"/>
  <c r="Z22" i="40"/>
  <c r="AF21" i="43"/>
  <c r="AF20" i="43"/>
  <c r="Z21" i="43"/>
  <c r="Z20" i="43"/>
  <c r="T20" i="43"/>
  <c r="AF27" i="41"/>
  <c r="Z27" i="41"/>
  <c r="T27" i="41"/>
  <c r="Z19" i="41"/>
  <c r="T19" i="41"/>
  <c r="AF19" i="41"/>
  <c r="AF18" i="41"/>
  <c r="Z18" i="41"/>
  <c r="Z22" i="41" s="1"/>
  <c r="Z35" i="41" s="1"/>
  <c r="Z40" i="41" s="1"/>
  <c r="T18" i="41"/>
  <c r="T22" i="41" s="1"/>
  <c r="T35" i="41" s="1"/>
  <c r="T22" i="40"/>
  <c r="AF21" i="40"/>
  <c r="Z21" i="40"/>
  <c r="Z25" i="40" s="1"/>
  <c r="Z29" i="40" s="1"/>
  <c r="T21" i="40"/>
  <c r="T25" i="40" s="1"/>
  <c r="T29" i="40" s="1"/>
  <c r="Z24" i="43"/>
  <c r="Z28" i="43" s="1"/>
  <c r="AF25" i="40"/>
  <c r="AF29" i="40" s="1"/>
  <c r="AF22" i="41"/>
  <c r="AF35" i="41" s="1"/>
  <c r="AF40" i="41" s="1"/>
  <c r="AE16" i="54"/>
  <c r="V16" i="54"/>
  <c r="M16" i="54"/>
  <c r="AE15" i="54"/>
  <c r="V15" i="54"/>
  <c r="M15" i="54"/>
  <c r="AE14" i="54"/>
  <c r="V14" i="54"/>
  <c r="M14" i="54"/>
  <c r="AE12" i="54"/>
  <c r="V12" i="54"/>
  <c r="M12" i="54"/>
  <c r="C20" i="54"/>
  <c r="C16" i="54"/>
  <c r="C15" i="54"/>
  <c r="C14" i="54"/>
  <c r="C10" i="54"/>
  <c r="AE12" i="53"/>
  <c r="F10" i="54"/>
  <c r="B65" i="54"/>
  <c r="AK8" i="54"/>
  <c r="AG8" i="54"/>
  <c r="AD8" i="54"/>
  <c r="AB8" i="54"/>
  <c r="X8" i="54"/>
  <c r="T8" i="54"/>
  <c r="Q8" i="54"/>
  <c r="O8" i="54"/>
  <c r="K8" i="54"/>
  <c r="G8" i="54"/>
  <c r="D8" i="54"/>
  <c r="B8" i="54"/>
  <c r="AL6" i="54"/>
  <c r="AE4" i="54"/>
  <c r="AE3" i="54"/>
  <c r="AA3" i="54"/>
  <c r="I3" i="54"/>
  <c r="AE2" i="54"/>
  <c r="AA2" i="54"/>
  <c r="I2" i="54"/>
  <c r="AE19" i="53"/>
  <c r="V19" i="53"/>
  <c r="M19" i="53"/>
  <c r="AE18" i="53"/>
  <c r="V18" i="53"/>
  <c r="M18" i="53"/>
  <c r="AE17" i="53"/>
  <c r="V17" i="53"/>
  <c r="M17" i="53"/>
  <c r="AE16" i="53"/>
  <c r="V16" i="53"/>
  <c r="M16" i="53"/>
  <c r="AE15" i="53"/>
  <c r="V15" i="53"/>
  <c r="M15" i="53"/>
  <c r="V12" i="53"/>
  <c r="M12" i="53"/>
  <c r="AE14" i="53"/>
  <c r="V14" i="53"/>
  <c r="M14" i="53"/>
  <c r="C28" i="53"/>
  <c r="C19" i="53"/>
  <c r="C18" i="53"/>
  <c r="C17" i="53"/>
  <c r="C16" i="53"/>
  <c r="C15" i="53"/>
  <c r="C14" i="53"/>
  <c r="F10" i="53"/>
  <c r="C10" i="53"/>
  <c r="B49" i="53"/>
  <c r="AK8" i="53"/>
  <c r="AG8" i="53"/>
  <c r="AD8" i="53"/>
  <c r="AB8" i="53"/>
  <c r="X8" i="53"/>
  <c r="T8" i="53"/>
  <c r="Q8" i="53"/>
  <c r="O8" i="53"/>
  <c r="K8" i="53"/>
  <c r="G8" i="53"/>
  <c r="D8" i="53"/>
  <c r="B8" i="53"/>
  <c r="AL6" i="53"/>
  <c r="AE4" i="53"/>
  <c r="AE3" i="53"/>
  <c r="AA3" i="53"/>
  <c r="I3" i="53"/>
  <c r="AE2" i="53"/>
  <c r="AA2" i="53"/>
  <c r="I2" i="53"/>
  <c r="AE16" i="50"/>
  <c r="V16" i="50"/>
  <c r="M16" i="50"/>
  <c r="AE15" i="50"/>
  <c r="V15" i="50"/>
  <c r="M15" i="50"/>
  <c r="AE14" i="50"/>
  <c r="V14" i="50"/>
  <c r="M14" i="50"/>
  <c r="C16" i="50"/>
  <c r="C15" i="50"/>
  <c r="C14" i="50"/>
  <c r="AE12" i="50"/>
  <c r="V12" i="50"/>
  <c r="M12" i="50"/>
  <c r="F10" i="50"/>
  <c r="F21" i="31"/>
  <c r="C21" i="31"/>
  <c r="AF26" i="41"/>
  <c r="Z26" i="41"/>
  <c r="T26" i="41"/>
  <c r="B51" i="41"/>
  <c r="B12" i="51"/>
  <c r="B51" i="51"/>
  <c r="S14" i="51"/>
  <c r="AL6" i="43" s="1"/>
  <c r="B13" i="51"/>
  <c r="AK8" i="51"/>
  <c r="AG8" i="51"/>
  <c r="AD8" i="51"/>
  <c r="AB8" i="51"/>
  <c r="X8" i="51"/>
  <c r="T8" i="51"/>
  <c r="Q8" i="51"/>
  <c r="O8" i="51"/>
  <c r="K8" i="51"/>
  <c r="G8" i="51"/>
  <c r="D8" i="51"/>
  <c r="B8" i="51"/>
  <c r="AE4" i="51"/>
  <c r="I4" i="51"/>
  <c r="AE3" i="51"/>
  <c r="AA3" i="51"/>
  <c r="I3" i="51"/>
  <c r="AE2" i="51"/>
  <c r="AA2" i="51"/>
  <c r="I2" i="51"/>
  <c r="C10" i="50"/>
  <c r="H31" i="5"/>
  <c r="H30" i="5"/>
  <c r="B13" i="12" s="1"/>
  <c r="B65" i="50"/>
  <c r="AK8" i="50"/>
  <c r="AG8" i="50"/>
  <c r="AD8" i="50"/>
  <c r="AB8" i="50"/>
  <c r="X8" i="50"/>
  <c r="T8" i="50"/>
  <c r="Q8" i="50"/>
  <c r="O8" i="50"/>
  <c r="K8" i="50"/>
  <c r="G8" i="50"/>
  <c r="D8" i="50"/>
  <c r="B8" i="50"/>
  <c r="AL6" i="50"/>
  <c r="AE4" i="50"/>
  <c r="AE3" i="50"/>
  <c r="AA3" i="50"/>
  <c r="I3" i="50"/>
  <c r="AE2" i="50"/>
  <c r="AA2" i="50"/>
  <c r="I2" i="50"/>
  <c r="C10" i="49"/>
  <c r="F10" i="49"/>
  <c r="B51" i="49"/>
  <c r="AK8" i="49"/>
  <c r="AG8" i="49"/>
  <c r="AD8" i="49"/>
  <c r="AB8" i="49"/>
  <c r="X8" i="49"/>
  <c r="T8" i="49"/>
  <c r="Q8" i="49"/>
  <c r="O8" i="49"/>
  <c r="K8" i="49"/>
  <c r="G8" i="49"/>
  <c r="D8" i="49"/>
  <c r="B8" i="49"/>
  <c r="AL6" i="49"/>
  <c r="AE4" i="49"/>
  <c r="AE3" i="49"/>
  <c r="AA3" i="49"/>
  <c r="I3" i="49"/>
  <c r="AE2" i="49"/>
  <c r="AA2" i="49"/>
  <c r="I2" i="49"/>
  <c r="F10" i="46"/>
  <c r="C10" i="46"/>
  <c r="B51" i="46"/>
  <c r="AK8" i="46"/>
  <c r="AG8" i="46"/>
  <c r="AD8" i="46"/>
  <c r="AB8" i="46"/>
  <c r="X8" i="46"/>
  <c r="T8" i="46"/>
  <c r="Q8" i="46"/>
  <c r="O8" i="46"/>
  <c r="K8" i="46"/>
  <c r="G8" i="46"/>
  <c r="D8" i="46"/>
  <c r="B8" i="46"/>
  <c r="AL6" i="46"/>
  <c r="AE4" i="46"/>
  <c r="AE3" i="46"/>
  <c r="AA3" i="46"/>
  <c r="I3" i="46"/>
  <c r="AE2" i="46"/>
  <c r="AA2" i="46"/>
  <c r="I2" i="46"/>
  <c r="B52" i="43"/>
  <c r="AF27" i="43"/>
  <c r="Z27" i="43"/>
  <c r="T27" i="43"/>
  <c r="AF25" i="43"/>
  <c r="Z25" i="43"/>
  <c r="T25" i="43"/>
  <c r="AK8" i="43"/>
  <c r="AG8" i="43"/>
  <c r="AD8" i="43"/>
  <c r="AB8" i="43"/>
  <c r="X8" i="43"/>
  <c r="T8" i="43"/>
  <c r="Q8" i="43"/>
  <c r="O8" i="43"/>
  <c r="K8" i="43"/>
  <c r="G8" i="43"/>
  <c r="D8" i="43"/>
  <c r="B8" i="43"/>
  <c r="AE4" i="43"/>
  <c r="AE3" i="43"/>
  <c r="AA3" i="43"/>
  <c r="I3" i="43"/>
  <c r="AE2" i="43"/>
  <c r="AA2" i="43"/>
  <c r="I2" i="43"/>
  <c r="F10" i="42"/>
  <c r="C10" i="42"/>
  <c r="B51" i="42"/>
  <c r="AK8" i="42"/>
  <c r="AG8" i="42"/>
  <c r="AD8" i="42"/>
  <c r="AB8" i="42"/>
  <c r="X8" i="42"/>
  <c r="T8" i="42"/>
  <c r="Q8" i="42"/>
  <c r="O8" i="42"/>
  <c r="K8" i="42"/>
  <c r="G8" i="42"/>
  <c r="D8" i="42"/>
  <c r="B8" i="42"/>
  <c r="AL6" i="42"/>
  <c r="AE4" i="42"/>
  <c r="AE3" i="42"/>
  <c r="AA3" i="42"/>
  <c r="AE2" i="42"/>
  <c r="AA2" i="42"/>
  <c r="I2" i="42"/>
  <c r="Z23" i="41"/>
  <c r="T23" i="41"/>
  <c r="AF34" i="41"/>
  <c r="T34" i="41"/>
  <c r="Z34" i="41"/>
  <c r="AF23" i="41"/>
  <c r="AR56" i="41"/>
  <c r="AK8" i="41"/>
  <c r="AG8" i="41"/>
  <c r="AD8" i="41"/>
  <c r="AB8" i="41"/>
  <c r="X8" i="41"/>
  <c r="T8" i="41"/>
  <c r="Q8" i="41"/>
  <c r="O8" i="41"/>
  <c r="K8" i="41"/>
  <c r="G8" i="41"/>
  <c r="D8" i="41"/>
  <c r="B8" i="41"/>
  <c r="AE4" i="41"/>
  <c r="AE3" i="41"/>
  <c r="AA3" i="41"/>
  <c r="I3" i="41"/>
  <c r="AE2" i="41"/>
  <c r="AA2" i="41"/>
  <c r="I2" i="41"/>
  <c r="AF28" i="40"/>
  <c r="Z28" i="40"/>
  <c r="T28" i="40"/>
  <c r="AF26" i="40"/>
  <c r="Z26" i="40"/>
  <c r="T26" i="40"/>
  <c r="B52" i="40"/>
  <c r="AO27" i="40"/>
  <c r="AK8" i="40"/>
  <c r="AG8" i="40"/>
  <c r="AD8" i="40"/>
  <c r="AB8" i="40"/>
  <c r="X8" i="40"/>
  <c r="T8" i="40"/>
  <c r="Q8" i="40"/>
  <c r="O8" i="40"/>
  <c r="K8" i="40"/>
  <c r="G8" i="40"/>
  <c r="D8" i="40"/>
  <c r="B8" i="40"/>
  <c r="AE4" i="40"/>
  <c r="AE3" i="40"/>
  <c r="AA3" i="40"/>
  <c r="I3" i="40"/>
  <c r="AE2" i="40"/>
  <c r="AA2" i="40"/>
  <c r="I2" i="40"/>
  <c r="F10" i="39"/>
  <c r="C10" i="39"/>
  <c r="B51" i="39"/>
  <c r="AK8" i="39"/>
  <c r="AG8" i="39"/>
  <c r="AD8" i="39"/>
  <c r="AB8" i="39"/>
  <c r="X8" i="39"/>
  <c r="T8" i="39"/>
  <c r="Q8" i="39"/>
  <c r="O8" i="39"/>
  <c r="K8" i="39"/>
  <c r="G8" i="39"/>
  <c r="D8" i="39"/>
  <c r="B8" i="39"/>
  <c r="AL6" i="39"/>
  <c r="AE4" i="39"/>
  <c r="AE3" i="39"/>
  <c r="AA3" i="39"/>
  <c r="AE2" i="39"/>
  <c r="AA2" i="39"/>
  <c r="I2" i="39"/>
  <c r="F10" i="31"/>
  <c r="C10" i="31"/>
  <c r="C10" i="32"/>
  <c r="F10" i="33"/>
  <c r="C10" i="33"/>
  <c r="B50" i="33"/>
  <c r="AK8" i="33"/>
  <c r="AG8" i="33"/>
  <c r="AD8" i="33"/>
  <c r="AB8" i="33"/>
  <c r="X8" i="33"/>
  <c r="T8" i="33"/>
  <c r="Q8" i="33"/>
  <c r="O8" i="33"/>
  <c r="K8" i="33"/>
  <c r="G8" i="33"/>
  <c r="D8" i="33"/>
  <c r="B8" i="33"/>
  <c r="AL6" i="33"/>
  <c r="AE4" i="33"/>
  <c r="AE3" i="33"/>
  <c r="AA3" i="33"/>
  <c r="I3" i="33"/>
  <c r="AE2" i="33"/>
  <c r="AA2" i="33"/>
  <c r="I2" i="33"/>
  <c r="B51" i="32"/>
  <c r="AK8" i="32"/>
  <c r="AG8" i="32"/>
  <c r="AD8" i="32"/>
  <c r="AB8" i="32"/>
  <c r="X8" i="32"/>
  <c r="T8" i="32"/>
  <c r="Q8" i="32"/>
  <c r="O8" i="32"/>
  <c r="K8" i="32"/>
  <c r="G8" i="32"/>
  <c r="D8" i="32"/>
  <c r="B8" i="32"/>
  <c r="AL6" i="32"/>
  <c r="AE4" i="32"/>
  <c r="AE3" i="32"/>
  <c r="AA3" i="32"/>
  <c r="I3" i="32"/>
  <c r="AE2" i="32"/>
  <c r="AA2" i="32"/>
  <c r="I2" i="32"/>
  <c r="B51" i="31"/>
  <c r="AK8" i="31"/>
  <c r="AG8" i="31"/>
  <c r="AD8" i="31"/>
  <c r="AB8" i="31"/>
  <c r="X8" i="31"/>
  <c r="T8" i="31"/>
  <c r="Q8" i="31"/>
  <c r="O8" i="31"/>
  <c r="K8" i="31"/>
  <c r="G8" i="31"/>
  <c r="D8" i="31"/>
  <c r="B8" i="31"/>
  <c r="AL6" i="31"/>
  <c r="AE4" i="31"/>
  <c r="AE3" i="31"/>
  <c r="AA3" i="31"/>
  <c r="I3" i="31"/>
  <c r="AE2" i="31"/>
  <c r="AA2" i="31"/>
  <c r="I2" i="31"/>
  <c r="B51" i="19"/>
  <c r="S14" i="19"/>
  <c r="U14" i="19" s="1"/>
  <c r="B13" i="19"/>
  <c r="B12" i="19"/>
  <c r="AK8" i="19"/>
  <c r="AG8" i="19"/>
  <c r="AD8" i="19"/>
  <c r="AB8" i="19"/>
  <c r="X8" i="19"/>
  <c r="T8" i="19"/>
  <c r="Q8" i="19"/>
  <c r="O8" i="19"/>
  <c r="K8" i="19"/>
  <c r="G8" i="19"/>
  <c r="D8" i="19"/>
  <c r="B8" i="19"/>
  <c r="AE4" i="19"/>
  <c r="AE3" i="19"/>
  <c r="AA3" i="19"/>
  <c r="I3" i="19"/>
  <c r="AE2" i="19"/>
  <c r="AA2" i="19"/>
  <c r="I2" i="19"/>
  <c r="S14" i="12"/>
  <c r="U14" i="12" s="1"/>
  <c r="B12" i="12"/>
  <c r="I42" i="16"/>
  <c r="D5" i="1"/>
  <c r="I5" i="46" s="1"/>
  <c r="I2" i="12"/>
  <c r="A44" i="16"/>
  <c r="G42" i="16"/>
  <c r="F42" i="16"/>
  <c r="D42" i="16"/>
  <c r="B42" i="16"/>
  <c r="A42" i="16"/>
  <c r="I41" i="16"/>
  <c r="G41" i="16"/>
  <c r="F41" i="16"/>
  <c r="D41" i="16"/>
  <c r="B41" i="16"/>
  <c r="A41" i="16"/>
  <c r="I40" i="16"/>
  <c r="G40" i="16"/>
  <c r="F40" i="16"/>
  <c r="D40" i="16"/>
  <c r="B40" i="16"/>
  <c r="A40" i="16"/>
  <c r="J6" i="16"/>
  <c r="H4" i="16"/>
  <c r="G3" i="16"/>
  <c r="D3" i="16"/>
  <c r="H2" i="16"/>
  <c r="G2" i="16"/>
  <c r="D2" i="16"/>
  <c r="AA3" i="12"/>
  <c r="AA3" i="5"/>
  <c r="AA2" i="12"/>
  <c r="AA2" i="5"/>
  <c r="AB8" i="5"/>
  <c r="AK8" i="12"/>
  <c r="AG8" i="12"/>
  <c r="AD8" i="12"/>
  <c r="AB8" i="12"/>
  <c r="X8" i="12"/>
  <c r="T8" i="12"/>
  <c r="Q8" i="12"/>
  <c r="O8" i="12"/>
  <c r="K8" i="12"/>
  <c r="G8" i="12"/>
  <c r="D8" i="12"/>
  <c r="B8" i="12"/>
  <c r="AE4" i="12"/>
  <c r="AE3" i="12"/>
  <c r="I3" i="12"/>
  <c r="AE2" i="12"/>
  <c r="AK8" i="5"/>
  <c r="AG8" i="5"/>
  <c r="AD8" i="5"/>
  <c r="X8" i="5"/>
  <c r="T8" i="5"/>
  <c r="Q8" i="5"/>
  <c r="O8" i="5"/>
  <c r="K8" i="5"/>
  <c r="G8" i="5"/>
  <c r="D8" i="5"/>
  <c r="B8" i="5"/>
  <c r="AL6" i="5"/>
  <c r="AE4" i="5"/>
  <c r="AE3" i="5"/>
  <c r="AE2" i="5"/>
  <c r="I3" i="5"/>
  <c r="I2" i="5"/>
  <c r="B51" i="12"/>
  <c r="B52" i="5"/>
  <c r="AL6" i="41"/>
  <c r="Z31" i="43" l="1"/>
  <c r="Z39" i="41"/>
  <c r="Z41" i="41" s="1"/>
  <c r="AF39" i="41"/>
  <c r="AF42" i="41" s="1"/>
  <c r="AF46" i="41" s="1"/>
  <c r="AE24" i="53" s="1"/>
  <c r="AF24" i="43"/>
  <c r="AF28" i="43" s="1"/>
  <c r="AF30" i="43" s="1"/>
  <c r="AE18" i="54" s="1"/>
  <c r="T24" i="43"/>
  <c r="T28" i="43" s="1"/>
  <c r="Z42" i="41"/>
  <c r="Z32" i="40"/>
  <c r="Z33" i="40" s="1"/>
  <c r="V19" i="50" s="1"/>
  <c r="Z31" i="40"/>
  <c r="V18" i="50" s="1"/>
  <c r="AF43" i="41"/>
  <c r="AF44" i="41" s="1"/>
  <c r="AF45" i="41" s="1"/>
  <c r="AE22" i="53"/>
  <c r="AF31" i="40"/>
  <c r="AE18" i="50" s="1"/>
  <c r="AF32" i="40"/>
  <c r="AF33" i="40" s="1"/>
  <c r="AE19" i="50" s="1"/>
  <c r="T31" i="40"/>
  <c r="M18" i="50" s="1"/>
  <c r="T32" i="40"/>
  <c r="T33" i="40" s="1"/>
  <c r="M19" i="50" s="1"/>
  <c r="T39" i="41"/>
  <c r="T40" i="41"/>
  <c r="T31" i="43"/>
  <c r="T32" i="43" s="1"/>
  <c r="M19" i="54" s="1"/>
  <c r="T30" i="43"/>
  <c r="M18" i="54" s="1"/>
  <c r="I5" i="19"/>
  <c r="I5" i="31"/>
  <c r="I5" i="42"/>
  <c r="I5" i="49"/>
  <c r="Z32" i="43"/>
  <c r="V19" i="54" s="1"/>
  <c r="U14" i="51"/>
  <c r="Z30" i="43"/>
  <c r="I5" i="39"/>
  <c r="I5" i="33"/>
  <c r="I5" i="54"/>
  <c r="D5" i="16"/>
  <c r="I5" i="41"/>
  <c r="I5" i="51"/>
  <c r="AL6" i="40"/>
  <c r="I5" i="12"/>
  <c r="I5" i="40"/>
  <c r="I5" i="43"/>
  <c r="I5" i="50"/>
  <c r="I5" i="53"/>
  <c r="I5" i="5"/>
  <c r="I5" i="32"/>
  <c r="AF41" i="41" l="1"/>
  <c r="T42" i="41"/>
  <c r="M22" i="53" s="1"/>
  <c r="AF31" i="43"/>
  <c r="AF32" i="43" s="1"/>
  <c r="AE19" i="54" s="1"/>
  <c r="AF48" i="41"/>
  <c r="AF49" i="41" s="1"/>
  <c r="AE27" i="53" s="1"/>
  <c r="T41" i="41"/>
  <c r="AE23" i="53"/>
  <c r="AF47" i="41"/>
  <c r="T33" i="43"/>
  <c r="M20" i="54" s="1"/>
  <c r="Z34" i="40"/>
  <c r="V20" i="50" s="1"/>
  <c r="AF34" i="40"/>
  <c r="AE20" i="50" s="1"/>
  <c r="V18" i="54"/>
  <c r="Z33" i="43"/>
  <c r="V20" i="54" s="1"/>
  <c r="T34" i="40"/>
  <c r="M20" i="50" s="1"/>
  <c r="V22" i="53"/>
  <c r="Z43" i="41"/>
  <c r="Z44" i="41" s="1"/>
  <c r="Z45" i="41" s="1"/>
  <c r="T43" i="41" l="1"/>
  <c r="T44" i="41" s="1"/>
  <c r="T45" i="41" s="1"/>
  <c r="AF33" i="43"/>
  <c r="AE20" i="54" s="1"/>
  <c r="M23" i="53"/>
  <c r="T46" i="41"/>
  <c r="V23" i="53"/>
  <c r="Z46" i="41"/>
  <c r="AE26" i="53"/>
  <c r="AF50" i="41"/>
  <c r="AE28" i="53" s="1"/>
  <c r="V24" i="53" l="1"/>
  <c r="Z47" i="41"/>
  <c r="V26" i="53" s="1"/>
  <c r="Z48" i="41"/>
  <c r="Z49" i="41" s="1"/>
  <c r="V27" i="53" s="1"/>
  <c r="M24" i="53"/>
  <c r="T47" i="41"/>
  <c r="M26" i="53" s="1"/>
  <c r="T48" i="41"/>
  <c r="T49" i="41" s="1"/>
  <c r="M27" i="53" s="1"/>
  <c r="Z50" i="41" l="1"/>
  <c r="V28" i="53" s="1"/>
  <c r="T50" i="41"/>
  <c r="M28"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Aslan, Robert (London)</author>
  </authors>
  <commentList>
    <comment ref="A8" authorId="0" shapeId="0" xr:uid="{00000000-0006-0000-0000-000001000000}">
      <text>
        <r>
          <rPr>
            <b/>
            <sz val="9"/>
            <color indexed="81"/>
            <rFont val="Calibri"/>
            <family val="2"/>
          </rPr>
          <t xml:space="preserve">Identify the system under consideration
</t>
        </r>
      </text>
    </comment>
    <comment ref="A14" authorId="0" shapeId="0" xr:uid="{00000000-0006-0000-0000-000002000000}">
      <text>
        <r>
          <rPr>
            <b/>
            <sz val="9"/>
            <color indexed="81"/>
            <rFont val="Calibri"/>
            <family val="2"/>
          </rPr>
          <t>Typical automatic valves that need to be considered in the assesment include:
- Emergency Shut Down Valves (ESD)
- Flow Control Valves (FCV)
- Pressure Control Valves (PCV)
- Blow Down Valves (BDV)
- Relief Valves (RV)
List any other relevent assumptions made in this calculation, valve type / cases considered.</t>
        </r>
      </text>
    </comment>
    <comment ref="A26" authorId="0" shapeId="0" xr:uid="{00000000-0006-0000-0000-000003000000}">
      <text>
        <r>
          <rPr>
            <b/>
            <sz val="9"/>
            <color indexed="81"/>
            <rFont val="Calibri"/>
            <family val="2"/>
          </rPr>
          <t xml:space="preserve">Include additional assumptions (e.g. operational and transient cases to be considered, operating conditions and valve type, if unkown. </t>
        </r>
      </text>
    </comment>
    <comment ref="A46" authorId="0" shapeId="0" xr:uid="{00000000-0006-0000-0000-000004000000}">
      <text>
        <r>
          <rPr>
            <b/>
            <sz val="9"/>
            <color indexed="81"/>
            <rFont val="Calibri"/>
            <family val="2"/>
          </rPr>
          <t>Include additional references for sources of input data including upstream and downstream pressures, vapour pressures and valve type. Also refer to associated PFD/UFD and P&amp;ID where relevant</t>
        </r>
        <r>
          <rPr>
            <sz val="9"/>
            <color indexed="81"/>
            <rFont val="Calibri"/>
            <family val="2"/>
          </rPr>
          <t>.</t>
        </r>
        <r>
          <rPr>
            <sz val="9"/>
            <color indexed="81"/>
            <rFont val="Tahoma"/>
            <family val="2"/>
          </rPr>
          <t xml:space="preserve">
</t>
        </r>
      </text>
    </comment>
    <comment ref="A53" authorId="0" shapeId="0" xr:uid="{00000000-0006-0000-0000-000005000000}">
      <text>
        <r>
          <rPr>
            <b/>
            <sz val="9"/>
            <color indexed="81"/>
            <rFont val="Calibri"/>
            <family val="2"/>
            <scheme val="minor"/>
          </rPr>
          <t>State LOF for each case considered and refer to Energy Institute Guidelines Table 3-1 and Technical Module T10.9 for main line corrective actions.</t>
        </r>
        <r>
          <rPr>
            <sz val="9"/>
            <color indexed="81"/>
            <rFont val="Tahoma"/>
            <family val="2"/>
          </rPr>
          <t xml:space="preserve">
</t>
        </r>
      </text>
    </comment>
    <comment ref="A62" authorId="0" shapeId="0" xr:uid="{00000000-0006-0000-0000-000006000000}">
      <text>
        <r>
          <rPr>
            <b/>
            <sz val="9"/>
            <color indexed="81"/>
            <rFont val="Calibri"/>
            <family val="2"/>
          </rPr>
          <t>Include any HOLDS (e.g.  Operating conditions, line sizes and valve type)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Aslan, Robert (London)</author>
  </authors>
  <commentList>
    <comment ref="F10" authorId="0" shapeId="0" xr:uid="{00000000-0006-0000-0500-000001000000}">
      <text>
        <r>
          <rPr>
            <sz val="9"/>
            <color indexed="81"/>
            <rFont val="Tahoma"/>
            <family val="2"/>
          </rPr>
          <t>facility/project and system under consideration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Aslan, Robert (London)</author>
  </authors>
  <commentList>
    <comment ref="C12" authorId="0" shapeId="0" xr:uid="{00000000-0006-0000-0600-000001000000}">
      <text>
        <r>
          <rPr>
            <b/>
            <sz val="9"/>
            <color indexed="81"/>
            <rFont val="Calibri"/>
            <family val="2"/>
          </rPr>
          <t>Include a sketch of the system (e.g. excerpt from P&amp;ID or PFD/UFD)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Aslan, Robert (London)</author>
  </authors>
  <commentList>
    <comment ref="C12" authorId="0" shapeId="0" xr:uid="{00000000-0006-0000-0B00-000001000000}">
      <text>
        <r>
          <rPr>
            <b/>
            <sz val="9"/>
            <color indexed="81"/>
            <rFont val="Calibri"/>
            <family val="2"/>
          </rPr>
          <t>Identify and describe each case to be considered. These may include expected operating modes, operating or transient conditions. Cite references where relevant. Label each case with roman numerals (e.g. CASE I, CASE II, etc.)</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Mohammed, Sarfraz (London)</author>
  </authors>
  <commentList>
    <comment ref="AE12" authorId="0" shapeId="0" xr:uid="{00000000-0006-0000-0C00-000001000000}">
      <text>
        <r>
          <rPr>
            <b/>
            <sz val="9"/>
            <color indexed="81"/>
            <rFont val="Calibri"/>
            <family val="2"/>
          </rPr>
          <t>For additional cases, create new table and link to Appendix A calculation sheets as needed.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Mohammed, Sarfraz (London)</author>
  </authors>
  <commentList>
    <comment ref="AE12" authorId="0" shapeId="0" xr:uid="{00000000-0006-0000-0D00-000001000000}">
      <text>
        <r>
          <rPr>
            <b/>
            <sz val="9"/>
            <color indexed="81"/>
            <rFont val="Calibri"/>
            <family val="2"/>
          </rPr>
          <t>For additional cases, create new table and link to Appendix A calculation sheets as needed.</t>
        </r>
        <r>
          <rPr>
            <sz val="9"/>
            <color indexed="81"/>
            <rFont val="Calibri"/>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Mohammed, Sarfraz (London)</author>
  </authors>
  <commentList>
    <comment ref="AE12" authorId="0" shapeId="0" xr:uid="{00000000-0006-0000-0E00-000001000000}">
      <text>
        <r>
          <rPr>
            <b/>
            <sz val="9"/>
            <color indexed="81"/>
            <rFont val="Calibri"/>
            <family val="2"/>
          </rPr>
          <t>For additional cases, create new table and link to Appendix A calculation sheets as needed.</t>
        </r>
        <r>
          <rPr>
            <sz val="9"/>
            <color indexed="81"/>
            <rFont val="Calibri"/>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Aslan, Robert (London)</author>
  </authors>
  <commentList>
    <comment ref="AF20" authorId="0" shapeId="0" xr:uid="{00000000-0006-0000-1000-000001000000}">
      <text>
        <r>
          <rPr>
            <b/>
            <sz val="9"/>
            <color indexed="81"/>
            <rFont val="Calibri"/>
            <family val="2"/>
          </rPr>
          <t>If the Pipe Schedule is unknown, please select manually input and manually enter external Diameter and pipe wall thickness of the Main Line.</t>
        </r>
      </text>
    </comment>
    <comment ref="AF23" authorId="0" shapeId="0" xr:uid="{00000000-0006-0000-1000-000002000000}">
      <text>
        <r>
          <rPr>
            <b/>
            <sz val="9"/>
            <color indexed="81"/>
            <rFont val="Calibri"/>
            <family val="2"/>
          </rPr>
          <t xml:space="preserve">User can manually enter the external diameter, by selecting the option "Manual Input" for the pipe schedule. </t>
        </r>
      </text>
    </comment>
    <comment ref="AF24" authorId="0" shapeId="0" xr:uid="{00000000-0006-0000-1000-000003000000}">
      <text>
        <r>
          <rPr>
            <b/>
            <sz val="9"/>
            <color indexed="81"/>
            <rFont val="Calibri"/>
            <family val="2"/>
          </rPr>
          <t xml:space="preserve">User can manually enter the pipe wall thickness, by selecting the option "Manual Input" for the pipe schedule.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Aslan, Robert (London)</author>
  </authors>
  <commentList>
    <comment ref="AF14" authorId="0" shapeId="0" xr:uid="{00000000-0006-0000-1200-000001000000}">
      <text>
        <r>
          <rPr>
            <b/>
            <sz val="9"/>
            <color indexed="81"/>
            <rFont val="Calibri"/>
            <family val="2"/>
          </rPr>
          <t xml:space="preserve">If the fluid is multiphase, please enter in the mixed density, this can be calculated using the following formula:
</t>
        </r>
        <r>
          <rPr>
            <b/>
            <sz val="7"/>
            <color indexed="81"/>
            <rFont val="Calibri"/>
            <family val="2"/>
          </rPr>
          <t>Density = (Mass flow of Vapor + Mass Flow of Liquid) / (Volume flow Vapor + Volume flow of Liquid)</t>
        </r>
      </text>
    </comment>
    <comment ref="AF17" authorId="0" shapeId="0" xr:uid="{00000000-0006-0000-1200-000002000000}">
      <text>
        <r>
          <rPr>
            <b/>
            <sz val="9"/>
            <color indexed="81"/>
            <rFont val="Calibri"/>
            <family val="2"/>
          </rPr>
          <t>If the Pipe Schedule is unknown, please select manually input and manually enter external Diameter and pipe wall thickness of the Main Line.</t>
        </r>
      </text>
    </comment>
    <comment ref="AF20" authorId="0" shapeId="0" xr:uid="{00000000-0006-0000-1200-000003000000}">
      <text>
        <r>
          <rPr>
            <b/>
            <sz val="9"/>
            <color indexed="81"/>
            <rFont val="Calibri"/>
            <family val="2"/>
          </rPr>
          <t xml:space="preserve">User can manually enter the external diameter, by selecting the option "Manual Input" for the pipe schedule. </t>
        </r>
      </text>
    </comment>
    <comment ref="AF21" authorId="0" shapeId="0" xr:uid="{00000000-0006-0000-1200-000004000000}">
      <text>
        <r>
          <rPr>
            <b/>
            <sz val="9"/>
            <color indexed="81"/>
            <rFont val="Calibri"/>
            <family val="2"/>
          </rPr>
          <t xml:space="preserve">User can manually enter the pipe wall thickness, by selecting the option "Manual Input" for the pipe schedule. </t>
        </r>
      </text>
    </comment>
    <comment ref="AF29" authorId="0" shapeId="0" xr:uid="{00000000-0006-0000-1200-000005000000}">
      <text>
        <r>
          <rPr>
            <b/>
            <sz val="9"/>
            <color indexed="81"/>
            <rFont val="Calibri"/>
            <family val="2"/>
          </rPr>
          <t>If the type and /or closing time of the valve are not known then assume a globe valve and a valve closing type of 1 second per inch of pipe diameter.</t>
        </r>
      </text>
    </comment>
    <comment ref="AF34" authorId="0" shapeId="0" xr:uid="{00000000-0006-0000-1200-000006000000}">
      <text>
        <r>
          <rPr>
            <b/>
            <sz val="9"/>
            <color indexed="81"/>
            <rFont val="Calibri"/>
            <family val="2"/>
          </rPr>
          <t xml:space="preserve">Unless the user specifies user input, please do not modify these cells, as they are calculated based on the support type.
</t>
        </r>
        <r>
          <rPr>
            <b/>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Aslan, Robert (London)</author>
  </authors>
  <commentList>
    <comment ref="AF15" authorId="0" shapeId="0" xr:uid="{00000000-0006-0000-1400-000001000000}">
      <text>
        <r>
          <rPr>
            <b/>
            <sz val="9"/>
            <color indexed="81"/>
            <rFont val="Calibri"/>
            <family val="2"/>
          </rPr>
          <t xml:space="preserve">If the fluid is multiphase, please enter in the mixed density, this can be calculated using the following formula:
</t>
        </r>
        <r>
          <rPr>
            <b/>
            <sz val="7"/>
            <color indexed="81"/>
            <rFont val="Calibri"/>
            <family val="2"/>
          </rPr>
          <t>Density = (Mass flow of Vapor + Mass Flow of Liquid) / (Volume flow of Vapor + Volume flow of Liquid)</t>
        </r>
      </text>
    </comment>
    <comment ref="AF19" authorId="0" shapeId="0" xr:uid="{00000000-0006-0000-1400-000002000000}">
      <text>
        <r>
          <rPr>
            <b/>
            <sz val="9"/>
            <color indexed="81"/>
            <rFont val="Calibri"/>
            <family val="2"/>
          </rPr>
          <t>If the Pipe Schedule is unknown, please select manually input and manually enter external Diameter and pipe wall thickness of the Main Line.</t>
        </r>
      </text>
    </comment>
    <comment ref="AF20" authorId="0" shapeId="0" xr:uid="{00000000-0006-0000-1400-000003000000}">
      <text>
        <r>
          <rPr>
            <b/>
            <sz val="9"/>
            <color indexed="81"/>
            <rFont val="Calibri"/>
            <family val="2"/>
          </rPr>
          <t xml:space="preserve">User can manually enter the external diameter, by selecting the option "Manual Input" for the pipe schedule. </t>
        </r>
      </text>
    </comment>
    <comment ref="AF21" authorId="0" shapeId="0" xr:uid="{00000000-0006-0000-1400-000004000000}">
      <text>
        <r>
          <rPr>
            <b/>
            <sz val="9"/>
            <color indexed="81"/>
            <rFont val="Calibri"/>
            <family val="2"/>
          </rPr>
          <t xml:space="preserve">User can manually enter the pipe wall thickness, by selecting the option "Manual Input" for the pipe schedule. </t>
        </r>
      </text>
    </comment>
  </commentList>
</comments>
</file>

<file path=xl/sharedStrings.xml><?xml version="1.0" encoding="utf-8"?>
<sst xmlns="http://schemas.openxmlformats.org/spreadsheetml/2006/main" count="1740" uniqueCount="313">
  <si>
    <t>Calculation Cover Sheet</t>
  </si>
  <si>
    <t>Customer</t>
  </si>
  <si>
    <t>customer name</t>
  </si>
  <si>
    <t>Proj No</t>
  </si>
  <si>
    <t>proj no</t>
  </si>
  <si>
    <t>Project Title</t>
  </si>
  <si>
    <t>proj title</t>
  </si>
  <si>
    <t>Calc No</t>
  </si>
  <si>
    <t>KS-PR-CAL-0090</t>
  </si>
  <si>
    <t>Calculation Title</t>
  </si>
  <si>
    <t>Phase/CTR</t>
  </si>
  <si>
    <t>phase</t>
  </si>
  <si>
    <t>Elec File Location</t>
  </si>
  <si>
    <t>Page</t>
  </si>
  <si>
    <t>of</t>
  </si>
  <si>
    <t>Calculation Objective</t>
  </si>
  <si>
    <t>The objective of this calculation is to determine the main line likelihood of failure (LOF) for vibration induced fatigue due to surge/momentum changes due to valve operation for….</t>
  </si>
  <si>
    <t>Calculation Method</t>
  </si>
  <si>
    <t>The LOF calculation methodology is based on Energy Institute guidelines for the avoidance of vibration induced fatigue in process pipework (Ref. 1, Technical Module T2.9) and is summarized below:
1) Preliminary screening - Identify all the significant valves on a particular line.
2) Categorisation and LOF assignment
The assesment is split into three potential operating cases:
- Dry Gas Rapid Valve Opening.
- Liquid Multiphase Valve Closure.
- Liquid Multiphase Valve Opening.
Each case is described in more detail in section 4. 
Additional guidance is provided in Worley Design Guide: "Avoidance of Vibration Induced Fatigue Failure in Process Pipework" (Ref. 2)</t>
  </si>
  <si>
    <t>Assumptions</t>
  </si>
  <si>
    <t xml:space="preserve">1. System under consideration is a new design, part of an existing plant or change to existing plant that may exhibit or result in surge/momentum changes Due to valve operation (Ref. 1, Tables T2-6 and T2-7 and T2-8).
2. Excitation due to surge and momentum changes is only considered for fast acting valves, which excludes all manually  
operated valves (Ref. 1 Sec T2.8.1).
3. For a dry gas any potential surge pressure due to a rapid valve closure is taken up via compression of the gas, hence 
likelihood of failure due to a gas valve closing is considered negligible (Ref. 1 Sec T2.8.1). 
4. The assumption is made that the line is adequately supported for any reaction loads and that any anchors have significant strength. </t>
  </si>
  <si>
    <t>Software Used</t>
  </si>
  <si>
    <t xml:space="preserve">Title
</t>
  </si>
  <si>
    <r>
      <t>Version</t>
    </r>
    <r>
      <rPr>
        <i/>
        <sz val="10"/>
        <rFont val="Calibri"/>
        <family val="2"/>
      </rPr>
      <t xml:space="preserve">
</t>
    </r>
  </si>
  <si>
    <t>Validation (Y / N / N/A)</t>
  </si>
  <si>
    <t>References</t>
  </si>
  <si>
    <t>1. "Guidelines for the Avoidance of Vibration Induced Fatigue in Process Pipework" Energy Institute, 2nd Edition,January 2008
2. "Avoidance of Vibration Induced Fatigue Failure in Process Pipework", KS-PR-DEG-0166, Worley Design Guide, Rev 0, November 2016</t>
  </si>
  <si>
    <t>Conclusions</t>
  </si>
  <si>
    <t>Related to a Safety Critical System?</t>
  </si>
  <si>
    <t>No</t>
  </si>
  <si>
    <t>Status of Supplier Data used</t>
  </si>
  <si>
    <t>N/A</t>
  </si>
  <si>
    <t>HOLDS</t>
  </si>
  <si>
    <t>rev 3</t>
  </si>
  <si>
    <t>date 3</t>
  </si>
  <si>
    <t>desc 3</t>
  </si>
  <si>
    <t>by 3</t>
  </si>
  <si>
    <t>chkd 3</t>
  </si>
  <si>
    <t>app 3</t>
  </si>
  <si>
    <t>rev 2</t>
  </si>
  <si>
    <t>date 2</t>
  </si>
  <si>
    <t>desc 2</t>
  </si>
  <si>
    <t>by 2</t>
  </si>
  <si>
    <t>chkd 2</t>
  </si>
  <si>
    <t>app 2</t>
  </si>
  <si>
    <t>rev 1</t>
  </si>
  <si>
    <t>date 1</t>
  </si>
  <si>
    <t>desc 1</t>
  </si>
  <si>
    <t>by 1</t>
  </si>
  <si>
    <t>chkd 1</t>
  </si>
  <si>
    <t>app 1</t>
  </si>
  <si>
    <t>Rev</t>
  </si>
  <si>
    <t>Date</t>
  </si>
  <si>
    <t>Description</t>
  </si>
  <si>
    <t>By</t>
  </si>
  <si>
    <t>Checked</t>
  </si>
  <si>
    <t>Approved</t>
  </si>
  <si>
    <t>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t>
  </si>
  <si>
    <t>Calculation Checklist</t>
  </si>
  <si>
    <t>Please check boxes for all applicable items checked or mark as "N/A" if not appropriate:</t>
  </si>
  <si>
    <t>Originator</t>
  </si>
  <si>
    <t>Checker</t>
  </si>
  <si>
    <t>All required information on Cover Sheet provided.</t>
  </si>
  <si>
    <r>
      <t xml:space="preserve">Revision history box complete and signed. </t>
    </r>
    <r>
      <rPr>
        <sz val="8"/>
        <rFont val="Calibri"/>
        <family val="2"/>
      </rPr>
      <t>(Typed names (minimum of first initial and last name e.g. A. Wood)
of Originator, Checker, Approver; to be initialed beside at sign-off) (Dates in standard format (DD-MMM-YY)</t>
    </r>
  </si>
  <si>
    <t>Table of Contents.</t>
  </si>
  <si>
    <t>Appropriate stamp for preliminary issues.</t>
  </si>
  <si>
    <t>Source of input data stated (with revision number and date if relevant).</t>
  </si>
  <si>
    <t>Customer's requirements included/addressed.</t>
  </si>
  <si>
    <t>Approach used is appropriate for problem being solved.</t>
  </si>
  <si>
    <t>Method clear and easy to follow.</t>
  </si>
  <si>
    <t>Input data correct.</t>
  </si>
  <si>
    <t>Calculation arithmetically correct OR software previously verified and reference to verification checked.</t>
  </si>
  <si>
    <t>Calculation result within expected limits.</t>
  </si>
  <si>
    <t>Calculation tolerances stated if significant.</t>
  </si>
  <si>
    <t>Units used as required by customer. Unit conversions correctly performed.</t>
  </si>
  <si>
    <t>Appropriate cross-references.</t>
  </si>
  <si>
    <t>Sketches included and clearly labelled, where required.</t>
  </si>
  <si>
    <t>Appendices included and referenced, as required.</t>
  </si>
  <si>
    <t>Considered design reviews, Hazop actions, customer input, safety and environmental issues, etc.</t>
  </si>
  <si>
    <t>Safety in Design (SID) and Sustainable Design are addressed. Refer relevant SID Discipline Standard.</t>
  </si>
  <si>
    <t>Conclusions and recommendations are appropriate.</t>
  </si>
  <si>
    <t>Checking Records:</t>
  </si>
  <si>
    <t>Checked and annotated copy of calculation filed (use "Doc Check Print" stamp).</t>
  </si>
  <si>
    <t>Corrections made as required and calculation dated and signed on cover sheet by checker.</t>
  </si>
  <si>
    <t>Alternative method calculation and/or representative check performed and filed, as required.</t>
  </si>
  <si>
    <t>Revisions:</t>
  </si>
  <si>
    <t>Changes clouded.</t>
  </si>
  <si>
    <t>Revision history block updated.</t>
  </si>
  <si>
    <t>Calculation re-checked if required.</t>
  </si>
  <si>
    <t>Calculation Sheet</t>
  </si>
  <si>
    <t>Table of Contents</t>
  </si>
  <si>
    <t>1.0</t>
  </si>
  <si>
    <t>Introduction</t>
  </si>
  <si>
    <t>2.0</t>
  </si>
  <si>
    <t>Sketch</t>
  </si>
  <si>
    <t>3.0</t>
  </si>
  <si>
    <t>Nomenclature</t>
  </si>
  <si>
    <t>4.0</t>
  </si>
  <si>
    <t>Mechanism</t>
  </si>
  <si>
    <t>4.1</t>
  </si>
  <si>
    <t xml:space="preserve">Dry Gas Rapid Valve Opening Methodology </t>
  </si>
  <si>
    <t>4.2</t>
  </si>
  <si>
    <t>Liquid or Multiphase Valve Closure</t>
  </si>
  <si>
    <t>4.3</t>
  </si>
  <si>
    <t>Liquid or Multiphase Valve Opening</t>
  </si>
  <si>
    <t>5.0</t>
  </si>
  <si>
    <t>Case Descriptions</t>
  </si>
  <si>
    <t>6.1</t>
  </si>
  <si>
    <t>Case Summary Dry Gas Rapid Valve Opening</t>
  </si>
  <si>
    <t>6.2</t>
  </si>
  <si>
    <t>Case Summary Liquid or Multiphase Valve Closure</t>
  </si>
  <si>
    <t>6.3</t>
  </si>
  <si>
    <t>Case Summary Liquid or Multiphase Rapid Valve Opening</t>
  </si>
  <si>
    <t>Appendices</t>
  </si>
  <si>
    <t>Pages</t>
  </si>
  <si>
    <t>A</t>
  </si>
  <si>
    <t>B</t>
  </si>
  <si>
    <t>C</t>
  </si>
  <si>
    <t>APPENDIX - C Liquid Multiphase Valve Opening</t>
  </si>
  <si>
    <t>c</t>
  </si>
  <si>
    <t>Speed of sound</t>
  </si>
  <si>
    <t>m/s</t>
  </si>
  <si>
    <r>
      <t>D</t>
    </r>
    <r>
      <rPr>
        <vertAlign val="subscript"/>
        <sz val="10"/>
        <rFont val="Calibri"/>
        <family val="2"/>
      </rPr>
      <t>ext</t>
    </r>
  </si>
  <si>
    <t>External Diameter of Main Line</t>
  </si>
  <si>
    <t>mm</t>
  </si>
  <si>
    <r>
      <rPr>
        <sz val="10"/>
        <rFont val="Calibri"/>
        <family val="2"/>
      </rPr>
      <t>D</t>
    </r>
    <r>
      <rPr>
        <vertAlign val="subscript"/>
        <sz val="10"/>
        <rFont val="Calibri"/>
        <family val="2"/>
      </rPr>
      <t>ext</t>
    </r>
  </si>
  <si>
    <t>External Diameter of Branch</t>
  </si>
  <si>
    <r>
      <t>D</t>
    </r>
    <r>
      <rPr>
        <vertAlign val="subscript"/>
        <sz val="10"/>
        <rFont val="Calibri"/>
        <family val="2"/>
      </rPr>
      <t>int</t>
    </r>
  </si>
  <si>
    <t>Internal Diameter of Main Line</t>
  </si>
  <si>
    <r>
      <t>E</t>
    </r>
    <r>
      <rPr>
        <vertAlign val="subscript"/>
        <sz val="10"/>
        <rFont val="Calibri"/>
        <family val="2"/>
      </rPr>
      <t>ml</t>
    </r>
  </si>
  <si>
    <t>Young Modulus of the main line material</t>
  </si>
  <si>
    <r>
      <t>N/m</t>
    </r>
    <r>
      <rPr>
        <vertAlign val="superscript"/>
        <sz val="10"/>
        <rFont val="Calibri"/>
        <family val="2"/>
      </rPr>
      <t>2</t>
    </r>
  </si>
  <si>
    <r>
      <t>F</t>
    </r>
    <r>
      <rPr>
        <vertAlign val="subscript"/>
        <sz val="10"/>
        <rFont val="Calibri"/>
        <family val="2"/>
      </rPr>
      <t>lim</t>
    </r>
  </si>
  <si>
    <t>Limit Force</t>
  </si>
  <si>
    <t>kN</t>
  </si>
  <si>
    <r>
      <t>F</t>
    </r>
    <r>
      <rPr>
        <vertAlign val="subscript"/>
        <sz val="10"/>
        <rFont val="Calibri"/>
        <family val="2"/>
      </rPr>
      <t>max</t>
    </r>
  </si>
  <si>
    <t>Peak Force</t>
  </si>
  <si>
    <t>K</t>
  </si>
  <si>
    <t>Fluid bulk modulus</t>
  </si>
  <si>
    <r>
      <t>L</t>
    </r>
    <r>
      <rPr>
        <vertAlign val="subscript"/>
        <sz val="10"/>
        <rFont val="Calibri"/>
        <family val="2"/>
      </rPr>
      <t>dis</t>
    </r>
  </si>
  <si>
    <t>Distance between Source and Welded Discontinuity</t>
  </si>
  <si>
    <t>m</t>
  </si>
  <si>
    <r>
      <t>L</t>
    </r>
    <r>
      <rPr>
        <vertAlign val="subscript"/>
        <sz val="10"/>
        <rFont val="Calibri"/>
        <family val="2"/>
      </rPr>
      <t>up</t>
    </r>
  </si>
  <si>
    <t xml:space="preserve">Upstream pipe length </t>
  </si>
  <si>
    <t>Mw</t>
  </si>
  <si>
    <t>Molecular Weight</t>
  </si>
  <si>
    <t>g/mol</t>
  </si>
  <si>
    <r>
      <t>P</t>
    </r>
    <r>
      <rPr>
        <vertAlign val="subscript"/>
        <sz val="10"/>
        <rFont val="Calibri"/>
        <family val="2"/>
      </rPr>
      <t>1</t>
    </r>
  </si>
  <si>
    <t>Upstream static Pressure</t>
  </si>
  <si>
    <t>Pa(absolute)</t>
  </si>
  <si>
    <r>
      <t>P</t>
    </r>
    <r>
      <rPr>
        <vertAlign val="subscript"/>
        <sz val="10"/>
        <rFont val="Calibri"/>
        <family val="2"/>
      </rPr>
      <t>des</t>
    </r>
  </si>
  <si>
    <t>Piping design pressure</t>
  </si>
  <si>
    <r>
      <t>P</t>
    </r>
    <r>
      <rPr>
        <vertAlign val="subscript"/>
        <sz val="10"/>
        <rFont val="Calibri"/>
        <family val="2"/>
      </rPr>
      <t>shut-in</t>
    </r>
  </si>
  <si>
    <t>Pump head at zero flow</t>
  </si>
  <si>
    <t>R</t>
  </si>
  <si>
    <t>Universal Gas Constant</t>
  </si>
  <si>
    <r>
      <t>L.Pa. K</t>
    </r>
    <r>
      <rPr>
        <vertAlign val="superscript"/>
        <sz val="10"/>
        <rFont val="Calibri"/>
        <family val="2"/>
      </rPr>
      <t>-1</t>
    </r>
    <r>
      <rPr>
        <sz val="10"/>
        <rFont val="Calibri"/>
        <family val="2"/>
      </rPr>
      <t>mol</t>
    </r>
    <r>
      <rPr>
        <vertAlign val="superscript"/>
        <sz val="10"/>
        <rFont val="Calibri"/>
        <family val="2"/>
      </rPr>
      <t>-1</t>
    </r>
  </si>
  <si>
    <t>T</t>
  </si>
  <si>
    <t>Wall Thickness</t>
  </si>
  <si>
    <t>Actual pipe wall thickness</t>
  </si>
  <si>
    <r>
      <t>T</t>
    </r>
    <r>
      <rPr>
        <vertAlign val="subscript"/>
        <sz val="10"/>
        <rFont val="Calibri"/>
        <family val="2"/>
      </rPr>
      <t>close</t>
    </r>
  </si>
  <si>
    <t>Valve closing time</t>
  </si>
  <si>
    <t>sec</t>
  </si>
  <si>
    <t>Te</t>
  </si>
  <si>
    <t>Upstream Temperature</t>
  </si>
  <si>
    <t>W</t>
  </si>
  <si>
    <t>Mass Flowrate</t>
  </si>
  <si>
    <t>kg/s</t>
  </si>
  <si>
    <t>ΔP</t>
  </si>
  <si>
    <t>Static pressure drop</t>
  </si>
  <si>
    <t>Pa</t>
  </si>
  <si>
    <t>θ</t>
  </si>
  <si>
    <t>Correction factor for the pipe support</t>
  </si>
  <si>
    <t>ϒ</t>
  </si>
  <si>
    <r>
      <t>Ratio of Specific Heat Capacities (C</t>
    </r>
    <r>
      <rPr>
        <vertAlign val="subscript"/>
        <sz val="10"/>
        <rFont val="Calibri"/>
        <family val="2"/>
      </rPr>
      <t>p</t>
    </r>
    <r>
      <rPr>
        <sz val="10"/>
        <rFont val="Calibri"/>
        <family val="2"/>
      </rPr>
      <t>/C</t>
    </r>
    <r>
      <rPr>
        <vertAlign val="subscript"/>
        <sz val="10"/>
        <rFont val="Calibri"/>
        <family val="2"/>
      </rPr>
      <t>v</t>
    </r>
    <r>
      <rPr>
        <sz val="10"/>
        <rFont val="Calibri"/>
        <family val="2"/>
      </rPr>
      <t>)</t>
    </r>
  </si>
  <si>
    <t>φ</t>
  </si>
  <si>
    <t>Function defining the flow area as a function of time</t>
  </si>
  <si>
    <t>1/sec</t>
  </si>
  <si>
    <t>Ψ</t>
  </si>
  <si>
    <t>Actual pipe wall thickness/Schedule 40 pipe wall thickness</t>
  </si>
  <si>
    <t>As per the the definition given the energy insuite guidelines (Ref. 1) in Surge (or water hammer, as it is commonly</t>
  </si>
  <si>
    <t>known) is a pressure wave caused by kinetic energy of a fluid in motionwhen it is forced to stop or change direction</t>
  </si>
  <si>
    <t xml:space="preserve">suddenly. If the pipe is suddenly closed at the outlet (downstream) a pressure wave is generated which travels back </t>
  </si>
  <si>
    <t xml:space="preserve">upstream at the speed of sound in the liquid. This can give rise to high levels of transient pressure and associated </t>
  </si>
  <si>
    <t>forces acting on the pipework, in liquid and multiphase service.</t>
  </si>
  <si>
    <t xml:space="preserve">High transient forces can also be generated by rapid change in fluid momentum caused by the sudden opening of a </t>
  </si>
  <si>
    <t xml:space="preserve">valve, e.g. fast operating of a relief valve, in either liquid, multiphase or dry gas service. </t>
  </si>
  <si>
    <t>For a rapid opening of a gas valve the transient forces are due to the sudden change in momentum:</t>
  </si>
  <si>
    <r>
      <t>The peak pressure surge (P</t>
    </r>
    <r>
      <rPr>
        <vertAlign val="subscript"/>
        <sz val="10"/>
        <rFont val="Calibri"/>
        <family val="2"/>
      </rPr>
      <t>max</t>
    </r>
    <r>
      <rPr>
        <sz val="10"/>
        <rFont val="Calibri"/>
        <family val="2"/>
      </rPr>
      <t>) generated during a valve opening or closure should remain within the design pressure</t>
    </r>
  </si>
  <si>
    <t xml:space="preserve">rating for the line. If this is not the case a detailed surge analysis should be carried out in addition to the following </t>
  </si>
  <si>
    <t>assesment, please refer to Ref. 1 TM-09.</t>
  </si>
  <si>
    <t xml:space="preserve">The intial assesment considers the worst case event of a 'sudden' valve closure, and the effect of the pressure surge </t>
  </si>
  <si>
    <t xml:space="preserve">on the pipe. If this is considered acceptable then no further analysis is required as the pressure surge is unlikely to </t>
  </si>
  <si>
    <r>
      <t>affect the intergrity of the pipe. Sudden valve closure is defined as a valve closure time that is less than (2L</t>
    </r>
    <r>
      <rPr>
        <vertAlign val="subscript"/>
        <sz val="10"/>
        <rFont val="Calibri"/>
        <family val="2"/>
      </rPr>
      <t>up</t>
    </r>
    <r>
      <rPr>
        <sz val="10"/>
        <rFont val="Calibri"/>
        <family val="2"/>
      </rPr>
      <t>/c)</t>
    </r>
  </si>
  <si>
    <t xml:space="preserve">High dynamic forces due to the rapid change in momentum, considering the valve opening scenario in a liquid or </t>
  </si>
  <si>
    <t>multiphase system, is outlined in the steps below. Note: for this case cavitation and flashing needs to be taken into</t>
  </si>
  <si>
    <t>account using the approach outlined in section T2.9 and T2.10 in Ref. 1 respectively.</t>
  </si>
  <si>
    <r>
      <rPr>
        <b/>
        <i/>
        <u/>
        <sz val="10"/>
        <rFont val="Calibri"/>
        <family val="2"/>
      </rPr>
      <t>CASE I</t>
    </r>
    <r>
      <rPr>
        <i/>
        <sz val="10"/>
        <rFont val="Calibri"/>
        <family val="2"/>
      </rPr>
      <t xml:space="preserve">
User to add description of case
</t>
    </r>
    <r>
      <rPr>
        <b/>
        <i/>
        <u/>
        <sz val="10"/>
        <rFont val="Calibri"/>
        <family val="2"/>
      </rPr>
      <t>CASE II</t>
    </r>
    <r>
      <rPr>
        <i/>
        <sz val="10"/>
        <rFont val="Calibri"/>
        <family val="2"/>
      </rPr>
      <t xml:space="preserve">
User to add description of case
</t>
    </r>
    <r>
      <rPr>
        <b/>
        <i/>
        <u/>
        <sz val="10"/>
        <rFont val="Calibri"/>
        <family val="2"/>
      </rPr>
      <t>CASE III</t>
    </r>
    <r>
      <rPr>
        <i/>
        <sz val="10"/>
        <rFont val="Calibri"/>
        <family val="2"/>
      </rPr>
      <t xml:space="preserve">
User to add description of case
</t>
    </r>
    <r>
      <rPr>
        <b/>
        <i/>
        <u/>
        <sz val="10"/>
        <rFont val="Calibri"/>
        <family val="2"/>
      </rPr>
      <t>CASE IV</t>
    </r>
    <r>
      <rPr>
        <i/>
        <sz val="10"/>
        <rFont val="Calibri"/>
        <family val="2"/>
      </rPr>
      <t xml:space="preserve">
User to add description of case
</t>
    </r>
    <r>
      <rPr>
        <b/>
        <i/>
        <u/>
        <sz val="10"/>
        <rFont val="Calibri"/>
        <family val="2"/>
      </rPr>
      <t>CASE V</t>
    </r>
    <r>
      <rPr>
        <i/>
        <sz val="10"/>
        <rFont val="Calibri"/>
        <family val="2"/>
      </rPr>
      <t xml:space="preserve">
User to add description of case
</t>
    </r>
    <r>
      <rPr>
        <b/>
        <i/>
        <u/>
        <sz val="10"/>
        <rFont val="Calibri"/>
        <family val="2"/>
      </rPr>
      <t xml:space="preserve">
CASE VI</t>
    </r>
    <r>
      <rPr>
        <i/>
        <sz val="10"/>
        <rFont val="Calibri"/>
        <family val="2"/>
      </rPr>
      <t xml:space="preserve">
User to add description of case
</t>
    </r>
    <r>
      <rPr>
        <b/>
        <i/>
        <u/>
        <sz val="10"/>
        <rFont val="Calibri"/>
        <family val="2"/>
      </rPr>
      <t>CASE VII</t>
    </r>
    <r>
      <rPr>
        <i/>
        <sz val="10"/>
        <rFont val="Calibri"/>
        <family val="2"/>
      </rPr>
      <t xml:space="preserve">
User to add description of case
</t>
    </r>
    <r>
      <rPr>
        <b/>
        <i/>
        <u/>
        <sz val="10"/>
        <rFont val="Calibri"/>
        <family val="2"/>
      </rPr>
      <t>CASE VIII</t>
    </r>
    <r>
      <rPr>
        <i/>
        <sz val="10"/>
        <rFont val="Calibri"/>
        <family val="2"/>
      </rPr>
      <t xml:space="preserve">
User to add description of case
</t>
    </r>
    <r>
      <rPr>
        <b/>
        <i/>
        <u/>
        <sz val="10"/>
        <rFont val="Calibri"/>
        <family val="2"/>
      </rPr>
      <t xml:space="preserve">CASE IX
</t>
    </r>
    <r>
      <rPr>
        <i/>
        <sz val="10"/>
        <rFont val="Calibri"/>
        <family val="2"/>
      </rPr>
      <t xml:space="preserve">
User to add description of case</t>
    </r>
  </si>
  <si>
    <t>Input Data</t>
  </si>
  <si>
    <t>Results</t>
  </si>
  <si>
    <r>
      <t>Peak Force (kN) F</t>
    </r>
    <r>
      <rPr>
        <i/>
        <vertAlign val="subscript"/>
        <sz val="10"/>
        <rFont val="Calibri"/>
        <family val="2"/>
      </rPr>
      <t>max</t>
    </r>
  </si>
  <si>
    <r>
      <t>Limit Force (kN) F</t>
    </r>
    <r>
      <rPr>
        <i/>
        <vertAlign val="subscript"/>
        <sz val="10"/>
        <rFont val="Calibri"/>
        <family val="2"/>
      </rPr>
      <t>lim</t>
    </r>
  </si>
  <si>
    <t>Likelihood of Failure (LOF)</t>
  </si>
  <si>
    <r>
      <t>Maximum force (kN) F</t>
    </r>
    <r>
      <rPr>
        <i/>
        <vertAlign val="subscript"/>
        <sz val="10"/>
        <rFont val="Calibri"/>
        <family val="2"/>
      </rPr>
      <t xml:space="preserve">max </t>
    </r>
  </si>
  <si>
    <r>
      <t>Peak pressure surge (Pa) P</t>
    </r>
    <r>
      <rPr>
        <i/>
        <vertAlign val="subscript"/>
        <sz val="10"/>
        <rFont val="Calibri"/>
        <family val="2"/>
      </rPr>
      <t>surge</t>
    </r>
  </si>
  <si>
    <r>
      <t>Taking into account shut-in of pump P</t>
    </r>
    <r>
      <rPr>
        <i/>
        <vertAlign val="subscript"/>
        <sz val="10"/>
        <rFont val="Calibri"/>
        <family val="2"/>
      </rPr>
      <t xml:space="preserve">total </t>
    </r>
    <r>
      <rPr>
        <i/>
        <sz val="10"/>
        <rFont val="Calibri"/>
        <family val="2"/>
      </rPr>
      <t>(Pa)</t>
    </r>
  </si>
  <si>
    <r>
      <t>Limit force (kN) F</t>
    </r>
    <r>
      <rPr>
        <i/>
        <vertAlign val="subscript"/>
        <sz val="10"/>
        <rFont val="Calibri"/>
        <family val="2"/>
      </rPr>
      <t>lim</t>
    </r>
  </si>
  <si>
    <t>Appendix</t>
  </si>
  <si>
    <t xml:space="preserve">APPENDIX - A Dry Gas Rapid Valve Opening </t>
  </si>
  <si>
    <t>CASE I</t>
  </si>
  <si>
    <t>CASE II</t>
  </si>
  <si>
    <t>CASE III</t>
  </si>
  <si>
    <t>Line/Unit Number</t>
  </si>
  <si>
    <t/>
  </si>
  <si>
    <t>Mass Flow Rate (Kg/s) W</t>
  </si>
  <si>
    <r>
      <t>Ratio of Specific Heat Capacities (C</t>
    </r>
    <r>
      <rPr>
        <vertAlign val="subscript"/>
        <sz val="10"/>
        <rFont val="Calibri"/>
        <family val="2"/>
      </rPr>
      <t>p</t>
    </r>
    <r>
      <rPr>
        <sz val="10"/>
        <rFont val="Calibri"/>
        <family val="2"/>
      </rPr>
      <t>/C</t>
    </r>
    <r>
      <rPr>
        <vertAlign val="subscript"/>
        <sz val="10"/>
        <rFont val="Calibri"/>
        <family val="2"/>
      </rPr>
      <t>v</t>
    </r>
    <r>
      <rPr>
        <sz val="10"/>
        <rFont val="Calibri"/>
        <family val="2"/>
      </rPr>
      <t>) ϒ</t>
    </r>
  </si>
  <si>
    <t>Upstream Temperature (K) Te</t>
  </si>
  <si>
    <t xml:space="preserve">Molecular Weight (g/mol), mW </t>
  </si>
  <si>
    <t>Nominal Pipe Diameter (mm)</t>
  </si>
  <si>
    <t>Pipe Schedule</t>
  </si>
  <si>
    <t>Std</t>
  </si>
  <si>
    <t>Sch 40</t>
  </si>
  <si>
    <t>Sch 80</t>
  </si>
  <si>
    <r>
      <t>External Main Line Diameter (mm) D</t>
    </r>
    <r>
      <rPr>
        <vertAlign val="subscript"/>
        <sz val="10"/>
        <rFont val="Calibri"/>
        <family val="2"/>
      </rPr>
      <t>ext</t>
    </r>
    <r>
      <rPr>
        <sz val="10"/>
        <rFont val="Calibri"/>
        <family val="2"/>
      </rPr>
      <t xml:space="preserve"> </t>
    </r>
  </si>
  <si>
    <t>Actual Pipe Wall Thickness (mm) T</t>
  </si>
  <si>
    <t>Ref</t>
  </si>
  <si>
    <t>Size mm</t>
  </si>
  <si>
    <t>Sch 5</t>
  </si>
  <si>
    <t>Sch 10</t>
  </si>
  <si>
    <t>Sch 20</t>
  </si>
  <si>
    <t>Sch 30</t>
  </si>
  <si>
    <t>Sch 60</t>
  </si>
  <si>
    <t>Sch 100</t>
  </si>
  <si>
    <t>Sch 120</t>
  </si>
  <si>
    <t>Sch 140</t>
  </si>
  <si>
    <t>Sch 160</t>
  </si>
  <si>
    <t>STD</t>
  </si>
  <si>
    <t>XS</t>
  </si>
  <si>
    <t>XXS</t>
  </si>
  <si>
    <r>
      <t>Manually Enter External Main Line Diameter D</t>
    </r>
    <r>
      <rPr>
        <vertAlign val="subscript"/>
        <sz val="10"/>
        <rFont val="Calibri"/>
        <family val="2"/>
      </rPr>
      <t xml:space="preserve">ext  </t>
    </r>
    <r>
      <rPr>
        <sz val="10"/>
        <rFont val="Calibri"/>
        <family val="2"/>
      </rPr>
      <t>(mm)</t>
    </r>
  </si>
  <si>
    <t>Manually Enter Actual Pipe Wall Thickness (mm) T</t>
  </si>
  <si>
    <t>Manual Input</t>
  </si>
  <si>
    <t>OD</t>
  </si>
  <si>
    <t>SCH</t>
  </si>
  <si>
    <t>W.T.</t>
  </si>
  <si>
    <t>I.D.</t>
  </si>
  <si>
    <r>
      <t>Internal Main Line Diameter (mm) D</t>
    </r>
    <r>
      <rPr>
        <vertAlign val="subscript"/>
        <sz val="10"/>
        <rFont val="Calibri"/>
        <family val="2"/>
      </rPr>
      <t>int</t>
    </r>
  </si>
  <si>
    <t>Schedule 40 Pipe Wall Thickness (mm)</t>
  </si>
  <si>
    <t>Support Type</t>
  </si>
  <si>
    <t>Medium Stiff</t>
  </si>
  <si>
    <t xml:space="preserve">Support Correction Factor θ </t>
  </si>
  <si>
    <t>Input Check</t>
  </si>
  <si>
    <t>Calculation</t>
  </si>
  <si>
    <r>
      <t>Peak Force (kN) F</t>
    </r>
    <r>
      <rPr>
        <vertAlign val="subscript"/>
        <sz val="10"/>
        <rFont val="Calibri"/>
        <family val="2"/>
      </rPr>
      <t>max</t>
    </r>
  </si>
  <si>
    <t>Thickness Ratio Ψ</t>
  </si>
  <si>
    <t>User Input</t>
  </si>
  <si>
    <r>
      <t>Limit Force (kN) F</t>
    </r>
    <r>
      <rPr>
        <vertAlign val="subscript"/>
        <sz val="10"/>
        <rFont val="Calibri"/>
        <family val="2"/>
      </rPr>
      <t>lim</t>
    </r>
  </si>
  <si>
    <t>Stiff</t>
  </si>
  <si>
    <t>Likelihood of Failure (L.O.F.)</t>
  </si>
  <si>
    <t>Medium</t>
  </si>
  <si>
    <t>Flexible</t>
  </si>
  <si>
    <t>n/a</t>
  </si>
  <si>
    <t>APPENDIX - B Liquid Multiphase Valve Closure</t>
  </si>
  <si>
    <t>CASE IV</t>
  </si>
  <si>
    <t>CASE V</t>
  </si>
  <si>
    <t>CASE VI</t>
  </si>
  <si>
    <t>Inputs</t>
  </si>
  <si>
    <r>
      <t>Fluid density (Kg/m</t>
    </r>
    <r>
      <rPr>
        <vertAlign val="superscript"/>
        <sz val="10"/>
        <rFont val="Calibri"/>
        <family val="2"/>
      </rPr>
      <t>3</t>
    </r>
    <r>
      <rPr>
        <sz val="10"/>
        <rFont val="Calibri"/>
        <family val="2"/>
      </rPr>
      <t>) ρ</t>
    </r>
  </si>
  <si>
    <t>Mass Flow Kg/s W</t>
  </si>
  <si>
    <r>
      <t>External Main Line Diameter (mm) D</t>
    </r>
    <r>
      <rPr>
        <vertAlign val="subscript"/>
        <sz val="10"/>
        <rFont val="Calibri"/>
        <family val="2"/>
      </rPr>
      <t>ex</t>
    </r>
    <r>
      <rPr>
        <sz val="10"/>
        <rFont val="Calibri"/>
        <family val="2"/>
      </rPr>
      <t xml:space="preserve"> </t>
    </r>
  </si>
  <si>
    <t>Yes</t>
  </si>
  <si>
    <t xml:space="preserve">Valve Closing Time (sec) </t>
  </si>
  <si>
    <r>
      <t>Upstream static pressure (Pa) P</t>
    </r>
    <r>
      <rPr>
        <vertAlign val="subscript"/>
        <sz val="10"/>
        <rFont val="Calibri"/>
        <family val="2"/>
      </rPr>
      <t>1</t>
    </r>
  </si>
  <si>
    <t>Unkown</t>
  </si>
  <si>
    <r>
      <t>Fluid bulk modulus (N/m</t>
    </r>
    <r>
      <rPr>
        <vertAlign val="superscript"/>
        <sz val="10"/>
        <rFont val="Calibri"/>
        <family val="2"/>
      </rPr>
      <t>2</t>
    </r>
    <r>
      <rPr>
        <sz val="10"/>
        <rFont val="Calibri"/>
        <family val="2"/>
      </rPr>
      <t>) K</t>
    </r>
  </si>
  <si>
    <t>full bore ball</t>
  </si>
  <si>
    <r>
      <t>Young Modulus of the main line material (N/m</t>
    </r>
    <r>
      <rPr>
        <vertAlign val="superscript"/>
        <sz val="10"/>
        <rFont val="Calibri"/>
        <family val="2"/>
      </rPr>
      <t>2</t>
    </r>
    <r>
      <rPr>
        <sz val="10"/>
        <rFont val="Calibri"/>
        <family val="2"/>
      </rPr>
      <t>) E</t>
    </r>
    <r>
      <rPr>
        <vertAlign val="subscript"/>
        <sz val="10"/>
        <rFont val="Calibri"/>
        <family val="2"/>
      </rPr>
      <t>ml</t>
    </r>
  </si>
  <si>
    <t>reduced bore ball</t>
  </si>
  <si>
    <r>
      <t>Upstream pipe length (m) L</t>
    </r>
    <r>
      <rPr>
        <vertAlign val="subscript"/>
        <sz val="10"/>
        <rFont val="Calibri"/>
        <family val="2"/>
      </rPr>
      <t>up</t>
    </r>
  </si>
  <si>
    <t>Butterfly</t>
  </si>
  <si>
    <t>Valve Type</t>
  </si>
  <si>
    <t>Gate</t>
  </si>
  <si>
    <t>Globe</t>
  </si>
  <si>
    <t>Is the Valve downstream of a pump</t>
  </si>
  <si>
    <r>
      <t>Design pressure of piping (Pa) P</t>
    </r>
    <r>
      <rPr>
        <vertAlign val="subscript"/>
        <sz val="10"/>
        <rFont val="Calibri"/>
        <family val="2"/>
      </rPr>
      <t>des</t>
    </r>
  </si>
  <si>
    <r>
      <t>Pump Shut in pressure (Pa), P</t>
    </r>
    <r>
      <rPr>
        <vertAlign val="subscript"/>
        <sz val="10"/>
        <rFont val="Calibri"/>
        <family val="2"/>
      </rPr>
      <t>shut-in</t>
    </r>
  </si>
  <si>
    <t>Support type</t>
  </si>
  <si>
    <t>Speed of sounds (m/s) c</t>
  </si>
  <si>
    <t xml:space="preserve">Velocity (m/s) v </t>
  </si>
  <si>
    <r>
      <t>Maximum pressure surge (Pa) P</t>
    </r>
    <r>
      <rPr>
        <vertAlign val="subscript"/>
        <sz val="10"/>
        <rFont val="Calibri"/>
        <family val="2"/>
      </rPr>
      <t>max</t>
    </r>
  </si>
  <si>
    <r>
      <t>Maximum force (kN) F</t>
    </r>
    <r>
      <rPr>
        <vertAlign val="subscript"/>
        <sz val="10"/>
        <rFont val="Calibri"/>
        <family val="2"/>
      </rPr>
      <t>max</t>
    </r>
    <r>
      <rPr>
        <sz val="10"/>
        <rFont val="Calibri"/>
        <family val="2"/>
      </rPr>
      <t xml:space="preserve"> </t>
    </r>
  </si>
  <si>
    <t>φ (1/s)</t>
  </si>
  <si>
    <t>Ω</t>
  </si>
  <si>
    <r>
      <t>Peak pressure surge (Pa) P</t>
    </r>
    <r>
      <rPr>
        <vertAlign val="subscript"/>
        <sz val="10"/>
        <rFont val="Calibri"/>
        <family val="2"/>
      </rPr>
      <t>surge</t>
    </r>
    <r>
      <rPr>
        <sz val="10"/>
        <rFont val="Calibri"/>
        <family val="2"/>
      </rPr>
      <t xml:space="preserve"> </t>
    </r>
  </si>
  <si>
    <r>
      <t>Taking into account shut-in of pump P</t>
    </r>
    <r>
      <rPr>
        <vertAlign val="subscript"/>
        <sz val="10"/>
        <rFont val="Calibri"/>
        <family val="2"/>
      </rPr>
      <t xml:space="preserve">total </t>
    </r>
    <r>
      <rPr>
        <sz val="10"/>
        <rFont val="Calibri"/>
        <family val="2"/>
      </rPr>
      <t>(Pa)</t>
    </r>
  </si>
  <si>
    <r>
      <t>Limit force (kN) F</t>
    </r>
    <r>
      <rPr>
        <vertAlign val="subscript"/>
        <sz val="10"/>
        <rFont val="Calibri"/>
        <family val="2"/>
      </rPr>
      <t>lim</t>
    </r>
  </si>
  <si>
    <t>ASME B36.10 - 2000 :  Welded and Seamless Wrought Steel Pipe</t>
  </si>
  <si>
    <t>APP C - Liquid or Multiphase Valve Opening</t>
  </si>
  <si>
    <t>CASE VII</t>
  </si>
  <si>
    <t>CASE VIII</t>
  </si>
  <si>
    <t>CASE IX</t>
  </si>
  <si>
    <t>Data For Line Sizing:</t>
  </si>
  <si>
    <r>
      <t>Fluid Density (Kg/m</t>
    </r>
    <r>
      <rPr>
        <vertAlign val="superscript"/>
        <sz val="10"/>
        <rFont val="Calibri"/>
        <family val="2"/>
      </rPr>
      <t>3</t>
    </r>
    <r>
      <rPr>
        <sz val="10"/>
        <rFont val="Calibri"/>
        <family val="2"/>
      </rPr>
      <t>) ρ</t>
    </r>
  </si>
  <si>
    <t>ASME B36.10 Table 1 - Dimensions and Weights of Welded and Seamless Wrought Steel Pipe</t>
  </si>
  <si>
    <t>Static pressure drop (Pa)</t>
  </si>
  <si>
    <t>Nominal Diameter</t>
  </si>
  <si>
    <t>inches</t>
  </si>
  <si>
    <t>Manually Enter Actual Pipe Wall Thickness T (mm)</t>
  </si>
  <si>
    <t xml:space="preserve">Support Correction Factor (θ) </t>
  </si>
  <si>
    <t>Thickness Ratio (Ψ)</t>
  </si>
  <si>
    <t>Vibration Assessment - Surge and Momentum Changes</t>
  </si>
  <si>
    <t>Vibration Assessment - Surge and Momentum Changes Template</t>
  </si>
  <si>
    <t>Calculation number assigned and registered. refer to project numbering system or Document Number Standard (MS-DP-STD-0009) for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</si>
</sst>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C09]dd\-mmm\-yy;@"/>
    <numFmt numFmtId="165" formatCode="\ "/>
    <numFmt numFmtId="166" formatCode="0.0"/>
    <numFmt numFmtId="167" formatCode="0.000"/>
    <numFmt numFmtId="168" formatCode="0.0E+00"/>
    <numFmt numFmtId="169" formatCode="0.00000"/>
  </numFmts>
  <fonts count="46" x14ac:knownFonts="1">
    <font>
      <sz val="10"/>
      <name val="Arial"/>
    </font>
    <font>
      <sz val="10"/>
      <name val="Arial"/>
      <family val="2"/>
    </font>
    <font>
      <sz val="11"/>
      <name val="Times New Roman"/>
      <family val="1"/>
    </font>
    <font>
      <i/>
      <sz val="8"/>
      <name val="Times New Roman"/>
      <family val="1"/>
    </font>
    <font>
      <b/>
      <sz val="10"/>
      <name val="Arial"/>
      <family val="2"/>
    </font>
    <font>
      <sz val="11"/>
      <name val="Arial"/>
      <family val="2"/>
    </font>
    <font>
      <sz val="10"/>
      <name val="Arial"/>
      <family val="2"/>
    </font>
    <font>
      <b/>
      <sz val="8"/>
      <name val="Arial"/>
      <family val="2"/>
    </font>
    <font>
      <sz val="6"/>
      <name val="Arial"/>
      <family val="2"/>
    </font>
    <font>
      <sz val="10"/>
      <name val="Arial"/>
      <family val="2"/>
    </font>
    <font>
      <sz val="11"/>
      <name val="Wingdings"/>
      <charset val="2"/>
    </font>
    <font>
      <sz val="9"/>
      <color indexed="81"/>
      <name val="Tahoma"/>
      <family val="2"/>
    </font>
    <font>
      <b/>
      <sz val="9"/>
      <color indexed="81"/>
      <name val="Tahoma"/>
      <family val="2"/>
    </font>
    <font>
      <sz val="10"/>
      <name val="Calibri"/>
      <family val="2"/>
    </font>
    <font>
      <vertAlign val="subscript"/>
      <sz val="10"/>
      <name val="Calibri"/>
      <family val="2"/>
    </font>
    <font>
      <b/>
      <sz val="12"/>
      <name val="Times New Roman"/>
      <family val="1"/>
    </font>
    <font>
      <sz val="10"/>
      <name val="Arial"/>
      <family val="2"/>
      <charset val="204"/>
    </font>
    <font>
      <sz val="10"/>
      <color theme="1"/>
      <name val="Arial"/>
      <family val="2"/>
    </font>
    <font>
      <b/>
      <u/>
      <sz val="12"/>
      <name val="Helv"/>
    </font>
    <font>
      <sz val="12"/>
      <name val="Times New Roman"/>
      <family val="1"/>
    </font>
    <font>
      <b/>
      <sz val="12"/>
      <color indexed="10"/>
      <name val="Times New Roman"/>
      <family val="1"/>
    </font>
    <font>
      <sz val="12"/>
      <color indexed="10"/>
      <name val="Times New Roman"/>
      <family val="1"/>
    </font>
    <font>
      <sz val="12"/>
      <color indexed="12"/>
      <name val="Times New Roman"/>
      <family val="1"/>
    </font>
    <font>
      <b/>
      <sz val="10"/>
      <name val="Times New Roman"/>
      <family val="1"/>
    </font>
    <font>
      <b/>
      <sz val="14"/>
      <name val="Calibri"/>
      <family val="2"/>
    </font>
    <font>
      <b/>
      <sz val="10"/>
      <name val="Calibri"/>
      <family val="2"/>
    </font>
    <font>
      <sz val="9"/>
      <name val="Calibri"/>
      <family val="2"/>
    </font>
    <font>
      <sz val="8"/>
      <name val="Calibri"/>
      <family val="2"/>
    </font>
    <font>
      <i/>
      <sz val="10"/>
      <name val="Calibri"/>
      <family val="2"/>
    </font>
    <font>
      <b/>
      <sz val="9"/>
      <color indexed="81"/>
      <name val="Calibri"/>
      <family val="2"/>
    </font>
    <font>
      <sz val="6"/>
      <name val="Calibri"/>
      <family val="2"/>
    </font>
    <font>
      <b/>
      <sz val="9"/>
      <color indexed="81"/>
      <name val="Calibri"/>
      <family val="2"/>
      <scheme val="minor"/>
    </font>
    <font>
      <sz val="9"/>
      <color indexed="81"/>
      <name val="Calibri"/>
      <family val="2"/>
    </font>
    <font>
      <sz val="7"/>
      <name val="Calibri"/>
      <family val="2"/>
    </font>
    <font>
      <b/>
      <sz val="12"/>
      <name val="Calibri"/>
      <family val="2"/>
    </font>
    <font>
      <b/>
      <sz val="13"/>
      <name val="Calibri"/>
      <family val="2"/>
    </font>
    <font>
      <sz val="12"/>
      <name val="Calibri"/>
      <family val="2"/>
    </font>
    <font>
      <vertAlign val="superscript"/>
      <sz val="10"/>
      <name val="Calibri"/>
      <family val="2"/>
    </font>
    <font>
      <b/>
      <i/>
      <u/>
      <sz val="10"/>
      <name val="Calibri"/>
      <family val="2"/>
    </font>
    <font>
      <b/>
      <i/>
      <sz val="10"/>
      <name val="Calibri"/>
      <family val="2"/>
    </font>
    <font>
      <i/>
      <vertAlign val="subscript"/>
      <sz val="10"/>
      <name val="Calibri"/>
      <family val="2"/>
    </font>
    <font>
      <b/>
      <sz val="8"/>
      <name val="Calibri"/>
      <family val="2"/>
    </font>
    <font>
      <b/>
      <sz val="10"/>
      <color rgb="FFFF0000"/>
      <name val="Calibri"/>
      <family val="2"/>
    </font>
    <font>
      <sz val="10"/>
      <color rgb="FFFF0000"/>
      <name val="Calibri"/>
      <family val="2"/>
    </font>
    <font>
      <sz val="8"/>
      <color rgb="FFFF0000"/>
      <name val="Calibri"/>
      <family val="2"/>
    </font>
    <font>
      <b/>
      <sz val="7"/>
      <color indexed="81"/>
      <name val="Calibri"/>
      <family val="2"/>
    </font>
  </fonts>
  <fills count="9">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rgb="FFFFFFCC"/>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s>
  <borders count="67">
    <border>
      <left/>
      <right/>
      <top/>
      <bottom/>
      <diagonal/>
    </border>
    <border>
      <left style="thin">
        <color indexed="64"/>
      </left>
      <right/>
      <top/>
      <bottom/>
      <diagonal/>
    </border>
    <border>
      <left/>
      <right/>
      <top/>
      <bottom style="thin">
        <color indexed="64"/>
      </bottom>
      <diagonal/>
    </border>
    <border>
      <left/>
      <right style="thin">
        <color indexed="64"/>
      </right>
      <top/>
      <bottom/>
      <diagonal/>
    </border>
    <border>
      <left/>
      <right style="thin">
        <color indexed="8"/>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double">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8"/>
      </right>
      <top/>
      <bottom/>
      <diagonal/>
    </border>
    <border>
      <left/>
      <right style="thin">
        <color indexed="8"/>
      </right>
      <top style="thin">
        <color indexed="64"/>
      </top>
      <bottom/>
      <diagonal/>
    </border>
    <border>
      <left/>
      <right/>
      <top/>
      <bottom style="thin">
        <color indexed="8"/>
      </bottom>
      <diagonal/>
    </border>
    <border>
      <left/>
      <right/>
      <top style="thin">
        <color indexed="64"/>
      </top>
      <bottom style="thin">
        <color indexed="64"/>
      </bottom>
      <diagonal/>
    </border>
    <border>
      <left/>
      <right style="thin">
        <color indexed="8"/>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auto="1"/>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s>
  <cellStyleXfs count="4">
    <xf numFmtId="0" fontId="0" fillId="0" borderId="0"/>
    <xf numFmtId="0" fontId="1" fillId="0" borderId="0"/>
    <xf numFmtId="0" fontId="16" fillId="0" borderId="0"/>
    <xf numFmtId="0" fontId="17" fillId="0" borderId="0"/>
  </cellStyleXfs>
  <cellXfs count="493">
    <xf numFmtId="0" fontId="0" fillId="0" borderId="0" xfId="0"/>
    <xf numFmtId="0" fontId="2" fillId="0" borderId="0" xfId="0" applyFont="1"/>
    <xf numFmtId="0" fontId="2" fillId="0" borderId="0" xfId="0" applyFont="1" applyAlignment="1">
      <alignment horizontal="centerContinuous"/>
    </xf>
    <xf numFmtId="0" fontId="2" fillId="0" borderId="1" xfId="0" applyFont="1" applyBorder="1"/>
    <xf numFmtId="0" fontId="3" fillId="0" borderId="0" xfId="0" applyFont="1" applyAlignment="1" applyProtection="1">
      <alignment wrapText="1"/>
      <protection hidden="1"/>
    </xf>
    <xf numFmtId="0" fontId="5" fillId="0" borderId="0" xfId="0" applyFont="1"/>
    <xf numFmtId="0" fontId="0" fillId="2" borderId="0" xfId="0" applyFill="1"/>
    <xf numFmtId="0" fontId="0" fillId="0" borderId="0" xfId="0" applyProtection="1">
      <protection locked="0"/>
    </xf>
    <xf numFmtId="0" fontId="7" fillId="0" borderId="0" xfId="0" applyFont="1" applyProtection="1">
      <protection locked="0"/>
    </xf>
    <xf numFmtId="0" fontId="7" fillId="2" borderId="0" xfId="0" applyFont="1" applyFill="1" applyProtection="1">
      <protection locked="0"/>
    </xf>
    <xf numFmtId="0" fontId="0" fillId="2" borderId="0" xfId="0" applyFill="1" applyProtection="1">
      <protection locked="0"/>
    </xf>
    <xf numFmtId="0" fontId="3" fillId="2" borderId="0" xfId="0" applyFont="1" applyFill="1" applyAlignment="1" applyProtection="1">
      <alignment horizontal="center" wrapText="1"/>
      <protection hidden="1"/>
    </xf>
    <xf numFmtId="0" fontId="2" fillId="0" borderId="1" xfId="0" applyFont="1" applyBorder="1" applyAlignment="1">
      <alignment vertical="center"/>
    </xf>
    <xf numFmtId="0" fontId="2" fillId="0" borderId="0" xfId="0" applyFont="1" applyAlignment="1">
      <alignment vertical="center"/>
    </xf>
    <xf numFmtId="0" fontId="5" fillId="0" borderId="1" xfId="0" applyFont="1" applyBorder="1" applyAlignment="1">
      <alignment vertical="center"/>
    </xf>
    <xf numFmtId="0" fontId="5" fillId="0" borderId="0" xfId="0" applyFont="1" applyAlignment="1">
      <alignment vertical="center"/>
    </xf>
    <xf numFmtId="0" fontId="3" fillId="0" borderId="0" xfId="0" applyFont="1" applyAlignment="1">
      <alignment wrapText="1"/>
    </xf>
    <xf numFmtId="0" fontId="7" fillId="2" borderId="0" xfId="0" applyFont="1" applyFill="1"/>
    <xf numFmtId="0" fontId="7" fillId="0" borderId="0" xfId="0" applyFont="1"/>
    <xf numFmtId="0" fontId="6" fillId="2" borderId="0" xfId="0" applyFont="1" applyFill="1" applyAlignment="1">
      <alignment vertical="center"/>
    </xf>
    <xf numFmtId="0" fontId="1" fillId="2" borderId="0" xfId="0" applyFont="1" applyFill="1" applyAlignment="1">
      <alignment vertical="center"/>
    </xf>
    <xf numFmtId="0" fontId="1" fillId="2" borderId="0" xfId="0" applyFont="1" applyFill="1" applyProtection="1">
      <protection locked="0"/>
    </xf>
    <xf numFmtId="0" fontId="9" fillId="2" borderId="0" xfId="0" applyFont="1" applyFill="1" applyAlignment="1" applyProtection="1">
      <alignment vertical="center"/>
      <protection locked="0"/>
    </xf>
    <xf numFmtId="0" fontId="10" fillId="0" borderId="0" xfId="0" applyFont="1" applyAlignment="1">
      <alignment vertical="center"/>
    </xf>
    <xf numFmtId="0" fontId="1" fillId="0" borderId="0" xfId="0" applyFont="1" applyAlignment="1" applyProtection="1">
      <alignment vertical="top"/>
      <protection locked="0"/>
    </xf>
    <xf numFmtId="0" fontId="2" fillId="0" borderId="0" xfId="0" applyFont="1" applyAlignment="1">
      <alignment horizontal="left"/>
    </xf>
    <xf numFmtId="0" fontId="2" fillId="0" borderId="0" xfId="0" applyFont="1" applyAlignment="1">
      <alignment wrapText="1"/>
    </xf>
    <xf numFmtId="0" fontId="1" fillId="2" borderId="0" xfId="0" applyFont="1" applyFill="1" applyAlignment="1" applyProtection="1">
      <alignment vertical="center"/>
      <protection locked="0"/>
    </xf>
    <xf numFmtId="0" fontId="1" fillId="2" borderId="0" xfId="0" applyFont="1" applyFill="1" applyAlignment="1" applyProtection="1">
      <alignment horizontal="center"/>
      <protection locked="0"/>
    </xf>
    <xf numFmtId="0" fontId="0" fillId="2" borderId="0" xfId="0" applyFill="1" applyAlignment="1" applyProtection="1">
      <alignment horizontal="center"/>
      <protection locked="0"/>
    </xf>
    <xf numFmtId="0" fontId="18" fillId="0" borderId="0" xfId="0" applyFont="1"/>
    <xf numFmtId="0" fontId="19" fillId="3" borderId="29" xfId="0" applyFont="1" applyFill="1" applyBorder="1" applyAlignment="1">
      <alignment vertical="center"/>
    </xf>
    <xf numFmtId="0" fontId="19" fillId="3" borderId="28" xfId="0" applyFont="1" applyFill="1" applyBorder="1" applyAlignment="1">
      <alignment horizontal="left" vertical="center"/>
    </xf>
    <xf numFmtId="0" fontId="19" fillId="3" borderId="28" xfId="0" applyFont="1" applyFill="1" applyBorder="1" applyAlignment="1">
      <alignment vertical="center"/>
    </xf>
    <xf numFmtId="0" fontId="19" fillId="3" borderId="27" xfId="0" applyFont="1" applyFill="1" applyBorder="1" applyAlignment="1">
      <alignment vertical="center"/>
    </xf>
    <xf numFmtId="0" fontId="19" fillId="3" borderId="25" xfId="0" applyFont="1" applyFill="1" applyBorder="1" applyAlignment="1">
      <alignment vertical="center"/>
    </xf>
    <xf numFmtId="0" fontId="15" fillId="3" borderId="0" xfId="0" applyFont="1" applyFill="1" applyAlignment="1">
      <alignment vertical="center"/>
    </xf>
    <xf numFmtId="0" fontId="19" fillId="3" borderId="0" xfId="0" applyFont="1" applyFill="1" applyAlignment="1">
      <alignment vertical="center"/>
    </xf>
    <xf numFmtId="0" fontId="19" fillId="3" borderId="24" xfId="0" applyFont="1" applyFill="1" applyBorder="1" applyAlignment="1">
      <alignment vertical="center"/>
    </xf>
    <xf numFmtId="0" fontId="0" fillId="3" borderId="25" xfId="0" applyFill="1" applyBorder="1"/>
    <xf numFmtId="0" fontId="0" fillId="3" borderId="0" xfId="0" applyFill="1"/>
    <xf numFmtId="0" fontId="19" fillId="3" borderId="0" xfId="0" applyFont="1" applyFill="1" applyAlignment="1">
      <alignment horizontal="left" vertical="center"/>
    </xf>
    <xf numFmtId="0" fontId="15" fillId="3" borderId="25" xfId="0" applyFont="1" applyFill="1" applyBorder="1" applyAlignment="1">
      <alignment vertical="center"/>
    </xf>
    <xf numFmtId="0" fontId="15" fillId="3" borderId="0" xfId="0" applyFont="1" applyFill="1" applyAlignment="1">
      <alignment horizontal="right" vertical="center"/>
    </xf>
    <xf numFmtId="0" fontId="20" fillId="3" borderId="0" xfId="0" applyFont="1" applyFill="1" applyAlignment="1">
      <alignment horizontal="right" vertical="center"/>
    </xf>
    <xf numFmtId="0" fontId="15" fillId="3" borderId="24" xfId="0" applyFont="1" applyFill="1" applyBorder="1" applyAlignment="1">
      <alignment horizontal="right" vertical="center"/>
    </xf>
    <xf numFmtId="0" fontId="15" fillId="3" borderId="25" xfId="0" quotePrefix="1" applyFont="1" applyFill="1" applyBorder="1" applyAlignment="1">
      <alignment horizontal="right" vertical="center"/>
    </xf>
    <xf numFmtId="0" fontId="21" fillId="3" borderId="0" xfId="0" applyFont="1" applyFill="1" applyAlignment="1">
      <alignment horizontal="right" vertical="center"/>
    </xf>
    <xf numFmtId="167" fontId="19" fillId="3" borderId="0" xfId="0" applyNumberFormat="1" applyFont="1" applyFill="1" applyAlignment="1">
      <alignment horizontal="right" vertical="center"/>
    </xf>
    <xf numFmtId="0" fontId="19" fillId="3" borderId="24" xfId="0" applyFont="1" applyFill="1" applyBorder="1" applyAlignment="1">
      <alignment horizontal="right" vertical="center"/>
    </xf>
    <xf numFmtId="167" fontId="19" fillId="3" borderId="0" xfId="0" applyNumberFormat="1" applyFont="1" applyFill="1" applyAlignment="1">
      <alignment vertical="center"/>
    </xf>
    <xf numFmtId="0" fontId="21" fillId="3" borderId="0" xfId="0" applyFont="1" applyFill="1" applyAlignment="1">
      <alignment vertical="center"/>
    </xf>
    <xf numFmtId="0" fontId="19" fillId="3" borderId="0" xfId="0" quotePrefix="1" applyFont="1" applyFill="1" applyAlignment="1">
      <alignment horizontal="left" vertical="center"/>
    </xf>
    <xf numFmtId="167" fontId="19" fillId="3" borderId="24" xfId="0" applyNumberFormat="1" applyFont="1" applyFill="1" applyBorder="1" applyAlignment="1">
      <alignment horizontal="right" vertical="center"/>
    </xf>
    <xf numFmtId="167" fontId="19" fillId="3" borderId="24" xfId="0" applyNumberFormat="1" applyFont="1" applyFill="1" applyBorder="1" applyAlignment="1">
      <alignment vertical="center"/>
    </xf>
    <xf numFmtId="0" fontId="22" fillId="3" borderId="0" xfId="0" applyFont="1" applyFill="1" applyAlignment="1">
      <alignment vertical="center"/>
    </xf>
    <xf numFmtId="0" fontId="15" fillId="3" borderId="23" xfId="0" applyFont="1" applyFill="1" applyBorder="1" applyAlignment="1">
      <alignment vertical="center"/>
    </xf>
    <xf numFmtId="0" fontId="15" fillId="3" borderId="26" xfId="0" applyFont="1" applyFill="1" applyBorder="1" applyAlignment="1">
      <alignment vertical="center"/>
    </xf>
    <xf numFmtId="0" fontId="21" fillId="3" borderId="26" xfId="0" applyFont="1" applyFill="1" applyBorder="1" applyAlignment="1">
      <alignment horizontal="right" vertical="center"/>
    </xf>
    <xf numFmtId="167" fontId="19" fillId="3" borderId="26" xfId="0" applyNumberFormat="1" applyFont="1" applyFill="1" applyBorder="1" applyAlignment="1">
      <alignment vertical="center"/>
    </xf>
    <xf numFmtId="0" fontId="19" fillId="3" borderId="26" xfId="0" applyFont="1" applyFill="1" applyBorder="1" applyAlignment="1">
      <alignment vertical="center"/>
    </xf>
    <xf numFmtId="0" fontId="19" fillId="3" borderId="22" xfId="0" applyFont="1" applyFill="1" applyBorder="1" applyAlignment="1">
      <alignment vertical="center"/>
    </xf>
    <xf numFmtId="0" fontId="23" fillId="3" borderId="0" xfId="0" applyFont="1" applyFill="1" applyAlignment="1">
      <alignment horizontal="right" vertical="center"/>
    </xf>
    <xf numFmtId="0" fontId="23" fillId="3" borderId="0" xfId="0" applyFont="1" applyFill="1" applyAlignment="1">
      <alignment vertical="center"/>
    </xf>
    <xf numFmtId="0" fontId="23" fillId="3" borderId="26" xfId="0" applyFont="1" applyFill="1" applyBorder="1" applyAlignment="1">
      <alignment vertical="center"/>
    </xf>
    <xf numFmtId="0" fontId="0" fillId="2" borderId="0" xfId="0" applyFill="1" applyAlignment="1" applyProtection="1">
      <alignment horizontal="right"/>
      <protection locked="0"/>
    </xf>
    <xf numFmtId="0" fontId="15" fillId="3" borderId="25" xfId="0" applyFont="1" applyFill="1" applyBorder="1" applyAlignment="1">
      <alignment horizontal="center" vertical="center"/>
    </xf>
    <xf numFmtId="0" fontId="21" fillId="3" borderId="0" xfId="0" applyFont="1" applyFill="1" applyAlignment="1">
      <alignment horizontal="center" vertical="center"/>
    </xf>
    <xf numFmtId="0" fontId="8" fillId="2" borderId="0" xfId="0" applyFont="1" applyFill="1" applyAlignment="1" applyProtection="1">
      <alignment horizontal="center" wrapText="1"/>
      <protection locked="0"/>
    </xf>
    <xf numFmtId="0" fontId="1" fillId="2" borderId="0" xfId="0" applyFont="1" applyFill="1" applyAlignment="1" applyProtection="1">
      <alignment horizontal="right"/>
      <protection locked="0"/>
    </xf>
    <xf numFmtId="0" fontId="0" fillId="0" borderId="0" xfId="0" applyAlignment="1" applyProtection="1">
      <alignment wrapText="1"/>
      <protection locked="0"/>
    </xf>
    <xf numFmtId="0" fontId="1" fillId="0" borderId="0" xfId="0" applyFont="1"/>
    <xf numFmtId="0" fontId="13" fillId="0" borderId="0" xfId="0" applyFont="1" applyAlignment="1" applyProtection="1">
      <alignment vertical="top"/>
      <protection locked="0"/>
    </xf>
    <xf numFmtId="0" fontId="25" fillId="0" borderId="2" xfId="0" applyFont="1" applyBorder="1" applyAlignment="1">
      <alignment vertical="top"/>
    </xf>
    <xf numFmtId="0" fontId="13" fillId="2" borderId="2" xfId="0" applyFont="1" applyFill="1" applyBorder="1" applyAlignment="1" applyProtection="1">
      <alignment horizontal="right" vertical="top"/>
      <protection locked="0"/>
    </xf>
    <xf numFmtId="0" fontId="13" fillId="3" borderId="4" xfId="0" applyFont="1" applyFill="1" applyBorder="1" applyAlignment="1" applyProtection="1">
      <alignment horizontal="left" vertical="top"/>
      <protection locked="0"/>
    </xf>
    <xf numFmtId="0" fontId="25" fillId="0" borderId="8" xfId="0" applyFont="1" applyBorder="1"/>
    <xf numFmtId="0" fontId="25" fillId="0" borderId="52" xfId="0" applyFont="1" applyBorder="1"/>
    <xf numFmtId="0" fontId="25" fillId="0" borderId="14" xfId="0" applyFont="1" applyBorder="1"/>
    <xf numFmtId="0" fontId="25" fillId="0" borderId="12" xfId="0" applyFont="1" applyBorder="1" applyAlignment="1" applyProtection="1">
      <alignment horizontal="center" vertical="top" wrapText="1"/>
      <protection locked="0"/>
    </xf>
    <xf numFmtId="0" fontId="28" fillId="4" borderId="20" xfId="0" applyFont="1" applyFill="1" applyBorder="1" applyAlignment="1" applyProtection="1">
      <alignment vertical="top" wrapText="1"/>
      <protection locked="0"/>
    </xf>
    <xf numFmtId="0" fontId="28" fillId="4" borderId="21" xfId="0" applyFont="1" applyFill="1" applyBorder="1" applyAlignment="1" applyProtection="1">
      <alignment vertical="top" wrapText="1"/>
      <protection locked="0"/>
    </xf>
    <xf numFmtId="0" fontId="28" fillId="4" borderId="6" xfId="0" applyFont="1" applyFill="1" applyBorder="1" applyAlignment="1" applyProtection="1">
      <alignment horizontal="center" vertical="top" wrapText="1"/>
      <protection locked="0"/>
    </xf>
    <xf numFmtId="0" fontId="13" fillId="3" borderId="5" xfId="0" applyFont="1" applyFill="1" applyBorder="1" applyAlignment="1" applyProtection="1">
      <alignment horizontal="centerContinuous"/>
      <protection locked="0"/>
    </xf>
    <xf numFmtId="0" fontId="13" fillId="3" borderId="6" xfId="0" applyFont="1" applyFill="1" applyBorder="1" applyAlignment="1" applyProtection="1">
      <alignment horizontal="center"/>
      <protection locked="0"/>
    </xf>
    <xf numFmtId="0" fontId="25" fillId="0" borderId="5" xfId="0" applyFont="1" applyBorder="1" applyAlignment="1">
      <alignment horizontal="centerContinuous"/>
    </xf>
    <xf numFmtId="0" fontId="13" fillId="2" borderId="2" xfId="0" applyFont="1" applyFill="1" applyBorder="1" applyAlignment="1">
      <alignment horizontal="right" vertical="top"/>
    </xf>
    <xf numFmtId="0" fontId="13" fillId="0" borderId="7" xfId="0" applyFont="1" applyBorder="1" applyAlignment="1">
      <alignment horizontal="left" vertical="top"/>
    </xf>
    <xf numFmtId="0" fontId="33" fillId="0" borderId="6" xfId="0" applyFont="1" applyBorder="1" applyAlignment="1">
      <alignment horizontal="center" vertical="center"/>
    </xf>
    <xf numFmtId="0" fontId="25" fillId="0" borderId="6" xfId="0" applyFont="1" applyBorder="1" applyAlignment="1">
      <alignment horizontal="center" vertical="center"/>
    </xf>
    <xf numFmtId="0" fontId="25" fillId="0" borderId="6" xfId="0" applyFont="1" applyBorder="1" applyAlignment="1">
      <alignment horizontal="center" vertical="center" wrapText="1"/>
    </xf>
    <xf numFmtId="0" fontId="25" fillId="0" borderId="1" xfId="0" applyFont="1" applyBorder="1" applyAlignment="1">
      <alignment horizontal="center" vertical="center"/>
    </xf>
    <xf numFmtId="0" fontId="13" fillId="0" borderId="6" xfId="0" applyFont="1" applyBorder="1" applyAlignment="1">
      <alignment horizontal="center"/>
    </xf>
    <xf numFmtId="165" fontId="13" fillId="2" borderId="52" xfId="0" applyNumberFormat="1" applyFont="1" applyFill="1" applyBorder="1" applyAlignment="1">
      <alignment vertical="top"/>
    </xf>
    <xf numFmtId="165" fontId="13" fillId="2" borderId="0" xfId="0" applyNumberFormat="1" applyFont="1" applyFill="1" applyAlignment="1">
      <alignment vertical="top"/>
    </xf>
    <xf numFmtId="0" fontId="27" fillId="2" borderId="0" xfId="0" applyFont="1" applyFill="1" applyAlignment="1">
      <alignment vertical="top"/>
    </xf>
    <xf numFmtId="0" fontId="13" fillId="2" borderId="0" xfId="0" applyFont="1" applyFill="1" applyAlignment="1">
      <alignment vertical="top"/>
    </xf>
    <xf numFmtId="0" fontId="13" fillId="0" borderId="8" xfId="0" applyFont="1" applyBorder="1" applyAlignment="1" applyProtection="1">
      <alignment vertical="top"/>
      <protection locked="0"/>
    </xf>
    <xf numFmtId="0" fontId="13" fillId="0" borderId="52" xfId="0" applyFont="1" applyBorder="1" applyAlignment="1" applyProtection="1">
      <alignment vertical="top"/>
      <protection locked="0"/>
    </xf>
    <xf numFmtId="0" fontId="13" fillId="0" borderId="11" xfId="0" applyFont="1" applyBorder="1" applyAlignment="1" applyProtection="1">
      <alignment vertical="top"/>
      <protection locked="0"/>
    </xf>
    <xf numFmtId="0" fontId="13" fillId="0" borderId="1" xfId="0" applyFont="1" applyBorder="1" applyAlignment="1" applyProtection="1">
      <alignment vertical="top"/>
      <protection locked="0"/>
    </xf>
    <xf numFmtId="0" fontId="13" fillId="0" borderId="3" xfId="0" applyFont="1" applyBorder="1" applyAlignment="1" applyProtection="1">
      <alignment vertical="top"/>
      <protection locked="0"/>
    </xf>
    <xf numFmtId="0" fontId="13" fillId="0" borderId="0" xfId="1" applyFont="1" applyAlignment="1" applyProtection="1">
      <alignment vertical="top"/>
      <protection locked="0"/>
    </xf>
    <xf numFmtId="0" fontId="13" fillId="0" borderId="0" xfId="1" quotePrefix="1" applyFont="1" applyAlignment="1" applyProtection="1">
      <alignment horizontal="center" vertical="top"/>
      <protection locked="0"/>
    </xf>
    <xf numFmtId="166" fontId="13" fillId="0" borderId="0" xfId="0" quotePrefix="1" applyNumberFormat="1" applyFont="1" applyAlignment="1" applyProtection="1">
      <alignment vertical="top"/>
      <protection locked="0"/>
    </xf>
    <xf numFmtId="0" fontId="13" fillId="0" borderId="0" xfId="0" quotePrefix="1" applyFont="1" applyAlignment="1" applyProtection="1">
      <alignment vertical="top"/>
      <protection locked="0"/>
    </xf>
    <xf numFmtId="0" fontId="13" fillId="0" borderId="0" xfId="0" applyFont="1" applyProtection="1">
      <protection locked="0"/>
    </xf>
    <xf numFmtId="0" fontId="13" fillId="4" borderId="0" xfId="0" applyFont="1" applyFill="1" applyAlignment="1" applyProtection="1">
      <alignment vertical="top"/>
      <protection locked="0"/>
    </xf>
    <xf numFmtId="0" fontId="34" fillId="0" borderId="0" xfId="0" applyFont="1" applyAlignment="1" applyProtection="1">
      <alignment vertical="top"/>
      <protection locked="0"/>
    </xf>
    <xf numFmtId="0" fontId="35" fillId="4" borderId="0" xfId="0" applyFont="1" applyFill="1" applyAlignment="1" applyProtection="1">
      <alignment vertical="top"/>
      <protection locked="0"/>
    </xf>
    <xf numFmtId="0" fontId="13" fillId="0" borderId="9" xfId="0" applyFont="1" applyBorder="1" applyAlignment="1" applyProtection="1">
      <alignment vertical="top"/>
      <protection locked="0"/>
    </xf>
    <xf numFmtId="0" fontId="13" fillId="0" borderId="2" xfId="0" applyFont="1" applyBorder="1" applyAlignment="1" applyProtection="1">
      <alignment vertical="top"/>
      <protection locked="0"/>
    </xf>
    <xf numFmtId="0" fontId="13" fillId="0" borderId="7" xfId="0" applyFont="1" applyBorder="1" applyAlignment="1" applyProtection="1">
      <alignment vertical="top"/>
      <protection locked="0"/>
    </xf>
    <xf numFmtId="0" fontId="36" fillId="0" borderId="0" xfId="0" applyFont="1" applyAlignment="1" applyProtection="1">
      <alignment vertical="top"/>
      <protection locked="0"/>
    </xf>
    <xf numFmtId="0" fontId="13" fillId="2" borderId="0" xfId="0" applyFont="1" applyFill="1" applyProtection="1">
      <protection locked="0"/>
    </xf>
    <xf numFmtId="0" fontId="13" fillId="0" borderId="0" xfId="1" applyFont="1" applyProtection="1">
      <protection locked="0"/>
    </xf>
    <xf numFmtId="0" fontId="14" fillId="0" borderId="0" xfId="1" applyFont="1" applyProtection="1">
      <protection locked="0"/>
    </xf>
    <xf numFmtId="0" fontId="41" fillId="0" borderId="0" xfId="0" applyFont="1" applyAlignment="1" applyProtection="1">
      <alignment vertical="top"/>
      <protection locked="0"/>
    </xf>
    <xf numFmtId="0" fontId="39" fillId="0" borderId="1" xfId="0" applyFont="1" applyBorder="1" applyAlignment="1" applyProtection="1">
      <alignment vertical="top"/>
      <protection locked="0"/>
    </xf>
    <xf numFmtId="0" fontId="25" fillId="0" borderId="5" xfId="0" applyFont="1" applyBorder="1" applyAlignment="1">
      <alignment horizontal="center"/>
    </xf>
    <xf numFmtId="0" fontId="13" fillId="3" borderId="5" xfId="0" applyFont="1" applyFill="1" applyBorder="1" applyAlignment="1" applyProtection="1">
      <alignment horizontal="center"/>
      <protection locked="0"/>
    </xf>
    <xf numFmtId="0" fontId="2" fillId="0" borderId="0" xfId="0" applyFont="1" applyAlignment="1">
      <alignment horizontal="left" wrapText="1"/>
    </xf>
    <xf numFmtId="0" fontId="25" fillId="0" borderId="0" xfId="0" applyFont="1" applyAlignment="1">
      <alignment vertical="top"/>
    </xf>
    <xf numFmtId="0" fontId="13" fillId="0" borderId="5" xfId="0" applyFont="1" applyBorder="1" applyAlignment="1">
      <alignment horizontal="center"/>
    </xf>
    <xf numFmtId="0" fontId="25" fillId="0" borderId="6" xfId="0" applyFont="1" applyBorder="1" applyAlignment="1">
      <alignment horizontal="center"/>
    </xf>
    <xf numFmtId="0" fontId="25" fillId="0" borderId="2" xfId="0" applyFont="1" applyBorder="1" applyAlignment="1">
      <alignment horizontal="center" vertical="top"/>
    </xf>
    <xf numFmtId="0" fontId="13" fillId="0" borderId="0" xfId="0" applyFont="1" applyAlignment="1">
      <alignment vertical="center"/>
    </xf>
    <xf numFmtId="0" fontId="13" fillId="0" borderId="3" xfId="0" applyFont="1" applyBorder="1" applyAlignment="1">
      <alignment vertical="center"/>
    </xf>
    <xf numFmtId="0" fontId="25" fillId="2" borderId="52" xfId="0" applyFont="1" applyFill="1" applyBorder="1" applyAlignment="1">
      <alignment vertical="top"/>
    </xf>
    <xf numFmtId="0" fontId="25" fillId="2" borderId="0" xfId="0" applyFont="1" applyFill="1" applyAlignment="1">
      <alignment vertical="top"/>
    </xf>
    <xf numFmtId="0" fontId="25" fillId="0" borderId="9" xfId="0" applyFont="1" applyBorder="1" applyAlignment="1">
      <alignment horizontal="center" vertical="center"/>
    </xf>
    <xf numFmtId="0" fontId="19" fillId="3" borderId="25" xfId="0" applyFont="1" applyFill="1" applyBorder="1" applyAlignment="1">
      <alignment horizontal="right" vertical="center"/>
    </xf>
    <xf numFmtId="0" fontId="19" fillId="3" borderId="0" xfId="0" applyFont="1" applyFill="1" applyAlignment="1">
      <alignment horizontal="right" vertical="center"/>
    </xf>
    <xf numFmtId="0" fontId="30" fillId="0" borderId="52" xfId="0" applyFont="1" applyBorder="1" applyAlignment="1">
      <alignment horizontal="center" wrapText="1"/>
    </xf>
    <xf numFmtId="0" fontId="25" fillId="0" borderId="5" xfId="0" applyFont="1" applyBorder="1" applyAlignment="1">
      <alignment horizontal="center"/>
    </xf>
    <xf numFmtId="0" fontId="25" fillId="0" borderId="18" xfId="0" applyFont="1" applyBorder="1" applyAlignment="1">
      <alignment horizontal="center"/>
    </xf>
    <xf numFmtId="0" fontId="13" fillId="3" borderId="5" xfId="0" applyFont="1" applyFill="1" applyBorder="1" applyAlignment="1" applyProtection="1">
      <protection locked="0"/>
    </xf>
    <xf numFmtId="0" fontId="13" fillId="3" borderId="18" xfId="0" applyFont="1" applyFill="1" applyBorder="1" applyAlignment="1" applyProtection="1">
      <protection locked="0"/>
    </xf>
    <xf numFmtId="0" fontId="25" fillId="0" borderId="16" xfId="0" applyFont="1" applyBorder="1" applyAlignment="1">
      <alignment horizontal="center"/>
    </xf>
    <xf numFmtId="0" fontId="25" fillId="0" borderId="8" xfId="0" applyFont="1" applyBorder="1" applyAlignment="1"/>
    <xf numFmtId="0" fontId="25" fillId="0" borderId="52" xfId="0" applyFont="1" applyBorder="1" applyAlignment="1"/>
    <xf numFmtId="0" fontId="25" fillId="0" borderId="14" xfId="0" applyFont="1" applyBorder="1" applyAlignment="1"/>
    <xf numFmtId="164" fontId="13" fillId="3" borderId="5" xfId="0" applyNumberFormat="1" applyFont="1" applyFill="1" applyBorder="1" applyAlignment="1" applyProtection="1">
      <alignment horizontal="center"/>
      <protection locked="0"/>
    </xf>
    <xf numFmtId="164" fontId="13" fillId="0" borderId="18" xfId="0" applyNumberFormat="1" applyFont="1" applyBorder="1" applyAlignment="1">
      <alignment horizontal="center"/>
    </xf>
    <xf numFmtId="0" fontId="25" fillId="0" borderId="17" xfId="0" applyFont="1" applyBorder="1" applyAlignment="1">
      <alignment horizontal="center"/>
    </xf>
    <xf numFmtId="0" fontId="13" fillId="3" borderId="5" xfId="0" applyFont="1" applyFill="1" applyBorder="1" applyAlignment="1">
      <alignment horizontal="center"/>
    </xf>
    <xf numFmtId="0" fontId="13" fillId="3" borderId="17" xfId="0" applyFont="1" applyFill="1" applyBorder="1" applyAlignment="1">
      <alignment horizontal="center"/>
    </xf>
    <xf numFmtId="0" fontId="13" fillId="3" borderId="5" xfId="0" applyFont="1" applyFill="1" applyBorder="1" applyAlignment="1" applyProtection="1">
      <alignment horizontal="center"/>
      <protection locked="0"/>
    </xf>
    <xf numFmtId="0" fontId="13" fillId="3" borderId="16" xfId="0" applyFont="1" applyFill="1" applyBorder="1" applyAlignment="1">
      <alignment horizontal="center"/>
    </xf>
    <xf numFmtId="0" fontId="13" fillId="0" borderId="16" xfId="0" applyFont="1" applyBorder="1" applyAlignment="1">
      <alignment horizontal="center"/>
    </xf>
    <xf numFmtId="0" fontId="13" fillId="0" borderId="18" xfId="0" applyFont="1" applyBorder="1" applyAlignment="1">
      <alignment horizontal="center"/>
    </xf>
    <xf numFmtId="164" fontId="13" fillId="3" borderId="18" xfId="0" applyNumberFormat="1" applyFont="1" applyFill="1" applyBorder="1" applyAlignment="1" applyProtection="1">
      <alignment horizontal="center"/>
      <protection locked="0"/>
    </xf>
    <xf numFmtId="0" fontId="28" fillId="0" borderId="5" xfId="0" applyFont="1" applyBorder="1" applyAlignment="1" applyProtection="1">
      <alignment horizontal="left" vertical="top"/>
      <protection locked="0"/>
    </xf>
    <xf numFmtId="0" fontId="28" fillId="0" borderId="16" xfId="0" applyFont="1" applyBorder="1" applyAlignment="1" applyProtection="1">
      <alignment horizontal="left" vertical="top"/>
      <protection locked="0"/>
    </xf>
    <xf numFmtId="0" fontId="28" fillId="0" borderId="16" xfId="0" applyFont="1" applyBorder="1" applyAlignment="1" applyProtection="1">
      <alignment horizontal="center" vertical="top"/>
      <protection locked="0"/>
    </xf>
    <xf numFmtId="0" fontId="28" fillId="0" borderId="18" xfId="0" applyFont="1" applyBorder="1" applyAlignment="1" applyProtection="1">
      <alignment horizontal="center" vertical="top"/>
      <protection locked="0"/>
    </xf>
    <xf numFmtId="0" fontId="28" fillId="4" borderId="5" xfId="0" applyFont="1" applyFill="1" applyBorder="1" applyAlignment="1" applyProtection="1">
      <alignment horizontal="center" vertical="top" wrapText="1"/>
      <protection locked="0"/>
    </xf>
    <xf numFmtId="0" fontId="28" fillId="4" borderId="16" xfId="0" applyFont="1" applyFill="1" applyBorder="1" applyAlignment="1" applyProtection="1">
      <alignment horizontal="center" vertical="top" wrapText="1"/>
      <protection locked="0"/>
    </xf>
    <xf numFmtId="0" fontId="28" fillId="4" borderId="18" xfId="0" applyFont="1" applyFill="1" applyBorder="1" applyAlignment="1" applyProtection="1">
      <alignment horizontal="center" vertical="top" wrapText="1"/>
      <protection locked="0"/>
    </xf>
    <xf numFmtId="0" fontId="28" fillId="4" borderId="1" xfId="0" applyFont="1" applyFill="1" applyBorder="1" applyAlignment="1">
      <alignment horizontal="left" vertical="top" wrapText="1"/>
    </xf>
    <xf numFmtId="0" fontId="28" fillId="4" borderId="0" xfId="0" applyFont="1" applyFill="1" applyAlignment="1">
      <alignment horizontal="left" vertical="top" wrapText="1"/>
    </xf>
    <xf numFmtId="0" fontId="28" fillId="4" borderId="13" xfId="0" applyFont="1" applyFill="1" applyBorder="1" applyAlignment="1">
      <alignment horizontal="left" vertical="top" wrapText="1"/>
    </xf>
    <xf numFmtId="0" fontId="28" fillId="4" borderId="9" xfId="0" applyFont="1" applyFill="1" applyBorder="1" applyAlignment="1">
      <alignment horizontal="left" vertical="top" wrapText="1"/>
    </xf>
    <xf numFmtId="0" fontId="28" fillId="4" borderId="2" xfId="0" applyFont="1" applyFill="1" applyBorder="1" applyAlignment="1">
      <alignment horizontal="left" vertical="top" wrapText="1"/>
    </xf>
    <xf numFmtId="0" fontId="28" fillId="4" borderId="4" xfId="0" applyFont="1" applyFill="1" applyBorder="1" applyAlignment="1">
      <alignment horizontal="left" vertical="top" wrapText="1"/>
    </xf>
    <xf numFmtId="0" fontId="2" fillId="0" borderId="0" xfId="0" applyFont="1" applyAlignment="1">
      <alignment horizontal="left" wrapText="1"/>
    </xf>
    <xf numFmtId="0" fontId="25" fillId="0" borderId="52" xfId="0" applyFont="1" applyBorder="1" applyAlignment="1" applyProtection="1">
      <alignment horizontal="center" vertical="top" wrapText="1"/>
      <protection locked="0"/>
    </xf>
    <xf numFmtId="0" fontId="25" fillId="0" borderId="14" xfId="0" applyFont="1" applyBorder="1" applyAlignment="1" applyProtection="1">
      <alignment horizontal="center" vertical="top" wrapText="1"/>
      <protection locked="0"/>
    </xf>
    <xf numFmtId="0" fontId="25" fillId="0" borderId="8" xfId="0" applyFont="1" applyBorder="1" applyAlignment="1" applyProtection="1">
      <alignment horizontal="center" vertical="top" wrapText="1"/>
      <protection locked="0"/>
    </xf>
    <xf numFmtId="0" fontId="25" fillId="0" borderId="11" xfId="0" applyFont="1" applyBorder="1" applyAlignment="1" applyProtection="1">
      <alignment horizontal="center" vertical="top" wrapText="1"/>
      <protection locked="0"/>
    </xf>
    <xf numFmtId="0" fontId="28" fillId="4" borderId="1" xfId="0" applyFont="1" applyFill="1" applyBorder="1" applyAlignment="1" applyProtection="1">
      <alignment horizontal="left" vertical="top" wrapText="1"/>
      <protection locked="0"/>
    </xf>
    <xf numFmtId="0" fontId="28" fillId="4" borderId="0" xfId="0" applyFont="1" applyFill="1" applyAlignment="1" applyProtection="1">
      <alignment horizontal="left" vertical="top" wrapText="1"/>
      <protection locked="0"/>
    </xf>
    <xf numFmtId="0" fontId="28" fillId="4" borderId="3" xfId="0" applyFont="1" applyFill="1" applyBorder="1" applyAlignment="1" applyProtection="1">
      <alignment horizontal="left" vertical="top" wrapText="1"/>
      <protection locked="0"/>
    </xf>
    <xf numFmtId="0" fontId="28" fillId="4" borderId="9" xfId="0" applyFont="1" applyFill="1" applyBorder="1" applyAlignment="1" applyProtection="1">
      <alignment horizontal="left" vertical="top" wrapText="1"/>
      <protection locked="0"/>
    </xf>
    <xf numFmtId="0" fontId="28" fillId="4" borderId="2" xfId="0" applyFont="1" applyFill="1" applyBorder="1" applyAlignment="1" applyProtection="1">
      <alignment horizontal="left" vertical="top" wrapText="1"/>
      <protection locked="0"/>
    </xf>
    <xf numFmtId="0" fontId="28" fillId="4" borderId="7" xfId="0" applyFont="1" applyFill="1" applyBorder="1" applyAlignment="1" applyProtection="1">
      <alignment horizontal="left" vertical="top" wrapText="1"/>
      <protection locked="0"/>
    </xf>
    <xf numFmtId="0" fontId="4" fillId="0" borderId="0" xfId="0" applyFont="1" applyAlignment="1"/>
    <xf numFmtId="0" fontId="27" fillId="3" borderId="0" xfId="0" applyFont="1" applyFill="1" applyAlignment="1">
      <alignment vertical="top" wrapText="1"/>
    </xf>
    <xf numFmtId="0" fontId="27" fillId="3" borderId="13" xfId="0" applyFont="1" applyFill="1" applyBorder="1" applyAlignment="1">
      <alignment vertical="top" wrapText="1"/>
    </xf>
    <xf numFmtId="0" fontId="25" fillId="0" borderId="9" xfId="0" applyFont="1" applyBorder="1" applyAlignment="1">
      <alignment horizontal="left" vertical="top"/>
    </xf>
    <xf numFmtId="0" fontId="25" fillId="0" borderId="2" xfId="0" applyFont="1" applyBorder="1" applyAlignment="1">
      <alignment horizontal="left" vertical="top"/>
    </xf>
    <xf numFmtId="0" fontId="28" fillId="4" borderId="9" xfId="0" applyFont="1" applyFill="1" applyBorder="1" applyAlignment="1" applyProtection="1">
      <alignment horizontal="center" vertical="top" wrapText="1"/>
      <protection locked="0"/>
    </xf>
    <xf numFmtId="0" fontId="28" fillId="4" borderId="2" xfId="0" applyFont="1" applyFill="1" applyBorder="1" applyAlignment="1" applyProtection="1">
      <alignment horizontal="center" vertical="top" wrapText="1"/>
      <protection locked="0"/>
    </xf>
    <xf numFmtId="0" fontId="28" fillId="4" borderId="4" xfId="0" applyFont="1" applyFill="1" applyBorder="1" applyAlignment="1" applyProtection="1">
      <alignment horizontal="center" vertical="top" wrapText="1"/>
      <protection locked="0"/>
    </xf>
    <xf numFmtId="0" fontId="28" fillId="4" borderId="1" xfId="0" applyFont="1" applyFill="1" applyBorder="1" applyAlignment="1" applyProtection="1">
      <alignment horizontal="center" vertical="top" wrapText="1"/>
      <protection locked="0"/>
    </xf>
    <xf numFmtId="0" fontId="28" fillId="4" borderId="0" xfId="0" applyFont="1" applyFill="1" applyAlignment="1" applyProtection="1">
      <alignment horizontal="center" vertical="top" wrapText="1"/>
      <protection locked="0"/>
    </xf>
    <xf numFmtId="0" fontId="28" fillId="4" borderId="13" xfId="0" applyFont="1" applyFill="1" applyBorder="1" applyAlignment="1" applyProtection="1">
      <alignment horizontal="center" vertical="top" wrapText="1"/>
      <protection locked="0"/>
    </xf>
    <xf numFmtId="0" fontId="28" fillId="0" borderId="1" xfId="0" applyFont="1" applyBorder="1" applyAlignment="1" applyProtection="1">
      <alignment horizontal="left" vertical="top" wrapText="1"/>
      <protection locked="0"/>
    </xf>
    <xf numFmtId="0" fontId="28" fillId="0" borderId="0" xfId="0" applyFont="1" applyAlignment="1" applyProtection="1">
      <alignment horizontal="left" vertical="top" wrapText="1"/>
      <protection locked="0"/>
    </xf>
    <xf numFmtId="0" fontId="28" fillId="0" borderId="13" xfId="0" applyFont="1" applyBorder="1" applyAlignment="1" applyProtection="1">
      <alignment horizontal="left" vertical="top" wrapText="1"/>
      <protection locked="0"/>
    </xf>
    <xf numFmtId="0" fontId="28" fillId="0" borderId="9" xfId="0" applyFont="1" applyBorder="1" applyAlignment="1" applyProtection="1">
      <alignment horizontal="left" vertical="top" wrapText="1"/>
      <protection locked="0"/>
    </xf>
    <xf numFmtId="0" fontId="28" fillId="0" borderId="2" xfId="0" applyFont="1" applyBorder="1" applyAlignment="1" applyProtection="1">
      <alignment horizontal="left" vertical="top" wrapText="1"/>
      <protection locked="0"/>
    </xf>
    <xf numFmtId="0" fontId="28" fillId="0" borderId="4" xfId="0" applyFont="1" applyBorder="1" applyAlignment="1" applyProtection="1">
      <alignment horizontal="left" vertical="top" wrapText="1"/>
      <protection locked="0"/>
    </xf>
    <xf numFmtId="0" fontId="25" fillId="0" borderId="5" xfId="0" applyFont="1" applyBorder="1" applyAlignment="1" applyProtection="1">
      <alignment horizontal="left" vertical="center" wrapText="1"/>
      <protection locked="0"/>
    </xf>
    <xf numFmtId="0" fontId="25" fillId="0" borderId="16" xfId="0" applyFont="1" applyBorder="1" applyAlignment="1" applyProtection="1">
      <alignment horizontal="left" vertical="center" wrapText="1"/>
      <protection locked="0"/>
    </xf>
    <xf numFmtId="0" fontId="25" fillId="0" borderId="17" xfId="0" applyFont="1" applyBorder="1" applyAlignment="1" applyProtection="1">
      <alignment horizontal="left" vertical="center" wrapText="1"/>
      <protection locked="0"/>
    </xf>
    <xf numFmtId="0" fontId="28" fillId="4" borderId="13" xfId="0" applyFont="1" applyFill="1" applyBorder="1" applyAlignment="1" applyProtection="1">
      <alignment horizontal="left" vertical="top" wrapText="1"/>
      <protection locked="0"/>
    </xf>
    <xf numFmtId="0" fontId="28" fillId="4" borderId="4" xfId="0" applyFont="1" applyFill="1" applyBorder="1" applyAlignment="1" applyProtection="1">
      <alignment horizontal="left" vertical="top" wrapText="1"/>
      <protection locked="0"/>
    </xf>
    <xf numFmtId="0" fontId="24" fillId="0" borderId="15" xfId="0" applyFont="1" applyBorder="1" applyAlignment="1">
      <alignment horizontal="center" vertical="center"/>
    </xf>
    <xf numFmtId="0" fontId="25" fillId="0" borderId="1" xfId="0" applyFont="1" applyBorder="1" applyAlignment="1">
      <alignment vertical="top"/>
    </xf>
    <xf numFmtId="0" fontId="25" fillId="0" borderId="0" xfId="0" applyFont="1" applyAlignment="1">
      <alignment vertical="top"/>
    </xf>
    <xf numFmtId="0" fontId="13" fillId="3" borderId="0" xfId="0" applyFont="1" applyFill="1" applyAlignment="1" applyProtection="1">
      <alignment vertical="top"/>
      <protection locked="0"/>
    </xf>
    <xf numFmtId="0" fontId="13" fillId="3" borderId="0" xfId="0" applyFont="1" applyFill="1" applyAlignment="1">
      <alignment horizontal="center" vertical="top"/>
    </xf>
    <xf numFmtId="0" fontId="13" fillId="3" borderId="13" xfId="0" applyFont="1" applyFill="1" applyBorder="1" applyAlignment="1">
      <alignment horizontal="center" vertical="top"/>
    </xf>
    <xf numFmtId="0" fontId="26" fillId="3" borderId="0" xfId="0" applyFont="1" applyFill="1" applyAlignment="1">
      <alignment vertical="top"/>
    </xf>
    <xf numFmtId="0" fontId="13" fillId="0" borderId="0" xfId="0" applyFont="1" applyAlignment="1">
      <alignment vertical="top"/>
    </xf>
    <xf numFmtId="0" fontId="13" fillId="3" borderId="2" xfId="0" applyFont="1" applyFill="1" applyBorder="1" applyAlignment="1" applyProtection="1">
      <alignment vertical="top"/>
      <protection locked="0"/>
    </xf>
    <xf numFmtId="0" fontId="25" fillId="0" borderId="1" xfId="0" applyFont="1" applyBorder="1" applyAlignment="1">
      <alignment horizontal="left" vertical="top"/>
    </xf>
    <xf numFmtId="0" fontId="25" fillId="0" borderId="0" xfId="0" applyFont="1" applyAlignment="1">
      <alignment horizontal="left" vertical="top"/>
    </xf>
    <xf numFmtId="0" fontId="13" fillId="3" borderId="1" xfId="0" applyFont="1" applyFill="1" applyBorder="1" applyAlignment="1">
      <alignment horizontal="left" vertical="center"/>
    </xf>
    <xf numFmtId="0" fontId="13" fillId="3" borderId="0" xfId="0" applyFont="1" applyFill="1" applyAlignment="1">
      <alignment horizontal="left" vertical="center"/>
    </xf>
    <xf numFmtId="0" fontId="13" fillId="3" borderId="3" xfId="0" applyFont="1" applyFill="1" applyBorder="1" applyAlignment="1">
      <alignment horizontal="left" vertical="center"/>
    </xf>
    <xf numFmtId="164" fontId="13" fillId="0" borderId="5" xfId="0" applyNumberFormat="1" applyFont="1" applyBorder="1" applyAlignment="1">
      <alignment horizontal="center"/>
    </xf>
    <xf numFmtId="0" fontId="13" fillId="0" borderId="5" xfId="0" applyFont="1" applyBorder="1" applyAlignment="1">
      <alignment horizontal="left"/>
    </xf>
    <xf numFmtId="0" fontId="13" fillId="0" borderId="18" xfId="0" applyFont="1" applyBorder="1" applyAlignment="1">
      <alignment horizontal="left"/>
    </xf>
    <xf numFmtId="0" fontId="13" fillId="0" borderId="5" xfId="0" applyFont="1" applyBorder="1" applyAlignment="1">
      <alignment horizontal="center"/>
    </xf>
    <xf numFmtId="0" fontId="25" fillId="0" borderId="6" xfId="0" applyFont="1" applyBorder="1" applyAlignment="1">
      <alignment horizontal="center"/>
    </xf>
    <xf numFmtId="164" fontId="13" fillId="0" borderId="6" xfId="0" applyNumberFormat="1" applyFont="1" applyBorder="1" applyAlignment="1">
      <alignment horizontal="center"/>
    </xf>
    <xf numFmtId="0" fontId="13" fillId="0" borderId="6" xfId="0" applyFont="1" applyBorder="1" applyAlignment="1">
      <alignment horizontal="left"/>
    </xf>
    <xf numFmtId="0" fontId="25" fillId="0" borderId="1" xfId="0" applyFont="1" applyBorder="1" applyAlignment="1">
      <alignment vertical="center"/>
    </xf>
    <xf numFmtId="0" fontId="25" fillId="0" borderId="0" xfId="0" applyFont="1" applyAlignment="1">
      <alignment vertical="center"/>
    </xf>
    <xf numFmtId="0" fontId="25" fillId="0" borderId="3" xfId="0" applyFont="1" applyBorder="1" applyAlignment="1">
      <alignment vertical="center"/>
    </xf>
    <xf numFmtId="0" fontId="24" fillId="0" borderId="2" xfId="0" applyFont="1" applyBorder="1" applyAlignment="1">
      <alignment horizontal="center" vertical="center"/>
    </xf>
    <xf numFmtId="165" fontId="13" fillId="0" borderId="52" xfId="0" applyNumberFormat="1" applyFont="1" applyBorder="1" applyAlignment="1">
      <alignment horizontal="left" vertical="top"/>
    </xf>
    <xf numFmtId="0" fontId="13" fillId="0" borderId="0" xfId="0" applyFont="1" applyAlignment="1">
      <alignment horizontal="center" vertical="top"/>
    </xf>
    <xf numFmtId="0" fontId="13" fillId="0" borderId="3" xfId="0" applyFont="1" applyBorder="1" applyAlignment="1">
      <alignment horizontal="center" vertical="top"/>
    </xf>
    <xf numFmtId="165" fontId="13" fillId="0" borderId="0" xfId="0" applyNumberFormat="1" applyFont="1" applyAlignment="1">
      <alignment horizontal="left" vertical="top"/>
    </xf>
    <xf numFmtId="0" fontId="25" fillId="0" borderId="9" xfId="0" applyFont="1" applyBorder="1" applyAlignment="1">
      <alignment horizontal="center" vertical="top"/>
    </xf>
    <xf numFmtId="0" fontId="25" fillId="0" borderId="2" xfId="0" applyFont="1" applyBorder="1" applyAlignment="1">
      <alignment horizontal="center" vertical="top"/>
    </xf>
    <xf numFmtId="165" fontId="13" fillId="0" borderId="2" xfId="0" applyNumberFormat="1" applyFont="1" applyBorder="1" applyAlignment="1">
      <alignment horizontal="left" vertical="top"/>
    </xf>
    <xf numFmtId="0" fontId="13" fillId="0" borderId="3" xfId="0" applyFont="1" applyBorder="1" applyAlignment="1">
      <alignment vertical="top"/>
    </xf>
    <xf numFmtId="165" fontId="27" fillId="0" borderId="0" xfId="0" applyNumberFormat="1" applyFont="1" applyAlignment="1">
      <alignment vertical="top" wrapText="1"/>
    </xf>
    <xf numFmtId="165" fontId="27" fillId="0" borderId="3" xfId="0" applyNumberFormat="1" applyFont="1" applyBorder="1" applyAlignment="1">
      <alignment vertical="top" wrapText="1"/>
    </xf>
    <xf numFmtId="0" fontId="13" fillId="0" borderId="0" xfId="0" applyFont="1" applyAlignment="1">
      <alignment vertical="center"/>
    </xf>
    <xf numFmtId="0" fontId="13" fillId="0" borderId="3" xfId="0" applyFont="1" applyBorder="1" applyAlignment="1">
      <alignment vertical="center"/>
    </xf>
    <xf numFmtId="0" fontId="13" fillId="3" borderId="1"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3" xfId="0" applyFont="1" applyFill="1" applyBorder="1" applyAlignment="1">
      <alignment horizontal="left" vertical="center" wrapText="1"/>
    </xf>
    <xf numFmtId="0" fontId="13" fillId="0" borderId="0" xfId="1" applyFont="1" applyAlignment="1" applyProtection="1">
      <alignment horizontal="center" vertical="top"/>
      <protection locked="0"/>
    </xf>
    <xf numFmtId="0" fontId="25" fillId="0" borderId="1" xfId="0" applyFont="1" applyBorder="1" applyAlignment="1" applyProtection="1">
      <alignment horizontal="center" vertical="top"/>
      <protection locked="0"/>
    </xf>
    <xf numFmtId="0" fontId="25" fillId="0" borderId="0" xfId="0" applyFont="1" applyAlignment="1" applyProtection="1">
      <alignment horizontal="center" vertical="top"/>
      <protection locked="0"/>
    </xf>
    <xf numFmtId="0" fontId="25" fillId="0" borderId="3" xfId="0" applyFont="1" applyBorder="1" applyAlignment="1" applyProtection="1">
      <alignment horizontal="center" vertical="top"/>
      <protection locked="0"/>
    </xf>
    <xf numFmtId="0" fontId="13" fillId="3" borderId="0" xfId="0" applyFont="1" applyFill="1" applyAlignment="1">
      <alignment horizontal="left" vertical="top"/>
    </xf>
    <xf numFmtId="0" fontId="13" fillId="0" borderId="0" xfId="0" applyFont="1" applyAlignment="1" applyProtection="1">
      <alignment horizontal="center" vertical="top"/>
      <protection locked="0"/>
    </xf>
    <xf numFmtId="0" fontId="25" fillId="2" borderId="52" xfId="0" applyFont="1" applyFill="1" applyBorder="1" applyAlignment="1">
      <alignment horizontal="left" vertical="top" wrapText="1"/>
    </xf>
    <xf numFmtId="0" fontId="25" fillId="2" borderId="0" xfId="0" applyFont="1" applyFill="1" applyAlignment="1">
      <alignment horizontal="left" vertical="top"/>
    </xf>
    <xf numFmtId="0" fontId="13" fillId="2" borderId="0" xfId="0" applyFont="1" applyFill="1" applyAlignment="1">
      <alignment horizontal="center" vertical="top"/>
    </xf>
    <xf numFmtId="0" fontId="13" fillId="2" borderId="3" xfId="0" applyFont="1" applyFill="1" applyBorder="1" applyAlignment="1">
      <alignment horizontal="center" vertical="top"/>
    </xf>
    <xf numFmtId="0" fontId="13" fillId="2" borderId="52" xfId="0" applyFont="1" applyFill="1" applyBorder="1" applyAlignment="1">
      <alignment horizontal="center" vertical="top"/>
    </xf>
    <xf numFmtId="0" fontId="13" fillId="2" borderId="11" xfId="0" applyFont="1" applyFill="1" applyBorder="1" applyAlignment="1">
      <alignment horizontal="center" vertical="top"/>
    </xf>
    <xf numFmtId="0" fontId="30" fillId="2" borderId="52" xfId="0" applyFont="1" applyFill="1" applyBorder="1" applyAlignment="1" applyProtection="1">
      <alignment horizontal="center" wrapText="1"/>
      <protection locked="0"/>
    </xf>
    <xf numFmtId="0" fontId="25" fillId="2" borderId="1" xfId="0" applyFont="1" applyFill="1" applyBorder="1" applyAlignment="1">
      <alignment horizontal="left" vertical="top"/>
    </xf>
    <xf numFmtId="0" fontId="25" fillId="2" borderId="8" xfId="0" applyFont="1" applyFill="1" applyBorder="1" applyAlignment="1">
      <alignment vertical="top"/>
    </xf>
    <xf numFmtId="0" fontId="25" fillId="2" borderId="52" xfId="0" applyFont="1" applyFill="1" applyBorder="1" applyAlignment="1">
      <alignment vertical="top"/>
    </xf>
    <xf numFmtId="0" fontId="25" fillId="2" borderId="1" xfId="0" applyFont="1" applyFill="1" applyBorder="1" applyAlignment="1">
      <alignment vertical="top"/>
    </xf>
    <xf numFmtId="0" fontId="25" fillId="2" borderId="0" xfId="0" applyFont="1" applyFill="1" applyAlignment="1">
      <alignment vertical="top"/>
    </xf>
    <xf numFmtId="0" fontId="13" fillId="2" borderId="2" xfId="0" applyFont="1" applyFill="1" applyBorder="1" applyAlignment="1">
      <alignment horizontal="center" vertical="top"/>
    </xf>
    <xf numFmtId="0" fontId="13" fillId="2" borderId="7" xfId="0" applyFont="1" applyFill="1" applyBorder="1" applyAlignment="1">
      <alignment horizontal="center" vertical="top"/>
    </xf>
    <xf numFmtId="0" fontId="25" fillId="0" borderId="2" xfId="0" applyFont="1" applyBorder="1" applyAlignment="1">
      <alignment horizontal="center" vertical="center"/>
    </xf>
    <xf numFmtId="0" fontId="25" fillId="0" borderId="7" xfId="0" applyFont="1" applyBorder="1" applyAlignment="1">
      <alignment horizontal="center" vertical="center"/>
    </xf>
    <xf numFmtId="0" fontId="26" fillId="2" borderId="9" xfId="0" applyFont="1" applyFill="1" applyBorder="1" applyAlignment="1">
      <alignment horizontal="center" vertical="center"/>
    </xf>
    <xf numFmtId="0" fontId="26" fillId="2" borderId="2" xfId="0" applyFont="1" applyFill="1" applyBorder="1" applyAlignment="1">
      <alignment horizontal="center" vertical="center"/>
    </xf>
    <xf numFmtId="0" fontId="26" fillId="2" borderId="7"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8" xfId="0" applyFont="1" applyFill="1" applyBorder="1" applyAlignment="1">
      <alignment horizontal="center" vertical="center"/>
    </xf>
    <xf numFmtId="0" fontId="25" fillId="0" borderId="9" xfId="0" applyFont="1" applyBorder="1" applyAlignment="1">
      <alignment horizontal="center" vertical="center"/>
    </xf>
    <xf numFmtId="0" fontId="26" fillId="2" borderId="5" xfId="0" applyFont="1" applyFill="1" applyBorder="1" applyAlignment="1">
      <alignment horizontal="center" vertical="center"/>
    </xf>
    <xf numFmtId="0" fontId="26" fillId="2" borderId="19" xfId="0" applyFont="1" applyFill="1" applyBorder="1" applyAlignment="1">
      <alignment horizontal="center" vertical="center"/>
    </xf>
    <xf numFmtId="164" fontId="26" fillId="2" borderId="5" xfId="0" applyNumberFormat="1" applyFont="1" applyFill="1" applyBorder="1" applyAlignment="1">
      <alignment horizontal="center" vertical="center"/>
    </xf>
    <xf numFmtId="164" fontId="26" fillId="2" borderId="16" xfId="0" applyNumberFormat="1" applyFont="1" applyFill="1" applyBorder="1" applyAlignment="1">
      <alignment horizontal="center" vertical="center"/>
    </xf>
    <xf numFmtId="0" fontId="13" fillId="4" borderId="0" xfId="0" applyFont="1" applyFill="1" applyAlignment="1" applyProtection="1">
      <alignment horizontal="center" vertical="top"/>
      <protection locked="0"/>
    </xf>
    <xf numFmtId="0" fontId="13" fillId="4" borderId="0" xfId="0" applyFont="1" applyFill="1" applyAlignment="1" applyProtection="1">
      <alignment horizontal="left" vertical="top"/>
      <protection locked="0"/>
    </xf>
    <xf numFmtId="0" fontId="27" fillId="2" borderId="0" xfId="0" applyFont="1" applyFill="1" applyAlignment="1">
      <alignment horizontal="left" vertical="top" wrapText="1"/>
    </xf>
    <xf numFmtId="0" fontId="27" fillId="2" borderId="3" xfId="0" applyFont="1" applyFill="1" applyBorder="1" applyAlignment="1">
      <alignment horizontal="left" vertical="top" wrapText="1"/>
    </xf>
    <xf numFmtId="0" fontId="25" fillId="2" borderId="2" xfId="0" applyFont="1" applyFill="1" applyBorder="1" applyAlignment="1">
      <alignment horizontal="center" vertical="top"/>
    </xf>
    <xf numFmtId="0" fontId="25" fillId="2" borderId="9" xfId="0" applyFont="1" applyFill="1" applyBorder="1" applyAlignment="1">
      <alignment horizontal="left" vertical="top"/>
    </xf>
    <xf numFmtId="0" fontId="25" fillId="2" borderId="2" xfId="0" applyFont="1" applyFill="1" applyBorder="1" applyAlignment="1">
      <alignment horizontal="left" vertical="top"/>
    </xf>
    <xf numFmtId="0" fontId="25" fillId="0" borderId="10" xfId="0" applyFont="1" applyBorder="1" applyAlignment="1">
      <alignment horizontal="center" vertical="center"/>
    </xf>
    <xf numFmtId="165" fontId="13" fillId="2" borderId="0" xfId="0" applyNumberFormat="1" applyFont="1" applyFill="1" applyAlignment="1">
      <alignment horizontal="left" vertical="top"/>
    </xf>
    <xf numFmtId="165" fontId="13" fillId="2" borderId="52" xfId="0" applyNumberFormat="1" applyFont="1" applyFill="1" applyBorder="1" applyAlignment="1">
      <alignment horizontal="left" vertical="top"/>
    </xf>
    <xf numFmtId="0" fontId="25" fillId="2" borderId="52" xfId="0" applyFont="1" applyFill="1" applyBorder="1" applyAlignment="1">
      <alignment horizontal="left" vertical="top"/>
    </xf>
    <xf numFmtId="0" fontId="27" fillId="2" borderId="0" xfId="0" applyFont="1" applyFill="1" applyAlignment="1">
      <alignment horizontal="left" vertical="top"/>
    </xf>
    <xf numFmtId="0" fontId="13" fillId="3" borderId="2" xfId="0" applyFont="1" applyFill="1" applyBorder="1" applyAlignment="1">
      <alignment horizontal="center" vertical="top"/>
    </xf>
    <xf numFmtId="0" fontId="25" fillId="0" borderId="5"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34" fillId="0" borderId="0" xfId="0" applyFont="1" applyAlignment="1" applyProtection="1">
      <alignment horizontal="center" vertical="top"/>
      <protection locked="0"/>
    </xf>
    <xf numFmtId="0" fontId="35" fillId="4" borderId="0" xfId="0" applyFont="1" applyFill="1" applyAlignment="1" applyProtection="1">
      <alignment horizontal="center" vertical="top"/>
      <protection locked="0"/>
    </xf>
    <xf numFmtId="0" fontId="28" fillId="4" borderId="0" xfId="1" applyFont="1" applyFill="1" applyAlignment="1" applyProtection="1">
      <alignment horizontal="left" vertical="top" wrapText="1"/>
      <protection locked="0"/>
    </xf>
    <xf numFmtId="0" fontId="28" fillId="4" borderId="0" xfId="1" applyFont="1" applyFill="1" applyAlignment="1" applyProtection="1">
      <alignment horizontal="left" vertical="top"/>
      <protection locked="0"/>
    </xf>
    <xf numFmtId="0" fontId="39" fillId="7" borderId="5" xfId="0" applyFont="1" applyFill="1" applyBorder="1" applyAlignment="1" applyProtection="1">
      <alignment horizontal="center" vertical="top"/>
      <protection locked="0"/>
    </xf>
    <xf numFmtId="0" fontId="39" fillId="7" borderId="16" xfId="0" applyFont="1" applyFill="1" applyBorder="1" applyAlignment="1" applyProtection="1">
      <alignment horizontal="center" vertical="top"/>
      <protection locked="0"/>
    </xf>
    <xf numFmtId="166" fontId="25" fillId="0" borderId="6" xfId="0" applyNumberFormat="1" applyFont="1" applyBorder="1" applyAlignment="1" applyProtection="1">
      <alignment horizontal="center" vertical="top"/>
      <protection locked="0"/>
    </xf>
    <xf numFmtId="2" fontId="39" fillId="6" borderId="6" xfId="0" applyNumberFormat="1" applyFont="1" applyFill="1" applyBorder="1" applyAlignment="1" applyProtection="1">
      <alignment horizontal="center" vertical="top"/>
      <protection locked="0"/>
    </xf>
    <xf numFmtId="0" fontId="39" fillId="6" borderId="6" xfId="0" applyFont="1" applyFill="1" applyBorder="1" applyAlignment="1" applyProtection="1">
      <alignment horizontal="center" vertical="top"/>
      <protection locked="0"/>
    </xf>
    <xf numFmtId="0" fontId="28" fillId="7" borderId="5" xfId="0" applyFont="1" applyFill="1" applyBorder="1" applyAlignment="1" applyProtection="1">
      <alignment horizontal="left" vertical="top"/>
      <protection locked="0"/>
    </xf>
    <xf numFmtId="0" fontId="28" fillId="7" borderId="16" xfId="0" applyFont="1" applyFill="1" applyBorder="1" applyAlignment="1" applyProtection="1">
      <alignment horizontal="left" vertical="top"/>
      <protection locked="0"/>
    </xf>
    <xf numFmtId="0" fontId="28" fillId="7" borderId="18" xfId="0" applyFont="1" applyFill="1" applyBorder="1" applyAlignment="1" applyProtection="1">
      <alignment horizontal="left" vertical="top"/>
      <protection locked="0"/>
    </xf>
    <xf numFmtId="2" fontId="39" fillId="6" borderId="5" xfId="0" applyNumberFormat="1" applyFont="1" applyFill="1" applyBorder="1" applyAlignment="1" applyProtection="1">
      <alignment horizontal="center" vertical="top"/>
      <protection locked="0"/>
    </xf>
    <xf numFmtId="0" fontId="39" fillId="6" borderId="16" xfId="0" applyFont="1" applyFill="1" applyBorder="1" applyAlignment="1" applyProtection="1">
      <alignment horizontal="center" vertical="top"/>
      <protection locked="0"/>
    </xf>
    <xf numFmtId="0" fontId="39" fillId="6" borderId="18" xfId="0" applyFont="1" applyFill="1" applyBorder="1" applyAlignment="1" applyProtection="1">
      <alignment horizontal="center" vertical="top"/>
      <protection locked="0"/>
    </xf>
    <xf numFmtId="0" fontId="13" fillId="0" borderId="5" xfId="0" applyFont="1" applyBorder="1" applyAlignment="1" applyProtection="1">
      <alignment horizontal="center" vertical="top"/>
      <protection locked="0"/>
    </xf>
    <xf numFmtId="0" fontId="13" fillId="0" borderId="16" xfId="0" applyFont="1" applyBorder="1" applyAlignment="1" applyProtection="1">
      <alignment horizontal="center" vertical="top"/>
      <protection locked="0"/>
    </xf>
    <xf numFmtId="0" fontId="13" fillId="0" borderId="18" xfId="0" applyFont="1" applyBorder="1" applyAlignment="1" applyProtection="1">
      <alignment horizontal="center" vertical="top"/>
      <protection locked="0"/>
    </xf>
    <xf numFmtId="0" fontId="39" fillId="7" borderId="18" xfId="0" applyFont="1" applyFill="1" applyBorder="1" applyAlignment="1" applyProtection="1">
      <alignment horizontal="center" vertical="top"/>
      <protection locked="0"/>
    </xf>
    <xf numFmtId="0" fontId="39" fillId="0" borderId="6" xfId="0" applyFont="1" applyBorder="1" applyAlignment="1" applyProtection="1">
      <alignment horizontal="center" vertical="top"/>
      <protection locked="0"/>
    </xf>
    <xf numFmtId="2" fontId="39" fillId="6" borderId="16" xfId="0" applyNumberFormat="1" applyFont="1" applyFill="1" applyBorder="1" applyAlignment="1" applyProtection="1">
      <alignment horizontal="center" vertical="top"/>
      <protection locked="0"/>
    </xf>
    <xf numFmtId="2" fontId="39" fillId="6" borderId="18" xfId="0" applyNumberFormat="1" applyFont="1" applyFill="1" applyBorder="1" applyAlignment="1" applyProtection="1">
      <alignment horizontal="center" vertical="top"/>
      <protection locked="0"/>
    </xf>
    <xf numFmtId="0" fontId="28" fillId="7" borderId="6" xfId="0" applyFont="1" applyFill="1" applyBorder="1" applyAlignment="1" applyProtection="1">
      <alignment horizontal="left" vertical="top" wrapText="1"/>
      <protection locked="0"/>
    </xf>
    <xf numFmtId="0" fontId="13" fillId="0" borderId="6" xfId="0" applyFont="1" applyBorder="1" applyAlignment="1" applyProtection="1">
      <alignment horizontal="center" vertical="top"/>
      <protection locked="0"/>
    </xf>
    <xf numFmtId="2" fontId="39" fillId="6" borderId="8" xfId="0" applyNumberFormat="1" applyFont="1" applyFill="1" applyBorder="1" applyAlignment="1" applyProtection="1">
      <alignment horizontal="center" vertical="top"/>
      <protection locked="0"/>
    </xf>
    <xf numFmtId="2" fontId="39" fillId="6" borderId="52" xfId="0" applyNumberFormat="1" applyFont="1" applyFill="1" applyBorder="1" applyAlignment="1" applyProtection="1">
      <alignment horizontal="center" vertical="top"/>
      <protection locked="0"/>
    </xf>
    <xf numFmtId="2" fontId="39" fillId="6" borderId="11" xfId="0" applyNumberFormat="1" applyFont="1" applyFill="1" applyBorder="1" applyAlignment="1" applyProtection="1">
      <alignment horizontal="center" vertical="top"/>
      <protection locked="0"/>
    </xf>
    <xf numFmtId="2" fontId="39" fillId="6" borderId="9" xfId="0" applyNumberFormat="1" applyFont="1" applyFill="1" applyBorder="1" applyAlignment="1" applyProtection="1">
      <alignment horizontal="center" vertical="top"/>
      <protection locked="0"/>
    </xf>
    <xf numFmtId="2" fontId="39" fillId="6" borderId="2" xfId="0" applyNumberFormat="1" applyFont="1" applyFill="1" applyBorder="1" applyAlignment="1" applyProtection="1">
      <alignment horizontal="center" vertical="top"/>
      <protection locked="0"/>
    </xf>
    <xf numFmtId="2" fontId="39" fillId="6" borderId="7" xfId="0" applyNumberFormat="1" applyFont="1" applyFill="1" applyBorder="1" applyAlignment="1" applyProtection="1">
      <alignment horizontal="center" vertical="top"/>
      <protection locked="0"/>
    </xf>
    <xf numFmtId="166" fontId="39" fillId="6" borderId="5" xfId="0" applyNumberFormat="1" applyFont="1" applyFill="1" applyBorder="1" applyAlignment="1" applyProtection="1">
      <alignment horizontal="center" vertical="top" wrapText="1"/>
      <protection locked="0"/>
    </xf>
    <xf numFmtId="166" fontId="39" fillId="6" borderId="16" xfId="0" applyNumberFormat="1" applyFont="1" applyFill="1" applyBorder="1" applyAlignment="1" applyProtection="1">
      <alignment horizontal="center" vertical="top" wrapText="1"/>
      <protection locked="0"/>
    </xf>
    <xf numFmtId="166" fontId="39" fillId="6" borderId="18" xfId="0" applyNumberFormat="1" applyFont="1" applyFill="1" applyBorder="1" applyAlignment="1" applyProtection="1">
      <alignment horizontal="center" vertical="top" wrapText="1"/>
      <protection locked="0"/>
    </xf>
    <xf numFmtId="0" fontId="28" fillId="7" borderId="5" xfId="0" applyFont="1" applyFill="1" applyBorder="1" applyAlignment="1" applyProtection="1">
      <alignment horizontal="left" vertical="top" wrapText="1"/>
      <protection locked="0"/>
    </xf>
    <xf numFmtId="0" fontId="28" fillId="7" borderId="16" xfId="0" applyFont="1" applyFill="1" applyBorder="1" applyAlignment="1" applyProtection="1">
      <alignment horizontal="left" vertical="top" wrapText="1"/>
      <protection locked="0"/>
    </xf>
    <xf numFmtId="0" fontId="28" fillId="7" borderId="18" xfId="0" applyFont="1" applyFill="1" applyBorder="1" applyAlignment="1" applyProtection="1">
      <alignment horizontal="left" vertical="top" wrapText="1"/>
      <protection locked="0"/>
    </xf>
    <xf numFmtId="0" fontId="28" fillId="7" borderId="8" xfId="0" applyFont="1" applyFill="1" applyBorder="1" applyAlignment="1" applyProtection="1">
      <alignment horizontal="left" vertical="top" wrapText="1"/>
      <protection locked="0"/>
    </xf>
    <xf numFmtId="0" fontId="28" fillId="7" borderId="52" xfId="0" applyFont="1" applyFill="1" applyBorder="1" applyAlignment="1" applyProtection="1">
      <alignment horizontal="left" vertical="top" wrapText="1"/>
      <protection locked="0"/>
    </xf>
    <xf numFmtId="0" fontId="28" fillId="7" borderId="11" xfId="0" applyFont="1" applyFill="1" applyBorder="1" applyAlignment="1" applyProtection="1">
      <alignment horizontal="left" vertical="top" wrapText="1"/>
      <protection locked="0"/>
    </xf>
    <xf numFmtId="0" fontId="28" fillId="7" borderId="9" xfId="0" applyFont="1" applyFill="1" applyBorder="1" applyAlignment="1" applyProtection="1">
      <alignment horizontal="left" vertical="top" wrapText="1"/>
      <protection locked="0"/>
    </xf>
    <xf numFmtId="0" fontId="28" fillId="7" borderId="2" xfId="0" applyFont="1" applyFill="1" applyBorder="1" applyAlignment="1" applyProtection="1">
      <alignment horizontal="left" vertical="top" wrapText="1"/>
      <protection locked="0"/>
    </xf>
    <xf numFmtId="0" fontId="28" fillId="7" borderId="7" xfId="0" applyFont="1" applyFill="1" applyBorder="1" applyAlignment="1" applyProtection="1">
      <alignment horizontal="left" vertical="top" wrapText="1"/>
      <protection locked="0"/>
    </xf>
    <xf numFmtId="0" fontId="28" fillId="7" borderId="6" xfId="0" applyFont="1" applyFill="1" applyBorder="1" applyAlignment="1" applyProtection="1">
      <alignment vertical="top"/>
      <protection locked="0"/>
    </xf>
    <xf numFmtId="0" fontId="28" fillId="7" borderId="6" xfId="0" applyFont="1" applyFill="1" applyBorder="1" applyAlignment="1" applyProtection="1">
      <alignment horizontal="left" vertical="top"/>
      <protection locked="0"/>
    </xf>
    <xf numFmtId="0" fontId="13" fillId="0" borderId="0" xfId="0" applyFont="1" applyAlignment="1" applyProtection="1">
      <alignment horizontal="left" vertical="top"/>
      <protection locked="0"/>
    </xf>
    <xf numFmtId="0" fontId="13" fillId="0" borderId="0" xfId="0" applyFont="1" applyAlignment="1" applyProtection="1">
      <alignment horizontal="right" vertical="top"/>
      <protection locked="0"/>
    </xf>
    <xf numFmtId="0" fontId="25" fillId="3" borderId="2" xfId="0" applyFont="1" applyFill="1" applyBorder="1" applyAlignment="1">
      <alignment horizontal="center" vertical="top"/>
    </xf>
    <xf numFmtId="0" fontId="25" fillId="3" borderId="7" xfId="0" applyFont="1" applyFill="1" applyBorder="1" applyAlignment="1">
      <alignment horizontal="center" vertical="top"/>
    </xf>
    <xf numFmtId="0" fontId="25" fillId="0" borderId="35" xfId="0" applyFont="1" applyBorder="1" applyAlignment="1" applyProtection="1">
      <alignment horizontal="left" vertical="top"/>
      <protection locked="0"/>
    </xf>
    <xf numFmtId="0" fontId="25" fillId="0" borderId="36" xfId="0" applyFont="1" applyBorder="1" applyAlignment="1" applyProtection="1">
      <alignment horizontal="left" vertical="top"/>
      <protection locked="0"/>
    </xf>
    <xf numFmtId="0" fontId="25" fillId="0" borderId="37" xfId="0" applyFont="1" applyBorder="1" applyAlignment="1" applyProtection="1">
      <alignment horizontal="left" vertical="top"/>
      <protection locked="0"/>
    </xf>
    <xf numFmtId="0" fontId="13" fillId="0" borderId="30" xfId="0" applyFont="1" applyBorder="1" applyAlignment="1" applyProtection="1">
      <alignment horizontal="left" vertical="top"/>
      <protection locked="0"/>
    </xf>
    <xf numFmtId="0" fontId="13" fillId="0" borderId="6" xfId="0" applyFont="1" applyBorder="1" applyAlignment="1" applyProtection="1">
      <alignment horizontal="left" vertical="top"/>
      <protection locked="0"/>
    </xf>
    <xf numFmtId="0" fontId="13" fillId="0" borderId="5" xfId="0" applyFont="1" applyBorder="1" applyAlignment="1" applyProtection="1">
      <alignment horizontal="left" vertical="top"/>
      <protection locked="0"/>
    </xf>
    <xf numFmtId="0" fontId="13" fillId="0" borderId="12" xfId="0" applyFont="1" applyBorder="1" applyAlignment="1" applyProtection="1">
      <alignment horizontal="left" vertical="center"/>
      <protection locked="0"/>
    </xf>
    <xf numFmtId="0" fontId="13" fillId="0" borderId="8" xfId="0" applyFont="1" applyBorder="1" applyAlignment="1" applyProtection="1">
      <alignment horizontal="left" vertical="center"/>
      <protection locked="0"/>
    </xf>
    <xf numFmtId="0" fontId="13" fillId="0" borderId="39" xfId="0" applyFont="1" applyBorder="1" applyAlignment="1" applyProtection="1">
      <alignment horizontal="left" vertical="top"/>
      <protection locked="0"/>
    </xf>
    <xf numFmtId="0" fontId="13" fillId="0" borderId="12" xfId="0" applyFont="1" applyBorder="1" applyAlignment="1" applyProtection="1">
      <alignment horizontal="left" vertical="top"/>
      <protection locked="0"/>
    </xf>
    <xf numFmtId="0" fontId="13" fillId="0" borderId="8" xfId="0" applyFont="1" applyBorder="1" applyAlignment="1" applyProtection="1">
      <alignment horizontal="left" vertical="top"/>
      <protection locked="0"/>
    </xf>
    <xf numFmtId="0" fontId="39" fillId="0" borderId="58" xfId="0" applyFont="1" applyBorder="1" applyAlignment="1" applyProtection="1">
      <alignment horizontal="center" vertical="top"/>
      <protection locked="0"/>
    </xf>
    <xf numFmtId="0" fontId="13" fillId="0" borderId="59" xfId="0" applyFont="1" applyBorder="1" applyAlignment="1" applyProtection="1">
      <alignment horizontal="center" vertical="top"/>
      <protection locked="0"/>
    </xf>
    <xf numFmtId="0" fontId="13" fillId="0" borderId="60" xfId="0" applyFont="1" applyBorder="1" applyAlignment="1" applyProtection="1">
      <alignment horizontal="center" vertical="top"/>
      <protection locked="0"/>
    </xf>
    <xf numFmtId="0" fontId="13" fillId="0" borderId="40" xfId="0" applyFont="1" applyBorder="1" applyAlignment="1" applyProtection="1">
      <alignment horizontal="left" vertical="top"/>
      <protection locked="0"/>
    </xf>
    <xf numFmtId="0" fontId="13" fillId="0" borderId="41" xfId="0" applyFont="1" applyBorder="1" applyAlignment="1" applyProtection="1">
      <alignment horizontal="left" vertical="top"/>
      <protection locked="0"/>
    </xf>
    <xf numFmtId="0" fontId="13" fillId="0" borderId="42" xfId="0" applyFont="1" applyBorder="1" applyAlignment="1" applyProtection="1">
      <alignment horizontal="left" vertical="top"/>
      <protection locked="0"/>
    </xf>
    <xf numFmtId="0" fontId="13" fillId="0" borderId="31" xfId="0" applyFont="1" applyBorder="1" applyAlignment="1" applyProtection="1">
      <alignment horizontal="left" vertical="top"/>
      <protection locked="0"/>
    </xf>
    <xf numFmtId="2" fontId="25" fillId="5" borderId="35" xfId="0" applyNumberFormat="1" applyFont="1" applyFill="1" applyBorder="1" applyAlignment="1">
      <alignment horizontal="center" vertical="top"/>
    </xf>
    <xf numFmtId="2" fontId="25" fillId="5" borderId="36" xfId="0" applyNumberFormat="1" applyFont="1" applyFill="1" applyBorder="1" applyAlignment="1">
      <alignment horizontal="center" vertical="top"/>
    </xf>
    <xf numFmtId="2" fontId="25" fillId="5" borderId="37" xfId="0" applyNumberFormat="1" applyFont="1" applyFill="1" applyBorder="1" applyAlignment="1">
      <alignment horizontal="center" vertical="top"/>
    </xf>
    <xf numFmtId="2" fontId="25" fillId="5" borderId="30" xfId="0" applyNumberFormat="1" applyFont="1" applyFill="1" applyBorder="1" applyAlignment="1">
      <alignment horizontal="center" vertical="top"/>
    </xf>
    <xf numFmtId="2" fontId="25" fillId="5" borderId="6" xfId="0" applyNumberFormat="1" applyFont="1" applyFill="1" applyBorder="1" applyAlignment="1">
      <alignment horizontal="center" vertical="top"/>
    </xf>
    <xf numFmtId="2" fontId="25" fillId="5" borderId="31" xfId="0" applyNumberFormat="1" applyFont="1" applyFill="1" applyBorder="1" applyAlignment="1">
      <alignment horizontal="center" vertical="top"/>
    </xf>
    <xf numFmtId="2" fontId="25" fillId="4" borderId="30" xfId="0" applyNumberFormat="1" applyFont="1" applyFill="1" applyBorder="1" applyAlignment="1" applyProtection="1">
      <alignment horizontal="center" vertical="top"/>
      <protection locked="0"/>
    </xf>
    <xf numFmtId="2" fontId="25" fillId="4" borderId="6" xfId="0" applyNumberFormat="1" applyFont="1" applyFill="1" applyBorder="1" applyAlignment="1" applyProtection="1">
      <alignment horizontal="center" vertical="top"/>
      <protection locked="0"/>
    </xf>
    <xf numFmtId="2" fontId="25" fillId="4" borderId="31" xfId="0" applyNumberFormat="1" applyFont="1" applyFill="1" applyBorder="1" applyAlignment="1" applyProtection="1">
      <alignment horizontal="center" vertical="top"/>
      <protection locked="0"/>
    </xf>
    <xf numFmtId="0" fontId="39" fillId="0" borderId="43" xfId="0" applyFont="1" applyBorder="1" applyAlignment="1" applyProtection="1">
      <alignment horizontal="center" vertical="top"/>
      <protection locked="0"/>
    </xf>
    <xf numFmtId="0" fontId="39" fillId="0" borderId="44" xfId="0" applyFont="1" applyBorder="1" applyAlignment="1" applyProtection="1">
      <alignment horizontal="center" vertical="top"/>
      <protection locked="0"/>
    </xf>
    <xf numFmtId="0" fontId="39" fillId="0" borderId="45" xfId="0" applyFont="1" applyBorder="1" applyAlignment="1" applyProtection="1">
      <alignment horizontal="center" vertical="top"/>
      <protection locked="0"/>
    </xf>
    <xf numFmtId="0" fontId="25" fillId="4" borderId="40" xfId="0" quotePrefix="1" applyFont="1" applyFill="1" applyBorder="1" applyAlignment="1" applyProtection="1">
      <alignment horizontal="center" vertical="top"/>
      <protection locked="0"/>
    </xf>
    <xf numFmtId="0" fontId="25" fillId="4" borderId="41" xfId="0" applyFont="1" applyFill="1" applyBorder="1" applyAlignment="1" applyProtection="1">
      <alignment horizontal="center" vertical="top"/>
      <protection locked="0"/>
    </xf>
    <xf numFmtId="0" fontId="25" fillId="4" borderId="42" xfId="0" applyFont="1" applyFill="1" applyBorder="1" applyAlignment="1" applyProtection="1">
      <alignment horizontal="center" vertical="top"/>
      <protection locked="0"/>
    </xf>
    <xf numFmtId="1" fontId="25" fillId="4" borderId="30" xfId="0" applyNumberFormat="1" applyFont="1" applyFill="1" applyBorder="1" applyAlignment="1" applyProtection="1">
      <alignment horizontal="center" vertical="top"/>
      <protection locked="0"/>
    </xf>
    <xf numFmtId="1" fontId="25" fillId="4" borderId="6" xfId="0" applyNumberFormat="1" applyFont="1" applyFill="1" applyBorder="1" applyAlignment="1" applyProtection="1">
      <alignment horizontal="center" vertical="top"/>
      <protection locked="0"/>
    </xf>
    <xf numFmtId="1" fontId="25" fillId="4" borderId="31" xfId="0" applyNumberFormat="1" applyFont="1" applyFill="1" applyBorder="1" applyAlignment="1" applyProtection="1">
      <alignment horizontal="center" vertical="top"/>
      <protection locked="0"/>
    </xf>
    <xf numFmtId="0" fontId="25" fillId="4" borderId="30" xfId="0" applyFont="1" applyFill="1" applyBorder="1" applyAlignment="1" applyProtection="1">
      <alignment horizontal="center" vertical="top"/>
      <protection locked="0"/>
    </xf>
    <xf numFmtId="0" fontId="25" fillId="4" borderId="6" xfId="0" applyFont="1" applyFill="1" applyBorder="1" applyAlignment="1" applyProtection="1">
      <alignment horizontal="center" vertical="top"/>
      <protection locked="0"/>
    </xf>
    <xf numFmtId="0" fontId="25" fillId="4" borderId="31" xfId="0" applyFont="1" applyFill="1" applyBorder="1" applyAlignment="1" applyProtection="1">
      <alignment horizontal="center" vertical="top"/>
      <protection locked="0"/>
    </xf>
    <xf numFmtId="166" fontId="25" fillId="5" borderId="30" xfId="0" applyNumberFormat="1" applyFont="1" applyFill="1" applyBorder="1" applyAlignment="1">
      <alignment horizontal="center" vertical="top"/>
    </xf>
    <xf numFmtId="166" fontId="25" fillId="5" borderId="6" xfId="0" applyNumberFormat="1" applyFont="1" applyFill="1" applyBorder="1" applyAlignment="1">
      <alignment horizontal="center" vertical="top"/>
    </xf>
    <xf numFmtId="166" fontId="25" fillId="5" borderId="31" xfId="0" applyNumberFormat="1" applyFont="1" applyFill="1" applyBorder="1" applyAlignment="1">
      <alignment horizontal="center" vertical="top"/>
    </xf>
    <xf numFmtId="2" fontId="25" fillId="5" borderId="40" xfId="0" applyNumberFormat="1" applyFont="1" applyFill="1" applyBorder="1" applyAlignment="1">
      <alignment horizontal="center" vertical="top"/>
    </xf>
    <xf numFmtId="2" fontId="25" fillId="5" borderId="41" xfId="0" applyNumberFormat="1" applyFont="1" applyFill="1" applyBorder="1" applyAlignment="1">
      <alignment horizontal="center" vertical="top"/>
    </xf>
    <xf numFmtId="2" fontId="25" fillId="5" borderId="42" xfId="0" applyNumberFormat="1" applyFont="1" applyFill="1" applyBorder="1" applyAlignment="1">
      <alignment horizontal="center" vertical="top"/>
    </xf>
    <xf numFmtId="0" fontId="25" fillId="5" borderId="39" xfId="0" applyFont="1" applyFill="1" applyBorder="1" applyAlignment="1">
      <alignment horizontal="center" vertical="top"/>
    </xf>
    <xf numFmtId="0" fontId="25" fillId="5" borderId="12" xfId="0" applyFont="1" applyFill="1" applyBorder="1" applyAlignment="1">
      <alignment horizontal="center" vertical="top"/>
    </xf>
    <xf numFmtId="0" fontId="25" fillId="5" borderId="38" xfId="0" applyFont="1" applyFill="1" applyBorder="1" applyAlignment="1">
      <alignment horizontal="center" vertical="top"/>
    </xf>
    <xf numFmtId="2" fontId="25" fillId="8" borderId="53" xfId="0" applyNumberFormat="1" applyFont="1" applyFill="1" applyBorder="1" applyAlignment="1" applyProtection="1">
      <alignment horizontal="center" vertical="top"/>
      <protection locked="0"/>
    </xf>
    <xf numFmtId="2" fontId="25" fillId="8" borderId="16" xfId="0" applyNumberFormat="1" applyFont="1" applyFill="1" applyBorder="1" applyAlignment="1" applyProtection="1">
      <alignment horizontal="center" vertical="top"/>
      <protection locked="0"/>
    </xf>
    <xf numFmtId="2" fontId="25" fillId="8" borderId="54" xfId="0" applyNumberFormat="1" applyFont="1" applyFill="1" applyBorder="1" applyAlignment="1" applyProtection="1">
      <alignment horizontal="center" vertical="top"/>
      <protection locked="0"/>
    </xf>
    <xf numFmtId="0" fontId="43" fillId="6" borderId="35" xfId="0" applyFont="1" applyFill="1" applyBorder="1" applyAlignment="1">
      <alignment horizontal="center" vertical="center" wrapText="1"/>
    </xf>
    <xf numFmtId="0" fontId="43" fillId="6" borderId="36" xfId="0" applyFont="1" applyFill="1" applyBorder="1" applyAlignment="1">
      <alignment horizontal="center" vertical="center" wrapText="1"/>
    </xf>
    <xf numFmtId="0" fontId="43" fillId="6" borderId="37" xfId="0" applyFont="1" applyFill="1" applyBorder="1" applyAlignment="1">
      <alignment horizontal="center" vertical="center" wrapText="1"/>
    </xf>
    <xf numFmtId="0" fontId="13" fillId="0" borderId="53" xfId="0" applyFont="1" applyBorder="1" applyAlignment="1" applyProtection="1">
      <alignment vertical="top"/>
      <protection locked="0"/>
    </xf>
    <xf numFmtId="0" fontId="13" fillId="0" borderId="16" xfId="0" applyFont="1" applyBorder="1" applyAlignment="1" applyProtection="1">
      <alignment vertical="top"/>
      <protection locked="0"/>
    </xf>
    <xf numFmtId="166" fontId="25" fillId="8" borderId="53" xfId="0" applyNumberFormat="1" applyFont="1" applyFill="1" applyBorder="1" applyAlignment="1" applyProtection="1">
      <alignment horizontal="center" vertical="top"/>
      <protection locked="0"/>
    </xf>
    <xf numFmtId="166" fontId="25" fillId="8" borderId="16" xfId="0" applyNumberFormat="1" applyFont="1" applyFill="1" applyBorder="1" applyAlignment="1" applyProtection="1">
      <alignment horizontal="center" vertical="top"/>
      <protection locked="0"/>
    </xf>
    <xf numFmtId="166" fontId="25" fillId="8" borderId="54" xfId="0" applyNumberFormat="1" applyFont="1" applyFill="1" applyBorder="1" applyAlignment="1" applyProtection="1">
      <alignment horizontal="center" vertical="top"/>
      <protection locked="0"/>
    </xf>
    <xf numFmtId="0" fontId="34" fillId="0" borderId="1" xfId="0" applyFont="1" applyBorder="1" applyAlignment="1" applyProtection="1">
      <alignment horizontal="center" vertical="top"/>
      <protection locked="0"/>
    </xf>
    <xf numFmtId="0" fontId="34" fillId="0" borderId="3" xfId="0" applyFont="1" applyBorder="1" applyAlignment="1" applyProtection="1">
      <alignment horizontal="center" vertical="top"/>
      <protection locked="0"/>
    </xf>
    <xf numFmtId="0" fontId="13" fillId="0" borderId="43" xfId="0" applyFont="1" applyBorder="1" applyAlignment="1" applyProtection="1">
      <alignment horizontal="left" vertical="top"/>
      <protection locked="0"/>
    </xf>
    <xf numFmtId="0" fontId="13" fillId="0" borderId="44" xfId="0" applyFont="1" applyBorder="1" applyAlignment="1" applyProtection="1">
      <alignment horizontal="left" vertical="top"/>
      <protection locked="0"/>
    </xf>
    <xf numFmtId="0" fontId="13" fillId="0" borderId="55" xfId="0" applyFont="1" applyBorder="1" applyAlignment="1" applyProtection="1">
      <alignment horizontal="left" vertical="top"/>
      <protection locked="0"/>
    </xf>
    <xf numFmtId="0" fontId="13" fillId="0" borderId="61" xfId="0" applyFont="1" applyBorder="1" applyAlignment="1" applyProtection="1">
      <alignment horizontal="left" vertical="top"/>
      <protection locked="0"/>
    </xf>
    <xf numFmtId="0" fontId="34" fillId="4" borderId="43" xfId="0" applyFont="1" applyFill="1" applyBorder="1" applyAlignment="1" applyProtection="1">
      <alignment horizontal="center" vertical="top"/>
      <protection locked="0"/>
    </xf>
    <xf numFmtId="0" fontId="34" fillId="4" borderId="44" xfId="0" applyFont="1" applyFill="1" applyBorder="1" applyAlignment="1" applyProtection="1">
      <alignment horizontal="center" vertical="top"/>
      <protection locked="0"/>
    </xf>
    <xf numFmtId="0" fontId="34" fillId="4" borderId="45" xfId="0" applyFont="1" applyFill="1" applyBorder="1" applyAlignment="1" applyProtection="1">
      <alignment horizontal="center" vertical="top"/>
      <protection locked="0"/>
    </xf>
    <xf numFmtId="0" fontId="42" fillId="0" borderId="0" xfId="0" applyFont="1" applyAlignment="1" applyProtection="1">
      <alignment horizontal="center" vertical="top"/>
      <protection locked="0"/>
    </xf>
    <xf numFmtId="0" fontId="42" fillId="0" borderId="3" xfId="0" applyFont="1" applyBorder="1" applyAlignment="1" applyProtection="1">
      <alignment horizontal="center" vertical="top"/>
      <protection locked="0"/>
    </xf>
    <xf numFmtId="167" fontId="25" fillId="5" borderId="30" xfId="0" applyNumberFormat="1" applyFont="1" applyFill="1" applyBorder="1" applyAlignment="1">
      <alignment horizontal="center" vertical="top" wrapText="1"/>
    </xf>
    <xf numFmtId="167" fontId="25" fillId="5" borderId="6" xfId="0" applyNumberFormat="1" applyFont="1" applyFill="1" applyBorder="1" applyAlignment="1">
      <alignment horizontal="center" vertical="top" wrapText="1"/>
    </xf>
    <xf numFmtId="167" fontId="25" fillId="5" borderId="31" xfId="0" applyNumberFormat="1" applyFont="1" applyFill="1" applyBorder="1" applyAlignment="1">
      <alignment horizontal="center" vertical="top" wrapText="1"/>
    </xf>
    <xf numFmtId="169" fontId="25" fillId="5" borderId="30" xfId="0" applyNumberFormat="1" applyFont="1" applyFill="1" applyBorder="1" applyAlignment="1">
      <alignment horizontal="center" vertical="top"/>
    </xf>
    <xf numFmtId="169" fontId="25" fillId="5" borderId="6" xfId="0" applyNumberFormat="1" applyFont="1" applyFill="1" applyBorder="1" applyAlignment="1">
      <alignment horizontal="center" vertical="top"/>
    </xf>
    <xf numFmtId="169" fontId="25" fillId="5" borderId="31" xfId="0" applyNumberFormat="1" applyFont="1" applyFill="1" applyBorder="1" applyAlignment="1">
      <alignment horizontal="center" vertical="top"/>
    </xf>
    <xf numFmtId="1" fontId="25" fillId="5" borderId="30" xfId="0" applyNumberFormat="1" applyFont="1" applyFill="1" applyBorder="1" applyAlignment="1">
      <alignment horizontal="center" vertical="top"/>
    </xf>
    <xf numFmtId="1" fontId="25" fillId="5" borderId="6" xfId="0" applyNumberFormat="1" applyFont="1" applyFill="1" applyBorder="1" applyAlignment="1">
      <alignment horizontal="center" vertical="top"/>
    </xf>
    <xf numFmtId="1" fontId="25" fillId="5" borderId="31" xfId="0" applyNumberFormat="1" applyFont="1" applyFill="1" applyBorder="1" applyAlignment="1">
      <alignment horizontal="center" vertical="top"/>
    </xf>
    <xf numFmtId="1" fontId="25" fillId="4" borderId="18" xfId="0" applyNumberFormat="1" applyFont="1" applyFill="1" applyBorder="1" applyAlignment="1" applyProtection="1">
      <alignment horizontal="center" vertical="top"/>
      <protection locked="0"/>
    </xf>
    <xf numFmtId="0" fontId="39" fillId="0" borderId="32" xfId="0" applyFont="1" applyBorder="1" applyAlignment="1" applyProtection="1">
      <alignment horizontal="center" vertical="top"/>
      <protection locked="0"/>
    </xf>
    <xf numFmtId="0" fontId="39" fillId="0" borderId="33" xfId="0" applyFont="1" applyBorder="1" applyAlignment="1" applyProtection="1">
      <alignment horizontal="center" vertical="top"/>
      <protection locked="0"/>
    </xf>
    <xf numFmtId="0" fontId="39" fillId="0" borderId="34" xfId="0" applyFont="1" applyBorder="1" applyAlignment="1" applyProtection="1">
      <alignment horizontal="center" vertical="top"/>
      <protection locked="0"/>
    </xf>
    <xf numFmtId="0" fontId="34" fillId="4" borderId="32" xfId="0" applyFont="1" applyFill="1" applyBorder="1" applyAlignment="1" applyProtection="1">
      <alignment horizontal="center" vertical="top"/>
      <protection locked="0"/>
    </xf>
    <xf numFmtId="0" fontId="34" fillId="4" borderId="33" xfId="0" applyFont="1" applyFill="1" applyBorder="1" applyAlignment="1" applyProtection="1">
      <alignment horizontal="center" vertical="top"/>
      <protection locked="0"/>
    </xf>
    <xf numFmtId="0" fontId="34" fillId="4" borderId="34" xfId="0" applyFont="1" applyFill="1" applyBorder="1" applyAlignment="1" applyProtection="1">
      <alignment horizontal="center" vertical="top"/>
      <protection locked="0"/>
    </xf>
    <xf numFmtId="166" fontId="25" fillId="4" borderId="18" xfId="0" applyNumberFormat="1" applyFont="1" applyFill="1" applyBorder="1" applyAlignment="1" applyProtection="1">
      <alignment horizontal="center" vertical="top"/>
      <protection locked="0"/>
    </xf>
    <xf numFmtId="166" fontId="25" fillId="4" borderId="6" xfId="0" applyNumberFormat="1" applyFont="1" applyFill="1" applyBorder="1" applyAlignment="1" applyProtection="1">
      <alignment horizontal="center" vertical="top"/>
      <protection locked="0"/>
    </xf>
    <xf numFmtId="166" fontId="25" fillId="4" borderId="31" xfId="0" applyNumberFormat="1" applyFont="1" applyFill="1" applyBorder="1" applyAlignment="1" applyProtection="1">
      <alignment horizontal="center" vertical="top"/>
      <protection locked="0"/>
    </xf>
    <xf numFmtId="2" fontId="25" fillId="4" borderId="18" xfId="0" applyNumberFormat="1" applyFont="1" applyFill="1" applyBorder="1" applyAlignment="1" applyProtection="1">
      <alignment horizontal="center" vertical="top"/>
      <protection locked="0"/>
    </xf>
    <xf numFmtId="0" fontId="13" fillId="0" borderId="38" xfId="0" applyFont="1" applyBorder="1" applyAlignment="1" applyProtection="1">
      <alignment horizontal="left" vertical="top"/>
      <protection locked="0"/>
    </xf>
    <xf numFmtId="166" fontId="25" fillId="5" borderId="18" xfId="0" applyNumberFormat="1" applyFont="1" applyFill="1" applyBorder="1" applyAlignment="1">
      <alignment horizontal="center" vertical="top"/>
    </xf>
    <xf numFmtId="2" fontId="25" fillId="5" borderId="18" xfId="0" applyNumberFormat="1" applyFont="1" applyFill="1" applyBorder="1" applyAlignment="1">
      <alignment horizontal="center" vertical="top"/>
    </xf>
    <xf numFmtId="0" fontId="25" fillId="4" borderId="47" xfId="0" quotePrefix="1" applyFont="1" applyFill="1" applyBorder="1" applyAlignment="1" applyProtection="1">
      <alignment horizontal="center" vertical="top"/>
      <protection locked="0"/>
    </xf>
    <xf numFmtId="0" fontId="13" fillId="0" borderId="32" xfId="0" applyFont="1" applyBorder="1" applyAlignment="1" applyProtection="1">
      <alignment horizontal="center" vertical="top"/>
      <protection locked="0"/>
    </xf>
    <xf numFmtId="0" fontId="13" fillId="0" borderId="33" xfId="0" applyFont="1" applyBorder="1" applyAlignment="1" applyProtection="1">
      <alignment horizontal="center" vertical="top"/>
      <protection locked="0"/>
    </xf>
    <xf numFmtId="0" fontId="13" fillId="0" borderId="34" xfId="0" applyFont="1" applyBorder="1" applyAlignment="1" applyProtection="1">
      <alignment horizontal="center" vertical="top"/>
      <protection locked="0"/>
    </xf>
    <xf numFmtId="0" fontId="42" fillId="0" borderId="26" xfId="0" applyFont="1" applyBorder="1" applyAlignment="1" applyProtection="1">
      <alignment horizontal="center" vertical="top"/>
      <protection locked="0"/>
    </xf>
    <xf numFmtId="167" fontId="25" fillId="5" borderId="30" xfId="0" applyNumberFormat="1" applyFont="1" applyFill="1" applyBorder="1" applyAlignment="1">
      <alignment horizontal="center" vertical="top"/>
    </xf>
    <xf numFmtId="167" fontId="25" fillId="5" borderId="6" xfId="0" applyNumberFormat="1" applyFont="1" applyFill="1" applyBorder="1" applyAlignment="1">
      <alignment horizontal="center" vertical="top"/>
    </xf>
    <xf numFmtId="167" fontId="25" fillId="5" borderId="31" xfId="0" applyNumberFormat="1" applyFont="1" applyFill="1" applyBorder="1" applyAlignment="1">
      <alignment horizontal="center" vertical="top"/>
    </xf>
    <xf numFmtId="0" fontId="25" fillId="4" borderId="18" xfId="0" applyFont="1" applyFill="1" applyBorder="1" applyAlignment="1" applyProtection="1">
      <alignment horizontal="center" vertical="top"/>
      <protection locked="0"/>
    </xf>
    <xf numFmtId="0" fontId="25" fillId="5" borderId="11" xfId="0" applyFont="1" applyFill="1" applyBorder="1" applyAlignment="1">
      <alignment horizontal="center" vertical="top"/>
    </xf>
    <xf numFmtId="166" fontId="25" fillId="5" borderId="40" xfId="0" applyNumberFormat="1" applyFont="1" applyFill="1" applyBorder="1" applyAlignment="1">
      <alignment horizontal="center"/>
    </xf>
    <xf numFmtId="166" fontId="25" fillId="5" borderId="41" xfId="0" applyNumberFormat="1" applyFont="1" applyFill="1" applyBorder="1" applyAlignment="1">
      <alignment horizontal="center"/>
    </xf>
    <xf numFmtId="166" fontId="25" fillId="5" borderId="42" xfId="0" applyNumberFormat="1" applyFont="1" applyFill="1" applyBorder="1" applyAlignment="1">
      <alignment horizontal="center"/>
    </xf>
    <xf numFmtId="0" fontId="25" fillId="4" borderId="41" xfId="0" quotePrefix="1" applyFont="1" applyFill="1" applyBorder="1" applyAlignment="1" applyProtection="1">
      <alignment horizontal="center" vertical="top"/>
      <protection locked="0"/>
    </xf>
    <xf numFmtId="0" fontId="13" fillId="4" borderId="18" xfId="0" applyFont="1" applyFill="1" applyBorder="1" applyAlignment="1" applyProtection="1">
      <alignment horizontal="center" vertical="top"/>
      <protection locked="0"/>
    </xf>
    <xf numFmtId="0" fontId="13" fillId="4" borderId="6" xfId="0" applyFont="1" applyFill="1" applyBorder="1" applyAlignment="1" applyProtection="1">
      <alignment horizontal="center" vertical="top"/>
      <protection locked="0"/>
    </xf>
    <xf numFmtId="0" fontId="13" fillId="4" borderId="31" xfId="0" applyFont="1" applyFill="1" applyBorder="1" applyAlignment="1" applyProtection="1">
      <alignment horizontal="center" vertical="top"/>
      <protection locked="0"/>
    </xf>
    <xf numFmtId="11" fontId="25" fillId="4" borderId="18" xfId="0" applyNumberFormat="1" applyFont="1" applyFill="1" applyBorder="1" applyAlignment="1" applyProtection="1">
      <alignment horizontal="center" vertical="top"/>
      <protection locked="0"/>
    </xf>
    <xf numFmtId="11" fontId="25" fillId="4" borderId="6" xfId="0" applyNumberFormat="1" applyFont="1" applyFill="1" applyBorder="1" applyAlignment="1" applyProtection="1">
      <alignment horizontal="center" vertical="top"/>
      <protection locked="0"/>
    </xf>
    <xf numFmtId="11" fontId="25" fillId="4" borderId="31" xfId="0" applyNumberFormat="1" applyFont="1" applyFill="1" applyBorder="1" applyAlignment="1" applyProtection="1">
      <alignment horizontal="center" vertical="top"/>
      <protection locked="0"/>
    </xf>
    <xf numFmtId="168" fontId="25" fillId="4" borderId="18" xfId="0" applyNumberFormat="1" applyFont="1" applyFill="1" applyBorder="1" applyAlignment="1" applyProtection="1">
      <alignment horizontal="center" vertical="top"/>
      <protection locked="0"/>
    </xf>
    <xf numFmtId="168" fontId="25" fillId="4" borderId="6" xfId="0" applyNumberFormat="1" applyFont="1" applyFill="1" applyBorder="1" applyAlignment="1" applyProtection="1">
      <alignment horizontal="center" vertical="top"/>
      <protection locked="0"/>
    </xf>
    <xf numFmtId="168" fontId="25" fillId="4" borderId="31" xfId="0" applyNumberFormat="1" applyFont="1" applyFill="1" applyBorder="1" applyAlignment="1" applyProtection="1">
      <alignment horizontal="center" vertical="top"/>
      <protection locked="0"/>
    </xf>
    <xf numFmtId="0" fontId="44" fillId="6" borderId="6" xfId="0" applyFont="1" applyFill="1" applyBorder="1" applyAlignment="1">
      <alignment horizontal="center" vertical="center" wrapText="1"/>
    </xf>
    <xf numFmtId="0" fontId="44" fillId="6" borderId="36" xfId="0" applyFont="1" applyFill="1" applyBorder="1" applyAlignment="1">
      <alignment horizontal="center" vertical="center" wrapText="1"/>
    </xf>
    <xf numFmtId="0" fontId="30" fillId="2" borderId="0" xfId="0" applyFont="1" applyFill="1" applyAlignment="1" applyProtection="1">
      <alignment horizontal="center" wrapText="1"/>
      <protection locked="0"/>
    </xf>
    <xf numFmtId="2" fontId="42" fillId="5" borderId="62" xfId="0" applyNumberFormat="1" applyFont="1" applyFill="1" applyBorder="1" applyAlignment="1">
      <alignment horizontal="center" vertical="top" wrapText="1"/>
    </xf>
    <xf numFmtId="2" fontId="42" fillId="5" borderId="56" xfId="0" applyNumberFormat="1" applyFont="1" applyFill="1" applyBorder="1" applyAlignment="1">
      <alignment horizontal="center" vertical="top" wrapText="1"/>
    </xf>
    <xf numFmtId="2" fontId="42" fillId="5" borderId="63" xfId="0" applyNumberFormat="1" applyFont="1" applyFill="1" applyBorder="1" applyAlignment="1">
      <alignment horizontal="center" vertical="top" wrapText="1"/>
    </xf>
    <xf numFmtId="0" fontId="13" fillId="0" borderId="65" xfId="0" applyFont="1" applyBorder="1" applyAlignment="1" applyProtection="1">
      <alignment horizontal="left" vertical="center"/>
      <protection locked="0"/>
    </xf>
    <xf numFmtId="0" fontId="13" fillId="0" borderId="52" xfId="0" applyFont="1" applyBorder="1" applyAlignment="1" applyProtection="1">
      <alignment horizontal="left" vertical="center"/>
      <protection locked="0"/>
    </xf>
    <xf numFmtId="0" fontId="13" fillId="0" borderId="11" xfId="0" applyFont="1" applyBorder="1" applyAlignment="1" applyProtection="1">
      <alignment horizontal="left" vertical="center"/>
      <protection locked="0"/>
    </xf>
    <xf numFmtId="0" fontId="13" fillId="0" borderId="25" xfId="0" applyFont="1" applyBorder="1" applyAlignment="1" applyProtection="1">
      <alignment horizontal="left" vertical="center"/>
      <protection locked="0"/>
    </xf>
    <xf numFmtId="0" fontId="13" fillId="0" borderId="0" xfId="0" applyFont="1" applyAlignment="1" applyProtection="1">
      <alignment horizontal="left" vertical="center"/>
      <protection locked="0"/>
    </xf>
    <xf numFmtId="0" fontId="13" fillId="0" borderId="3" xfId="0" applyFont="1" applyBorder="1" applyAlignment="1" applyProtection="1">
      <alignment horizontal="left" vertical="center"/>
      <protection locked="0"/>
    </xf>
    <xf numFmtId="0" fontId="13" fillId="0" borderId="23" xfId="0" applyFont="1" applyBorder="1" applyAlignment="1" applyProtection="1">
      <alignment horizontal="left" vertical="center"/>
      <protection locked="0"/>
    </xf>
    <xf numFmtId="0" fontId="13" fillId="0" borderId="26" xfId="0" applyFont="1" applyBorder="1" applyAlignment="1" applyProtection="1">
      <alignment horizontal="left" vertical="center"/>
      <protection locked="0"/>
    </xf>
    <xf numFmtId="0" fontId="13" fillId="0" borderId="66" xfId="0" applyFont="1" applyBorder="1" applyAlignment="1" applyProtection="1">
      <alignment horizontal="left" vertical="center"/>
      <protection locked="0"/>
    </xf>
    <xf numFmtId="0" fontId="13" fillId="0" borderId="54" xfId="0" applyFont="1" applyBorder="1" applyAlignment="1" applyProtection="1">
      <alignment vertical="top"/>
      <protection locked="0"/>
    </xf>
    <xf numFmtId="166" fontId="25" fillId="8" borderId="18" xfId="0" applyNumberFormat="1" applyFont="1" applyFill="1" applyBorder="1" applyAlignment="1" applyProtection="1">
      <alignment horizontal="center" vertical="top"/>
      <protection locked="0"/>
    </xf>
    <xf numFmtId="2" fontId="25" fillId="8" borderId="18" xfId="0" applyNumberFormat="1" applyFont="1" applyFill="1" applyBorder="1" applyAlignment="1" applyProtection="1">
      <alignment horizontal="center" vertical="top"/>
      <protection locked="0"/>
    </xf>
    <xf numFmtId="166" fontId="25" fillId="8" borderId="5" xfId="0" applyNumberFormat="1" applyFont="1" applyFill="1" applyBorder="1" applyAlignment="1" applyProtection="1">
      <alignment horizontal="center" vertical="top"/>
      <protection locked="0"/>
    </xf>
    <xf numFmtId="2" fontId="25" fillId="8" borderId="5" xfId="0" applyNumberFormat="1" applyFont="1" applyFill="1" applyBorder="1" applyAlignment="1" applyProtection="1">
      <alignment horizontal="center" vertical="top"/>
      <protection locked="0"/>
    </xf>
    <xf numFmtId="166" fontId="25" fillId="4" borderId="30" xfId="0" applyNumberFormat="1" applyFont="1" applyFill="1" applyBorder="1" applyAlignment="1" applyProtection="1">
      <alignment horizontal="center" vertical="top"/>
      <protection locked="0"/>
    </xf>
    <xf numFmtId="0" fontId="39" fillId="0" borderId="30" xfId="0" applyFont="1" applyBorder="1" applyAlignment="1" applyProtection="1">
      <alignment horizontal="center" vertical="top"/>
      <protection locked="0"/>
    </xf>
    <xf numFmtId="0" fontId="39" fillId="0" borderId="12" xfId="0" applyFont="1" applyBorder="1" applyAlignment="1" applyProtection="1">
      <alignment horizontal="center" vertical="top"/>
      <protection locked="0"/>
    </xf>
    <xf numFmtId="0" fontId="39" fillId="0" borderId="38" xfId="0" applyFont="1" applyBorder="1" applyAlignment="1" applyProtection="1">
      <alignment horizontal="center" vertical="top"/>
      <protection locked="0"/>
    </xf>
    <xf numFmtId="0" fontId="25" fillId="0" borderId="49" xfId="0" applyFont="1" applyBorder="1" applyAlignment="1" applyProtection="1">
      <alignment horizontal="center" vertical="top"/>
      <protection locked="0"/>
    </xf>
    <xf numFmtId="0" fontId="25" fillId="0" borderId="50" xfId="0" applyFont="1" applyBorder="1" applyAlignment="1" applyProtection="1">
      <alignment horizontal="center" vertical="top"/>
      <protection locked="0"/>
    </xf>
    <xf numFmtId="0" fontId="25" fillId="0" borderId="51" xfId="0" applyFont="1" applyBorder="1" applyAlignment="1" applyProtection="1">
      <alignment horizontal="center" vertical="top"/>
      <protection locked="0"/>
    </xf>
    <xf numFmtId="0" fontId="35" fillId="0" borderId="26" xfId="0" applyFont="1" applyBorder="1" applyAlignment="1" applyProtection="1">
      <alignment horizontal="center" vertical="top"/>
      <protection locked="0"/>
    </xf>
    <xf numFmtId="0" fontId="19" fillId="3" borderId="25" xfId="0" applyFont="1" applyFill="1" applyBorder="1" applyAlignment="1">
      <alignment horizontal="right" vertical="center"/>
    </xf>
    <xf numFmtId="0" fontId="19" fillId="3" borderId="0" xfId="0" applyFont="1" applyFill="1" applyAlignment="1">
      <alignment horizontal="right" vertical="center"/>
    </xf>
    <xf numFmtId="0" fontId="39" fillId="0" borderId="64" xfId="0" applyFont="1" applyBorder="1" applyAlignment="1" applyProtection="1">
      <alignment horizontal="center" vertical="top"/>
      <protection locked="0"/>
    </xf>
    <xf numFmtId="0" fontId="39" fillId="0" borderId="21" xfId="0" applyFont="1" applyBorder="1" applyAlignment="1" applyProtection="1">
      <alignment horizontal="center" vertical="top"/>
      <protection locked="0"/>
    </xf>
    <xf numFmtId="0" fontId="39" fillId="0" borderId="20" xfId="0" applyFont="1" applyBorder="1" applyAlignment="1" applyProtection="1">
      <alignment horizontal="center" vertical="top"/>
      <protection locked="0"/>
    </xf>
    <xf numFmtId="0" fontId="39" fillId="0" borderId="57" xfId="0" applyFont="1" applyBorder="1" applyAlignment="1" applyProtection="1">
      <alignment horizontal="center" vertical="top"/>
      <protection locked="0"/>
    </xf>
    <xf numFmtId="0" fontId="13" fillId="0" borderId="62" xfId="0" applyFont="1" applyBorder="1" applyAlignment="1" applyProtection="1">
      <alignment horizontal="left" vertical="center"/>
      <protection locked="0"/>
    </xf>
    <xf numFmtId="0" fontId="13" fillId="0" borderId="56" xfId="0" applyFont="1" applyBorder="1" applyAlignment="1" applyProtection="1">
      <alignment horizontal="left" vertical="center"/>
      <protection locked="0"/>
    </xf>
    <xf numFmtId="0" fontId="13" fillId="0" borderId="46" xfId="0" applyFont="1" applyBorder="1" applyAlignment="1" applyProtection="1">
      <alignment horizontal="left" vertical="center"/>
      <protection locked="0"/>
    </xf>
    <xf numFmtId="0" fontId="42" fillId="6" borderId="36" xfId="0" applyFont="1" applyFill="1" applyBorder="1" applyAlignment="1">
      <alignment horizontal="center" vertical="top" wrapText="1"/>
    </xf>
    <xf numFmtId="0" fontId="25" fillId="0" borderId="48" xfId="0" applyFont="1" applyBorder="1" applyAlignment="1" applyProtection="1">
      <alignment horizontal="left" vertical="top"/>
      <protection locked="0"/>
    </xf>
    <xf numFmtId="166" fontId="25" fillId="5" borderId="35" xfId="0" applyNumberFormat="1" applyFont="1" applyFill="1" applyBorder="1" applyAlignment="1">
      <alignment horizontal="center" vertical="top"/>
    </xf>
    <xf numFmtId="166" fontId="25" fillId="5" borderId="36" xfId="0" applyNumberFormat="1" applyFont="1" applyFill="1" applyBorder="1" applyAlignment="1">
      <alignment horizontal="center" vertical="top"/>
    </xf>
    <xf numFmtId="166" fontId="25" fillId="5" borderId="37" xfId="0" applyNumberFormat="1" applyFont="1" applyFill="1" applyBorder="1" applyAlignment="1">
      <alignment horizontal="center" vertical="top"/>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21">
    <dxf>
      <fill>
        <patternFill>
          <bgColor theme="0" tint="-0.34998626667073579"/>
        </patternFill>
      </fill>
    </dxf>
    <dxf>
      <fill>
        <patternFill>
          <bgColor theme="0" tint="-0.34998626667073579"/>
        </patternFill>
      </fill>
    </dxf>
    <dxf>
      <fill>
        <patternFill>
          <bgColor theme="0" tint="-0.34998626667073579"/>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FFCC"/>
        </patternFill>
      </fill>
    </dxf>
    <dxf>
      <fill>
        <patternFill>
          <bgColor rgb="FFFFFFCC"/>
        </patternFill>
      </fill>
    </dxf>
    <dxf>
      <fill>
        <patternFill>
          <bgColor rgb="FFFFFFCC"/>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DBDBDB"/>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178572</xdr:rowOff>
    </xdr:from>
    <xdr:to>
      <xdr:col>3</xdr:col>
      <xdr:colOff>535305</xdr:colOff>
      <xdr:row>0</xdr:row>
      <xdr:rowOff>573268</xdr:rowOff>
    </xdr:to>
    <xdr:pic>
      <xdr:nvPicPr>
        <xdr:cNvPr id="3" name="Picture 2">
          <a:extLst>
            <a:ext uri="{FF2B5EF4-FFF2-40B4-BE49-F238E27FC236}">
              <a16:creationId xmlns:a16="http://schemas.microsoft.com/office/drawing/2014/main" id="{8EC28831-4216-4DF9-B82C-4ADA0ACB7B9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23825" y="178572"/>
          <a:ext cx="1688951" cy="39469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136072</xdr:colOff>
      <xdr:row>0</xdr:row>
      <xdr:rowOff>167938</xdr:rowOff>
    </xdr:from>
    <xdr:to>
      <xdr:col>3</xdr:col>
      <xdr:colOff>478156</xdr:colOff>
      <xdr:row>0</xdr:row>
      <xdr:rowOff>562129</xdr:rowOff>
    </xdr:to>
    <xdr:pic>
      <xdr:nvPicPr>
        <xdr:cNvPr id="3" name="Picture 2">
          <a:extLst>
            <a:ext uri="{FF2B5EF4-FFF2-40B4-BE49-F238E27FC236}">
              <a16:creationId xmlns:a16="http://schemas.microsoft.com/office/drawing/2014/main" id="{465F329C-0E05-4381-8F38-853B715B804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36072" y="167938"/>
          <a:ext cx="1686790" cy="394191"/>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158278</xdr:rowOff>
    </xdr:from>
    <xdr:to>
      <xdr:col>11</xdr:col>
      <xdr:colOff>1905</xdr:colOff>
      <xdr:row>0</xdr:row>
      <xdr:rowOff>555462</xdr:rowOff>
    </xdr:to>
    <xdr:pic>
      <xdr:nvPicPr>
        <xdr:cNvPr id="3" name="Picture 2">
          <a:extLst>
            <a:ext uri="{FF2B5EF4-FFF2-40B4-BE49-F238E27FC236}">
              <a16:creationId xmlns:a16="http://schemas.microsoft.com/office/drawing/2014/main" id="{A966A044-3509-44E6-9CA5-726EAE83880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47544" y="158278"/>
          <a:ext cx="1699596" cy="397184"/>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85725</xdr:colOff>
      <xdr:row>0</xdr:row>
      <xdr:rowOff>159194</xdr:rowOff>
    </xdr:from>
    <xdr:to>
      <xdr:col>10</xdr:col>
      <xdr:colOff>163830</xdr:colOff>
      <xdr:row>0</xdr:row>
      <xdr:rowOff>554545</xdr:rowOff>
    </xdr:to>
    <xdr:pic>
      <xdr:nvPicPr>
        <xdr:cNvPr id="3" name="Picture 2">
          <a:extLst>
            <a:ext uri="{FF2B5EF4-FFF2-40B4-BE49-F238E27FC236}">
              <a16:creationId xmlns:a16="http://schemas.microsoft.com/office/drawing/2014/main" id="{88998979-F843-409C-82BE-3BDDE5E696E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38019" y="159194"/>
          <a:ext cx="1691752" cy="395351"/>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57150</xdr:colOff>
      <xdr:row>0</xdr:row>
      <xdr:rowOff>149669</xdr:rowOff>
    </xdr:from>
    <xdr:to>
      <xdr:col>10</xdr:col>
      <xdr:colOff>135255</xdr:colOff>
      <xdr:row>0</xdr:row>
      <xdr:rowOff>545020</xdr:rowOff>
    </xdr:to>
    <xdr:pic>
      <xdr:nvPicPr>
        <xdr:cNvPr id="3" name="Picture 2">
          <a:extLst>
            <a:ext uri="{FF2B5EF4-FFF2-40B4-BE49-F238E27FC236}">
              <a16:creationId xmlns:a16="http://schemas.microsoft.com/office/drawing/2014/main" id="{E776FEC7-F088-48AB-9BBA-F8549F124A8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09444" y="149669"/>
          <a:ext cx="1691752" cy="395351"/>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66675</xdr:colOff>
      <xdr:row>0</xdr:row>
      <xdr:rowOff>159194</xdr:rowOff>
    </xdr:from>
    <xdr:to>
      <xdr:col>10</xdr:col>
      <xdr:colOff>144780</xdr:colOff>
      <xdr:row>0</xdr:row>
      <xdr:rowOff>554545</xdr:rowOff>
    </xdr:to>
    <xdr:pic>
      <xdr:nvPicPr>
        <xdr:cNvPr id="3" name="Picture 2">
          <a:extLst>
            <a:ext uri="{FF2B5EF4-FFF2-40B4-BE49-F238E27FC236}">
              <a16:creationId xmlns:a16="http://schemas.microsoft.com/office/drawing/2014/main" id="{0FEE0BFE-4370-46E4-B7A3-E6BEEEBE5BC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8969" y="159194"/>
          <a:ext cx="1691752" cy="395351"/>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114300</xdr:colOff>
      <xdr:row>23</xdr:row>
      <xdr:rowOff>114300</xdr:rowOff>
    </xdr:from>
    <xdr:to>
      <xdr:col>38</xdr:col>
      <xdr:colOff>9525</xdr:colOff>
      <xdr:row>37</xdr:row>
      <xdr:rowOff>161925</xdr:rowOff>
    </xdr:to>
    <xdr:pic>
      <xdr:nvPicPr>
        <xdr:cNvPr id="3" name="Picture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5019675"/>
          <a:ext cx="6238875" cy="258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0</xdr:row>
      <xdr:rowOff>149669</xdr:rowOff>
    </xdr:from>
    <xdr:to>
      <xdr:col>10</xdr:col>
      <xdr:colOff>144780</xdr:colOff>
      <xdr:row>0</xdr:row>
      <xdr:rowOff>545020</xdr:rowOff>
    </xdr:to>
    <xdr:pic>
      <xdr:nvPicPr>
        <xdr:cNvPr id="4" name="Picture 3">
          <a:extLst>
            <a:ext uri="{FF2B5EF4-FFF2-40B4-BE49-F238E27FC236}">
              <a16:creationId xmlns:a16="http://schemas.microsoft.com/office/drawing/2014/main" id="{96FB8144-05DD-4297-9CEA-34B5F9BC1BD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18969" y="149669"/>
          <a:ext cx="1691752" cy="395351"/>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76200</xdr:colOff>
      <xdr:row>18</xdr:row>
      <xdr:rowOff>57150</xdr:rowOff>
    </xdr:from>
    <xdr:to>
      <xdr:col>29</xdr:col>
      <xdr:colOff>152400</xdr:colOff>
      <xdr:row>49</xdr:row>
      <xdr:rowOff>123825</xdr:rowOff>
    </xdr:to>
    <xdr:pic>
      <xdr:nvPicPr>
        <xdr:cNvPr id="5" name="Picture 4">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075" y="4057650"/>
          <a:ext cx="4019550" cy="567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0</xdr:row>
      <xdr:rowOff>140144</xdr:rowOff>
    </xdr:from>
    <xdr:to>
      <xdr:col>10</xdr:col>
      <xdr:colOff>125730</xdr:colOff>
      <xdr:row>0</xdr:row>
      <xdr:rowOff>535495</xdr:rowOff>
    </xdr:to>
    <xdr:pic>
      <xdr:nvPicPr>
        <xdr:cNvPr id="4" name="Picture 3">
          <a:extLst>
            <a:ext uri="{FF2B5EF4-FFF2-40B4-BE49-F238E27FC236}">
              <a16:creationId xmlns:a16="http://schemas.microsoft.com/office/drawing/2014/main" id="{7244E74C-30AB-44CE-8193-9AE7F193081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99919" y="140144"/>
          <a:ext cx="1691752" cy="395351"/>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152400</xdr:colOff>
      <xdr:row>15</xdr:row>
      <xdr:rowOff>104775</xdr:rowOff>
    </xdr:from>
    <xdr:to>
      <xdr:col>37</xdr:col>
      <xdr:colOff>0</xdr:colOff>
      <xdr:row>35</xdr:row>
      <xdr:rowOff>28575</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3562350"/>
          <a:ext cx="6019800" cy="354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0</xdr:row>
      <xdr:rowOff>149669</xdr:rowOff>
    </xdr:from>
    <xdr:to>
      <xdr:col>10</xdr:col>
      <xdr:colOff>125730</xdr:colOff>
      <xdr:row>0</xdr:row>
      <xdr:rowOff>545020</xdr:rowOff>
    </xdr:to>
    <xdr:pic>
      <xdr:nvPicPr>
        <xdr:cNvPr id="4" name="Picture 3">
          <a:extLst>
            <a:ext uri="{FF2B5EF4-FFF2-40B4-BE49-F238E27FC236}">
              <a16:creationId xmlns:a16="http://schemas.microsoft.com/office/drawing/2014/main" id="{F3E27E10-1630-4968-888C-CBE37C78CF5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99919" y="149669"/>
          <a:ext cx="1691752" cy="395351"/>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66675</xdr:colOff>
      <xdr:row>0</xdr:row>
      <xdr:rowOff>159194</xdr:rowOff>
    </xdr:from>
    <xdr:to>
      <xdr:col>10</xdr:col>
      <xdr:colOff>144780</xdr:colOff>
      <xdr:row>0</xdr:row>
      <xdr:rowOff>554545</xdr:rowOff>
    </xdr:to>
    <xdr:pic>
      <xdr:nvPicPr>
        <xdr:cNvPr id="3" name="Picture 2">
          <a:extLst>
            <a:ext uri="{FF2B5EF4-FFF2-40B4-BE49-F238E27FC236}">
              <a16:creationId xmlns:a16="http://schemas.microsoft.com/office/drawing/2014/main" id="{9EF4D5E9-FF28-4F70-82F3-F68CA7CA048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8969" y="159194"/>
          <a:ext cx="1691752" cy="395351"/>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66675</xdr:colOff>
      <xdr:row>0</xdr:row>
      <xdr:rowOff>159194</xdr:rowOff>
    </xdr:from>
    <xdr:to>
      <xdr:col>10</xdr:col>
      <xdr:colOff>144780</xdr:colOff>
      <xdr:row>0</xdr:row>
      <xdr:rowOff>554545</xdr:rowOff>
    </xdr:to>
    <xdr:pic>
      <xdr:nvPicPr>
        <xdr:cNvPr id="3" name="Picture 2">
          <a:extLst>
            <a:ext uri="{FF2B5EF4-FFF2-40B4-BE49-F238E27FC236}">
              <a16:creationId xmlns:a16="http://schemas.microsoft.com/office/drawing/2014/main" id="{B694EAE5-4E54-461B-A1C4-1A6A9C5E0CD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8969" y="159194"/>
          <a:ext cx="1691752" cy="395351"/>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57150</xdr:colOff>
      <xdr:row>0</xdr:row>
      <xdr:rowOff>159194</xdr:rowOff>
    </xdr:from>
    <xdr:to>
      <xdr:col>10</xdr:col>
      <xdr:colOff>135255</xdr:colOff>
      <xdr:row>0</xdr:row>
      <xdr:rowOff>554545</xdr:rowOff>
    </xdr:to>
    <xdr:pic>
      <xdr:nvPicPr>
        <xdr:cNvPr id="3" name="Picture 2">
          <a:extLst>
            <a:ext uri="{FF2B5EF4-FFF2-40B4-BE49-F238E27FC236}">
              <a16:creationId xmlns:a16="http://schemas.microsoft.com/office/drawing/2014/main" id="{3CACFFFE-7084-44A7-A0CA-6037FA9B0E6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09444" y="159194"/>
          <a:ext cx="1691752" cy="395351"/>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47625</xdr:colOff>
      <xdr:row>0</xdr:row>
      <xdr:rowOff>149669</xdr:rowOff>
    </xdr:from>
    <xdr:to>
      <xdr:col>10</xdr:col>
      <xdr:colOff>125730</xdr:colOff>
      <xdr:row>0</xdr:row>
      <xdr:rowOff>545020</xdr:rowOff>
    </xdr:to>
    <xdr:pic>
      <xdr:nvPicPr>
        <xdr:cNvPr id="3" name="Picture 2">
          <a:extLst>
            <a:ext uri="{FF2B5EF4-FFF2-40B4-BE49-F238E27FC236}">
              <a16:creationId xmlns:a16="http://schemas.microsoft.com/office/drawing/2014/main" id="{A199C1A4-037B-4457-9BC4-FEB7C75367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99919" y="149669"/>
          <a:ext cx="1691752" cy="395351"/>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66675</xdr:colOff>
      <xdr:row>0</xdr:row>
      <xdr:rowOff>159194</xdr:rowOff>
    </xdr:from>
    <xdr:to>
      <xdr:col>10</xdr:col>
      <xdr:colOff>144780</xdr:colOff>
      <xdr:row>0</xdr:row>
      <xdr:rowOff>554545</xdr:rowOff>
    </xdr:to>
    <xdr:pic>
      <xdr:nvPicPr>
        <xdr:cNvPr id="3" name="Picture 2">
          <a:extLst>
            <a:ext uri="{FF2B5EF4-FFF2-40B4-BE49-F238E27FC236}">
              <a16:creationId xmlns:a16="http://schemas.microsoft.com/office/drawing/2014/main" id="{A2D1E4A5-5CF7-4E09-8007-6BAB5D45E35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8969" y="159194"/>
          <a:ext cx="1691752" cy="395351"/>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41413</xdr:colOff>
      <xdr:row>0</xdr:row>
      <xdr:rowOff>138616</xdr:rowOff>
    </xdr:from>
    <xdr:to>
      <xdr:col>10</xdr:col>
      <xdr:colOff>97155</xdr:colOff>
      <xdr:row>0</xdr:row>
      <xdr:rowOff>528741</xdr:rowOff>
    </xdr:to>
    <xdr:pic>
      <xdr:nvPicPr>
        <xdr:cNvPr id="3" name="Picture 2">
          <a:extLst>
            <a:ext uri="{FF2B5EF4-FFF2-40B4-BE49-F238E27FC236}">
              <a16:creationId xmlns:a16="http://schemas.microsoft.com/office/drawing/2014/main" id="{C1A3CC13-7081-4BF2-80D2-94B3E407E21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93707" y="138616"/>
          <a:ext cx="1669389" cy="39012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57150</xdr:colOff>
      <xdr:row>0</xdr:row>
      <xdr:rowOff>149669</xdr:rowOff>
    </xdr:from>
    <xdr:to>
      <xdr:col>10</xdr:col>
      <xdr:colOff>135255</xdr:colOff>
      <xdr:row>0</xdr:row>
      <xdr:rowOff>545020</xdr:rowOff>
    </xdr:to>
    <xdr:pic>
      <xdr:nvPicPr>
        <xdr:cNvPr id="4" name="Picture 3">
          <a:extLst>
            <a:ext uri="{FF2B5EF4-FFF2-40B4-BE49-F238E27FC236}">
              <a16:creationId xmlns:a16="http://schemas.microsoft.com/office/drawing/2014/main" id="{9247115B-C1BD-4F1F-A9EF-3E70B0CA7DE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09444" y="149669"/>
          <a:ext cx="1691752" cy="395351"/>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107674</xdr:colOff>
      <xdr:row>0</xdr:row>
      <xdr:rowOff>155181</xdr:rowOff>
    </xdr:from>
    <xdr:to>
      <xdr:col>10</xdr:col>
      <xdr:colOff>163416</xdr:colOff>
      <xdr:row>0</xdr:row>
      <xdr:rowOff>545306</xdr:rowOff>
    </xdr:to>
    <xdr:pic>
      <xdr:nvPicPr>
        <xdr:cNvPr id="3" name="Picture 2">
          <a:extLst>
            <a:ext uri="{FF2B5EF4-FFF2-40B4-BE49-F238E27FC236}">
              <a16:creationId xmlns:a16="http://schemas.microsoft.com/office/drawing/2014/main" id="{536C3CA9-34D4-4B6B-85C8-C4E3AAB0F16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59968" y="155181"/>
          <a:ext cx="1669389" cy="39012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76200</xdr:colOff>
      <xdr:row>0</xdr:row>
      <xdr:rowOff>159194</xdr:rowOff>
    </xdr:from>
    <xdr:to>
      <xdr:col>10</xdr:col>
      <xdr:colOff>154305</xdr:colOff>
      <xdr:row>0</xdr:row>
      <xdr:rowOff>554545</xdr:rowOff>
    </xdr:to>
    <xdr:pic>
      <xdr:nvPicPr>
        <xdr:cNvPr id="3" name="Picture 2">
          <a:extLst>
            <a:ext uri="{FF2B5EF4-FFF2-40B4-BE49-F238E27FC236}">
              <a16:creationId xmlns:a16="http://schemas.microsoft.com/office/drawing/2014/main" id="{95B01A91-3EAF-40AA-ADB4-A93C906F6C9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28494" y="159194"/>
          <a:ext cx="1691752" cy="395351"/>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57979</xdr:colOff>
      <xdr:row>0</xdr:row>
      <xdr:rowOff>155181</xdr:rowOff>
    </xdr:from>
    <xdr:to>
      <xdr:col>10</xdr:col>
      <xdr:colOff>113721</xdr:colOff>
      <xdr:row>0</xdr:row>
      <xdr:rowOff>545306</xdr:rowOff>
    </xdr:to>
    <xdr:pic>
      <xdr:nvPicPr>
        <xdr:cNvPr id="3" name="Picture 2">
          <a:extLst>
            <a:ext uri="{FF2B5EF4-FFF2-40B4-BE49-F238E27FC236}">
              <a16:creationId xmlns:a16="http://schemas.microsoft.com/office/drawing/2014/main" id="{A95D1499-7664-4F1D-AF77-9AAAF6A1CA2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0273" y="155181"/>
          <a:ext cx="1669389" cy="390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ams-wst.worleyparsons.com/Process/Acoustic%20Induced%20Vibration%20(Jan%206th%202016)/Copy%20of%20Avoidance%20of%20Vibration%20Induced%20Fatigue%20Failure%20in%20Process%20Pipework%2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litative Assessment"/>
      <sheetName val="Pulsation Flow Induced Excit."/>
      <sheetName val="Pulsation Notes"/>
      <sheetName val="High Frequency Acoustic Excit."/>
      <sheetName val="High Freq. Notes"/>
      <sheetName val="Cavitation and Flashing"/>
      <sheetName val="Cavitation and Flashing Notes"/>
      <sheetName val="Surge-Momentum Changes"/>
      <sheetName val="Surge-Momentum Changes Notes"/>
      <sheetName val="Flow Induced Turbulence"/>
      <sheetName val="Flow Induced Turbulence Notes"/>
    </sheetNames>
    <sheetDataSet>
      <sheetData sheetId="0" refreshError="1"/>
      <sheetData sheetId="1" refreshError="1"/>
      <sheetData sheetId="2" refreshError="1"/>
      <sheetData sheetId="3">
        <row r="15">
          <cell r="D15">
            <v>168.3</v>
          </cell>
        </row>
        <row r="16">
          <cell r="D16">
            <v>7.11</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5.xml"/><Relationship Id="rId1" Type="http://schemas.openxmlformats.org/officeDocument/2006/relationships/printerSettings" Target="../printerSettings/printerSettings18.bin"/><Relationship Id="rId4" Type="http://schemas.openxmlformats.org/officeDocument/2006/relationships/comments" Target="../comments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20.bin"/><Relationship Id="rId4" Type="http://schemas.openxmlformats.org/officeDocument/2006/relationships/comments" Target="../comments9.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9.xml"/><Relationship Id="rId1" Type="http://schemas.openxmlformats.org/officeDocument/2006/relationships/printerSettings" Target="../printerSettings/printerSettings22.bin"/><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U69"/>
  <sheetViews>
    <sheetView showGridLines="0" tabSelected="1" zoomScaleNormal="100" zoomScaleSheetLayoutView="70" zoomScalePageLayoutView="85" workbookViewId="0">
      <selection sqref="A1:J1"/>
    </sheetView>
  </sheetViews>
  <sheetFormatPr defaultColWidth="9.1796875" defaultRowHeight="14" x14ac:dyDescent="0.3"/>
  <cols>
    <col min="1" max="1" width="6.7265625" style="1" customWidth="1"/>
    <col min="2" max="3" width="5.7265625" style="1" customWidth="1"/>
    <col min="4" max="4" width="18.7265625" style="1" customWidth="1"/>
    <col min="5" max="5" width="14.7265625" style="1" customWidth="1"/>
    <col min="6" max="6" width="16.7265625" style="1" customWidth="1"/>
    <col min="7" max="7" width="10.81640625" style="1" bestFit="1" customWidth="1"/>
    <col min="8" max="8" width="6.7265625" style="1" customWidth="1"/>
    <col min="9" max="10" width="8.7265625" style="1" customWidth="1"/>
    <col min="11" max="11" width="20.26953125" style="1" customWidth="1"/>
    <col min="12" max="16384" width="9.1796875" style="1"/>
  </cols>
  <sheetData>
    <row r="1" spans="1:21" ht="60" customHeight="1" x14ac:dyDescent="0.3">
      <c r="A1" s="198" t="s">
        <v>0</v>
      </c>
      <c r="B1" s="198"/>
      <c r="C1" s="198"/>
      <c r="D1" s="198"/>
      <c r="E1" s="198"/>
      <c r="F1" s="198"/>
      <c r="G1" s="198"/>
      <c r="H1" s="198"/>
      <c r="I1" s="198"/>
      <c r="J1" s="198"/>
    </row>
    <row r="2" spans="1:21" customFormat="1" ht="15" customHeight="1" x14ac:dyDescent="0.3">
      <c r="A2" s="199" t="s">
        <v>1</v>
      </c>
      <c r="B2" s="200"/>
      <c r="C2" s="200"/>
      <c r="D2" s="201" t="s">
        <v>2</v>
      </c>
      <c r="E2" s="201"/>
      <c r="F2" s="201"/>
      <c r="G2" s="122" t="s">
        <v>3</v>
      </c>
      <c r="H2" s="202" t="s">
        <v>4</v>
      </c>
      <c r="I2" s="202"/>
      <c r="J2" s="203"/>
      <c r="K2" s="4"/>
      <c r="L2" s="1"/>
    </row>
    <row r="3" spans="1:21" x14ac:dyDescent="0.3">
      <c r="A3" s="199" t="s">
        <v>5</v>
      </c>
      <c r="B3" s="200"/>
      <c r="C3" s="200"/>
      <c r="D3" s="201" t="s">
        <v>6</v>
      </c>
      <c r="E3" s="201"/>
      <c r="F3" s="201"/>
      <c r="G3" s="122" t="s">
        <v>7</v>
      </c>
      <c r="H3" s="202" t="s">
        <v>8</v>
      </c>
      <c r="I3" s="202"/>
      <c r="J3" s="203"/>
      <c r="K3" s="4"/>
      <c r="L3" s="25"/>
    </row>
    <row r="4" spans="1:21" x14ac:dyDescent="0.3">
      <c r="A4" s="207" t="s">
        <v>9</v>
      </c>
      <c r="B4" s="208"/>
      <c r="C4" s="208"/>
      <c r="D4" s="204" t="s">
        <v>311</v>
      </c>
      <c r="E4" s="204"/>
      <c r="F4" s="204"/>
      <c r="G4" s="122" t="s">
        <v>10</v>
      </c>
      <c r="H4" s="202" t="s">
        <v>11</v>
      </c>
      <c r="I4" s="202"/>
      <c r="J4" s="203"/>
      <c r="K4" s="4"/>
      <c r="L4" s="2"/>
    </row>
    <row r="5" spans="1:21" customFormat="1" ht="22.5" customHeight="1" x14ac:dyDescent="0.25">
      <c r="A5" s="199" t="s">
        <v>12</v>
      </c>
      <c r="B5" s="205"/>
      <c r="C5" s="205"/>
      <c r="D5" s="177" t="str">
        <f ca="1">SUBSTITUTE(LEFT(CELL("filename"),FIND("]",CELL("filename"))-1),"[","")</f>
        <v>https://worleyparsons-my.sharepoint.com/personal/priyanka_verma_worley_com/Documents/Phase 2 QC2 Document Folder/KS/Calculations KS/Compare/KS-PR-CAL-0090 Vibration Assessment - Surge and Momentum Changes Template.xlsx</v>
      </c>
      <c r="E5" s="177"/>
      <c r="F5" s="177"/>
      <c r="G5" s="177"/>
      <c r="H5" s="177"/>
      <c r="I5" s="177"/>
      <c r="J5" s="178"/>
    </row>
    <row r="6" spans="1:21" ht="15" customHeight="1" x14ac:dyDescent="0.3">
      <c r="A6" s="179"/>
      <c r="B6" s="180"/>
      <c r="C6" s="180"/>
      <c r="D6" s="206"/>
      <c r="E6" s="206"/>
      <c r="F6" s="206"/>
      <c r="G6" s="73" t="s">
        <v>13</v>
      </c>
      <c r="H6" s="74">
        <v>1</v>
      </c>
      <c r="I6" s="125" t="s">
        <v>14</v>
      </c>
      <c r="J6" s="75">
        <v>13</v>
      </c>
      <c r="K6"/>
      <c r="L6" s="176"/>
      <c r="M6" s="176"/>
    </row>
    <row r="7" spans="1:21" ht="15" customHeight="1" x14ac:dyDescent="0.3">
      <c r="A7" s="139" t="s">
        <v>15</v>
      </c>
      <c r="B7" s="140"/>
      <c r="C7" s="140"/>
      <c r="D7" s="140"/>
      <c r="E7" s="140"/>
      <c r="F7" s="140"/>
      <c r="G7" s="140"/>
      <c r="H7" s="140"/>
      <c r="I7" s="140"/>
      <c r="J7" s="141"/>
    </row>
    <row r="8" spans="1:21" ht="15" customHeight="1" x14ac:dyDescent="0.3">
      <c r="A8" s="187" t="s">
        <v>16</v>
      </c>
      <c r="B8" s="188"/>
      <c r="C8" s="188"/>
      <c r="D8" s="188"/>
      <c r="E8" s="188"/>
      <c r="F8" s="188"/>
      <c r="G8" s="188"/>
      <c r="H8" s="188"/>
      <c r="I8" s="188"/>
      <c r="J8" s="189"/>
      <c r="K8" s="5"/>
      <c r="L8" s="5"/>
      <c r="M8" s="5"/>
      <c r="N8" s="5"/>
      <c r="O8" s="5"/>
      <c r="P8" s="5"/>
      <c r="Q8" s="5"/>
      <c r="R8" s="5"/>
      <c r="S8" s="5"/>
      <c r="T8" s="5"/>
      <c r="U8" s="5"/>
    </row>
    <row r="9" spans="1:21" ht="15" customHeight="1" x14ac:dyDescent="0.3">
      <c r="A9" s="187"/>
      <c r="B9" s="188"/>
      <c r="C9" s="188"/>
      <c r="D9" s="188"/>
      <c r="E9" s="188"/>
      <c r="F9" s="188"/>
      <c r="G9" s="188"/>
      <c r="H9" s="188"/>
      <c r="I9" s="188"/>
      <c r="J9" s="189"/>
    </row>
    <row r="10" spans="1:21" ht="15" customHeight="1" x14ac:dyDescent="0.3">
      <c r="A10" s="187"/>
      <c r="B10" s="188"/>
      <c r="C10" s="188"/>
      <c r="D10" s="188"/>
      <c r="E10" s="188"/>
      <c r="F10" s="188"/>
      <c r="G10" s="188"/>
      <c r="H10" s="188"/>
      <c r="I10" s="188"/>
      <c r="J10" s="189"/>
    </row>
    <row r="11" spans="1:21" ht="15" customHeight="1" x14ac:dyDescent="0.3">
      <c r="A11" s="187"/>
      <c r="B11" s="188"/>
      <c r="C11" s="188"/>
      <c r="D11" s="188"/>
      <c r="E11" s="188"/>
      <c r="F11" s="188"/>
      <c r="G11" s="188"/>
      <c r="H11" s="188"/>
      <c r="I11" s="188"/>
      <c r="J11" s="189"/>
    </row>
    <row r="12" spans="1:21" ht="15" hidden="1" customHeight="1" x14ac:dyDescent="0.3">
      <c r="A12" s="190"/>
      <c r="B12" s="191"/>
      <c r="C12" s="191"/>
      <c r="D12" s="191"/>
      <c r="E12" s="191"/>
      <c r="F12" s="191"/>
      <c r="G12" s="191"/>
      <c r="H12" s="191"/>
      <c r="I12" s="191"/>
      <c r="J12" s="192"/>
    </row>
    <row r="13" spans="1:21" ht="15" customHeight="1" x14ac:dyDescent="0.3">
      <c r="A13" s="139" t="s">
        <v>17</v>
      </c>
      <c r="B13" s="140"/>
      <c r="C13" s="140"/>
      <c r="D13" s="140"/>
      <c r="E13" s="140"/>
      <c r="F13" s="140"/>
      <c r="G13" s="140"/>
      <c r="H13" s="140"/>
      <c r="I13" s="140"/>
      <c r="J13" s="141"/>
    </row>
    <row r="14" spans="1:21" ht="15" customHeight="1" x14ac:dyDescent="0.3">
      <c r="A14" s="187" t="s">
        <v>18</v>
      </c>
      <c r="B14" s="188"/>
      <c r="C14" s="188"/>
      <c r="D14" s="188"/>
      <c r="E14" s="188"/>
      <c r="F14" s="188"/>
      <c r="G14" s="188"/>
      <c r="H14" s="188"/>
      <c r="I14" s="188"/>
      <c r="J14" s="189"/>
    </row>
    <row r="15" spans="1:21" ht="15" customHeight="1" x14ac:dyDescent="0.3">
      <c r="A15" s="187"/>
      <c r="B15" s="188"/>
      <c r="C15" s="188"/>
      <c r="D15" s="188"/>
      <c r="E15" s="188"/>
      <c r="F15" s="188"/>
      <c r="G15" s="188"/>
      <c r="H15" s="188"/>
      <c r="I15" s="188"/>
      <c r="J15" s="189"/>
    </row>
    <row r="16" spans="1:21" ht="15" customHeight="1" x14ac:dyDescent="0.3">
      <c r="A16" s="187"/>
      <c r="B16" s="188"/>
      <c r="C16" s="188"/>
      <c r="D16" s="188"/>
      <c r="E16" s="188"/>
      <c r="F16" s="188"/>
      <c r="G16" s="188"/>
      <c r="H16" s="188"/>
      <c r="I16" s="188"/>
      <c r="J16" s="189"/>
    </row>
    <row r="17" spans="1:15" ht="15" customHeight="1" x14ac:dyDescent="0.3">
      <c r="A17" s="187"/>
      <c r="B17" s="188"/>
      <c r="C17" s="188"/>
      <c r="D17" s="188"/>
      <c r="E17" s="188"/>
      <c r="F17" s="188"/>
      <c r="G17" s="188"/>
      <c r="H17" s="188"/>
      <c r="I17" s="188"/>
      <c r="J17" s="189"/>
      <c r="N17" s="165"/>
      <c r="O17" s="165"/>
    </row>
    <row r="18" spans="1:15" ht="15" customHeight="1" x14ac:dyDescent="0.3">
      <c r="A18" s="187"/>
      <c r="B18" s="188"/>
      <c r="C18" s="188"/>
      <c r="D18" s="188"/>
      <c r="E18" s="188"/>
      <c r="F18" s="188"/>
      <c r="G18" s="188"/>
      <c r="H18" s="188"/>
      <c r="I18" s="188"/>
      <c r="J18" s="189"/>
      <c r="N18" s="165"/>
      <c r="O18" s="165"/>
    </row>
    <row r="19" spans="1:15" ht="15" customHeight="1" x14ac:dyDescent="0.3">
      <c r="A19" s="187"/>
      <c r="B19" s="188"/>
      <c r="C19" s="188"/>
      <c r="D19" s="188"/>
      <c r="E19" s="188"/>
      <c r="F19" s="188"/>
      <c r="G19" s="188"/>
      <c r="H19" s="188"/>
      <c r="I19" s="188"/>
      <c r="J19" s="189"/>
      <c r="N19" s="165"/>
      <c r="O19" s="165"/>
    </row>
    <row r="20" spans="1:15" ht="15" customHeight="1" x14ac:dyDescent="0.3">
      <c r="A20" s="187"/>
      <c r="B20" s="188"/>
      <c r="C20" s="188"/>
      <c r="D20" s="188"/>
      <c r="E20" s="188"/>
      <c r="F20" s="188"/>
      <c r="G20" s="188"/>
      <c r="H20" s="188"/>
      <c r="I20" s="188"/>
      <c r="J20" s="189"/>
      <c r="N20" s="165"/>
      <c r="O20" s="165"/>
    </row>
    <row r="21" spans="1:15" ht="15" customHeight="1" x14ac:dyDescent="0.3">
      <c r="A21" s="187"/>
      <c r="B21" s="188"/>
      <c r="C21" s="188"/>
      <c r="D21" s="188"/>
      <c r="E21" s="188"/>
      <c r="F21" s="188"/>
      <c r="G21" s="188"/>
      <c r="H21" s="188"/>
      <c r="I21" s="188"/>
      <c r="J21" s="189"/>
      <c r="N21" s="165"/>
      <c r="O21" s="165"/>
    </row>
    <row r="22" spans="1:15" ht="15" customHeight="1" x14ac:dyDescent="0.3">
      <c r="A22" s="187"/>
      <c r="B22" s="188"/>
      <c r="C22" s="188"/>
      <c r="D22" s="188"/>
      <c r="E22" s="188"/>
      <c r="F22" s="188"/>
      <c r="G22" s="188"/>
      <c r="H22" s="188"/>
      <c r="I22" s="188"/>
      <c r="J22" s="189"/>
      <c r="N22" s="121"/>
      <c r="O22" s="121"/>
    </row>
    <row r="23" spans="1:15" ht="15" customHeight="1" x14ac:dyDescent="0.3">
      <c r="A23" s="187"/>
      <c r="B23" s="188"/>
      <c r="C23" s="188"/>
      <c r="D23" s="188"/>
      <c r="E23" s="188"/>
      <c r="F23" s="188"/>
      <c r="G23" s="188"/>
      <c r="H23" s="188"/>
      <c r="I23" s="188"/>
      <c r="J23" s="189"/>
      <c r="N23" s="121"/>
      <c r="O23" s="121"/>
    </row>
    <row r="24" spans="1:15" ht="15" customHeight="1" x14ac:dyDescent="0.3">
      <c r="A24" s="190"/>
      <c r="B24" s="191"/>
      <c r="C24" s="191"/>
      <c r="D24" s="191"/>
      <c r="E24" s="191"/>
      <c r="F24" s="191"/>
      <c r="G24" s="191"/>
      <c r="H24" s="191"/>
      <c r="I24" s="191"/>
      <c r="J24" s="192"/>
    </row>
    <row r="25" spans="1:15" ht="15" customHeight="1" x14ac:dyDescent="0.3">
      <c r="A25" s="76" t="s">
        <v>19</v>
      </c>
      <c r="B25" s="77"/>
      <c r="C25" s="77"/>
      <c r="D25" s="77"/>
      <c r="E25" s="77"/>
      <c r="F25" s="77"/>
      <c r="G25" s="77"/>
      <c r="H25" s="77"/>
      <c r="I25" s="77"/>
      <c r="J25" s="78"/>
    </row>
    <row r="26" spans="1:15" ht="15" customHeight="1" x14ac:dyDescent="0.3">
      <c r="A26" s="170" t="s">
        <v>20</v>
      </c>
      <c r="B26" s="171"/>
      <c r="C26" s="171"/>
      <c r="D26" s="171"/>
      <c r="E26" s="171"/>
      <c r="F26" s="171"/>
      <c r="G26" s="171"/>
      <c r="H26" s="171"/>
      <c r="I26" s="171"/>
      <c r="J26" s="196"/>
    </row>
    <row r="27" spans="1:15" ht="15" customHeight="1" x14ac:dyDescent="0.3">
      <c r="A27" s="170"/>
      <c r="B27" s="171"/>
      <c r="C27" s="171"/>
      <c r="D27" s="171"/>
      <c r="E27" s="171"/>
      <c r="F27" s="171"/>
      <c r="G27" s="171"/>
      <c r="H27" s="171"/>
      <c r="I27" s="171"/>
      <c r="J27" s="196"/>
    </row>
    <row r="28" spans="1:15" ht="15" customHeight="1" x14ac:dyDescent="0.3">
      <c r="A28" s="170"/>
      <c r="B28" s="171"/>
      <c r="C28" s="171"/>
      <c r="D28" s="171"/>
      <c r="E28" s="171"/>
      <c r="F28" s="171"/>
      <c r="G28" s="171"/>
      <c r="H28" s="171"/>
      <c r="I28" s="171"/>
      <c r="J28" s="196"/>
    </row>
    <row r="29" spans="1:15" ht="15" customHeight="1" x14ac:dyDescent="0.3">
      <c r="A29" s="170"/>
      <c r="B29" s="171"/>
      <c r="C29" s="171"/>
      <c r="D29" s="171"/>
      <c r="E29" s="171"/>
      <c r="F29" s="171"/>
      <c r="G29" s="171"/>
      <c r="H29" s="171"/>
      <c r="I29" s="171"/>
      <c r="J29" s="196"/>
    </row>
    <row r="30" spans="1:15" ht="15" customHeight="1" x14ac:dyDescent="0.3">
      <c r="A30" s="170"/>
      <c r="B30" s="171"/>
      <c r="C30" s="171"/>
      <c r="D30" s="171"/>
      <c r="E30" s="171"/>
      <c r="F30" s="171"/>
      <c r="G30" s="171"/>
      <c r="H30" s="171"/>
      <c r="I30" s="171"/>
      <c r="J30" s="196"/>
    </row>
    <row r="31" spans="1:15" ht="15" customHeight="1" x14ac:dyDescent="0.3">
      <c r="A31" s="170"/>
      <c r="B31" s="171"/>
      <c r="C31" s="171"/>
      <c r="D31" s="171"/>
      <c r="E31" s="171"/>
      <c r="F31" s="171"/>
      <c r="G31" s="171"/>
      <c r="H31" s="171"/>
      <c r="I31" s="171"/>
      <c r="J31" s="196"/>
    </row>
    <row r="32" spans="1:15" ht="15" customHeight="1" x14ac:dyDescent="0.3">
      <c r="A32" s="170"/>
      <c r="B32" s="171"/>
      <c r="C32" s="171"/>
      <c r="D32" s="171"/>
      <c r="E32" s="171"/>
      <c r="F32" s="171"/>
      <c r="G32" s="171"/>
      <c r="H32" s="171"/>
      <c r="I32" s="171"/>
      <c r="J32" s="196"/>
    </row>
    <row r="33" spans="1:10" ht="15" customHeight="1" x14ac:dyDescent="0.3">
      <c r="A33" s="170"/>
      <c r="B33" s="171"/>
      <c r="C33" s="171"/>
      <c r="D33" s="171"/>
      <c r="E33" s="171"/>
      <c r="F33" s="171"/>
      <c r="G33" s="171"/>
      <c r="H33" s="171"/>
      <c r="I33" s="171"/>
      <c r="J33" s="196"/>
    </row>
    <row r="34" spans="1:10" ht="15" customHeight="1" x14ac:dyDescent="0.3">
      <c r="A34" s="170"/>
      <c r="B34" s="171"/>
      <c r="C34" s="171"/>
      <c r="D34" s="171"/>
      <c r="E34" s="171"/>
      <c r="F34" s="171"/>
      <c r="G34" s="171"/>
      <c r="H34" s="171"/>
      <c r="I34" s="171"/>
      <c r="J34" s="196"/>
    </row>
    <row r="35" spans="1:10" ht="15" customHeight="1" x14ac:dyDescent="0.3">
      <c r="A35" s="170"/>
      <c r="B35" s="171"/>
      <c r="C35" s="171"/>
      <c r="D35" s="171"/>
      <c r="E35" s="171"/>
      <c r="F35" s="171"/>
      <c r="G35" s="171"/>
      <c r="H35" s="171"/>
      <c r="I35" s="171"/>
      <c r="J35" s="196"/>
    </row>
    <row r="36" spans="1:10" ht="15" customHeight="1" x14ac:dyDescent="0.3">
      <c r="A36" s="170"/>
      <c r="B36" s="171"/>
      <c r="C36" s="171"/>
      <c r="D36" s="171"/>
      <c r="E36" s="171"/>
      <c r="F36" s="171"/>
      <c r="G36" s="171"/>
      <c r="H36" s="171"/>
      <c r="I36" s="171"/>
      <c r="J36" s="196"/>
    </row>
    <row r="37" spans="1:10" ht="15" customHeight="1" x14ac:dyDescent="0.3">
      <c r="A37" s="170"/>
      <c r="B37" s="171"/>
      <c r="C37" s="171"/>
      <c r="D37" s="171"/>
      <c r="E37" s="171"/>
      <c r="F37" s="171"/>
      <c r="G37" s="171"/>
      <c r="H37" s="171"/>
      <c r="I37" s="171"/>
      <c r="J37" s="196"/>
    </row>
    <row r="38" spans="1:10" ht="15" customHeight="1" x14ac:dyDescent="0.3">
      <c r="A38" s="170"/>
      <c r="B38" s="171"/>
      <c r="C38" s="171"/>
      <c r="D38" s="171"/>
      <c r="E38" s="171"/>
      <c r="F38" s="171"/>
      <c r="G38" s="171"/>
      <c r="H38" s="171"/>
      <c r="I38" s="171"/>
      <c r="J38" s="196"/>
    </row>
    <row r="39" spans="1:10" ht="15" customHeight="1" x14ac:dyDescent="0.3">
      <c r="A39" s="170"/>
      <c r="B39" s="171"/>
      <c r="C39" s="171"/>
      <c r="D39" s="171"/>
      <c r="E39" s="171"/>
      <c r="F39" s="171"/>
      <c r="G39" s="171"/>
      <c r="H39" s="171"/>
      <c r="I39" s="171"/>
      <c r="J39" s="196"/>
    </row>
    <row r="40" spans="1:10" ht="15" customHeight="1" x14ac:dyDescent="0.3">
      <c r="A40" s="173"/>
      <c r="B40" s="174"/>
      <c r="C40" s="174"/>
      <c r="D40" s="174"/>
      <c r="E40" s="174"/>
      <c r="F40" s="174"/>
      <c r="G40" s="174"/>
      <c r="H40" s="174"/>
      <c r="I40" s="174"/>
      <c r="J40" s="197"/>
    </row>
    <row r="41" spans="1:10" ht="15" customHeight="1" x14ac:dyDescent="0.3">
      <c r="A41" s="193" t="s">
        <v>21</v>
      </c>
      <c r="B41" s="194"/>
      <c r="C41" s="194"/>
      <c r="D41" s="194"/>
      <c r="E41" s="194"/>
      <c r="F41" s="194"/>
      <c r="G41" s="194"/>
      <c r="H41" s="194"/>
      <c r="I41" s="194"/>
      <c r="J41" s="195"/>
    </row>
    <row r="42" spans="1:10" ht="15" customHeight="1" x14ac:dyDescent="0.3">
      <c r="A42" s="168" t="s">
        <v>22</v>
      </c>
      <c r="B42" s="166"/>
      <c r="C42" s="166"/>
      <c r="D42" s="166"/>
      <c r="E42" s="166"/>
      <c r="F42" s="169"/>
      <c r="G42" s="79" t="s">
        <v>23</v>
      </c>
      <c r="H42" s="166" t="s">
        <v>24</v>
      </c>
      <c r="I42" s="166"/>
      <c r="J42" s="167"/>
    </row>
    <row r="43" spans="1:10" ht="15" customHeight="1" x14ac:dyDescent="0.3">
      <c r="A43" s="170"/>
      <c r="B43" s="171"/>
      <c r="C43" s="171"/>
      <c r="D43" s="171"/>
      <c r="E43" s="171"/>
      <c r="F43" s="172"/>
      <c r="G43" s="80"/>
      <c r="H43" s="184"/>
      <c r="I43" s="185"/>
      <c r="J43" s="186"/>
    </row>
    <row r="44" spans="1:10" ht="15" customHeight="1" x14ac:dyDescent="0.3">
      <c r="A44" s="173"/>
      <c r="B44" s="174"/>
      <c r="C44" s="174"/>
      <c r="D44" s="174"/>
      <c r="E44" s="174"/>
      <c r="F44" s="175"/>
      <c r="G44" s="81"/>
      <c r="H44" s="181"/>
      <c r="I44" s="182"/>
      <c r="J44" s="183"/>
    </row>
    <row r="45" spans="1:10" ht="15" customHeight="1" x14ac:dyDescent="0.3">
      <c r="A45" s="139" t="s">
        <v>25</v>
      </c>
      <c r="B45" s="140"/>
      <c r="C45" s="140"/>
      <c r="D45" s="140"/>
      <c r="E45" s="140"/>
      <c r="F45" s="140"/>
      <c r="G45" s="140"/>
      <c r="H45" s="140"/>
      <c r="I45" s="140"/>
      <c r="J45" s="141"/>
    </row>
    <row r="46" spans="1:10" ht="15" customHeight="1" x14ac:dyDescent="0.3">
      <c r="A46" s="170" t="s">
        <v>26</v>
      </c>
      <c r="B46" s="171"/>
      <c r="C46" s="171"/>
      <c r="D46" s="171"/>
      <c r="E46" s="171"/>
      <c r="F46" s="171"/>
      <c r="G46" s="171"/>
      <c r="H46" s="171"/>
      <c r="I46" s="171"/>
      <c r="J46" s="172"/>
    </row>
    <row r="47" spans="1:10" ht="15" customHeight="1" x14ac:dyDescent="0.3">
      <c r="A47" s="170"/>
      <c r="B47" s="171"/>
      <c r="C47" s="171"/>
      <c r="D47" s="171"/>
      <c r="E47" s="171"/>
      <c r="F47" s="171"/>
      <c r="G47" s="171"/>
      <c r="H47" s="171"/>
      <c r="I47" s="171"/>
      <c r="J47" s="172"/>
    </row>
    <row r="48" spans="1:10" ht="15" customHeight="1" x14ac:dyDescent="0.3">
      <c r="A48" s="170"/>
      <c r="B48" s="171"/>
      <c r="C48" s="171"/>
      <c r="D48" s="171"/>
      <c r="E48" s="171"/>
      <c r="F48" s="171"/>
      <c r="G48" s="171"/>
      <c r="H48" s="171"/>
      <c r="I48" s="171"/>
      <c r="J48" s="172"/>
    </row>
    <row r="49" spans="1:16" ht="15" customHeight="1" x14ac:dyDescent="0.3">
      <c r="A49" s="170"/>
      <c r="B49" s="171"/>
      <c r="C49" s="171"/>
      <c r="D49" s="171"/>
      <c r="E49" s="171"/>
      <c r="F49" s="171"/>
      <c r="G49" s="171"/>
      <c r="H49" s="171"/>
      <c r="I49" s="171"/>
      <c r="J49" s="172"/>
    </row>
    <row r="50" spans="1:16" ht="15" customHeight="1" x14ac:dyDescent="0.3">
      <c r="A50" s="170"/>
      <c r="B50" s="171"/>
      <c r="C50" s="171"/>
      <c r="D50" s="171"/>
      <c r="E50" s="171"/>
      <c r="F50" s="171"/>
      <c r="G50" s="171"/>
      <c r="H50" s="171"/>
      <c r="I50" s="171"/>
      <c r="J50" s="172"/>
    </row>
    <row r="51" spans="1:16" ht="15" customHeight="1" x14ac:dyDescent="0.3">
      <c r="A51" s="173"/>
      <c r="B51" s="174"/>
      <c r="C51" s="174"/>
      <c r="D51" s="174"/>
      <c r="E51" s="174"/>
      <c r="F51" s="174"/>
      <c r="G51" s="174"/>
      <c r="H51" s="174"/>
      <c r="I51" s="174"/>
      <c r="J51" s="175"/>
    </row>
    <row r="52" spans="1:16" ht="15" customHeight="1" x14ac:dyDescent="0.3">
      <c r="A52" s="139" t="s">
        <v>27</v>
      </c>
      <c r="B52" s="140"/>
      <c r="C52" s="140"/>
      <c r="D52" s="140"/>
      <c r="E52" s="140"/>
      <c r="F52" s="140"/>
      <c r="G52" s="140"/>
      <c r="H52" s="140"/>
      <c r="I52" s="140"/>
      <c r="J52" s="141"/>
    </row>
    <row r="53" spans="1:16" ht="15" customHeight="1" x14ac:dyDescent="0.3">
      <c r="A53" s="159"/>
      <c r="B53" s="160"/>
      <c r="C53" s="160"/>
      <c r="D53" s="160"/>
      <c r="E53" s="160"/>
      <c r="F53" s="160"/>
      <c r="G53" s="160"/>
      <c r="H53" s="160"/>
      <c r="I53" s="160"/>
      <c r="J53" s="161"/>
    </row>
    <row r="54" spans="1:16" ht="15" customHeight="1" x14ac:dyDescent="0.3">
      <c r="A54" s="159"/>
      <c r="B54" s="160"/>
      <c r="C54" s="160"/>
      <c r="D54" s="160"/>
      <c r="E54" s="160"/>
      <c r="F54" s="160"/>
      <c r="G54" s="160"/>
      <c r="H54" s="160"/>
      <c r="I54" s="160"/>
      <c r="J54" s="161"/>
    </row>
    <row r="55" spans="1:16" ht="15" customHeight="1" x14ac:dyDescent="0.3">
      <c r="A55" s="159"/>
      <c r="B55" s="160"/>
      <c r="C55" s="160"/>
      <c r="D55" s="160"/>
      <c r="E55" s="160"/>
      <c r="F55" s="160"/>
      <c r="G55" s="160"/>
      <c r="H55" s="160"/>
      <c r="I55" s="160"/>
      <c r="J55" s="161"/>
    </row>
    <row r="56" spans="1:16" ht="15" customHeight="1" x14ac:dyDescent="0.3">
      <c r="A56" s="159"/>
      <c r="B56" s="160"/>
      <c r="C56" s="160"/>
      <c r="D56" s="160"/>
      <c r="E56" s="160"/>
      <c r="F56" s="160"/>
      <c r="G56" s="160"/>
      <c r="H56" s="160"/>
      <c r="I56" s="160"/>
      <c r="J56" s="161"/>
    </row>
    <row r="57" spans="1:16" ht="15" customHeight="1" x14ac:dyDescent="0.3">
      <c r="A57" s="159"/>
      <c r="B57" s="160"/>
      <c r="C57" s="160"/>
      <c r="D57" s="160"/>
      <c r="E57" s="160"/>
      <c r="F57" s="160"/>
      <c r="G57" s="160"/>
      <c r="H57" s="160"/>
      <c r="I57" s="160"/>
      <c r="J57" s="161"/>
    </row>
    <row r="58" spans="1:16" ht="15" customHeight="1" x14ac:dyDescent="0.3">
      <c r="A58" s="159"/>
      <c r="B58" s="160"/>
      <c r="C58" s="160"/>
      <c r="D58" s="160"/>
      <c r="E58" s="160"/>
      <c r="F58" s="160"/>
      <c r="G58" s="160"/>
      <c r="H58" s="160"/>
      <c r="I58" s="160"/>
      <c r="J58" s="161"/>
    </row>
    <row r="59" spans="1:16" ht="15" customHeight="1" x14ac:dyDescent="0.3">
      <c r="A59" s="162"/>
      <c r="B59" s="163"/>
      <c r="C59" s="163"/>
      <c r="D59" s="163"/>
      <c r="E59" s="163"/>
      <c r="F59" s="163"/>
      <c r="G59" s="163"/>
      <c r="H59" s="163"/>
      <c r="I59" s="163"/>
      <c r="J59" s="164"/>
    </row>
    <row r="60" spans="1:16" ht="15" customHeight="1" x14ac:dyDescent="0.3">
      <c r="A60" s="152" t="s">
        <v>28</v>
      </c>
      <c r="B60" s="153"/>
      <c r="C60" s="153"/>
      <c r="D60" s="153"/>
      <c r="E60" s="82" t="s">
        <v>29</v>
      </c>
      <c r="F60" s="154" t="s">
        <v>30</v>
      </c>
      <c r="G60" s="155"/>
      <c r="H60" s="156" t="s">
        <v>31</v>
      </c>
      <c r="I60" s="157"/>
      <c r="J60" s="158"/>
      <c r="P60" s="26"/>
    </row>
    <row r="61" spans="1:16" ht="15" customHeight="1" x14ac:dyDescent="0.3">
      <c r="A61" s="139" t="s">
        <v>32</v>
      </c>
      <c r="B61" s="140"/>
      <c r="C61" s="140"/>
      <c r="D61" s="140"/>
      <c r="E61" s="140"/>
      <c r="F61" s="140"/>
      <c r="G61" s="140"/>
      <c r="H61" s="140"/>
      <c r="I61" s="140"/>
      <c r="J61" s="141"/>
      <c r="P61" s="26"/>
    </row>
    <row r="62" spans="1:16" ht="15" customHeight="1" x14ac:dyDescent="0.3">
      <c r="A62" s="187"/>
      <c r="B62" s="188"/>
      <c r="C62" s="188"/>
      <c r="D62" s="188"/>
      <c r="E62" s="188"/>
      <c r="F62" s="188"/>
      <c r="G62" s="188"/>
      <c r="H62" s="188"/>
      <c r="I62" s="188"/>
      <c r="J62" s="189"/>
      <c r="P62" s="26"/>
    </row>
    <row r="63" spans="1:16" ht="15" customHeight="1" x14ac:dyDescent="0.3">
      <c r="A63" s="187"/>
      <c r="B63" s="188"/>
      <c r="C63" s="188"/>
      <c r="D63" s="188"/>
      <c r="E63" s="188"/>
      <c r="F63" s="188"/>
      <c r="G63" s="188"/>
      <c r="H63" s="188"/>
      <c r="I63" s="188"/>
      <c r="J63" s="189"/>
      <c r="P63" s="26"/>
    </row>
    <row r="64" spans="1:16" ht="15" customHeight="1" x14ac:dyDescent="0.3">
      <c r="A64" s="190"/>
      <c r="B64" s="191"/>
      <c r="C64" s="191"/>
      <c r="D64" s="191"/>
      <c r="E64" s="191"/>
      <c r="F64" s="191"/>
      <c r="G64" s="191"/>
      <c r="H64" s="191"/>
      <c r="I64" s="191"/>
      <c r="J64" s="192"/>
    </row>
    <row r="65" spans="1:16" ht="15" customHeight="1" x14ac:dyDescent="0.3">
      <c r="A65" s="83" t="s">
        <v>33</v>
      </c>
      <c r="B65" s="142" t="s">
        <v>34</v>
      </c>
      <c r="C65" s="151"/>
      <c r="D65" s="136" t="s">
        <v>35</v>
      </c>
      <c r="E65" s="137"/>
      <c r="F65" s="84" t="s">
        <v>36</v>
      </c>
      <c r="G65" s="147" t="s">
        <v>37</v>
      </c>
      <c r="H65" s="148"/>
      <c r="I65" s="145" t="s">
        <v>38</v>
      </c>
      <c r="J65" s="146"/>
      <c r="P65" s="26"/>
    </row>
    <row r="66" spans="1:16" ht="15" customHeight="1" x14ac:dyDescent="0.3">
      <c r="A66" s="83" t="s">
        <v>39</v>
      </c>
      <c r="B66" s="142" t="s">
        <v>40</v>
      </c>
      <c r="C66" s="151"/>
      <c r="D66" s="136" t="s">
        <v>41</v>
      </c>
      <c r="E66" s="137"/>
      <c r="F66" s="84" t="s">
        <v>42</v>
      </c>
      <c r="G66" s="147" t="s">
        <v>43</v>
      </c>
      <c r="H66" s="148"/>
      <c r="I66" s="145" t="s">
        <v>44</v>
      </c>
      <c r="J66" s="146"/>
    </row>
    <row r="67" spans="1:16" ht="15" customHeight="1" x14ac:dyDescent="0.3">
      <c r="A67" s="120" t="s">
        <v>45</v>
      </c>
      <c r="B67" s="142" t="s">
        <v>46</v>
      </c>
      <c r="C67" s="143"/>
      <c r="D67" s="136" t="s">
        <v>47</v>
      </c>
      <c r="E67" s="137"/>
      <c r="F67" s="84" t="s">
        <v>48</v>
      </c>
      <c r="G67" s="147" t="s">
        <v>49</v>
      </c>
      <c r="H67" s="149"/>
      <c r="I67" s="147" t="s">
        <v>50</v>
      </c>
      <c r="J67" s="150"/>
    </row>
    <row r="68" spans="1:16" ht="15" customHeight="1" x14ac:dyDescent="0.3">
      <c r="A68" s="85" t="s">
        <v>51</v>
      </c>
      <c r="B68" s="85" t="s">
        <v>52</v>
      </c>
      <c r="C68" s="85"/>
      <c r="D68" s="134" t="s">
        <v>53</v>
      </c>
      <c r="E68" s="135"/>
      <c r="F68" s="124" t="s">
        <v>54</v>
      </c>
      <c r="G68" s="134" t="s">
        <v>55</v>
      </c>
      <c r="H68" s="138"/>
      <c r="I68" s="134" t="s">
        <v>56</v>
      </c>
      <c r="J68" s="144"/>
    </row>
    <row r="69" spans="1:16" ht="36" customHeight="1" x14ac:dyDescent="0.3">
      <c r="A69" s="133" t="s">
        <v>57</v>
      </c>
      <c r="B69" s="133"/>
      <c r="C69" s="133"/>
      <c r="D69" s="133"/>
      <c r="E69" s="133"/>
      <c r="F69" s="133"/>
      <c r="G69" s="133"/>
      <c r="H69" s="133"/>
      <c r="I69" s="133"/>
      <c r="J69" s="133"/>
    </row>
  </sheetData>
  <customSheetViews>
    <customSheetView guid="{F302B859-9C14-40B8-A8C5-DD6CAA83CE4D}" showPageBreaks="1" showGridLines="0" printArea="1" showRuler="0">
      <pane ySplit="6" topLeftCell="A28" activePane="bottomLeft" state="frozen"/>
      <selection pane="bottomLeft" activeCell="K45" sqref="A45:IV45"/>
      <pageMargins left="0" right="0" top="0" bottom="0" header="0" footer="0"/>
      <pageSetup scale="91" orientation="portrait" r:id="rId1"/>
      <headerFooter alignWithMargins="0">
        <oddFooter>&amp;L&amp;6 002-000-PDF-566 (015311) EPF-0027
Rev 6 (1-Sep-09)&amp;C&amp;"Arial,Bold"&amp;6Corporate Base&amp;R&amp;6Page &amp;P of &amp;N</oddFooter>
      </headerFooter>
    </customSheetView>
  </customSheetViews>
  <mergeCells count="53">
    <mergeCell ref="A1:J1"/>
    <mergeCell ref="A13:J13"/>
    <mergeCell ref="A2:C2"/>
    <mergeCell ref="D3:F3"/>
    <mergeCell ref="D2:F2"/>
    <mergeCell ref="H2:J2"/>
    <mergeCell ref="H4:J4"/>
    <mergeCell ref="D4:F4"/>
    <mergeCell ref="H3:J3"/>
    <mergeCell ref="A5:C5"/>
    <mergeCell ref="D6:F6"/>
    <mergeCell ref="A7:J7"/>
    <mergeCell ref="A4:C4"/>
    <mergeCell ref="A3:C3"/>
    <mergeCell ref="L6:M6"/>
    <mergeCell ref="D65:E65"/>
    <mergeCell ref="D5:J5"/>
    <mergeCell ref="I65:J65"/>
    <mergeCell ref="A6:C6"/>
    <mergeCell ref="H44:J44"/>
    <mergeCell ref="H43:J43"/>
    <mergeCell ref="A52:J52"/>
    <mergeCell ref="A45:J45"/>
    <mergeCell ref="A8:J12"/>
    <mergeCell ref="A14:J24"/>
    <mergeCell ref="A41:J41"/>
    <mergeCell ref="A26:J40"/>
    <mergeCell ref="A62:J64"/>
    <mergeCell ref="B65:C65"/>
    <mergeCell ref="A46:J51"/>
    <mergeCell ref="A60:D60"/>
    <mergeCell ref="F60:G60"/>
    <mergeCell ref="H60:J60"/>
    <mergeCell ref="A53:J59"/>
    <mergeCell ref="N17:O21"/>
    <mergeCell ref="H42:J42"/>
    <mergeCell ref="A42:F42"/>
    <mergeCell ref="A43:F43"/>
    <mergeCell ref="A44:F44"/>
    <mergeCell ref="A69:J69"/>
    <mergeCell ref="D68:E68"/>
    <mergeCell ref="D66:E66"/>
    <mergeCell ref="G68:H68"/>
    <mergeCell ref="A61:J61"/>
    <mergeCell ref="B67:C67"/>
    <mergeCell ref="I68:J68"/>
    <mergeCell ref="I66:J66"/>
    <mergeCell ref="G66:H66"/>
    <mergeCell ref="G67:H67"/>
    <mergeCell ref="G65:H65"/>
    <mergeCell ref="I67:J67"/>
    <mergeCell ref="D67:E67"/>
    <mergeCell ref="B66:C66"/>
  </mergeCells>
  <phoneticPr fontId="0" type="noConversion"/>
  <pageMargins left="0.78740157480314998" right="0.196850393700787" top="0.39370078740157499" bottom="0.62" header="0.196850393700787" footer="0.196850393700787"/>
  <pageSetup paperSize="9" scale="71" orientation="portrait" r:id="rId2"/>
  <headerFooter>
    <oddFooter>&amp;L&amp;"Calibri,Regular"&amp;11Copyright 2019, Worley
&amp;F&amp;R&amp;"Calibri,Regular"&amp;11Rev. 0, 01 December 2019</oddFooter>
  </headerFooter>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2.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pageSetUpPr fitToPage="1"/>
  </sheetPr>
  <dimension ref="A1:T44"/>
  <sheetViews>
    <sheetView showGridLines="0" zoomScaleNormal="100" zoomScaleSheetLayoutView="100" zoomScalePageLayoutView="85" workbookViewId="0">
      <selection sqref="A1:J1"/>
    </sheetView>
  </sheetViews>
  <sheetFormatPr defaultColWidth="9.1796875" defaultRowHeight="14" x14ac:dyDescent="0.3"/>
  <cols>
    <col min="1" max="2" width="6.7265625" style="1" customWidth="1"/>
    <col min="3" max="3" width="5.7265625" style="1" customWidth="1"/>
    <col min="4" max="4" width="18.7265625" style="1" customWidth="1"/>
    <col min="5" max="5" width="14.7265625" style="1" customWidth="1"/>
    <col min="6" max="6" width="16.7265625" style="1" customWidth="1"/>
    <col min="7" max="7" width="11" style="1" customWidth="1"/>
    <col min="8" max="8" width="6.7265625" style="1" customWidth="1"/>
    <col min="9" max="9" width="8.81640625" style="1" customWidth="1"/>
    <col min="10" max="10" width="8.54296875" style="1" customWidth="1"/>
    <col min="11" max="11" width="20.7265625" style="1" customWidth="1"/>
    <col min="12" max="16384" width="9.1796875" style="1"/>
  </cols>
  <sheetData>
    <row r="1" spans="1:20" ht="60" customHeight="1" x14ac:dyDescent="0.3">
      <c r="A1" s="222" t="s">
        <v>58</v>
      </c>
      <c r="B1" s="222"/>
      <c r="C1" s="222"/>
      <c r="D1" s="222"/>
      <c r="E1" s="222"/>
      <c r="F1" s="222"/>
      <c r="G1" s="222"/>
      <c r="H1" s="222"/>
      <c r="I1" s="222"/>
      <c r="J1" s="222"/>
    </row>
    <row r="2" spans="1:20" customFormat="1" ht="15" customHeight="1" x14ac:dyDescent="0.25">
      <c r="A2" s="199" t="s">
        <v>1</v>
      </c>
      <c r="B2" s="200"/>
      <c r="C2" s="200"/>
      <c r="D2" s="223" t="str">
        <f>customer</f>
        <v>customer name</v>
      </c>
      <c r="E2" s="223"/>
      <c r="F2" s="223"/>
      <c r="G2" s="122" t="str">
        <f>'Cover Sheet'!G2</f>
        <v>Proj No</v>
      </c>
      <c r="H2" s="224" t="str">
        <f>Proj_No</f>
        <v>proj no</v>
      </c>
      <c r="I2" s="224"/>
      <c r="J2" s="225"/>
      <c r="K2" s="16"/>
    </row>
    <row r="3" spans="1:20" ht="15" customHeight="1" x14ac:dyDescent="0.3">
      <c r="A3" s="199" t="s">
        <v>5</v>
      </c>
      <c r="B3" s="200"/>
      <c r="C3" s="200"/>
      <c r="D3" s="226" t="str">
        <f>proj_title</f>
        <v>proj title</v>
      </c>
      <c r="E3" s="226"/>
      <c r="F3" s="226"/>
      <c r="G3" s="122" t="str">
        <f>'Cover Sheet'!G3</f>
        <v>Calc No</v>
      </c>
      <c r="H3" s="224" t="s">
        <v>8</v>
      </c>
      <c r="I3" s="224"/>
      <c r="J3" s="225"/>
      <c r="K3" s="16"/>
    </row>
    <row r="4" spans="1:20" ht="15" customHeight="1" x14ac:dyDescent="0.3">
      <c r="A4" s="199" t="s">
        <v>9</v>
      </c>
      <c r="B4" s="205"/>
      <c r="C4" s="205"/>
      <c r="D4" s="205" t="s">
        <v>310</v>
      </c>
      <c r="E4" s="205"/>
      <c r="F4" s="205"/>
      <c r="G4" s="122" t="s">
        <v>10</v>
      </c>
      <c r="H4" s="224" t="str">
        <f>Phase_CTR</f>
        <v>phase</v>
      </c>
      <c r="I4" s="224"/>
      <c r="J4" s="230"/>
      <c r="K4" s="16"/>
    </row>
    <row r="5" spans="1:20" ht="22.5" customHeight="1" x14ac:dyDescent="0.3">
      <c r="A5" s="199" t="s">
        <v>12</v>
      </c>
      <c r="B5" s="205"/>
      <c r="C5" s="205"/>
      <c r="D5" s="231" t="str">
        <f ca="1">elec_file</f>
        <v>https://worleyparsons-my.sharepoint.com/personal/priyanka_verma_worley_com/Documents/Phase 2 QC2 Document Folder/KS/Calculations KS/Compare/KS-PR-CAL-0090 Vibration Assessment - Surge and Momentum Changes Template.xlsx</v>
      </c>
      <c r="E5" s="231"/>
      <c r="F5" s="231"/>
      <c r="G5" s="231"/>
      <c r="H5" s="231"/>
      <c r="I5" s="231"/>
      <c r="J5" s="232"/>
      <c r="K5"/>
    </row>
    <row r="6" spans="1:20" ht="15" customHeight="1" x14ac:dyDescent="0.3">
      <c r="A6" s="227"/>
      <c r="B6" s="228"/>
      <c r="C6" s="228"/>
      <c r="D6" s="229"/>
      <c r="E6" s="229"/>
      <c r="F6" s="229"/>
      <c r="G6" s="73" t="s">
        <v>13</v>
      </c>
      <c r="H6" s="86">
        <v>2</v>
      </c>
      <c r="I6" s="125" t="s">
        <v>14</v>
      </c>
      <c r="J6" s="87">
        <f>num_pages</f>
        <v>13</v>
      </c>
      <c r="K6"/>
    </row>
    <row r="7" spans="1:20" s="13" customFormat="1" x14ac:dyDescent="0.25">
      <c r="A7" s="219" t="s">
        <v>59</v>
      </c>
      <c r="B7" s="233"/>
      <c r="C7" s="233"/>
      <c r="D7" s="233"/>
      <c r="E7" s="233"/>
      <c r="F7" s="233"/>
      <c r="G7" s="233"/>
      <c r="H7" s="233"/>
      <c r="I7" s="233"/>
      <c r="J7" s="234"/>
      <c r="K7" s="12"/>
    </row>
    <row r="8" spans="1:20" s="13" customFormat="1" x14ac:dyDescent="0.25">
      <c r="A8" s="219" t="s">
        <v>16</v>
      </c>
      <c r="B8" s="233"/>
      <c r="C8" s="233"/>
      <c r="D8" s="233"/>
      <c r="E8" s="233"/>
      <c r="F8" s="233"/>
      <c r="G8" s="233"/>
      <c r="H8" s="233"/>
      <c r="I8" s="233"/>
      <c r="J8" s="234"/>
      <c r="K8" s="14"/>
      <c r="L8" s="15"/>
      <c r="M8" s="15"/>
      <c r="N8" s="15"/>
      <c r="O8" s="15"/>
      <c r="P8" s="15"/>
      <c r="Q8" s="15"/>
      <c r="R8" s="15"/>
      <c r="S8" s="15"/>
      <c r="T8" s="15"/>
    </row>
    <row r="9" spans="1:20" s="13" customFormat="1" ht="19.5" customHeight="1" x14ac:dyDescent="0.25">
      <c r="A9" s="88" t="s">
        <v>60</v>
      </c>
      <c r="B9" s="88" t="s">
        <v>61</v>
      </c>
      <c r="C9" s="126"/>
      <c r="D9" s="126"/>
      <c r="E9" s="126"/>
      <c r="F9" s="126"/>
      <c r="G9" s="126"/>
      <c r="H9" s="126"/>
      <c r="I9" s="126"/>
      <c r="J9" s="127"/>
      <c r="K9" s="14"/>
      <c r="L9" s="15"/>
      <c r="M9" s="15"/>
      <c r="N9" s="15"/>
      <c r="O9" s="15"/>
      <c r="P9" s="15"/>
      <c r="Q9" s="15"/>
      <c r="R9" s="15"/>
      <c r="S9" s="15"/>
      <c r="T9" s="15"/>
    </row>
    <row r="10" spans="1:20" s="13" customFormat="1" ht="30" customHeight="1" x14ac:dyDescent="0.25">
      <c r="A10" s="89"/>
      <c r="B10" s="89"/>
      <c r="C10" s="235" t="s">
        <v>312</v>
      </c>
      <c r="D10" s="236"/>
      <c r="E10" s="236"/>
      <c r="F10" s="236"/>
      <c r="G10" s="236"/>
      <c r="H10" s="236"/>
      <c r="I10" s="236"/>
      <c r="J10" s="237"/>
      <c r="K10" s="12"/>
    </row>
    <row r="11" spans="1:20" s="13" customFormat="1" ht="20.149999999999999" customHeight="1" x14ac:dyDescent="0.25">
      <c r="A11" s="89"/>
      <c r="B11" s="89"/>
      <c r="C11" s="209" t="s">
        <v>62</v>
      </c>
      <c r="D11" s="210"/>
      <c r="E11" s="210"/>
      <c r="F11" s="210"/>
      <c r="G11" s="210"/>
      <c r="H11" s="210"/>
      <c r="I11" s="210"/>
      <c r="J11" s="211"/>
      <c r="K11" s="12"/>
      <c r="L11" s="23"/>
    </row>
    <row r="12" spans="1:20" s="13" customFormat="1" ht="30" customHeight="1" x14ac:dyDescent="0.25">
      <c r="A12" s="89"/>
      <c r="B12" s="89"/>
      <c r="C12" s="235" t="s">
        <v>63</v>
      </c>
      <c r="D12" s="236"/>
      <c r="E12" s="236"/>
      <c r="F12" s="236"/>
      <c r="G12" s="236"/>
      <c r="H12" s="236"/>
      <c r="I12" s="236"/>
      <c r="J12" s="237"/>
      <c r="K12" s="12"/>
    </row>
    <row r="13" spans="1:20" s="13" customFormat="1" ht="20.149999999999999" customHeight="1" x14ac:dyDescent="0.25">
      <c r="A13" s="89"/>
      <c r="B13" s="89"/>
      <c r="C13" s="209" t="s">
        <v>64</v>
      </c>
      <c r="D13" s="210"/>
      <c r="E13" s="210"/>
      <c r="F13" s="210"/>
      <c r="G13" s="210"/>
      <c r="H13" s="210"/>
      <c r="I13" s="210"/>
      <c r="J13" s="211"/>
      <c r="K13" s="12"/>
    </row>
    <row r="14" spans="1:20" s="13" customFormat="1" ht="20.149999999999999" customHeight="1" x14ac:dyDescent="0.25">
      <c r="A14" s="89"/>
      <c r="B14" s="89"/>
      <c r="C14" s="209" t="s">
        <v>65</v>
      </c>
      <c r="D14" s="210"/>
      <c r="E14" s="210"/>
      <c r="F14" s="210"/>
      <c r="G14" s="210"/>
      <c r="H14" s="210"/>
      <c r="I14" s="210"/>
      <c r="J14" s="211"/>
      <c r="K14" s="12"/>
    </row>
    <row r="15" spans="1:20" s="13" customFormat="1" ht="20.149999999999999" customHeight="1" x14ac:dyDescent="0.25">
      <c r="A15" s="89"/>
      <c r="B15" s="89"/>
      <c r="C15" s="209" t="s">
        <v>66</v>
      </c>
      <c r="D15" s="210"/>
      <c r="E15" s="210"/>
      <c r="F15" s="210"/>
      <c r="G15" s="210"/>
      <c r="H15" s="210"/>
      <c r="I15" s="210"/>
      <c r="J15" s="211"/>
      <c r="K15" s="12"/>
    </row>
    <row r="16" spans="1:20" s="13" customFormat="1" ht="20.149999999999999" customHeight="1" x14ac:dyDescent="0.25">
      <c r="A16" s="89"/>
      <c r="B16" s="89"/>
      <c r="C16" s="209" t="s">
        <v>67</v>
      </c>
      <c r="D16" s="210"/>
      <c r="E16" s="210"/>
      <c r="F16" s="210"/>
      <c r="G16" s="210"/>
      <c r="H16" s="210"/>
      <c r="I16" s="210"/>
      <c r="J16" s="211"/>
      <c r="K16" s="12"/>
    </row>
    <row r="17" spans="1:11" s="13" customFormat="1" ht="20.149999999999999" customHeight="1" x14ac:dyDescent="0.25">
      <c r="A17" s="89"/>
      <c r="B17" s="89"/>
      <c r="C17" s="209" t="s">
        <v>68</v>
      </c>
      <c r="D17" s="210"/>
      <c r="E17" s="210"/>
      <c r="F17" s="210"/>
      <c r="G17" s="210"/>
      <c r="H17" s="210"/>
      <c r="I17" s="210"/>
      <c r="J17" s="211"/>
      <c r="K17" s="12"/>
    </row>
    <row r="18" spans="1:11" s="13" customFormat="1" ht="20.149999999999999" customHeight="1" x14ac:dyDescent="0.25">
      <c r="A18" s="89"/>
      <c r="B18" s="89"/>
      <c r="C18" s="209" t="s">
        <v>69</v>
      </c>
      <c r="D18" s="210"/>
      <c r="E18" s="210"/>
      <c r="F18" s="210"/>
      <c r="G18" s="210"/>
      <c r="H18" s="210"/>
      <c r="I18" s="210"/>
      <c r="J18" s="211"/>
      <c r="K18" s="12"/>
    </row>
    <row r="19" spans="1:11" s="13" customFormat="1" ht="20.149999999999999" customHeight="1" x14ac:dyDescent="0.25">
      <c r="A19" s="89"/>
      <c r="B19" s="89"/>
      <c r="C19" s="209" t="s">
        <v>70</v>
      </c>
      <c r="D19" s="210"/>
      <c r="E19" s="210"/>
      <c r="F19" s="210"/>
      <c r="G19" s="210"/>
      <c r="H19" s="210"/>
      <c r="I19" s="210"/>
      <c r="J19" s="211"/>
      <c r="K19" s="12"/>
    </row>
    <row r="20" spans="1:11" s="13" customFormat="1" ht="20.149999999999999" customHeight="1" x14ac:dyDescent="0.25">
      <c r="A20" s="89"/>
      <c r="B20" s="89"/>
      <c r="C20" s="235" t="s">
        <v>71</v>
      </c>
      <c r="D20" s="236"/>
      <c r="E20" s="236"/>
      <c r="F20" s="236"/>
      <c r="G20" s="236"/>
      <c r="H20" s="236"/>
      <c r="I20" s="236"/>
      <c r="J20" s="237"/>
      <c r="K20" s="12"/>
    </row>
    <row r="21" spans="1:11" s="13" customFormat="1" ht="20.149999999999999" customHeight="1" x14ac:dyDescent="0.25">
      <c r="A21" s="90"/>
      <c r="B21" s="89"/>
      <c r="C21" s="209" t="s">
        <v>72</v>
      </c>
      <c r="D21" s="210"/>
      <c r="E21" s="210"/>
      <c r="F21" s="210"/>
      <c r="G21" s="210"/>
      <c r="H21" s="210"/>
      <c r="I21" s="210"/>
      <c r="J21" s="211"/>
      <c r="K21" s="12"/>
    </row>
    <row r="22" spans="1:11" s="13" customFormat="1" ht="20.149999999999999" customHeight="1" x14ac:dyDescent="0.25">
      <c r="A22" s="89"/>
      <c r="B22" s="89"/>
      <c r="C22" s="209" t="s">
        <v>73</v>
      </c>
      <c r="D22" s="210"/>
      <c r="E22" s="210"/>
      <c r="F22" s="210"/>
      <c r="G22" s="210"/>
      <c r="H22" s="210"/>
      <c r="I22" s="210"/>
      <c r="J22" s="211"/>
      <c r="K22" s="12"/>
    </row>
    <row r="23" spans="1:11" s="13" customFormat="1" ht="20.149999999999999" customHeight="1" x14ac:dyDescent="0.25">
      <c r="A23" s="89"/>
      <c r="B23" s="89"/>
      <c r="C23" s="209" t="s">
        <v>74</v>
      </c>
      <c r="D23" s="210"/>
      <c r="E23" s="210"/>
      <c r="F23" s="210"/>
      <c r="G23" s="210"/>
      <c r="H23" s="210"/>
      <c r="I23" s="210"/>
      <c r="J23" s="211"/>
      <c r="K23" s="12"/>
    </row>
    <row r="24" spans="1:11" s="13" customFormat="1" ht="20.149999999999999" customHeight="1" x14ac:dyDescent="0.25">
      <c r="A24" s="89"/>
      <c r="B24" s="89"/>
      <c r="C24" s="209" t="s">
        <v>75</v>
      </c>
      <c r="D24" s="210"/>
      <c r="E24" s="210"/>
      <c r="F24" s="210"/>
      <c r="G24" s="210"/>
      <c r="H24" s="210"/>
      <c r="I24" s="210"/>
      <c r="J24" s="211"/>
      <c r="K24" s="12"/>
    </row>
    <row r="25" spans="1:11" s="13" customFormat="1" ht="20.149999999999999" customHeight="1" x14ac:dyDescent="0.25">
      <c r="A25" s="89"/>
      <c r="B25" s="89"/>
      <c r="C25" s="209" t="s">
        <v>76</v>
      </c>
      <c r="D25" s="210"/>
      <c r="E25" s="210"/>
      <c r="F25" s="210"/>
      <c r="G25" s="210"/>
      <c r="H25" s="210"/>
      <c r="I25" s="210"/>
      <c r="J25" s="211"/>
      <c r="K25" s="12"/>
    </row>
    <row r="26" spans="1:11" s="13" customFormat="1" ht="20.149999999999999" customHeight="1" x14ac:dyDescent="0.25">
      <c r="A26" s="89"/>
      <c r="B26" s="89"/>
      <c r="C26" s="209" t="s">
        <v>77</v>
      </c>
      <c r="D26" s="210"/>
      <c r="E26" s="210"/>
      <c r="F26" s="210"/>
      <c r="G26" s="210"/>
      <c r="H26" s="210"/>
      <c r="I26" s="210"/>
      <c r="J26" s="211"/>
      <c r="K26" s="12"/>
    </row>
    <row r="27" spans="1:11" s="13" customFormat="1" ht="20.149999999999999" customHeight="1" x14ac:dyDescent="0.25">
      <c r="A27" s="89"/>
      <c r="B27" s="89"/>
      <c r="C27" s="209" t="s">
        <v>78</v>
      </c>
      <c r="D27" s="210"/>
      <c r="E27" s="210"/>
      <c r="F27" s="210"/>
      <c r="G27" s="210"/>
      <c r="H27" s="210"/>
      <c r="I27" s="210"/>
      <c r="J27" s="211"/>
      <c r="K27" s="12"/>
    </row>
    <row r="28" spans="1:11" s="13" customFormat="1" ht="20.149999999999999" customHeight="1" x14ac:dyDescent="0.25">
      <c r="A28" s="89"/>
      <c r="B28" s="89"/>
      <c r="C28" s="209" t="s">
        <v>79</v>
      </c>
      <c r="D28" s="210"/>
      <c r="E28" s="210"/>
      <c r="F28" s="210"/>
      <c r="G28" s="210"/>
      <c r="H28" s="210"/>
      <c r="I28" s="210"/>
      <c r="J28" s="211"/>
      <c r="K28" s="12"/>
    </row>
    <row r="29" spans="1:11" s="13" customFormat="1" ht="20.149999999999999" customHeight="1" x14ac:dyDescent="0.25">
      <c r="A29" s="89"/>
      <c r="B29" s="89"/>
      <c r="C29" s="209" t="s">
        <v>80</v>
      </c>
      <c r="D29" s="210"/>
      <c r="E29" s="210"/>
      <c r="F29" s="210"/>
      <c r="G29" s="210"/>
      <c r="H29" s="210"/>
      <c r="I29" s="210"/>
      <c r="J29" s="211"/>
      <c r="K29" s="12"/>
    </row>
    <row r="30" spans="1:11" s="13" customFormat="1" x14ac:dyDescent="0.25">
      <c r="A30" s="219" t="s">
        <v>81</v>
      </c>
      <c r="B30" s="220"/>
      <c r="C30" s="220"/>
      <c r="D30" s="220"/>
      <c r="E30" s="220"/>
      <c r="F30" s="220"/>
      <c r="G30" s="220"/>
      <c r="H30" s="220"/>
      <c r="I30" s="220"/>
      <c r="J30" s="221"/>
      <c r="K30" s="12"/>
    </row>
    <row r="31" spans="1:11" s="13" customFormat="1" ht="20.149999999999999" customHeight="1" x14ac:dyDescent="0.25">
      <c r="A31" s="89"/>
      <c r="B31" s="89"/>
      <c r="C31" s="209" t="s">
        <v>82</v>
      </c>
      <c r="D31" s="210"/>
      <c r="E31" s="210"/>
      <c r="F31" s="210"/>
      <c r="G31" s="210"/>
      <c r="H31" s="210"/>
      <c r="I31" s="210"/>
      <c r="J31" s="211"/>
      <c r="K31" s="12"/>
    </row>
    <row r="32" spans="1:11" s="13" customFormat="1" ht="20.149999999999999" customHeight="1" x14ac:dyDescent="0.25">
      <c r="A32" s="89"/>
      <c r="B32" s="89"/>
      <c r="C32" s="209" t="s">
        <v>83</v>
      </c>
      <c r="D32" s="210"/>
      <c r="E32" s="210"/>
      <c r="F32" s="210"/>
      <c r="G32" s="210"/>
      <c r="H32" s="210"/>
      <c r="I32" s="210"/>
      <c r="J32" s="211"/>
      <c r="K32" s="12"/>
    </row>
    <row r="33" spans="1:11" s="13" customFormat="1" ht="20.149999999999999" customHeight="1" x14ac:dyDescent="0.25">
      <c r="A33" s="89"/>
      <c r="B33" s="89"/>
      <c r="C33" s="209" t="s">
        <v>84</v>
      </c>
      <c r="D33" s="210"/>
      <c r="E33" s="210"/>
      <c r="F33" s="210"/>
      <c r="G33" s="210"/>
      <c r="H33" s="210"/>
      <c r="I33" s="210"/>
      <c r="J33" s="211"/>
      <c r="K33" s="12"/>
    </row>
    <row r="34" spans="1:11" s="13" customFormat="1" x14ac:dyDescent="0.25">
      <c r="A34" s="219" t="s">
        <v>85</v>
      </c>
      <c r="B34" s="220"/>
      <c r="C34" s="220"/>
      <c r="D34" s="220"/>
      <c r="E34" s="220"/>
      <c r="F34" s="220"/>
      <c r="G34" s="220"/>
      <c r="H34" s="220"/>
      <c r="I34" s="220"/>
      <c r="J34" s="221"/>
      <c r="K34" s="12"/>
    </row>
    <row r="35" spans="1:11" s="13" customFormat="1" ht="20.149999999999999" customHeight="1" x14ac:dyDescent="0.25">
      <c r="A35" s="89"/>
      <c r="B35" s="89"/>
      <c r="C35" s="209" t="s">
        <v>86</v>
      </c>
      <c r="D35" s="210"/>
      <c r="E35" s="210"/>
      <c r="F35" s="210"/>
      <c r="G35" s="210"/>
      <c r="H35" s="210"/>
      <c r="I35" s="210"/>
      <c r="J35" s="211"/>
      <c r="K35" s="12"/>
    </row>
    <row r="36" spans="1:11" s="13" customFormat="1" ht="20.149999999999999" customHeight="1" x14ac:dyDescent="0.25">
      <c r="A36" s="89"/>
      <c r="B36" s="89"/>
      <c r="C36" s="209" t="s">
        <v>87</v>
      </c>
      <c r="D36" s="210"/>
      <c r="E36" s="210"/>
      <c r="F36" s="210"/>
      <c r="G36" s="210"/>
      <c r="H36" s="210"/>
      <c r="I36" s="210"/>
      <c r="J36" s="211"/>
      <c r="K36" s="12"/>
    </row>
    <row r="37" spans="1:11" s="13" customFormat="1" ht="20.149999999999999" customHeight="1" x14ac:dyDescent="0.25">
      <c r="A37" s="89"/>
      <c r="B37" s="89"/>
      <c r="C37" s="209" t="s">
        <v>88</v>
      </c>
      <c r="D37" s="210"/>
      <c r="E37" s="210"/>
      <c r="F37" s="210"/>
      <c r="G37" s="210"/>
      <c r="H37" s="210"/>
      <c r="I37" s="210"/>
      <c r="J37" s="211"/>
      <c r="K37" s="12"/>
    </row>
    <row r="38" spans="1:11" s="13" customFormat="1" ht="20.149999999999999" customHeight="1" x14ac:dyDescent="0.25">
      <c r="A38" s="91"/>
      <c r="B38" s="126"/>
      <c r="C38" s="126"/>
      <c r="D38" s="126"/>
      <c r="E38" s="126"/>
      <c r="F38" s="126"/>
      <c r="G38" s="126"/>
      <c r="H38" s="126"/>
      <c r="I38" s="126"/>
      <c r="J38" s="127"/>
      <c r="K38" s="12"/>
    </row>
    <row r="39" spans="1:11" s="13" customFormat="1" ht="20.149999999999999" customHeight="1" x14ac:dyDescent="0.25">
      <c r="A39" s="130"/>
      <c r="B39" s="126"/>
      <c r="C39" s="126"/>
      <c r="D39" s="126"/>
      <c r="E39" s="126"/>
      <c r="F39" s="126"/>
      <c r="G39" s="126"/>
      <c r="H39" s="126"/>
      <c r="I39" s="126"/>
      <c r="J39" s="127"/>
      <c r="K39" s="12"/>
    </row>
    <row r="40" spans="1:11" x14ac:dyDescent="0.3">
      <c r="A40" s="123" t="str">
        <f>_rev3</f>
        <v>rev 3</v>
      </c>
      <c r="B40" s="217" t="str">
        <f>date3</f>
        <v>date 3</v>
      </c>
      <c r="C40" s="217"/>
      <c r="D40" s="218" t="str">
        <f>desc3</f>
        <v>desc 3</v>
      </c>
      <c r="E40" s="218"/>
      <c r="F40" s="92" t="str">
        <f>orig3</f>
        <v>by 3</v>
      </c>
      <c r="G40" s="215" t="str">
        <f>_chk3</f>
        <v>chkd 3</v>
      </c>
      <c r="H40" s="150"/>
      <c r="I40" s="212" t="str">
        <f>_app3</f>
        <v>app 3</v>
      </c>
      <c r="J40" s="143"/>
      <c r="K40" s="3"/>
    </row>
    <row r="41" spans="1:11" x14ac:dyDescent="0.3">
      <c r="A41" s="123" t="str">
        <f>_rev2</f>
        <v>rev 2</v>
      </c>
      <c r="B41" s="217" t="str">
        <f>date2</f>
        <v>date 2</v>
      </c>
      <c r="C41" s="217"/>
      <c r="D41" s="218" t="str">
        <f>desc2</f>
        <v>desc 2</v>
      </c>
      <c r="E41" s="218"/>
      <c r="F41" s="92" t="str">
        <f>orig2</f>
        <v>by 2</v>
      </c>
      <c r="G41" s="215" t="str">
        <f>_chk2</f>
        <v>chkd 2</v>
      </c>
      <c r="H41" s="150"/>
      <c r="I41" s="212" t="str">
        <f>_app2</f>
        <v>app 2</v>
      </c>
      <c r="J41" s="143"/>
      <c r="K41" s="3"/>
    </row>
    <row r="42" spans="1:11" x14ac:dyDescent="0.3">
      <c r="A42" s="123" t="str">
        <f>_rev1</f>
        <v>rev 1</v>
      </c>
      <c r="B42" s="212" t="str">
        <f>date1</f>
        <v>date 1</v>
      </c>
      <c r="C42" s="143"/>
      <c r="D42" s="213" t="str">
        <f>desc1</f>
        <v>desc 1</v>
      </c>
      <c r="E42" s="214"/>
      <c r="F42" s="92" t="str">
        <f>orig1</f>
        <v>by 1</v>
      </c>
      <c r="G42" s="215" t="str">
        <f>_chk1</f>
        <v>chkd 1</v>
      </c>
      <c r="H42" s="150"/>
      <c r="I42" s="215" t="str">
        <f>_app1</f>
        <v>app 1</v>
      </c>
      <c r="J42" s="150"/>
      <c r="K42" s="3"/>
    </row>
    <row r="43" spans="1:11" x14ac:dyDescent="0.3">
      <c r="A43" s="119" t="s">
        <v>51</v>
      </c>
      <c r="B43" s="134" t="s">
        <v>52</v>
      </c>
      <c r="C43" s="135"/>
      <c r="D43" s="216" t="s">
        <v>53</v>
      </c>
      <c r="E43" s="216"/>
      <c r="F43" s="124" t="s">
        <v>54</v>
      </c>
      <c r="G43" s="134" t="s">
        <v>55</v>
      </c>
      <c r="H43" s="138"/>
      <c r="I43" s="134" t="s">
        <v>56</v>
      </c>
      <c r="J43" s="144"/>
      <c r="K43" s="3"/>
    </row>
    <row r="44" spans="1:11" ht="36" customHeight="1" x14ac:dyDescent="0.3">
      <c r="A44" s="133"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B44" s="133"/>
      <c r="C44" s="133"/>
      <c r="D44" s="133"/>
      <c r="E44" s="133"/>
      <c r="F44" s="133"/>
      <c r="G44" s="133"/>
      <c r="H44" s="133"/>
      <c r="I44" s="133"/>
      <c r="J44" s="133"/>
    </row>
  </sheetData>
  <mergeCells count="61">
    <mergeCell ref="C29:J29"/>
    <mergeCell ref="C31:J31"/>
    <mergeCell ref="C13:J13"/>
    <mergeCell ref="C14:J14"/>
    <mergeCell ref="C26:J26"/>
    <mergeCell ref="C27:J27"/>
    <mergeCell ref="C28:J28"/>
    <mergeCell ref="C15:J15"/>
    <mergeCell ref="C16:J16"/>
    <mergeCell ref="C17:J17"/>
    <mergeCell ref="C18:J18"/>
    <mergeCell ref="C19:J19"/>
    <mergeCell ref="C20:J20"/>
    <mergeCell ref="C21:J21"/>
    <mergeCell ref="C22:J22"/>
    <mergeCell ref="C23:J23"/>
    <mergeCell ref="A7:J7"/>
    <mergeCell ref="A8:J8"/>
    <mergeCell ref="C10:J10"/>
    <mergeCell ref="C11:J11"/>
    <mergeCell ref="C12:J12"/>
    <mergeCell ref="A6:C6"/>
    <mergeCell ref="D6:F6"/>
    <mergeCell ref="A4:C4"/>
    <mergeCell ref="D4:F4"/>
    <mergeCell ref="H4:J4"/>
    <mergeCell ref="A5:C5"/>
    <mergeCell ref="D5:J5"/>
    <mergeCell ref="A1:J1"/>
    <mergeCell ref="A2:C2"/>
    <mergeCell ref="D2:F2"/>
    <mergeCell ref="H2:J2"/>
    <mergeCell ref="A3:C3"/>
    <mergeCell ref="D3:F3"/>
    <mergeCell ref="H3:J3"/>
    <mergeCell ref="C24:J24"/>
    <mergeCell ref="C25:J25"/>
    <mergeCell ref="B41:C41"/>
    <mergeCell ref="D41:E41"/>
    <mergeCell ref="G41:H41"/>
    <mergeCell ref="I41:J41"/>
    <mergeCell ref="A30:J30"/>
    <mergeCell ref="A34:J34"/>
    <mergeCell ref="B40:C40"/>
    <mergeCell ref="D40:E40"/>
    <mergeCell ref="G40:H40"/>
    <mergeCell ref="I40:J40"/>
    <mergeCell ref="C35:J35"/>
    <mergeCell ref="C36:J36"/>
    <mergeCell ref="C37:J37"/>
    <mergeCell ref="C32:J32"/>
    <mergeCell ref="C33:J33"/>
    <mergeCell ref="A44:J44"/>
    <mergeCell ref="B42:C42"/>
    <mergeCell ref="D42:E42"/>
    <mergeCell ref="G42:H42"/>
    <mergeCell ref="I42:J42"/>
    <mergeCell ref="B43:C43"/>
    <mergeCell ref="D43:E43"/>
    <mergeCell ref="G43:H43"/>
    <mergeCell ref="I43:J43"/>
  </mergeCells>
  <pageMargins left="0.78740157480314998" right="0.196850393700787" top="0.39370078740157499" bottom="0.62" header="0.196850393700787" footer="0.196850393700787"/>
  <pageSetup paperSize="9" scale="87" orientation="portrait" r:id="rId1"/>
  <headerFooter>
    <oddFooter>&amp;L&amp;"Calibri,Regular"&amp;11Copyright 2019, Worley
&amp;F&amp;R&amp;"Calibri,Regular"&amp;11Rev. 0, 01 December 2019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pageSetUpPr fitToPage="1"/>
  </sheetPr>
  <dimension ref="A1:AW74"/>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1:49"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row>
    <row r="2" spans="1:49" s="8" customFormat="1" ht="15" customHeight="1" x14ac:dyDescent="0.25">
      <c r="B2" s="252" t="s">
        <v>1</v>
      </c>
      <c r="C2" s="253"/>
      <c r="D2" s="253"/>
      <c r="E2" s="253"/>
      <c r="F2" s="253"/>
      <c r="G2" s="253"/>
      <c r="H2" s="128"/>
      <c r="I2" s="93" t="str">
        <f>customer</f>
        <v>customer name</v>
      </c>
      <c r="J2" s="93"/>
      <c r="K2" s="93"/>
      <c r="L2" s="93"/>
      <c r="M2" s="93"/>
      <c r="N2" s="93"/>
      <c r="O2" s="93"/>
      <c r="P2" s="93"/>
      <c r="Q2" s="93"/>
      <c r="R2" s="93"/>
      <c r="S2" s="93"/>
      <c r="T2" s="93"/>
      <c r="U2" s="93"/>
      <c r="V2" s="93"/>
      <c r="W2" s="93"/>
      <c r="X2" s="93"/>
      <c r="Y2" s="93"/>
      <c r="Z2" s="93"/>
      <c r="AA2" s="244" t="str">
        <f>'Cover Sheet'!G2</f>
        <v>Proj No</v>
      </c>
      <c r="AB2" s="244"/>
      <c r="AC2" s="244"/>
      <c r="AD2" s="244"/>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94" t="str">
        <f>proj_title</f>
        <v>proj title</v>
      </c>
      <c r="J3" s="94"/>
      <c r="K3" s="94"/>
      <c r="L3" s="94"/>
      <c r="M3" s="94"/>
      <c r="N3" s="94"/>
      <c r="O3" s="94"/>
      <c r="P3" s="94"/>
      <c r="Q3" s="94"/>
      <c r="R3" s="94"/>
      <c r="S3" s="94"/>
      <c r="T3" s="94"/>
      <c r="U3" s="94"/>
      <c r="V3" s="94"/>
      <c r="W3" s="94"/>
      <c r="X3" s="94"/>
      <c r="Y3" s="94"/>
      <c r="Z3" s="94"/>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95" t="str">
        <f>calc_title</f>
        <v>Vibration Assessment - Surge and Momentum Changes Template</v>
      </c>
      <c r="J4" s="96"/>
      <c r="K4" s="96"/>
      <c r="L4" s="96"/>
      <c r="M4" s="96"/>
      <c r="N4" s="96"/>
      <c r="O4" s="96"/>
      <c r="P4" s="96"/>
      <c r="Q4" s="96"/>
      <c r="R4" s="96"/>
      <c r="S4" s="96"/>
      <c r="T4" s="96"/>
      <c r="U4" s="96"/>
      <c r="V4" s="96"/>
      <c r="W4" s="96"/>
      <c r="X4" s="96"/>
      <c r="Y4" s="96"/>
      <c r="Z4" s="96"/>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56">
        <v>3</v>
      </c>
      <c r="AH6" s="256"/>
      <c r="AI6" s="256"/>
      <c r="AJ6" s="274" t="s">
        <v>14</v>
      </c>
      <c r="AK6" s="274"/>
      <c r="AL6" s="256">
        <f>num_pages</f>
        <v>13</v>
      </c>
      <c r="AM6" s="256"/>
      <c r="AN6" s="257"/>
      <c r="AO6" s="9"/>
      <c r="AP6" s="9"/>
      <c r="AQ6" s="9"/>
    </row>
    <row r="7" spans="1:49" ht="15" customHeight="1" x14ac:dyDescent="0.25">
      <c r="B7" s="265" t="s">
        <v>51</v>
      </c>
      <c r="C7" s="259"/>
      <c r="D7" s="265" t="s">
        <v>52</v>
      </c>
      <c r="E7" s="258"/>
      <c r="F7" s="258"/>
      <c r="G7" s="265" t="s">
        <v>54</v>
      </c>
      <c r="H7" s="258"/>
      <c r="I7" s="258"/>
      <c r="J7" s="259"/>
      <c r="K7" s="265" t="s">
        <v>55</v>
      </c>
      <c r="L7" s="258"/>
      <c r="M7" s="258"/>
      <c r="N7" s="277"/>
      <c r="O7" s="258" t="s">
        <v>51</v>
      </c>
      <c r="P7" s="259"/>
      <c r="Q7" s="265" t="s">
        <v>52</v>
      </c>
      <c r="R7" s="258"/>
      <c r="S7" s="258"/>
      <c r="T7" s="265" t="s">
        <v>54</v>
      </c>
      <c r="U7" s="258"/>
      <c r="V7" s="258"/>
      <c r="W7" s="259"/>
      <c r="X7" s="265" t="s">
        <v>55</v>
      </c>
      <c r="Y7" s="258"/>
      <c r="Z7" s="258"/>
      <c r="AA7" s="277"/>
      <c r="AB7" s="258" t="s">
        <v>51</v>
      </c>
      <c r="AC7" s="259"/>
      <c r="AD7" s="265" t="s">
        <v>52</v>
      </c>
      <c r="AE7" s="258"/>
      <c r="AF7" s="258"/>
      <c r="AG7" s="265" t="s">
        <v>54</v>
      </c>
      <c r="AH7" s="258"/>
      <c r="AI7" s="258"/>
      <c r="AJ7" s="259"/>
      <c r="AK7" s="265" t="s">
        <v>55</v>
      </c>
      <c r="AL7" s="258"/>
      <c r="AM7" s="258"/>
      <c r="AN7" s="259"/>
    </row>
    <row r="8" spans="1:49" s="22" customFormat="1" ht="15" customHeight="1" x14ac:dyDescent="0.25">
      <c r="A8" s="27"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7"/>
      <c r="AP8" s="27"/>
      <c r="AQ8" s="27"/>
      <c r="AR8" s="27"/>
      <c r="AS8" s="27"/>
      <c r="AT8" s="27"/>
      <c r="AU8" s="27"/>
      <c r="AV8" s="27"/>
      <c r="AW8" s="27"/>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25">
      <c r="B12" s="239" t="s">
        <v>90</v>
      </c>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c r="AN12" s="241"/>
      <c r="AR12" s="10"/>
    </row>
    <row r="13" spans="1:49" ht="14.9" customHeight="1" x14ac:dyDescent="0.25">
      <c r="B13" s="100"/>
      <c r="C13" s="72"/>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238" t="s">
        <v>13</v>
      </c>
      <c r="AI13" s="238"/>
      <c r="AJ13" s="238"/>
      <c r="AK13" s="72"/>
      <c r="AL13" s="72"/>
      <c r="AM13" s="72"/>
      <c r="AN13" s="101"/>
      <c r="AR13" s="10"/>
    </row>
    <row r="14" spans="1:49" ht="14.9" customHeight="1" x14ac:dyDescent="0.25">
      <c r="B14" s="100"/>
      <c r="C14" s="72"/>
      <c r="D14" s="103"/>
      <c r="E14" s="102"/>
      <c r="F14" s="103" t="s">
        <v>91</v>
      </c>
      <c r="G14" s="102"/>
      <c r="H14" s="102" t="s">
        <v>92</v>
      </c>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238">
        <v>4</v>
      </c>
      <c r="AI14" s="238"/>
      <c r="AJ14" s="238"/>
      <c r="AK14" s="72"/>
      <c r="AL14" s="72"/>
      <c r="AM14" s="72"/>
      <c r="AN14" s="101"/>
      <c r="AR14" s="10"/>
    </row>
    <row r="15" spans="1:49" ht="14.9" customHeight="1" x14ac:dyDescent="0.25">
      <c r="B15" s="100"/>
      <c r="C15" s="72"/>
      <c r="D15" s="72"/>
      <c r="E15" s="72"/>
      <c r="F15" s="104" t="s">
        <v>93</v>
      </c>
      <c r="G15" s="72"/>
      <c r="H15" s="72" t="s">
        <v>94</v>
      </c>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238">
        <v>5</v>
      </c>
      <c r="AI15" s="238"/>
      <c r="AJ15" s="238"/>
      <c r="AK15" s="72"/>
      <c r="AL15" s="72"/>
      <c r="AM15" s="72"/>
      <c r="AN15" s="101"/>
      <c r="AR15" s="10"/>
    </row>
    <row r="16" spans="1:49" ht="14.9" customHeight="1" x14ac:dyDescent="0.25">
      <c r="B16" s="100"/>
      <c r="C16" s="72"/>
      <c r="D16" s="72"/>
      <c r="E16" s="72"/>
      <c r="F16" s="104" t="s">
        <v>95</v>
      </c>
      <c r="G16" s="72"/>
      <c r="H16" s="72" t="s">
        <v>96</v>
      </c>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238">
        <v>6</v>
      </c>
      <c r="AI16" s="238"/>
      <c r="AJ16" s="238"/>
      <c r="AK16" s="72"/>
      <c r="AL16" s="72"/>
      <c r="AM16" s="72"/>
      <c r="AN16" s="101"/>
      <c r="AR16" s="10"/>
    </row>
    <row r="17" spans="2:44" ht="14.9" customHeight="1" x14ac:dyDescent="0.25">
      <c r="B17" s="100"/>
      <c r="C17" s="72"/>
      <c r="D17" s="72"/>
      <c r="E17" s="72"/>
      <c r="F17" s="105" t="s">
        <v>97</v>
      </c>
      <c r="G17" s="72"/>
      <c r="H17" s="72" t="s">
        <v>98</v>
      </c>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238">
        <v>7</v>
      </c>
      <c r="AI17" s="238"/>
      <c r="AJ17" s="238"/>
      <c r="AK17" s="72"/>
      <c r="AL17" s="72"/>
      <c r="AM17" s="72"/>
      <c r="AN17" s="101"/>
      <c r="AP17" s="24"/>
      <c r="AR17" s="10"/>
    </row>
    <row r="18" spans="2:44" ht="14.9" customHeight="1" x14ac:dyDescent="0.25">
      <c r="B18" s="100"/>
      <c r="C18" s="72"/>
      <c r="D18" s="72"/>
      <c r="E18" s="72"/>
      <c r="F18" s="105" t="s">
        <v>99</v>
      </c>
      <c r="G18" s="72"/>
      <c r="H18" s="72" t="s">
        <v>100</v>
      </c>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238">
        <v>7</v>
      </c>
      <c r="AI18" s="238"/>
      <c r="AJ18" s="238"/>
      <c r="AK18" s="72"/>
      <c r="AL18" s="72"/>
      <c r="AM18" s="72"/>
      <c r="AN18" s="101"/>
      <c r="AR18" s="10"/>
    </row>
    <row r="19" spans="2:44" ht="14.9" customHeight="1" x14ac:dyDescent="0.25">
      <c r="B19" s="100"/>
      <c r="C19" s="72"/>
      <c r="D19" s="72"/>
      <c r="E19" s="72"/>
      <c r="F19" s="105" t="s">
        <v>101</v>
      </c>
      <c r="G19" s="72"/>
      <c r="H19" s="72" t="s">
        <v>102</v>
      </c>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238">
        <v>8</v>
      </c>
      <c r="AI19" s="238"/>
      <c r="AJ19" s="238"/>
      <c r="AK19" s="72"/>
      <c r="AL19" s="72"/>
      <c r="AM19" s="72"/>
      <c r="AN19" s="101"/>
      <c r="AR19" s="10"/>
    </row>
    <row r="20" spans="2:44" ht="14.9" customHeight="1" x14ac:dyDescent="0.25">
      <c r="B20" s="100"/>
      <c r="C20" s="72"/>
      <c r="D20" s="72"/>
      <c r="E20" s="72"/>
      <c r="F20" s="105" t="s">
        <v>103</v>
      </c>
      <c r="G20" s="72"/>
      <c r="H20" s="72" t="s">
        <v>104</v>
      </c>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238">
        <v>9</v>
      </c>
      <c r="AI20" s="238"/>
      <c r="AJ20" s="238"/>
      <c r="AK20" s="72"/>
      <c r="AL20" s="72"/>
      <c r="AM20" s="72"/>
      <c r="AN20" s="101"/>
      <c r="AR20" s="10"/>
    </row>
    <row r="21" spans="2:44" ht="14.9" customHeight="1" x14ac:dyDescent="0.25">
      <c r="B21" s="100"/>
      <c r="C21" s="72"/>
      <c r="D21" s="72"/>
      <c r="E21" s="72"/>
      <c r="F21" s="105" t="s">
        <v>105</v>
      </c>
      <c r="G21" s="72"/>
      <c r="H21" s="72" t="s">
        <v>106</v>
      </c>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238">
        <v>10</v>
      </c>
      <c r="AI21" s="238"/>
      <c r="AJ21" s="238"/>
      <c r="AK21" s="72"/>
      <c r="AL21" s="72"/>
      <c r="AM21" s="72"/>
      <c r="AN21" s="101"/>
      <c r="AR21" s="10"/>
    </row>
    <row r="22" spans="2:44" ht="14.9" customHeight="1" x14ac:dyDescent="0.25">
      <c r="B22" s="100"/>
      <c r="C22" s="72"/>
      <c r="D22" s="72"/>
      <c r="E22" s="72"/>
      <c r="F22" s="105" t="s">
        <v>107</v>
      </c>
      <c r="G22" s="72"/>
      <c r="H22" s="72" t="s">
        <v>108</v>
      </c>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238">
        <v>11</v>
      </c>
      <c r="AI22" s="238"/>
      <c r="AJ22" s="238"/>
      <c r="AK22" s="72"/>
      <c r="AL22" s="72"/>
      <c r="AM22" s="72"/>
      <c r="AN22" s="101"/>
      <c r="AR22" s="10"/>
    </row>
    <row r="23" spans="2:44" ht="14.9" customHeight="1" x14ac:dyDescent="0.25">
      <c r="B23" s="100"/>
      <c r="C23" s="72"/>
      <c r="D23" s="72"/>
      <c r="E23" s="72"/>
      <c r="F23" s="105" t="s">
        <v>109</v>
      </c>
      <c r="G23" s="72"/>
      <c r="H23" s="72" t="s">
        <v>110</v>
      </c>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238">
        <v>12</v>
      </c>
      <c r="AI23" s="238"/>
      <c r="AJ23" s="238"/>
      <c r="AK23" s="72"/>
      <c r="AL23" s="72"/>
      <c r="AM23" s="72"/>
      <c r="AN23" s="101"/>
      <c r="AR23" s="10"/>
    </row>
    <row r="24" spans="2:44" ht="14.9" customHeight="1" x14ac:dyDescent="0.25">
      <c r="B24" s="100"/>
      <c r="C24" s="72"/>
      <c r="D24" s="72"/>
      <c r="E24" s="72"/>
      <c r="F24" s="105" t="s">
        <v>111</v>
      </c>
      <c r="G24" s="72"/>
      <c r="H24" s="72" t="s">
        <v>112</v>
      </c>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243">
        <v>13</v>
      </c>
      <c r="AI24" s="243"/>
      <c r="AJ24" s="243"/>
      <c r="AK24" s="72"/>
      <c r="AL24" s="72"/>
      <c r="AM24" s="72"/>
      <c r="AN24" s="101"/>
      <c r="AR24" s="10"/>
    </row>
    <row r="25" spans="2:44" ht="14.9" customHeight="1" x14ac:dyDescent="0.25">
      <c r="B25" s="10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101"/>
      <c r="AR25" s="10"/>
    </row>
    <row r="26" spans="2:44" ht="14.9" customHeight="1" x14ac:dyDescent="0.25">
      <c r="B26" s="10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101"/>
      <c r="AR26" s="10"/>
    </row>
    <row r="27" spans="2:44" ht="14.9" customHeight="1" x14ac:dyDescent="0.25">
      <c r="B27" s="10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101"/>
      <c r="AR27" s="10"/>
    </row>
    <row r="28" spans="2:44" ht="14.9" customHeight="1" x14ac:dyDescent="0.25">
      <c r="B28" s="239" t="s">
        <v>113</v>
      </c>
      <c r="C28" s="240"/>
      <c r="D28" s="240"/>
      <c r="E28" s="240"/>
      <c r="F28" s="240"/>
      <c r="G28" s="240"/>
      <c r="H28" s="240"/>
      <c r="I28" s="240"/>
      <c r="J28" s="240"/>
      <c r="K28" s="240"/>
      <c r="L28" s="240"/>
      <c r="M28" s="240"/>
      <c r="N28" s="240"/>
      <c r="O28" s="240"/>
      <c r="P28" s="240"/>
      <c r="Q28" s="240"/>
      <c r="R28" s="240"/>
      <c r="S28" s="240"/>
      <c r="T28" s="240"/>
      <c r="U28" s="240"/>
      <c r="V28" s="240"/>
      <c r="W28" s="240"/>
      <c r="X28" s="240"/>
      <c r="Y28" s="240"/>
      <c r="Z28" s="240"/>
      <c r="AA28" s="240"/>
      <c r="AB28" s="240"/>
      <c r="AC28" s="240"/>
      <c r="AD28" s="240"/>
      <c r="AE28" s="240"/>
      <c r="AF28" s="240"/>
      <c r="AG28" s="240"/>
      <c r="AH28" s="240"/>
      <c r="AI28" s="240"/>
      <c r="AJ28" s="240"/>
      <c r="AK28" s="240"/>
      <c r="AL28" s="240"/>
      <c r="AM28" s="240"/>
      <c r="AN28" s="241"/>
      <c r="AR28" s="10"/>
    </row>
    <row r="29" spans="2:44" ht="14.9" customHeight="1" x14ac:dyDescent="0.25">
      <c r="B29" s="10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238" t="s">
        <v>114</v>
      </c>
      <c r="AI29" s="238"/>
      <c r="AJ29" s="238"/>
      <c r="AK29" s="72"/>
      <c r="AL29" s="72"/>
      <c r="AM29" s="72"/>
      <c r="AN29" s="101"/>
      <c r="AR29" s="10"/>
    </row>
    <row r="30" spans="2:44" ht="14.9" customHeight="1" x14ac:dyDescent="0.3">
      <c r="B30" s="100"/>
      <c r="C30" s="72"/>
      <c r="D30" s="106"/>
      <c r="E30" s="106"/>
      <c r="F30" s="107" t="s">
        <v>115</v>
      </c>
      <c r="G30" s="72"/>
      <c r="H30" s="242" t="str">
        <f>'App A- Dry Gas Calc '!B10</f>
        <v xml:space="preserve">APPENDIX - A Dry Gas Rapid Valve Opening </v>
      </c>
      <c r="I30" s="242"/>
      <c r="J30" s="242"/>
      <c r="K30" s="242"/>
      <c r="L30" s="242"/>
      <c r="M30" s="242"/>
      <c r="N30" s="242"/>
      <c r="O30" s="242"/>
      <c r="P30" s="242"/>
      <c r="Q30" s="242"/>
      <c r="R30" s="242"/>
      <c r="S30" s="242"/>
      <c r="T30" s="242"/>
      <c r="U30" s="242"/>
      <c r="V30" s="242"/>
      <c r="W30" s="242"/>
      <c r="X30" s="242"/>
      <c r="Y30" s="242"/>
      <c r="Z30" s="242"/>
      <c r="AA30" s="242"/>
      <c r="AB30" s="242"/>
      <c r="AC30" s="242"/>
      <c r="AD30" s="242"/>
      <c r="AE30" s="242"/>
      <c r="AF30" s="242"/>
      <c r="AG30" s="72"/>
      <c r="AH30" s="202">
        <v>1</v>
      </c>
      <c r="AI30" s="202"/>
      <c r="AJ30" s="202"/>
      <c r="AK30" s="72"/>
      <c r="AL30" s="72"/>
      <c r="AM30" s="72"/>
      <c r="AN30" s="101"/>
      <c r="AR30" s="10"/>
    </row>
    <row r="31" spans="2:44" ht="14.9" customHeight="1" x14ac:dyDescent="0.3">
      <c r="B31" s="100"/>
      <c r="C31" s="72"/>
      <c r="D31" s="106"/>
      <c r="E31" s="106"/>
      <c r="F31" s="107" t="s">
        <v>116</v>
      </c>
      <c r="G31" s="72"/>
      <c r="H31" s="242" t="str">
        <f>'AppB- Liquid or Multiphase Calc'!B9</f>
        <v>APPENDIX - B Liquid Multiphase Valve Closure</v>
      </c>
      <c r="I31" s="242"/>
      <c r="J31" s="242"/>
      <c r="K31" s="242"/>
      <c r="L31" s="242"/>
      <c r="M31" s="242"/>
      <c r="N31" s="242"/>
      <c r="O31" s="242"/>
      <c r="P31" s="242"/>
      <c r="Q31" s="242"/>
      <c r="R31" s="242"/>
      <c r="S31" s="242"/>
      <c r="T31" s="242"/>
      <c r="U31" s="242"/>
      <c r="V31" s="242"/>
      <c r="W31" s="242"/>
      <c r="X31" s="242"/>
      <c r="Y31" s="242"/>
      <c r="Z31" s="242"/>
      <c r="AA31" s="242"/>
      <c r="AB31" s="242"/>
      <c r="AC31" s="242"/>
      <c r="AD31" s="242"/>
      <c r="AE31" s="242"/>
      <c r="AF31" s="242"/>
      <c r="AG31" s="72"/>
      <c r="AH31" s="202">
        <v>1</v>
      </c>
      <c r="AI31" s="202"/>
      <c r="AJ31" s="202"/>
      <c r="AK31" s="72"/>
      <c r="AL31" s="72"/>
      <c r="AM31" s="72"/>
      <c r="AN31" s="101"/>
      <c r="AR31" s="10"/>
    </row>
    <row r="32" spans="2:44" ht="14.9" customHeight="1" x14ac:dyDescent="0.25">
      <c r="B32" s="100"/>
      <c r="C32" s="72"/>
      <c r="D32" s="72"/>
      <c r="E32" s="72"/>
      <c r="F32" s="107" t="s">
        <v>117</v>
      </c>
      <c r="G32" s="72"/>
      <c r="H32" s="271" t="s">
        <v>118</v>
      </c>
      <c r="I32" s="271"/>
      <c r="J32" s="271"/>
      <c r="K32" s="271"/>
      <c r="L32" s="271"/>
      <c r="M32" s="271"/>
      <c r="N32" s="271"/>
      <c r="O32" s="271"/>
      <c r="P32" s="271"/>
      <c r="Q32" s="271"/>
      <c r="R32" s="271"/>
      <c r="S32" s="271"/>
      <c r="T32" s="271"/>
      <c r="U32" s="271"/>
      <c r="V32" s="271"/>
      <c r="W32" s="271"/>
      <c r="X32" s="271"/>
      <c r="Y32" s="271"/>
      <c r="Z32" s="271"/>
      <c r="AA32" s="271"/>
      <c r="AB32" s="271"/>
      <c r="AC32" s="271"/>
      <c r="AD32" s="271"/>
      <c r="AE32" s="271"/>
      <c r="AF32" s="271"/>
      <c r="AG32" s="72"/>
      <c r="AH32" s="270">
        <v>1</v>
      </c>
      <c r="AI32" s="270"/>
      <c r="AJ32" s="270"/>
      <c r="AK32" s="72"/>
      <c r="AL32" s="72"/>
      <c r="AM32" s="72"/>
      <c r="AN32" s="101"/>
      <c r="AR32" s="10"/>
    </row>
    <row r="33" spans="2: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2: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2: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2: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2: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2: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2: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2: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2: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row>
    <row r="42" spans="2: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row>
    <row r="43" spans="2: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row>
    <row r="44" spans="2:44"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row>
    <row r="45" spans="2: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row>
    <row r="46" spans="2: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2: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2: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49" ht="14.9"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10"/>
    </row>
    <row r="50" spans="2:49" ht="14.9" customHeight="1" x14ac:dyDescent="0.25">
      <c r="B50" s="100"/>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101"/>
      <c r="AR50" s="10"/>
    </row>
    <row r="51" spans="2:49" ht="14.9" customHeight="1" x14ac:dyDescent="0.25">
      <c r="B51" s="100"/>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101"/>
      <c r="AR51" s="10"/>
    </row>
    <row r="52" spans="2:49" s="10" customFormat="1" ht="36" customHeight="1" x14ac:dyDescent="0.25">
      <c r="B52"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2" s="250"/>
      <c r="D52" s="250"/>
      <c r="E52" s="250"/>
      <c r="F52" s="250"/>
      <c r="G52" s="250"/>
      <c r="H52" s="250"/>
      <c r="I52" s="250"/>
      <c r="J52" s="250"/>
      <c r="K52" s="250"/>
      <c r="L52" s="250"/>
      <c r="M52" s="250"/>
      <c r="N52" s="250"/>
      <c r="O52" s="250"/>
      <c r="P52" s="250"/>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R52" s="7"/>
      <c r="AS52" s="7"/>
      <c r="AT52" s="7"/>
      <c r="AU52" s="7"/>
      <c r="AV52" s="7"/>
      <c r="AW52" s="7"/>
    </row>
    <row r="53" spans="2:49" s="10" customFormat="1" x14ac:dyDescent="0.25">
      <c r="AR53" s="7"/>
      <c r="AS53" s="7"/>
      <c r="AT53" s="7"/>
      <c r="AU53" s="7"/>
      <c r="AV53" s="7"/>
      <c r="AW53" s="7"/>
    </row>
    <row r="54" spans="2:49" s="10" customFormat="1" ht="5.25" customHeight="1" x14ac:dyDescent="0.25">
      <c r="AR54" s="7"/>
      <c r="AS54" s="7"/>
      <c r="AT54" s="7"/>
      <c r="AU54" s="7"/>
      <c r="AV54" s="7"/>
      <c r="AW54" s="7"/>
    </row>
    <row r="55" spans="2:49" s="10" customFormat="1" x14ac:dyDescent="0.25">
      <c r="AR55" s="7"/>
      <c r="AS55" s="7"/>
      <c r="AT55" s="7"/>
      <c r="AU55" s="7"/>
      <c r="AV55" s="7"/>
      <c r="AW55" s="7"/>
    </row>
    <row r="56" spans="2:49" s="10" customFormat="1" x14ac:dyDescent="0.25">
      <c r="AR56" s="7"/>
      <c r="AS56" s="7"/>
      <c r="AT56" s="7"/>
      <c r="AU56" s="7"/>
      <c r="AV56" s="7"/>
      <c r="AW56" s="7"/>
    </row>
    <row r="57" spans="2:49" s="10" customFormat="1" x14ac:dyDescent="0.25">
      <c r="AR57" s="7"/>
      <c r="AS57" s="7"/>
      <c r="AT57" s="7"/>
      <c r="AU57" s="7"/>
      <c r="AV57" s="7"/>
      <c r="AW57" s="7"/>
    </row>
    <row r="58" spans="2:49" s="10" customFormat="1" x14ac:dyDescent="0.25">
      <c r="AR58" s="7"/>
      <c r="AS58" s="7"/>
      <c r="AT58" s="7"/>
      <c r="AU58" s="7"/>
      <c r="AV58" s="7"/>
      <c r="AW58" s="7"/>
    </row>
    <row r="59" spans="2:49" s="10" customFormat="1" x14ac:dyDescent="0.25">
      <c r="AR59" s="7"/>
      <c r="AS59" s="7"/>
      <c r="AT59" s="7"/>
      <c r="AU59" s="7"/>
      <c r="AV59" s="7"/>
      <c r="AW59" s="7"/>
    </row>
    <row r="60" spans="2:49" s="10" customFormat="1" x14ac:dyDescent="0.25">
      <c r="AR60" s="7"/>
      <c r="AS60" s="7"/>
      <c r="AT60" s="7"/>
      <c r="AU60" s="7"/>
      <c r="AV60" s="7"/>
      <c r="AW60" s="7"/>
    </row>
    <row r="61" spans="2:49" s="10" customFormat="1" x14ac:dyDescent="0.25">
      <c r="AR61" s="7"/>
      <c r="AS61" s="7"/>
      <c r="AT61" s="7"/>
      <c r="AU61" s="7"/>
      <c r="AV61" s="7"/>
      <c r="AW61" s="7"/>
    </row>
    <row r="62" spans="2:49" s="10" customFormat="1" x14ac:dyDescent="0.25">
      <c r="AR62" s="7"/>
      <c r="AS62" s="7"/>
      <c r="AT62" s="7"/>
      <c r="AU62" s="7"/>
      <c r="AV62" s="7"/>
      <c r="AW62" s="7"/>
    </row>
    <row r="63" spans="2:49" s="10" customFormat="1" x14ac:dyDescent="0.25">
      <c r="AR63" s="7"/>
      <c r="AS63" s="7"/>
      <c r="AT63" s="7"/>
      <c r="AU63" s="7"/>
      <c r="AV63" s="7"/>
      <c r="AW63" s="7"/>
    </row>
    <row r="64" spans="2:49"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row r="74" spans="44:49" s="10" customFormat="1" x14ac:dyDescent="0.25">
      <c r="AR74" s="7"/>
      <c r="AS74" s="7"/>
      <c r="AT74" s="7"/>
      <c r="AU74" s="7"/>
      <c r="AV74" s="7"/>
      <c r="AW74" s="7"/>
    </row>
  </sheetData>
  <customSheetViews>
    <customSheetView guid="{F302B859-9C14-40B8-A8C5-DD6CAA83CE4D}" showPageBreaks="1" zeroValues="0" printArea="1" showRuler="0">
      <selection activeCell="A7" sqref="A7:J7"/>
      <pageMargins left="0" right="0" top="0" bottom="0" header="0" footer="0"/>
      <pageSetup paperSize="9" scale="92" orientation="portrait" r:id="rId1"/>
      <headerFooter alignWithMargins="0">
        <oddFooter>&amp;L&amp;6 002-000-PDF-566 (015311) EPF-0027
Rev 6 (1-Sep-09)&amp;C&amp;"Arial,Bold"&amp;6Corporate Base&amp;R&amp;6Page &amp;P of &amp;N</oddFooter>
      </headerFooter>
    </customSheetView>
  </customSheetViews>
  <mergeCells count="64">
    <mergeCell ref="AH32:AJ32"/>
    <mergeCell ref="H32:AF32"/>
    <mergeCell ref="AH22:AJ22"/>
    <mergeCell ref="I5:AN5"/>
    <mergeCell ref="AD6:AF6"/>
    <mergeCell ref="AD8:AF8"/>
    <mergeCell ref="G7:J7"/>
    <mergeCell ref="AJ6:AK6"/>
    <mergeCell ref="AG6:AI6"/>
    <mergeCell ref="B6:I6"/>
    <mergeCell ref="J6:AC6"/>
    <mergeCell ref="X7:AA7"/>
    <mergeCell ref="Q7:S7"/>
    <mergeCell ref="T7:W7"/>
    <mergeCell ref="O7:P7"/>
    <mergeCell ref="K7:N7"/>
    <mergeCell ref="B7:C7"/>
    <mergeCell ref="AG8:AJ8"/>
    <mergeCell ref="AD7:AF7"/>
    <mergeCell ref="AG7:AJ7"/>
    <mergeCell ref="B8:C8"/>
    <mergeCell ref="D8:F8"/>
    <mergeCell ref="G8:J8"/>
    <mergeCell ref="O8:P8"/>
    <mergeCell ref="Q8:S8"/>
    <mergeCell ref="B52:AN52"/>
    <mergeCell ref="B5:H5"/>
    <mergeCell ref="B1:AN1"/>
    <mergeCell ref="B2:G2"/>
    <mergeCell ref="B4:G4"/>
    <mergeCell ref="B3:G3"/>
    <mergeCell ref="AL6:AN6"/>
    <mergeCell ref="AB7:AC7"/>
    <mergeCell ref="B12:AN12"/>
    <mergeCell ref="T8:W8"/>
    <mergeCell ref="AB8:AC8"/>
    <mergeCell ref="D7:F7"/>
    <mergeCell ref="K8:N8"/>
    <mergeCell ref="X8:AA8"/>
    <mergeCell ref="AK8:AN8"/>
    <mergeCell ref="AK7:AN7"/>
    <mergeCell ref="AA2:AD2"/>
    <mergeCell ref="AA3:AD3"/>
    <mergeCell ref="AA4:AD4"/>
    <mergeCell ref="AE4:AN4"/>
    <mergeCell ref="AE3:AN3"/>
    <mergeCell ref="AE2:AN2"/>
    <mergeCell ref="H31:AF31"/>
    <mergeCell ref="AH15:AJ15"/>
    <mergeCell ref="AH17:AJ17"/>
    <mergeCell ref="AH18:AJ18"/>
    <mergeCell ref="AH19:AJ19"/>
    <mergeCell ref="AH16:AJ16"/>
    <mergeCell ref="AH31:AJ31"/>
    <mergeCell ref="AH13:AJ13"/>
    <mergeCell ref="AH14:AJ14"/>
    <mergeCell ref="B28:AN28"/>
    <mergeCell ref="AH29:AJ29"/>
    <mergeCell ref="AH30:AJ30"/>
    <mergeCell ref="H30:AF30"/>
    <mergeCell ref="AH23:AJ23"/>
    <mergeCell ref="AH20:AJ20"/>
    <mergeCell ref="AH21:AJ21"/>
    <mergeCell ref="AH24:AJ24"/>
  </mergeCells>
  <phoneticPr fontId="0" type="noConversion"/>
  <pageMargins left="0.78740157480314998" right="0.196850393700787" top="0.39370078740157499" bottom="0.62" header="0.196850393700787" footer="0.196850393700787"/>
  <pageSetup paperSize="9" scale="92" orientation="portrait" r:id="rId2"/>
  <headerFooter>
    <oddFooter>&amp;L&amp;"Calibri,Regular"&amp;11Copyright 2019, Worley
&amp;F&amp;R&amp;"Calibri,Regular"&amp;11Rev. 0, 01 December 2019</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tabColor rgb="FF0070C0"/>
    <pageSetUpPr fitToPage="1"/>
  </sheetPr>
  <dimension ref="A1:AX72"/>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4</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ToC!F14</f>
        <v>1.0</v>
      </c>
      <c r="D10" s="287"/>
      <c r="E10" s="72"/>
      <c r="F10" s="108" t="str">
        <f>ToC!H14</f>
        <v>Introduction</v>
      </c>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25">
      <c r="B12" s="100"/>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1"/>
      <c r="AR12" s="10"/>
    </row>
    <row r="13" spans="1:49" ht="14.9" customHeight="1" x14ac:dyDescent="0.25">
      <c r="B13" s="100"/>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1"/>
      <c r="AR13" s="10"/>
    </row>
    <row r="14" spans="1:49" ht="14.9" customHeight="1" x14ac:dyDescent="0.25">
      <c r="B14" s="100"/>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1"/>
      <c r="AR14" s="10"/>
    </row>
    <row r="15" spans="1:49" ht="14.9" customHeight="1" x14ac:dyDescent="0.25">
      <c r="B15" s="100"/>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1"/>
      <c r="AR15" s="10"/>
    </row>
    <row r="16" spans="1:49" ht="14.9" customHeight="1" x14ac:dyDescent="0.25">
      <c r="B16" s="100"/>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1"/>
      <c r="AR16" s="10"/>
    </row>
    <row r="17" spans="1:44" ht="14.9" customHeight="1" x14ac:dyDescent="0.25">
      <c r="B17" s="100"/>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1"/>
      <c r="AR17" s="10"/>
    </row>
    <row r="18" spans="1:44" ht="14.9" customHeight="1" x14ac:dyDescent="0.25">
      <c r="B18" s="100"/>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1"/>
      <c r="AR18" s="10"/>
    </row>
    <row r="19" spans="1:44" ht="14.9" customHeight="1" x14ac:dyDescent="0.25">
      <c r="B19" s="100"/>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1"/>
      <c r="AR19" s="10"/>
    </row>
    <row r="20" spans="1:44" ht="14.9" customHeight="1" x14ac:dyDescent="0.25">
      <c r="A20" s="70"/>
      <c r="B20" s="100"/>
      <c r="C20" s="288"/>
      <c r="D20" s="288"/>
      <c r="E20" s="109"/>
      <c r="F20" s="109"/>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1"/>
      <c r="AR20" s="10"/>
    </row>
    <row r="21" spans="1:44" ht="14.9" customHeight="1" x14ac:dyDescent="0.25">
      <c r="B21" s="100"/>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1"/>
      <c r="AR21" s="10"/>
    </row>
    <row r="22" spans="1:44" ht="14.9" customHeight="1" x14ac:dyDescent="0.25">
      <c r="B22" s="100"/>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1"/>
      <c r="AR22" s="10"/>
    </row>
    <row r="23" spans="1:44" ht="14.9" customHeight="1" x14ac:dyDescent="0.25">
      <c r="B23" s="100"/>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1"/>
      <c r="AR23" s="10"/>
    </row>
    <row r="24" spans="1:44" ht="14.9" customHeight="1" x14ac:dyDescent="0.25">
      <c r="B24" s="100"/>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1"/>
      <c r="AR24" s="10"/>
    </row>
    <row r="25" spans="1:44" ht="14.9" customHeight="1" x14ac:dyDescent="0.25">
      <c r="B25" s="100"/>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1"/>
      <c r="AR25" s="10"/>
    </row>
    <row r="26" spans="1:44" ht="14.9" customHeight="1" x14ac:dyDescent="0.25">
      <c r="B26" s="100"/>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1"/>
      <c r="AR26" s="10"/>
    </row>
    <row r="27" spans="1:44" ht="14.9" customHeight="1" x14ac:dyDescent="0.25">
      <c r="B27" s="100"/>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1"/>
      <c r="AR27" s="10"/>
    </row>
    <row r="28" spans="1:44" ht="14.9" customHeight="1" x14ac:dyDescent="0.25">
      <c r="B28" s="100"/>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1"/>
      <c r="AR28" s="10"/>
    </row>
    <row r="29" spans="1:44" ht="14.9" customHeight="1" x14ac:dyDescent="0.25">
      <c r="B29" s="100"/>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1"/>
      <c r="AR29" s="10"/>
    </row>
    <row r="30" spans="1:44" ht="14.9" customHeight="1" x14ac:dyDescent="0.25">
      <c r="B30" s="100"/>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1"/>
      <c r="AR30" s="10"/>
    </row>
    <row r="31" spans="1:44" ht="14.9" customHeight="1" x14ac:dyDescent="0.25">
      <c r="B31" s="100"/>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1"/>
      <c r="AR31" s="10"/>
    </row>
    <row r="32" spans="1:44" ht="14.9" customHeight="1" x14ac:dyDescent="0.25">
      <c r="B32" s="100"/>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1"/>
      <c r="AR32" s="10"/>
    </row>
    <row r="33" spans="2:44" ht="14.9" customHeight="1" x14ac:dyDescent="0.25">
      <c r="B33" s="100"/>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1"/>
      <c r="AR33" s="10"/>
    </row>
    <row r="34" spans="2:44" ht="14.9" customHeight="1" x14ac:dyDescent="0.25">
      <c r="B34" s="100"/>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1"/>
      <c r="AR34" s="10"/>
    </row>
    <row r="35" spans="2:44" ht="14.9" customHeight="1" x14ac:dyDescent="0.25">
      <c r="B35" s="100"/>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1"/>
      <c r="AR35" s="10"/>
    </row>
    <row r="36" spans="2:44" ht="14.9" customHeight="1" x14ac:dyDescent="0.25">
      <c r="B36" s="100"/>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1"/>
      <c r="AR36" s="10"/>
    </row>
    <row r="37" spans="2:44" ht="14.9" customHeight="1" x14ac:dyDescent="0.25">
      <c r="B37" s="100"/>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1"/>
      <c r="AR37" s="10"/>
    </row>
    <row r="38" spans="2:44" ht="14.9" customHeight="1" x14ac:dyDescent="0.25">
      <c r="B38" s="100"/>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1"/>
      <c r="AR38" s="10"/>
    </row>
    <row r="39" spans="2:44" ht="14.9" customHeight="1" x14ac:dyDescent="0.25">
      <c r="B39" s="100"/>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1"/>
      <c r="AR39" s="10"/>
    </row>
    <row r="40" spans="2:44" ht="14.9" customHeight="1" x14ac:dyDescent="0.25">
      <c r="B40" s="100"/>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1"/>
      <c r="AR40" s="10"/>
    </row>
    <row r="41" spans="2:44" ht="14.9" customHeight="1" x14ac:dyDescent="0.25">
      <c r="B41" s="100"/>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1"/>
      <c r="AR41" s="10"/>
    </row>
    <row r="42" spans="2:44" ht="14.9" customHeight="1" x14ac:dyDescent="0.25">
      <c r="B42" s="100"/>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1"/>
      <c r="AR42" s="10"/>
    </row>
    <row r="43" spans="2:44" ht="14.9" customHeight="1" x14ac:dyDescent="0.25">
      <c r="B43" s="100"/>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1"/>
      <c r="AR43" s="10"/>
    </row>
    <row r="44" spans="2:44" ht="14.9" customHeight="1" x14ac:dyDescent="0.25">
      <c r="B44" s="100"/>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1"/>
      <c r="AR44" s="10"/>
    </row>
    <row r="45" spans="2:44" ht="14.9" customHeight="1" x14ac:dyDescent="0.25">
      <c r="B45" s="100"/>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1"/>
      <c r="AR45" s="10"/>
    </row>
    <row r="46" spans="2:44" ht="14.9" customHeight="1" x14ac:dyDescent="0.25">
      <c r="B46" s="100"/>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1"/>
      <c r="AR46" s="10"/>
    </row>
    <row r="47" spans="2:44" ht="14.9" customHeight="1" x14ac:dyDescent="0.25">
      <c r="B47" s="100"/>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1"/>
      <c r="AR47" s="10"/>
    </row>
    <row r="48" spans="2:44" ht="14.9" customHeight="1" x14ac:dyDescent="0.25">
      <c r="B48" s="100"/>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1"/>
      <c r="AR48" s="10"/>
    </row>
    <row r="49" spans="2:50" s="10" customFormat="1" ht="14.9" customHeight="1" x14ac:dyDescent="0.25">
      <c r="B49" s="110"/>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2"/>
      <c r="AS49" s="7"/>
      <c r="AT49" s="7"/>
      <c r="AU49" s="7"/>
      <c r="AV49" s="7"/>
      <c r="AW49" s="7"/>
      <c r="AX49" s="7"/>
    </row>
    <row r="50" spans="2:50" s="10" customFormat="1" ht="36" customHeight="1" x14ac:dyDescent="0.25">
      <c r="B50"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0" s="250"/>
      <c r="D50" s="250"/>
      <c r="E50" s="250"/>
      <c r="F50" s="250"/>
      <c r="G50" s="250"/>
      <c r="H50" s="250"/>
      <c r="I50" s="250"/>
      <c r="J50" s="250"/>
      <c r="K50" s="250"/>
      <c r="L50" s="250"/>
      <c r="M50" s="250"/>
      <c r="N50" s="250"/>
      <c r="O50" s="250"/>
      <c r="P50" s="250"/>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R50" s="7"/>
      <c r="AS50" s="7"/>
      <c r="AT50" s="7"/>
      <c r="AU50" s="7"/>
      <c r="AV50" s="7"/>
      <c r="AW50" s="7"/>
    </row>
    <row r="51" spans="2:50" s="10" customFormat="1" x14ac:dyDescent="0.25">
      <c r="AR51" s="7"/>
      <c r="AS51" s="7"/>
      <c r="AT51" s="7"/>
      <c r="AU51" s="7"/>
      <c r="AV51" s="7"/>
      <c r="AW51" s="7"/>
    </row>
    <row r="52" spans="2:50" s="10" customFormat="1" x14ac:dyDescent="0.25">
      <c r="AR52" s="7"/>
      <c r="AS52" s="7"/>
      <c r="AT52" s="7"/>
      <c r="AU52" s="7"/>
      <c r="AV52" s="7"/>
      <c r="AW52" s="7"/>
    </row>
    <row r="53" spans="2:50" s="10" customFormat="1" x14ac:dyDescent="0.25">
      <c r="AR53" s="7"/>
      <c r="AS53" s="7"/>
      <c r="AT53" s="7"/>
      <c r="AU53" s="7"/>
      <c r="AV53" s="7"/>
      <c r="AW53" s="7"/>
    </row>
    <row r="54" spans="2:50" s="10" customFormat="1" x14ac:dyDescent="0.25">
      <c r="AR54" s="7"/>
      <c r="AS54" s="7"/>
      <c r="AT54" s="7"/>
      <c r="AU54" s="7"/>
      <c r="AV54" s="7"/>
      <c r="AW54" s="7"/>
    </row>
    <row r="55" spans="2:50" s="10" customFormat="1" x14ac:dyDescent="0.25">
      <c r="AR55" s="7"/>
      <c r="AS55" s="7"/>
      <c r="AT55" s="7"/>
      <c r="AU55" s="7"/>
      <c r="AV55" s="7"/>
      <c r="AW55" s="7"/>
    </row>
    <row r="56" spans="2:50" s="10" customFormat="1" x14ac:dyDescent="0.25">
      <c r="AR56" s="7"/>
      <c r="AS56" s="7"/>
      <c r="AT56" s="7"/>
      <c r="AU56" s="7"/>
      <c r="AV56" s="7"/>
      <c r="AW56" s="7"/>
    </row>
    <row r="57" spans="2:50" s="10" customFormat="1" x14ac:dyDescent="0.25">
      <c r="AR57" s="7"/>
      <c r="AS57" s="7"/>
      <c r="AT57" s="7"/>
      <c r="AU57" s="7"/>
      <c r="AV57" s="7"/>
      <c r="AW57" s="7"/>
    </row>
    <row r="58" spans="2:50" s="10" customFormat="1" x14ac:dyDescent="0.25">
      <c r="AR58" s="7"/>
      <c r="AS58" s="7"/>
      <c r="AT58" s="7"/>
      <c r="AU58" s="7"/>
      <c r="AV58" s="7"/>
      <c r="AW58" s="7"/>
    </row>
    <row r="59" spans="2:50" s="10" customFormat="1" x14ac:dyDescent="0.25">
      <c r="AR59" s="7"/>
      <c r="AS59" s="7"/>
      <c r="AT59" s="7"/>
      <c r="AU59" s="7"/>
      <c r="AV59" s="7"/>
      <c r="AW59" s="7"/>
    </row>
    <row r="60" spans="2:50" s="10" customFormat="1" x14ac:dyDescent="0.25">
      <c r="AR60" s="7"/>
      <c r="AS60" s="7"/>
      <c r="AT60" s="7"/>
      <c r="AU60" s="7"/>
      <c r="AV60" s="7"/>
      <c r="AW60" s="7"/>
    </row>
    <row r="61" spans="2:50" s="10" customFormat="1" x14ac:dyDescent="0.25">
      <c r="AR61" s="7"/>
      <c r="AS61" s="7"/>
      <c r="AT61" s="7"/>
      <c r="AU61" s="7"/>
      <c r="AV61" s="7"/>
      <c r="AW61" s="7"/>
    </row>
    <row r="62" spans="2:50" s="10" customFormat="1" x14ac:dyDescent="0.25">
      <c r="AR62" s="7"/>
      <c r="AS62" s="7"/>
      <c r="AT62" s="7"/>
      <c r="AU62" s="7"/>
      <c r="AV62" s="7"/>
      <c r="AW62" s="7"/>
    </row>
    <row r="63" spans="2:50" s="10" customFormat="1" x14ac:dyDescent="0.25">
      <c r="AR63" s="7"/>
      <c r="AS63" s="7"/>
      <c r="AT63" s="7"/>
      <c r="AU63" s="7"/>
      <c r="AV63" s="7"/>
      <c r="AW63" s="7"/>
    </row>
    <row r="64" spans="2:50"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sheetData>
  <mergeCells count="48">
    <mergeCell ref="B50:AN50"/>
    <mergeCell ref="C10:D10"/>
    <mergeCell ref="C20:D20"/>
    <mergeCell ref="T8:W8"/>
    <mergeCell ref="X8:AA8"/>
    <mergeCell ref="AB8:AC8"/>
    <mergeCell ref="AD8:AF8"/>
    <mergeCell ref="AG8:AJ8"/>
    <mergeCell ref="AK8:AN8"/>
    <mergeCell ref="B8:C8"/>
    <mergeCell ref="D8:F8"/>
    <mergeCell ref="G8:J8"/>
    <mergeCell ref="K8:N8"/>
    <mergeCell ref="O8:P8"/>
    <mergeCell ref="Q8:S8"/>
    <mergeCell ref="AK7:AN7"/>
    <mergeCell ref="B7:C7"/>
    <mergeCell ref="D7:F7"/>
    <mergeCell ref="G7:J7"/>
    <mergeCell ref="K7:N7"/>
    <mergeCell ref="O7:P7"/>
    <mergeCell ref="Q7:S7"/>
    <mergeCell ref="T7:W7"/>
    <mergeCell ref="X7:AA7"/>
    <mergeCell ref="AB7:AC7"/>
    <mergeCell ref="AD7:AF7"/>
    <mergeCell ref="AG7:AJ7"/>
    <mergeCell ref="AL6:AN6"/>
    <mergeCell ref="B4:G4"/>
    <mergeCell ref="I4:Z4"/>
    <mergeCell ref="AA4:AD4"/>
    <mergeCell ref="AE4:AN4"/>
    <mergeCell ref="B5:H5"/>
    <mergeCell ref="I5:AN5"/>
    <mergeCell ref="B6:I6"/>
    <mergeCell ref="J6:AC6"/>
    <mergeCell ref="AD6:AF6"/>
    <mergeCell ref="AG6:AI6"/>
    <mergeCell ref="AJ6:AK6"/>
    <mergeCell ref="B3:G3"/>
    <mergeCell ref="I3:Z3"/>
    <mergeCell ref="AA3:AD3"/>
    <mergeCell ref="AE3:AN3"/>
    <mergeCell ref="B1:AN1"/>
    <mergeCell ref="B2:G2"/>
    <mergeCell ref="I2:Z2"/>
    <mergeCell ref="AA2:AD2"/>
    <mergeCell ref="AE2:AN2"/>
  </mergeCells>
  <pageMargins left="0.78740157480314998" right="0.196850393700787" top="0.39370078740157499" bottom="0.62" header="0.196850393700787" footer="0.196850393700787"/>
  <pageSetup paperSize="9" scale="95" orientation="portrait" r:id="rId1"/>
  <headerFooter>
    <oddFooter>&amp;L&amp;"Calibri,Regular"&amp;11Copyright 2019, Worley
&amp;F&amp;R&amp;"Calibri,Regular"&amp;11Rev. 0, 01 December 2019</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tabColor rgb="FF0070C0"/>
    <pageSetUpPr fitToPage="1"/>
  </sheetPr>
  <dimension ref="A1:AX73"/>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5</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ToC!F15</f>
        <v>2.0</v>
      </c>
      <c r="D10" s="287"/>
      <c r="E10" s="113"/>
      <c r="F10" s="108" t="s">
        <v>94</v>
      </c>
      <c r="G10" s="113"/>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25">
      <c r="B12" s="100"/>
      <c r="C12" s="270"/>
      <c r="D12" s="270"/>
      <c r="E12" s="270"/>
      <c r="F12" s="270"/>
      <c r="G12" s="270"/>
      <c r="H12" s="270"/>
      <c r="I12" s="270"/>
      <c r="J12" s="270"/>
      <c r="K12" s="270"/>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101"/>
      <c r="AR12" s="10"/>
    </row>
    <row r="13" spans="1:49" ht="14.9" customHeight="1" x14ac:dyDescent="0.25">
      <c r="B13" s="100"/>
      <c r="C13" s="270"/>
      <c r="D13" s="270"/>
      <c r="E13" s="270"/>
      <c r="F13" s="270"/>
      <c r="G13" s="270"/>
      <c r="H13" s="270"/>
      <c r="I13" s="270"/>
      <c r="J13" s="270"/>
      <c r="K13" s="270"/>
      <c r="L13" s="270"/>
      <c r="M13" s="270"/>
      <c r="N13" s="270"/>
      <c r="O13" s="270"/>
      <c r="P13" s="270"/>
      <c r="Q13" s="270"/>
      <c r="R13" s="270"/>
      <c r="S13" s="270"/>
      <c r="T13" s="270"/>
      <c r="U13" s="270"/>
      <c r="V13" s="270"/>
      <c r="W13" s="270"/>
      <c r="X13" s="270"/>
      <c r="Y13" s="270"/>
      <c r="Z13" s="270"/>
      <c r="AA13" s="270"/>
      <c r="AB13" s="270"/>
      <c r="AC13" s="270"/>
      <c r="AD13" s="270"/>
      <c r="AE13" s="270"/>
      <c r="AF13" s="270"/>
      <c r="AG13" s="270"/>
      <c r="AH13" s="270"/>
      <c r="AI13" s="270"/>
      <c r="AJ13" s="270"/>
      <c r="AK13" s="270"/>
      <c r="AL13" s="270"/>
      <c r="AM13" s="270"/>
      <c r="AN13" s="101"/>
      <c r="AR13" s="10"/>
    </row>
    <row r="14" spans="1:49" ht="14.9" customHeight="1" x14ac:dyDescent="0.25">
      <c r="B14" s="100"/>
      <c r="C14" s="270"/>
      <c r="D14" s="270"/>
      <c r="E14" s="270"/>
      <c r="F14" s="270"/>
      <c r="G14" s="270"/>
      <c r="H14" s="270"/>
      <c r="I14" s="270"/>
      <c r="J14" s="270"/>
      <c r="K14" s="270"/>
      <c r="L14" s="270"/>
      <c r="M14" s="270"/>
      <c r="N14" s="270"/>
      <c r="O14" s="270"/>
      <c r="P14" s="270"/>
      <c r="Q14" s="270"/>
      <c r="R14" s="270"/>
      <c r="S14" s="270"/>
      <c r="T14" s="270"/>
      <c r="U14" s="270"/>
      <c r="V14" s="270"/>
      <c r="W14" s="270"/>
      <c r="X14" s="270"/>
      <c r="Y14" s="270"/>
      <c r="Z14" s="270"/>
      <c r="AA14" s="270"/>
      <c r="AB14" s="270"/>
      <c r="AC14" s="270"/>
      <c r="AD14" s="270"/>
      <c r="AE14" s="270"/>
      <c r="AF14" s="270"/>
      <c r="AG14" s="270"/>
      <c r="AH14" s="270"/>
      <c r="AI14" s="270"/>
      <c r="AJ14" s="270"/>
      <c r="AK14" s="270"/>
      <c r="AL14" s="270"/>
      <c r="AM14" s="270"/>
      <c r="AN14" s="101"/>
      <c r="AR14" s="10"/>
    </row>
    <row r="15" spans="1:49" ht="14.9" customHeight="1" x14ac:dyDescent="0.25">
      <c r="B15" s="100"/>
      <c r="C15" s="270"/>
      <c r="D15" s="270"/>
      <c r="E15" s="270"/>
      <c r="F15" s="270"/>
      <c r="G15" s="270"/>
      <c r="H15" s="270"/>
      <c r="I15" s="270"/>
      <c r="J15" s="270"/>
      <c r="K15" s="270"/>
      <c r="L15" s="270"/>
      <c r="M15" s="270"/>
      <c r="N15" s="270"/>
      <c r="O15" s="270"/>
      <c r="P15" s="270"/>
      <c r="Q15" s="270"/>
      <c r="R15" s="270"/>
      <c r="S15" s="270"/>
      <c r="T15" s="270"/>
      <c r="U15" s="270"/>
      <c r="V15" s="270"/>
      <c r="W15" s="270"/>
      <c r="X15" s="270"/>
      <c r="Y15" s="270"/>
      <c r="Z15" s="270"/>
      <c r="AA15" s="270"/>
      <c r="AB15" s="270"/>
      <c r="AC15" s="270"/>
      <c r="AD15" s="270"/>
      <c r="AE15" s="270"/>
      <c r="AF15" s="270"/>
      <c r="AG15" s="270"/>
      <c r="AH15" s="270"/>
      <c r="AI15" s="270"/>
      <c r="AJ15" s="270"/>
      <c r="AK15" s="270"/>
      <c r="AL15" s="270"/>
      <c r="AM15" s="270"/>
      <c r="AN15" s="101"/>
      <c r="AR15" s="10"/>
    </row>
    <row r="16" spans="1:49" ht="14.9" customHeight="1" x14ac:dyDescent="0.25">
      <c r="B16" s="100"/>
      <c r="C16" s="270"/>
      <c r="D16" s="270"/>
      <c r="E16" s="270"/>
      <c r="F16" s="270"/>
      <c r="G16" s="270"/>
      <c r="H16" s="270"/>
      <c r="I16" s="270"/>
      <c r="J16" s="270"/>
      <c r="K16" s="270"/>
      <c r="L16" s="270"/>
      <c r="M16" s="270"/>
      <c r="N16" s="270"/>
      <c r="O16" s="270"/>
      <c r="P16" s="270"/>
      <c r="Q16" s="270"/>
      <c r="R16" s="270"/>
      <c r="S16" s="270"/>
      <c r="T16" s="270"/>
      <c r="U16" s="270"/>
      <c r="V16" s="270"/>
      <c r="W16" s="270"/>
      <c r="X16" s="270"/>
      <c r="Y16" s="270"/>
      <c r="Z16" s="270"/>
      <c r="AA16" s="270"/>
      <c r="AB16" s="270"/>
      <c r="AC16" s="270"/>
      <c r="AD16" s="270"/>
      <c r="AE16" s="270"/>
      <c r="AF16" s="270"/>
      <c r="AG16" s="270"/>
      <c r="AH16" s="270"/>
      <c r="AI16" s="270"/>
      <c r="AJ16" s="270"/>
      <c r="AK16" s="270"/>
      <c r="AL16" s="270"/>
      <c r="AM16" s="270"/>
      <c r="AN16" s="101"/>
      <c r="AR16" s="10"/>
    </row>
    <row r="17" spans="1:44" ht="14.9" customHeight="1" x14ac:dyDescent="0.25">
      <c r="B17" s="100"/>
      <c r="C17" s="270"/>
      <c r="D17" s="270"/>
      <c r="E17" s="270"/>
      <c r="F17" s="270"/>
      <c r="G17" s="270"/>
      <c r="H17" s="270"/>
      <c r="I17" s="270"/>
      <c r="J17" s="270"/>
      <c r="K17" s="270"/>
      <c r="L17" s="270"/>
      <c r="M17" s="270"/>
      <c r="N17" s="270"/>
      <c r="O17" s="270"/>
      <c r="P17" s="270"/>
      <c r="Q17" s="270"/>
      <c r="R17" s="270"/>
      <c r="S17" s="270"/>
      <c r="T17" s="270"/>
      <c r="U17" s="270"/>
      <c r="V17" s="270"/>
      <c r="W17" s="270"/>
      <c r="X17" s="270"/>
      <c r="Y17" s="270"/>
      <c r="Z17" s="270"/>
      <c r="AA17" s="270"/>
      <c r="AB17" s="270"/>
      <c r="AC17" s="270"/>
      <c r="AD17" s="270"/>
      <c r="AE17" s="270"/>
      <c r="AF17" s="270"/>
      <c r="AG17" s="270"/>
      <c r="AH17" s="270"/>
      <c r="AI17" s="270"/>
      <c r="AJ17" s="270"/>
      <c r="AK17" s="270"/>
      <c r="AL17" s="270"/>
      <c r="AM17" s="270"/>
      <c r="AN17" s="101"/>
      <c r="AR17" s="10"/>
    </row>
    <row r="18" spans="1:44" ht="14.9" customHeight="1" x14ac:dyDescent="0.25">
      <c r="B18" s="100"/>
      <c r="C18" s="270"/>
      <c r="D18" s="270"/>
      <c r="E18" s="270"/>
      <c r="F18" s="270"/>
      <c r="G18" s="270"/>
      <c r="H18" s="270"/>
      <c r="I18" s="270"/>
      <c r="J18" s="270"/>
      <c r="K18" s="270"/>
      <c r="L18" s="270"/>
      <c r="M18" s="270"/>
      <c r="N18" s="270"/>
      <c r="O18" s="270"/>
      <c r="P18" s="270"/>
      <c r="Q18" s="270"/>
      <c r="R18" s="270"/>
      <c r="S18" s="270"/>
      <c r="T18" s="270"/>
      <c r="U18" s="270"/>
      <c r="V18" s="270"/>
      <c r="W18" s="270"/>
      <c r="X18" s="270"/>
      <c r="Y18" s="270"/>
      <c r="Z18" s="270"/>
      <c r="AA18" s="270"/>
      <c r="AB18" s="270"/>
      <c r="AC18" s="270"/>
      <c r="AD18" s="270"/>
      <c r="AE18" s="270"/>
      <c r="AF18" s="270"/>
      <c r="AG18" s="270"/>
      <c r="AH18" s="270"/>
      <c r="AI18" s="270"/>
      <c r="AJ18" s="270"/>
      <c r="AK18" s="270"/>
      <c r="AL18" s="270"/>
      <c r="AM18" s="270"/>
      <c r="AN18" s="101"/>
      <c r="AR18" s="10"/>
    </row>
    <row r="19" spans="1:44" ht="14.9" customHeight="1" x14ac:dyDescent="0.25">
      <c r="B19" s="100"/>
      <c r="C19" s="270"/>
      <c r="D19" s="270"/>
      <c r="E19" s="270"/>
      <c r="F19" s="270"/>
      <c r="G19" s="270"/>
      <c r="H19" s="270"/>
      <c r="I19" s="270"/>
      <c r="J19" s="270"/>
      <c r="K19" s="270"/>
      <c r="L19" s="270"/>
      <c r="M19" s="270"/>
      <c r="N19" s="270"/>
      <c r="O19" s="270"/>
      <c r="P19" s="270"/>
      <c r="Q19" s="270"/>
      <c r="R19" s="270"/>
      <c r="S19" s="270"/>
      <c r="T19" s="270"/>
      <c r="U19" s="270"/>
      <c r="V19" s="270"/>
      <c r="W19" s="270"/>
      <c r="X19" s="270"/>
      <c r="Y19" s="270"/>
      <c r="Z19" s="270"/>
      <c r="AA19" s="270"/>
      <c r="AB19" s="270"/>
      <c r="AC19" s="270"/>
      <c r="AD19" s="270"/>
      <c r="AE19" s="270"/>
      <c r="AF19" s="270"/>
      <c r="AG19" s="270"/>
      <c r="AH19" s="270"/>
      <c r="AI19" s="270"/>
      <c r="AJ19" s="270"/>
      <c r="AK19" s="270"/>
      <c r="AL19" s="270"/>
      <c r="AM19" s="270"/>
      <c r="AN19" s="101"/>
      <c r="AR19" s="10"/>
    </row>
    <row r="20" spans="1:44" ht="14.9" customHeight="1" x14ac:dyDescent="0.25">
      <c r="B20" s="100"/>
      <c r="C20" s="270"/>
      <c r="D20" s="270"/>
      <c r="E20" s="270"/>
      <c r="F20" s="270"/>
      <c r="G20" s="270"/>
      <c r="H20" s="270"/>
      <c r="I20" s="270"/>
      <c r="J20" s="270"/>
      <c r="K20" s="270"/>
      <c r="L20" s="270"/>
      <c r="M20" s="270"/>
      <c r="N20" s="270"/>
      <c r="O20" s="270"/>
      <c r="P20" s="270"/>
      <c r="Q20" s="270"/>
      <c r="R20" s="270"/>
      <c r="S20" s="270"/>
      <c r="T20" s="270"/>
      <c r="U20" s="270"/>
      <c r="V20" s="270"/>
      <c r="W20" s="270"/>
      <c r="X20" s="270"/>
      <c r="Y20" s="270"/>
      <c r="Z20" s="270"/>
      <c r="AA20" s="270"/>
      <c r="AB20" s="270"/>
      <c r="AC20" s="270"/>
      <c r="AD20" s="270"/>
      <c r="AE20" s="270"/>
      <c r="AF20" s="270"/>
      <c r="AG20" s="270"/>
      <c r="AH20" s="270"/>
      <c r="AI20" s="270"/>
      <c r="AJ20" s="270"/>
      <c r="AK20" s="270"/>
      <c r="AL20" s="270"/>
      <c r="AM20" s="270"/>
      <c r="AN20" s="101"/>
      <c r="AR20" s="10"/>
    </row>
    <row r="21" spans="1:44" ht="14.9" customHeight="1" x14ac:dyDescent="0.25">
      <c r="A21" s="70"/>
      <c r="B21" s="100"/>
      <c r="C21" s="270"/>
      <c r="D21" s="270"/>
      <c r="E21" s="270"/>
      <c r="F21" s="270"/>
      <c r="G21" s="270"/>
      <c r="H21" s="270"/>
      <c r="I21" s="270"/>
      <c r="J21" s="270"/>
      <c r="K21" s="270"/>
      <c r="L21" s="270"/>
      <c r="M21" s="270"/>
      <c r="N21" s="270"/>
      <c r="O21" s="270"/>
      <c r="P21" s="270"/>
      <c r="Q21" s="270"/>
      <c r="R21" s="270"/>
      <c r="S21" s="270"/>
      <c r="T21" s="270"/>
      <c r="U21" s="270"/>
      <c r="V21" s="270"/>
      <c r="W21" s="270"/>
      <c r="X21" s="270"/>
      <c r="Y21" s="270"/>
      <c r="Z21" s="270"/>
      <c r="AA21" s="270"/>
      <c r="AB21" s="270"/>
      <c r="AC21" s="270"/>
      <c r="AD21" s="270"/>
      <c r="AE21" s="270"/>
      <c r="AF21" s="270"/>
      <c r="AG21" s="270"/>
      <c r="AH21" s="270"/>
      <c r="AI21" s="270"/>
      <c r="AJ21" s="270"/>
      <c r="AK21" s="270"/>
      <c r="AL21" s="270"/>
      <c r="AM21" s="270"/>
      <c r="AN21" s="101"/>
      <c r="AR21" s="10"/>
    </row>
    <row r="22" spans="1:44" ht="14.9" customHeight="1" x14ac:dyDescent="0.25">
      <c r="B22" s="100"/>
      <c r="C22" s="270"/>
      <c r="D22" s="270"/>
      <c r="E22" s="270"/>
      <c r="F22" s="270"/>
      <c r="G22" s="270"/>
      <c r="H22" s="270"/>
      <c r="I22" s="270"/>
      <c r="J22" s="270"/>
      <c r="K22" s="270"/>
      <c r="L22" s="270"/>
      <c r="M22" s="270"/>
      <c r="N22" s="270"/>
      <c r="O22" s="270"/>
      <c r="P22" s="270"/>
      <c r="Q22" s="270"/>
      <c r="R22" s="270"/>
      <c r="S22" s="270"/>
      <c r="T22" s="270"/>
      <c r="U22" s="270"/>
      <c r="V22" s="270"/>
      <c r="W22" s="270"/>
      <c r="X22" s="270"/>
      <c r="Y22" s="270"/>
      <c r="Z22" s="270"/>
      <c r="AA22" s="270"/>
      <c r="AB22" s="270"/>
      <c r="AC22" s="270"/>
      <c r="AD22" s="270"/>
      <c r="AE22" s="270"/>
      <c r="AF22" s="270"/>
      <c r="AG22" s="270"/>
      <c r="AH22" s="270"/>
      <c r="AI22" s="270"/>
      <c r="AJ22" s="270"/>
      <c r="AK22" s="270"/>
      <c r="AL22" s="270"/>
      <c r="AM22" s="270"/>
      <c r="AN22" s="101"/>
      <c r="AR22" s="10"/>
    </row>
    <row r="23" spans="1:44" ht="14.9" customHeight="1" x14ac:dyDescent="0.25">
      <c r="B23" s="100"/>
      <c r="C23" s="270"/>
      <c r="D23" s="270"/>
      <c r="E23" s="270"/>
      <c r="F23" s="270"/>
      <c r="G23" s="270"/>
      <c r="H23" s="270"/>
      <c r="I23" s="270"/>
      <c r="J23" s="270"/>
      <c r="K23" s="270"/>
      <c r="L23" s="270"/>
      <c r="M23" s="270"/>
      <c r="N23" s="270"/>
      <c r="O23" s="270"/>
      <c r="P23" s="270"/>
      <c r="Q23" s="270"/>
      <c r="R23" s="270"/>
      <c r="S23" s="270"/>
      <c r="T23" s="270"/>
      <c r="U23" s="270"/>
      <c r="V23" s="270"/>
      <c r="W23" s="270"/>
      <c r="X23" s="270"/>
      <c r="Y23" s="270"/>
      <c r="Z23" s="270"/>
      <c r="AA23" s="270"/>
      <c r="AB23" s="270"/>
      <c r="AC23" s="270"/>
      <c r="AD23" s="270"/>
      <c r="AE23" s="270"/>
      <c r="AF23" s="270"/>
      <c r="AG23" s="270"/>
      <c r="AH23" s="270"/>
      <c r="AI23" s="270"/>
      <c r="AJ23" s="270"/>
      <c r="AK23" s="270"/>
      <c r="AL23" s="270"/>
      <c r="AM23" s="270"/>
      <c r="AN23" s="101"/>
      <c r="AR23" s="10"/>
    </row>
    <row r="24" spans="1:44" ht="14.9" customHeight="1" x14ac:dyDescent="0.25">
      <c r="B24" s="100"/>
      <c r="C24" s="270"/>
      <c r="D24" s="270"/>
      <c r="E24" s="270"/>
      <c r="F24" s="270"/>
      <c r="G24" s="270"/>
      <c r="H24" s="270"/>
      <c r="I24" s="270"/>
      <c r="J24" s="270"/>
      <c r="K24" s="270"/>
      <c r="L24" s="270"/>
      <c r="M24" s="270"/>
      <c r="N24" s="270"/>
      <c r="O24" s="270"/>
      <c r="P24" s="270"/>
      <c r="Q24" s="270"/>
      <c r="R24" s="270"/>
      <c r="S24" s="270"/>
      <c r="T24" s="270"/>
      <c r="U24" s="270"/>
      <c r="V24" s="270"/>
      <c r="W24" s="270"/>
      <c r="X24" s="270"/>
      <c r="Y24" s="270"/>
      <c r="Z24" s="270"/>
      <c r="AA24" s="270"/>
      <c r="AB24" s="270"/>
      <c r="AC24" s="270"/>
      <c r="AD24" s="270"/>
      <c r="AE24" s="270"/>
      <c r="AF24" s="270"/>
      <c r="AG24" s="270"/>
      <c r="AH24" s="270"/>
      <c r="AI24" s="270"/>
      <c r="AJ24" s="270"/>
      <c r="AK24" s="270"/>
      <c r="AL24" s="270"/>
      <c r="AM24" s="270"/>
      <c r="AN24" s="101"/>
      <c r="AR24" s="10"/>
    </row>
    <row r="25" spans="1:44" ht="14.9" customHeight="1" x14ac:dyDescent="0.25">
      <c r="B25" s="100"/>
      <c r="C25" s="270"/>
      <c r="D25" s="270"/>
      <c r="E25" s="270"/>
      <c r="F25" s="270"/>
      <c r="G25" s="270"/>
      <c r="H25" s="270"/>
      <c r="I25" s="270"/>
      <c r="J25" s="270"/>
      <c r="K25" s="270"/>
      <c r="L25" s="270"/>
      <c r="M25" s="270"/>
      <c r="N25" s="270"/>
      <c r="O25" s="270"/>
      <c r="P25" s="270"/>
      <c r="Q25" s="270"/>
      <c r="R25" s="270"/>
      <c r="S25" s="270"/>
      <c r="T25" s="270"/>
      <c r="U25" s="270"/>
      <c r="V25" s="270"/>
      <c r="W25" s="270"/>
      <c r="X25" s="270"/>
      <c r="Y25" s="270"/>
      <c r="Z25" s="270"/>
      <c r="AA25" s="270"/>
      <c r="AB25" s="270"/>
      <c r="AC25" s="270"/>
      <c r="AD25" s="270"/>
      <c r="AE25" s="270"/>
      <c r="AF25" s="270"/>
      <c r="AG25" s="270"/>
      <c r="AH25" s="270"/>
      <c r="AI25" s="270"/>
      <c r="AJ25" s="270"/>
      <c r="AK25" s="270"/>
      <c r="AL25" s="270"/>
      <c r="AM25" s="270"/>
      <c r="AN25" s="101"/>
      <c r="AR25" s="10"/>
    </row>
    <row r="26" spans="1:44" ht="14.9" customHeight="1" x14ac:dyDescent="0.25">
      <c r="B26" s="100"/>
      <c r="C26" s="270"/>
      <c r="D26" s="270"/>
      <c r="E26" s="270"/>
      <c r="F26" s="270"/>
      <c r="G26" s="270"/>
      <c r="H26" s="270"/>
      <c r="I26" s="270"/>
      <c r="J26" s="270"/>
      <c r="K26" s="270"/>
      <c r="L26" s="270"/>
      <c r="M26" s="270"/>
      <c r="N26" s="270"/>
      <c r="O26" s="270"/>
      <c r="P26" s="270"/>
      <c r="Q26" s="270"/>
      <c r="R26" s="270"/>
      <c r="S26" s="270"/>
      <c r="T26" s="270"/>
      <c r="U26" s="270"/>
      <c r="V26" s="270"/>
      <c r="W26" s="270"/>
      <c r="X26" s="270"/>
      <c r="Y26" s="270"/>
      <c r="Z26" s="270"/>
      <c r="AA26" s="270"/>
      <c r="AB26" s="270"/>
      <c r="AC26" s="270"/>
      <c r="AD26" s="270"/>
      <c r="AE26" s="270"/>
      <c r="AF26" s="270"/>
      <c r="AG26" s="270"/>
      <c r="AH26" s="270"/>
      <c r="AI26" s="270"/>
      <c r="AJ26" s="270"/>
      <c r="AK26" s="270"/>
      <c r="AL26" s="270"/>
      <c r="AM26" s="270"/>
      <c r="AN26" s="101"/>
      <c r="AR26" s="10"/>
    </row>
    <row r="27" spans="1:44" ht="14.9" customHeight="1" x14ac:dyDescent="0.25">
      <c r="B27" s="100"/>
      <c r="C27" s="270"/>
      <c r="D27" s="270"/>
      <c r="E27" s="270"/>
      <c r="F27" s="270"/>
      <c r="G27" s="270"/>
      <c r="H27" s="270"/>
      <c r="I27" s="270"/>
      <c r="J27" s="270"/>
      <c r="K27" s="270"/>
      <c r="L27" s="270"/>
      <c r="M27" s="270"/>
      <c r="N27" s="270"/>
      <c r="O27" s="270"/>
      <c r="P27" s="270"/>
      <c r="Q27" s="270"/>
      <c r="R27" s="270"/>
      <c r="S27" s="270"/>
      <c r="T27" s="270"/>
      <c r="U27" s="270"/>
      <c r="V27" s="270"/>
      <c r="W27" s="270"/>
      <c r="X27" s="270"/>
      <c r="Y27" s="270"/>
      <c r="Z27" s="270"/>
      <c r="AA27" s="270"/>
      <c r="AB27" s="270"/>
      <c r="AC27" s="270"/>
      <c r="AD27" s="270"/>
      <c r="AE27" s="270"/>
      <c r="AF27" s="270"/>
      <c r="AG27" s="270"/>
      <c r="AH27" s="270"/>
      <c r="AI27" s="270"/>
      <c r="AJ27" s="270"/>
      <c r="AK27" s="270"/>
      <c r="AL27" s="270"/>
      <c r="AM27" s="270"/>
      <c r="AN27" s="101"/>
      <c r="AR27" s="10"/>
    </row>
    <row r="28" spans="1:44" ht="14.9" customHeight="1" x14ac:dyDescent="0.25">
      <c r="B28" s="100"/>
      <c r="C28" s="270"/>
      <c r="D28" s="270"/>
      <c r="E28" s="270"/>
      <c r="F28" s="270"/>
      <c r="G28" s="270"/>
      <c r="H28" s="270"/>
      <c r="I28" s="270"/>
      <c r="J28" s="270"/>
      <c r="K28" s="270"/>
      <c r="L28" s="270"/>
      <c r="M28" s="270"/>
      <c r="N28" s="270"/>
      <c r="O28" s="270"/>
      <c r="P28" s="270"/>
      <c r="Q28" s="270"/>
      <c r="R28" s="270"/>
      <c r="S28" s="270"/>
      <c r="T28" s="270"/>
      <c r="U28" s="270"/>
      <c r="V28" s="270"/>
      <c r="W28" s="270"/>
      <c r="X28" s="270"/>
      <c r="Y28" s="270"/>
      <c r="Z28" s="270"/>
      <c r="AA28" s="270"/>
      <c r="AB28" s="270"/>
      <c r="AC28" s="270"/>
      <c r="AD28" s="270"/>
      <c r="AE28" s="270"/>
      <c r="AF28" s="270"/>
      <c r="AG28" s="270"/>
      <c r="AH28" s="270"/>
      <c r="AI28" s="270"/>
      <c r="AJ28" s="270"/>
      <c r="AK28" s="270"/>
      <c r="AL28" s="270"/>
      <c r="AM28" s="270"/>
      <c r="AN28" s="101"/>
      <c r="AR28" s="10"/>
    </row>
    <row r="29" spans="1:44" ht="14.9" customHeight="1" x14ac:dyDescent="0.25">
      <c r="B29" s="100"/>
      <c r="C29" s="270"/>
      <c r="D29" s="270"/>
      <c r="E29" s="270"/>
      <c r="F29" s="270"/>
      <c r="G29" s="270"/>
      <c r="H29" s="270"/>
      <c r="I29" s="270"/>
      <c r="J29" s="270"/>
      <c r="K29" s="270"/>
      <c r="L29" s="270"/>
      <c r="M29" s="270"/>
      <c r="N29" s="270"/>
      <c r="O29" s="270"/>
      <c r="P29" s="270"/>
      <c r="Q29" s="270"/>
      <c r="R29" s="270"/>
      <c r="S29" s="270"/>
      <c r="T29" s="270"/>
      <c r="U29" s="270"/>
      <c r="V29" s="270"/>
      <c r="W29" s="270"/>
      <c r="X29" s="270"/>
      <c r="Y29" s="270"/>
      <c r="Z29" s="270"/>
      <c r="AA29" s="270"/>
      <c r="AB29" s="270"/>
      <c r="AC29" s="270"/>
      <c r="AD29" s="270"/>
      <c r="AE29" s="270"/>
      <c r="AF29" s="270"/>
      <c r="AG29" s="270"/>
      <c r="AH29" s="270"/>
      <c r="AI29" s="270"/>
      <c r="AJ29" s="270"/>
      <c r="AK29" s="270"/>
      <c r="AL29" s="270"/>
      <c r="AM29" s="270"/>
      <c r="AN29" s="101"/>
      <c r="AR29" s="10"/>
    </row>
    <row r="30" spans="1:44" ht="14.9" customHeight="1" x14ac:dyDescent="0.25">
      <c r="B30" s="100"/>
      <c r="C30" s="270"/>
      <c r="D30" s="270"/>
      <c r="E30" s="270"/>
      <c r="F30" s="270"/>
      <c r="G30" s="270"/>
      <c r="H30" s="270"/>
      <c r="I30" s="270"/>
      <c r="J30" s="270"/>
      <c r="K30" s="270"/>
      <c r="L30" s="270"/>
      <c r="M30" s="270"/>
      <c r="N30" s="270"/>
      <c r="O30" s="270"/>
      <c r="P30" s="270"/>
      <c r="Q30" s="270"/>
      <c r="R30" s="270"/>
      <c r="S30" s="270"/>
      <c r="T30" s="270"/>
      <c r="U30" s="270"/>
      <c r="V30" s="270"/>
      <c r="W30" s="270"/>
      <c r="X30" s="270"/>
      <c r="Y30" s="270"/>
      <c r="Z30" s="270"/>
      <c r="AA30" s="270"/>
      <c r="AB30" s="270"/>
      <c r="AC30" s="270"/>
      <c r="AD30" s="270"/>
      <c r="AE30" s="270"/>
      <c r="AF30" s="270"/>
      <c r="AG30" s="270"/>
      <c r="AH30" s="270"/>
      <c r="AI30" s="270"/>
      <c r="AJ30" s="270"/>
      <c r="AK30" s="270"/>
      <c r="AL30" s="270"/>
      <c r="AM30" s="270"/>
      <c r="AN30" s="101"/>
      <c r="AR30" s="10"/>
    </row>
    <row r="31" spans="1:44" ht="14.9" customHeight="1" x14ac:dyDescent="0.25">
      <c r="B31" s="100"/>
      <c r="C31" s="270"/>
      <c r="D31" s="270"/>
      <c r="E31" s="270"/>
      <c r="F31" s="270"/>
      <c r="G31" s="270"/>
      <c r="H31" s="270"/>
      <c r="I31" s="270"/>
      <c r="J31" s="270"/>
      <c r="K31" s="270"/>
      <c r="L31" s="270"/>
      <c r="M31" s="270"/>
      <c r="N31" s="270"/>
      <c r="O31" s="270"/>
      <c r="P31" s="270"/>
      <c r="Q31" s="270"/>
      <c r="R31" s="270"/>
      <c r="S31" s="270"/>
      <c r="T31" s="270"/>
      <c r="U31" s="270"/>
      <c r="V31" s="270"/>
      <c r="W31" s="270"/>
      <c r="X31" s="270"/>
      <c r="Y31" s="270"/>
      <c r="Z31" s="270"/>
      <c r="AA31" s="270"/>
      <c r="AB31" s="270"/>
      <c r="AC31" s="270"/>
      <c r="AD31" s="270"/>
      <c r="AE31" s="270"/>
      <c r="AF31" s="270"/>
      <c r="AG31" s="270"/>
      <c r="AH31" s="270"/>
      <c r="AI31" s="270"/>
      <c r="AJ31" s="270"/>
      <c r="AK31" s="270"/>
      <c r="AL31" s="270"/>
      <c r="AM31" s="270"/>
      <c r="AN31" s="101"/>
      <c r="AR31" s="10"/>
    </row>
    <row r="32" spans="1:44" ht="14.9" customHeight="1" x14ac:dyDescent="0.25">
      <c r="B32" s="100"/>
      <c r="C32" s="270"/>
      <c r="D32" s="270"/>
      <c r="E32" s="270"/>
      <c r="F32" s="270"/>
      <c r="G32" s="270"/>
      <c r="H32" s="270"/>
      <c r="I32" s="270"/>
      <c r="J32" s="270"/>
      <c r="K32" s="270"/>
      <c r="L32" s="270"/>
      <c r="M32" s="270"/>
      <c r="N32" s="270"/>
      <c r="O32" s="270"/>
      <c r="P32" s="270"/>
      <c r="Q32" s="270"/>
      <c r="R32" s="270"/>
      <c r="S32" s="270"/>
      <c r="T32" s="270"/>
      <c r="U32" s="270"/>
      <c r="V32" s="270"/>
      <c r="W32" s="270"/>
      <c r="X32" s="270"/>
      <c r="Y32" s="270"/>
      <c r="Z32" s="270"/>
      <c r="AA32" s="270"/>
      <c r="AB32" s="270"/>
      <c r="AC32" s="270"/>
      <c r="AD32" s="270"/>
      <c r="AE32" s="270"/>
      <c r="AF32" s="270"/>
      <c r="AG32" s="270"/>
      <c r="AH32" s="270"/>
      <c r="AI32" s="270"/>
      <c r="AJ32" s="270"/>
      <c r="AK32" s="270"/>
      <c r="AL32" s="270"/>
      <c r="AM32" s="270"/>
      <c r="AN32" s="101"/>
      <c r="AR32" s="10"/>
    </row>
    <row r="33" spans="2:44" ht="14.9" customHeight="1" x14ac:dyDescent="0.25">
      <c r="B33" s="100"/>
      <c r="C33" s="270"/>
      <c r="D33" s="270"/>
      <c r="E33" s="270"/>
      <c r="F33" s="270"/>
      <c r="G33" s="270"/>
      <c r="H33" s="270"/>
      <c r="I33" s="270"/>
      <c r="J33" s="270"/>
      <c r="K33" s="270"/>
      <c r="L33" s="270"/>
      <c r="M33" s="270"/>
      <c r="N33" s="270"/>
      <c r="O33" s="270"/>
      <c r="P33" s="270"/>
      <c r="Q33" s="270"/>
      <c r="R33" s="270"/>
      <c r="S33" s="270"/>
      <c r="T33" s="270"/>
      <c r="U33" s="270"/>
      <c r="V33" s="270"/>
      <c r="W33" s="270"/>
      <c r="X33" s="270"/>
      <c r="Y33" s="270"/>
      <c r="Z33" s="270"/>
      <c r="AA33" s="270"/>
      <c r="AB33" s="270"/>
      <c r="AC33" s="270"/>
      <c r="AD33" s="270"/>
      <c r="AE33" s="270"/>
      <c r="AF33" s="270"/>
      <c r="AG33" s="270"/>
      <c r="AH33" s="270"/>
      <c r="AI33" s="270"/>
      <c r="AJ33" s="270"/>
      <c r="AK33" s="270"/>
      <c r="AL33" s="270"/>
      <c r="AM33" s="270"/>
      <c r="AN33" s="101"/>
      <c r="AR33" s="10"/>
    </row>
    <row r="34" spans="2:44" ht="14.9" customHeight="1" x14ac:dyDescent="0.25">
      <c r="B34" s="100"/>
      <c r="C34" s="270"/>
      <c r="D34" s="270"/>
      <c r="E34" s="270"/>
      <c r="F34" s="270"/>
      <c r="G34" s="270"/>
      <c r="H34" s="270"/>
      <c r="I34" s="270"/>
      <c r="J34" s="270"/>
      <c r="K34" s="270"/>
      <c r="L34" s="270"/>
      <c r="M34" s="270"/>
      <c r="N34" s="270"/>
      <c r="O34" s="270"/>
      <c r="P34" s="270"/>
      <c r="Q34" s="270"/>
      <c r="R34" s="270"/>
      <c r="S34" s="270"/>
      <c r="T34" s="270"/>
      <c r="U34" s="270"/>
      <c r="V34" s="270"/>
      <c r="W34" s="270"/>
      <c r="X34" s="270"/>
      <c r="Y34" s="270"/>
      <c r="Z34" s="270"/>
      <c r="AA34" s="270"/>
      <c r="AB34" s="270"/>
      <c r="AC34" s="270"/>
      <c r="AD34" s="270"/>
      <c r="AE34" s="270"/>
      <c r="AF34" s="270"/>
      <c r="AG34" s="270"/>
      <c r="AH34" s="270"/>
      <c r="AI34" s="270"/>
      <c r="AJ34" s="270"/>
      <c r="AK34" s="270"/>
      <c r="AL34" s="270"/>
      <c r="AM34" s="270"/>
      <c r="AN34" s="101"/>
      <c r="AR34" s="10"/>
    </row>
    <row r="35" spans="2:44" ht="14.9" customHeight="1" x14ac:dyDescent="0.25">
      <c r="B35" s="100"/>
      <c r="C35" s="270"/>
      <c r="D35" s="270"/>
      <c r="E35" s="270"/>
      <c r="F35" s="270"/>
      <c r="G35" s="270"/>
      <c r="H35" s="270"/>
      <c r="I35" s="270"/>
      <c r="J35" s="270"/>
      <c r="K35" s="270"/>
      <c r="L35" s="270"/>
      <c r="M35" s="270"/>
      <c r="N35" s="270"/>
      <c r="O35" s="270"/>
      <c r="P35" s="270"/>
      <c r="Q35" s="270"/>
      <c r="R35" s="270"/>
      <c r="S35" s="270"/>
      <c r="T35" s="270"/>
      <c r="U35" s="270"/>
      <c r="V35" s="270"/>
      <c r="W35" s="270"/>
      <c r="X35" s="270"/>
      <c r="Y35" s="270"/>
      <c r="Z35" s="270"/>
      <c r="AA35" s="270"/>
      <c r="AB35" s="270"/>
      <c r="AC35" s="270"/>
      <c r="AD35" s="270"/>
      <c r="AE35" s="270"/>
      <c r="AF35" s="270"/>
      <c r="AG35" s="270"/>
      <c r="AH35" s="270"/>
      <c r="AI35" s="270"/>
      <c r="AJ35" s="270"/>
      <c r="AK35" s="270"/>
      <c r="AL35" s="270"/>
      <c r="AM35" s="270"/>
      <c r="AN35" s="101"/>
      <c r="AR35" s="10"/>
    </row>
    <row r="36" spans="2:44" ht="14.9" customHeight="1" x14ac:dyDescent="0.25">
      <c r="B36" s="100"/>
      <c r="C36" s="270"/>
      <c r="D36" s="270"/>
      <c r="E36" s="270"/>
      <c r="F36" s="270"/>
      <c r="G36" s="270"/>
      <c r="H36" s="270"/>
      <c r="I36" s="270"/>
      <c r="J36" s="270"/>
      <c r="K36" s="270"/>
      <c r="L36" s="270"/>
      <c r="M36" s="270"/>
      <c r="N36" s="270"/>
      <c r="O36" s="270"/>
      <c r="P36" s="270"/>
      <c r="Q36" s="270"/>
      <c r="R36" s="270"/>
      <c r="S36" s="270"/>
      <c r="T36" s="270"/>
      <c r="U36" s="270"/>
      <c r="V36" s="270"/>
      <c r="W36" s="270"/>
      <c r="X36" s="270"/>
      <c r="Y36" s="270"/>
      <c r="Z36" s="270"/>
      <c r="AA36" s="270"/>
      <c r="AB36" s="270"/>
      <c r="AC36" s="270"/>
      <c r="AD36" s="270"/>
      <c r="AE36" s="270"/>
      <c r="AF36" s="270"/>
      <c r="AG36" s="270"/>
      <c r="AH36" s="270"/>
      <c r="AI36" s="270"/>
      <c r="AJ36" s="270"/>
      <c r="AK36" s="270"/>
      <c r="AL36" s="270"/>
      <c r="AM36" s="270"/>
      <c r="AN36" s="101"/>
      <c r="AR36" s="10"/>
    </row>
    <row r="37" spans="2:44" ht="14.9" customHeight="1" x14ac:dyDescent="0.25">
      <c r="B37" s="100"/>
      <c r="C37" s="270"/>
      <c r="D37" s="270"/>
      <c r="E37" s="270"/>
      <c r="F37" s="270"/>
      <c r="G37" s="270"/>
      <c r="H37" s="270"/>
      <c r="I37" s="270"/>
      <c r="J37" s="270"/>
      <c r="K37" s="270"/>
      <c r="L37" s="270"/>
      <c r="M37" s="270"/>
      <c r="N37" s="270"/>
      <c r="O37" s="270"/>
      <c r="P37" s="270"/>
      <c r="Q37" s="270"/>
      <c r="R37" s="270"/>
      <c r="S37" s="270"/>
      <c r="T37" s="270"/>
      <c r="U37" s="270"/>
      <c r="V37" s="270"/>
      <c r="W37" s="270"/>
      <c r="X37" s="270"/>
      <c r="Y37" s="270"/>
      <c r="Z37" s="270"/>
      <c r="AA37" s="270"/>
      <c r="AB37" s="270"/>
      <c r="AC37" s="270"/>
      <c r="AD37" s="270"/>
      <c r="AE37" s="270"/>
      <c r="AF37" s="270"/>
      <c r="AG37" s="270"/>
      <c r="AH37" s="270"/>
      <c r="AI37" s="270"/>
      <c r="AJ37" s="270"/>
      <c r="AK37" s="270"/>
      <c r="AL37" s="270"/>
      <c r="AM37" s="270"/>
      <c r="AN37" s="101"/>
      <c r="AR37" s="10"/>
    </row>
    <row r="38" spans="2:44" ht="14.9" customHeight="1" x14ac:dyDescent="0.25">
      <c r="B38" s="100"/>
      <c r="C38" s="270"/>
      <c r="D38" s="270"/>
      <c r="E38" s="270"/>
      <c r="F38" s="270"/>
      <c r="G38" s="270"/>
      <c r="H38" s="270"/>
      <c r="I38" s="270"/>
      <c r="J38" s="270"/>
      <c r="K38" s="270"/>
      <c r="L38" s="270"/>
      <c r="M38" s="270"/>
      <c r="N38" s="270"/>
      <c r="O38" s="270"/>
      <c r="P38" s="270"/>
      <c r="Q38" s="270"/>
      <c r="R38" s="270"/>
      <c r="S38" s="270"/>
      <c r="T38" s="270"/>
      <c r="U38" s="270"/>
      <c r="V38" s="270"/>
      <c r="W38" s="270"/>
      <c r="X38" s="270"/>
      <c r="Y38" s="270"/>
      <c r="Z38" s="270"/>
      <c r="AA38" s="270"/>
      <c r="AB38" s="270"/>
      <c r="AC38" s="270"/>
      <c r="AD38" s="270"/>
      <c r="AE38" s="270"/>
      <c r="AF38" s="270"/>
      <c r="AG38" s="270"/>
      <c r="AH38" s="270"/>
      <c r="AI38" s="270"/>
      <c r="AJ38" s="270"/>
      <c r="AK38" s="270"/>
      <c r="AL38" s="270"/>
      <c r="AM38" s="270"/>
      <c r="AN38" s="101"/>
      <c r="AR38" s="10"/>
    </row>
    <row r="39" spans="2:44" ht="14.9" customHeight="1" x14ac:dyDescent="0.25">
      <c r="B39" s="100"/>
      <c r="C39" s="270"/>
      <c r="D39" s="270"/>
      <c r="E39" s="270"/>
      <c r="F39" s="270"/>
      <c r="G39" s="270"/>
      <c r="H39" s="270"/>
      <c r="I39" s="270"/>
      <c r="J39" s="270"/>
      <c r="K39" s="270"/>
      <c r="L39" s="270"/>
      <c r="M39" s="270"/>
      <c r="N39" s="270"/>
      <c r="O39" s="270"/>
      <c r="P39" s="270"/>
      <c r="Q39" s="270"/>
      <c r="R39" s="270"/>
      <c r="S39" s="270"/>
      <c r="T39" s="270"/>
      <c r="U39" s="270"/>
      <c r="V39" s="270"/>
      <c r="W39" s="270"/>
      <c r="X39" s="270"/>
      <c r="Y39" s="270"/>
      <c r="Z39" s="270"/>
      <c r="AA39" s="270"/>
      <c r="AB39" s="270"/>
      <c r="AC39" s="270"/>
      <c r="AD39" s="270"/>
      <c r="AE39" s="270"/>
      <c r="AF39" s="270"/>
      <c r="AG39" s="270"/>
      <c r="AH39" s="270"/>
      <c r="AI39" s="270"/>
      <c r="AJ39" s="270"/>
      <c r="AK39" s="270"/>
      <c r="AL39" s="270"/>
      <c r="AM39" s="270"/>
      <c r="AN39" s="101"/>
      <c r="AR39" s="10"/>
    </row>
    <row r="40" spans="2:44" ht="14.9" customHeight="1" x14ac:dyDescent="0.25">
      <c r="B40" s="100"/>
      <c r="C40" s="270"/>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c r="AB40" s="270"/>
      <c r="AC40" s="270"/>
      <c r="AD40" s="270"/>
      <c r="AE40" s="270"/>
      <c r="AF40" s="270"/>
      <c r="AG40" s="270"/>
      <c r="AH40" s="270"/>
      <c r="AI40" s="270"/>
      <c r="AJ40" s="270"/>
      <c r="AK40" s="270"/>
      <c r="AL40" s="270"/>
      <c r="AM40" s="270"/>
      <c r="AN40" s="101"/>
      <c r="AR40" s="10"/>
    </row>
    <row r="41" spans="2:44" ht="14.9" customHeight="1" x14ac:dyDescent="0.25">
      <c r="B41" s="100"/>
      <c r="C41" s="270"/>
      <c r="D41" s="270"/>
      <c r="E41" s="270"/>
      <c r="F41" s="270"/>
      <c r="G41" s="270"/>
      <c r="H41" s="270"/>
      <c r="I41" s="270"/>
      <c r="J41" s="270"/>
      <c r="K41" s="270"/>
      <c r="L41" s="270"/>
      <c r="M41" s="270"/>
      <c r="N41" s="270"/>
      <c r="O41" s="270"/>
      <c r="P41" s="270"/>
      <c r="Q41" s="270"/>
      <c r="R41" s="270"/>
      <c r="S41" s="270"/>
      <c r="T41" s="270"/>
      <c r="U41" s="270"/>
      <c r="V41" s="270"/>
      <c r="W41" s="270"/>
      <c r="X41" s="270"/>
      <c r="Y41" s="270"/>
      <c r="Z41" s="270"/>
      <c r="AA41" s="270"/>
      <c r="AB41" s="270"/>
      <c r="AC41" s="270"/>
      <c r="AD41" s="270"/>
      <c r="AE41" s="270"/>
      <c r="AF41" s="270"/>
      <c r="AG41" s="270"/>
      <c r="AH41" s="270"/>
      <c r="AI41" s="270"/>
      <c r="AJ41" s="270"/>
      <c r="AK41" s="270"/>
      <c r="AL41" s="270"/>
      <c r="AM41" s="270"/>
      <c r="AN41" s="101"/>
      <c r="AR41" s="10"/>
    </row>
    <row r="42" spans="2:44" ht="14.9" customHeight="1" x14ac:dyDescent="0.25">
      <c r="B42" s="100"/>
      <c r="C42" s="270"/>
      <c r="D42" s="270"/>
      <c r="E42" s="270"/>
      <c r="F42" s="270"/>
      <c r="G42" s="270"/>
      <c r="H42" s="270"/>
      <c r="I42" s="270"/>
      <c r="J42" s="270"/>
      <c r="K42" s="270"/>
      <c r="L42" s="270"/>
      <c r="M42" s="270"/>
      <c r="N42" s="270"/>
      <c r="O42" s="270"/>
      <c r="P42" s="270"/>
      <c r="Q42" s="270"/>
      <c r="R42" s="270"/>
      <c r="S42" s="270"/>
      <c r="T42" s="270"/>
      <c r="U42" s="270"/>
      <c r="V42" s="270"/>
      <c r="W42" s="270"/>
      <c r="X42" s="270"/>
      <c r="Y42" s="270"/>
      <c r="Z42" s="270"/>
      <c r="AA42" s="270"/>
      <c r="AB42" s="270"/>
      <c r="AC42" s="270"/>
      <c r="AD42" s="270"/>
      <c r="AE42" s="270"/>
      <c r="AF42" s="270"/>
      <c r="AG42" s="270"/>
      <c r="AH42" s="270"/>
      <c r="AI42" s="270"/>
      <c r="AJ42" s="270"/>
      <c r="AK42" s="270"/>
      <c r="AL42" s="270"/>
      <c r="AM42" s="270"/>
      <c r="AN42" s="101"/>
      <c r="AR42" s="10"/>
    </row>
    <row r="43" spans="2:44" ht="14.9" customHeight="1" x14ac:dyDescent="0.25">
      <c r="B43" s="100"/>
      <c r="C43" s="270"/>
      <c r="D43" s="270"/>
      <c r="E43" s="270"/>
      <c r="F43" s="270"/>
      <c r="G43" s="270"/>
      <c r="H43" s="270"/>
      <c r="I43" s="270"/>
      <c r="J43" s="270"/>
      <c r="K43" s="270"/>
      <c r="L43" s="270"/>
      <c r="M43" s="270"/>
      <c r="N43" s="270"/>
      <c r="O43" s="270"/>
      <c r="P43" s="270"/>
      <c r="Q43" s="270"/>
      <c r="R43" s="270"/>
      <c r="S43" s="270"/>
      <c r="T43" s="270"/>
      <c r="U43" s="270"/>
      <c r="V43" s="270"/>
      <c r="W43" s="270"/>
      <c r="X43" s="270"/>
      <c r="Y43" s="270"/>
      <c r="Z43" s="270"/>
      <c r="AA43" s="270"/>
      <c r="AB43" s="270"/>
      <c r="AC43" s="270"/>
      <c r="AD43" s="270"/>
      <c r="AE43" s="270"/>
      <c r="AF43" s="270"/>
      <c r="AG43" s="270"/>
      <c r="AH43" s="270"/>
      <c r="AI43" s="270"/>
      <c r="AJ43" s="270"/>
      <c r="AK43" s="270"/>
      <c r="AL43" s="270"/>
      <c r="AM43" s="270"/>
      <c r="AN43" s="101"/>
      <c r="AR43" s="10"/>
    </row>
    <row r="44" spans="2:44" ht="14.9" customHeight="1" x14ac:dyDescent="0.25">
      <c r="B44" s="100"/>
      <c r="C44" s="270"/>
      <c r="D44" s="270"/>
      <c r="E44" s="270"/>
      <c r="F44" s="270"/>
      <c r="G44" s="270"/>
      <c r="H44" s="270"/>
      <c r="I44" s="270"/>
      <c r="J44" s="270"/>
      <c r="K44" s="270"/>
      <c r="L44" s="270"/>
      <c r="M44" s="270"/>
      <c r="N44" s="270"/>
      <c r="O44" s="270"/>
      <c r="P44" s="270"/>
      <c r="Q44" s="270"/>
      <c r="R44" s="270"/>
      <c r="S44" s="270"/>
      <c r="T44" s="270"/>
      <c r="U44" s="270"/>
      <c r="V44" s="270"/>
      <c r="W44" s="270"/>
      <c r="X44" s="270"/>
      <c r="Y44" s="270"/>
      <c r="Z44" s="270"/>
      <c r="AA44" s="270"/>
      <c r="AB44" s="270"/>
      <c r="AC44" s="270"/>
      <c r="AD44" s="270"/>
      <c r="AE44" s="270"/>
      <c r="AF44" s="270"/>
      <c r="AG44" s="270"/>
      <c r="AH44" s="270"/>
      <c r="AI44" s="270"/>
      <c r="AJ44" s="270"/>
      <c r="AK44" s="270"/>
      <c r="AL44" s="270"/>
      <c r="AM44" s="270"/>
      <c r="AN44" s="101"/>
      <c r="AR44" s="10"/>
    </row>
    <row r="45" spans="2:44" ht="14.9" customHeight="1" x14ac:dyDescent="0.25">
      <c r="B45" s="100"/>
      <c r="C45" s="270"/>
      <c r="D45" s="270"/>
      <c r="E45" s="270"/>
      <c r="F45" s="270"/>
      <c r="G45" s="270"/>
      <c r="H45" s="270"/>
      <c r="I45" s="270"/>
      <c r="J45" s="270"/>
      <c r="K45" s="270"/>
      <c r="L45" s="270"/>
      <c r="M45" s="270"/>
      <c r="N45" s="270"/>
      <c r="O45" s="270"/>
      <c r="P45" s="270"/>
      <c r="Q45" s="270"/>
      <c r="R45" s="270"/>
      <c r="S45" s="270"/>
      <c r="T45" s="270"/>
      <c r="U45" s="270"/>
      <c r="V45" s="270"/>
      <c r="W45" s="270"/>
      <c r="X45" s="270"/>
      <c r="Y45" s="270"/>
      <c r="Z45" s="270"/>
      <c r="AA45" s="270"/>
      <c r="AB45" s="270"/>
      <c r="AC45" s="270"/>
      <c r="AD45" s="270"/>
      <c r="AE45" s="270"/>
      <c r="AF45" s="270"/>
      <c r="AG45" s="270"/>
      <c r="AH45" s="270"/>
      <c r="AI45" s="270"/>
      <c r="AJ45" s="270"/>
      <c r="AK45" s="270"/>
      <c r="AL45" s="270"/>
      <c r="AM45" s="270"/>
      <c r="AN45" s="101"/>
      <c r="AR45" s="10"/>
    </row>
    <row r="46" spans="2:44" ht="14.9" customHeight="1" x14ac:dyDescent="0.25">
      <c r="B46" s="100"/>
      <c r="C46" s="270"/>
      <c r="D46" s="270"/>
      <c r="E46" s="270"/>
      <c r="F46" s="270"/>
      <c r="G46" s="270"/>
      <c r="H46" s="270"/>
      <c r="I46" s="270"/>
      <c r="J46" s="270"/>
      <c r="K46" s="270"/>
      <c r="L46" s="270"/>
      <c r="M46" s="270"/>
      <c r="N46" s="270"/>
      <c r="O46" s="270"/>
      <c r="P46" s="270"/>
      <c r="Q46" s="270"/>
      <c r="R46" s="270"/>
      <c r="S46" s="270"/>
      <c r="T46" s="270"/>
      <c r="U46" s="270"/>
      <c r="V46" s="270"/>
      <c r="W46" s="270"/>
      <c r="X46" s="270"/>
      <c r="Y46" s="270"/>
      <c r="Z46" s="270"/>
      <c r="AA46" s="270"/>
      <c r="AB46" s="270"/>
      <c r="AC46" s="270"/>
      <c r="AD46" s="270"/>
      <c r="AE46" s="270"/>
      <c r="AF46" s="270"/>
      <c r="AG46" s="270"/>
      <c r="AH46" s="270"/>
      <c r="AI46" s="270"/>
      <c r="AJ46" s="270"/>
      <c r="AK46" s="270"/>
      <c r="AL46" s="270"/>
      <c r="AM46" s="270"/>
      <c r="AN46" s="101"/>
      <c r="AR46" s="10"/>
    </row>
    <row r="47" spans="2:44" ht="14.9" customHeight="1" x14ac:dyDescent="0.25">
      <c r="B47" s="100"/>
      <c r="C47" s="270"/>
      <c r="D47" s="270"/>
      <c r="E47" s="270"/>
      <c r="F47" s="270"/>
      <c r="G47" s="270"/>
      <c r="H47" s="270"/>
      <c r="I47" s="270"/>
      <c r="J47" s="270"/>
      <c r="K47" s="270"/>
      <c r="L47" s="270"/>
      <c r="M47" s="270"/>
      <c r="N47" s="270"/>
      <c r="O47" s="270"/>
      <c r="P47" s="270"/>
      <c r="Q47" s="270"/>
      <c r="R47" s="270"/>
      <c r="S47" s="270"/>
      <c r="T47" s="270"/>
      <c r="U47" s="270"/>
      <c r="V47" s="270"/>
      <c r="W47" s="270"/>
      <c r="X47" s="270"/>
      <c r="Y47" s="270"/>
      <c r="Z47" s="270"/>
      <c r="AA47" s="270"/>
      <c r="AB47" s="270"/>
      <c r="AC47" s="270"/>
      <c r="AD47" s="270"/>
      <c r="AE47" s="270"/>
      <c r="AF47" s="270"/>
      <c r="AG47" s="270"/>
      <c r="AH47" s="270"/>
      <c r="AI47" s="270"/>
      <c r="AJ47" s="270"/>
      <c r="AK47" s="270"/>
      <c r="AL47" s="270"/>
      <c r="AM47" s="270"/>
      <c r="AN47" s="101"/>
      <c r="AR47" s="10"/>
    </row>
    <row r="48" spans="2:44" ht="14.9" customHeight="1" x14ac:dyDescent="0.25">
      <c r="B48" s="100"/>
      <c r="C48" s="270"/>
      <c r="D48" s="270"/>
      <c r="E48" s="270"/>
      <c r="F48" s="270"/>
      <c r="G48" s="270"/>
      <c r="H48" s="270"/>
      <c r="I48" s="270"/>
      <c r="J48" s="270"/>
      <c r="K48" s="270"/>
      <c r="L48" s="270"/>
      <c r="M48" s="270"/>
      <c r="N48" s="270"/>
      <c r="O48" s="270"/>
      <c r="P48" s="270"/>
      <c r="Q48" s="270"/>
      <c r="R48" s="270"/>
      <c r="S48" s="270"/>
      <c r="T48" s="270"/>
      <c r="U48" s="270"/>
      <c r="V48" s="270"/>
      <c r="W48" s="270"/>
      <c r="X48" s="270"/>
      <c r="Y48" s="270"/>
      <c r="Z48" s="270"/>
      <c r="AA48" s="270"/>
      <c r="AB48" s="270"/>
      <c r="AC48" s="270"/>
      <c r="AD48" s="270"/>
      <c r="AE48" s="270"/>
      <c r="AF48" s="270"/>
      <c r="AG48" s="270"/>
      <c r="AH48" s="270"/>
      <c r="AI48" s="270"/>
      <c r="AJ48" s="270"/>
      <c r="AK48" s="270"/>
      <c r="AL48" s="270"/>
      <c r="AM48" s="270"/>
      <c r="AN48" s="101"/>
      <c r="AR48" s="10"/>
    </row>
    <row r="49" spans="2:50" ht="14.9" customHeight="1" x14ac:dyDescent="0.25">
      <c r="B49" s="100"/>
      <c r="C49" s="270"/>
      <c r="D49" s="270"/>
      <c r="E49" s="270"/>
      <c r="F49" s="270"/>
      <c r="G49" s="270"/>
      <c r="H49" s="270"/>
      <c r="I49" s="270"/>
      <c r="J49" s="270"/>
      <c r="K49" s="270"/>
      <c r="L49" s="270"/>
      <c r="M49" s="270"/>
      <c r="N49" s="270"/>
      <c r="O49" s="270"/>
      <c r="P49" s="270"/>
      <c r="Q49" s="270"/>
      <c r="R49" s="270"/>
      <c r="S49" s="270"/>
      <c r="T49" s="270"/>
      <c r="U49" s="270"/>
      <c r="V49" s="270"/>
      <c r="W49" s="270"/>
      <c r="X49" s="270"/>
      <c r="Y49" s="270"/>
      <c r="Z49" s="270"/>
      <c r="AA49" s="270"/>
      <c r="AB49" s="270"/>
      <c r="AC49" s="270"/>
      <c r="AD49" s="270"/>
      <c r="AE49" s="270"/>
      <c r="AF49" s="270"/>
      <c r="AG49" s="270"/>
      <c r="AH49" s="270"/>
      <c r="AI49" s="270"/>
      <c r="AJ49" s="270"/>
      <c r="AK49" s="270"/>
      <c r="AL49" s="270"/>
      <c r="AM49" s="270"/>
      <c r="AN49" s="101"/>
      <c r="AR49" s="10"/>
    </row>
    <row r="50" spans="2:50" s="10" customFormat="1" ht="14.9" customHeight="1" x14ac:dyDescent="0.25">
      <c r="B50" s="110"/>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2"/>
      <c r="AS50" s="7"/>
      <c r="AT50" s="7"/>
      <c r="AU50" s="7"/>
      <c r="AV50" s="7"/>
      <c r="AW50" s="7"/>
      <c r="AX50" s="7"/>
    </row>
    <row r="51" spans="2:50" s="10" customFormat="1" ht="36"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R51" s="7"/>
      <c r="AS51" s="7"/>
      <c r="AT51" s="7"/>
      <c r="AU51" s="7"/>
      <c r="AV51" s="7"/>
      <c r="AW51" s="7"/>
    </row>
    <row r="52" spans="2:50" s="10" customFormat="1" ht="13" x14ac:dyDescent="0.3">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R52" s="7"/>
      <c r="AS52" s="7"/>
      <c r="AT52" s="7"/>
      <c r="AU52" s="7"/>
      <c r="AV52" s="7"/>
      <c r="AW52" s="7"/>
    </row>
    <row r="53" spans="2:50" s="10" customFormat="1" x14ac:dyDescent="0.25">
      <c r="AR53" s="7"/>
      <c r="AS53" s="7"/>
      <c r="AT53" s="7"/>
      <c r="AU53" s="7"/>
      <c r="AV53" s="7"/>
      <c r="AW53" s="7"/>
    </row>
    <row r="54" spans="2:50" s="10" customFormat="1" x14ac:dyDescent="0.25">
      <c r="AR54" s="7"/>
      <c r="AS54" s="7"/>
      <c r="AT54" s="7"/>
      <c r="AU54" s="7"/>
      <c r="AV54" s="7"/>
      <c r="AW54" s="7"/>
    </row>
    <row r="55" spans="2:50" s="10" customFormat="1" x14ac:dyDescent="0.25">
      <c r="AR55" s="7"/>
      <c r="AS55" s="7"/>
      <c r="AT55" s="7"/>
      <c r="AU55" s="7"/>
      <c r="AV55" s="7"/>
      <c r="AW55" s="7"/>
    </row>
    <row r="56" spans="2:50" s="10" customFormat="1" x14ac:dyDescent="0.25">
      <c r="AR56" s="7"/>
      <c r="AS56" s="7"/>
      <c r="AT56" s="7"/>
      <c r="AU56" s="7"/>
      <c r="AV56" s="7"/>
      <c r="AW56" s="7"/>
    </row>
    <row r="57" spans="2:50" s="10" customFormat="1" x14ac:dyDescent="0.25">
      <c r="AR57" s="7"/>
      <c r="AS57" s="7"/>
      <c r="AT57" s="7"/>
      <c r="AU57" s="7"/>
      <c r="AV57" s="7"/>
      <c r="AW57" s="7"/>
    </row>
    <row r="58" spans="2:50" s="10" customFormat="1" x14ac:dyDescent="0.25">
      <c r="AR58" s="7"/>
      <c r="AS58" s="7"/>
      <c r="AT58" s="7"/>
      <c r="AU58" s="7"/>
      <c r="AV58" s="7"/>
      <c r="AW58" s="7"/>
    </row>
    <row r="59" spans="2:50" s="10" customFormat="1" x14ac:dyDescent="0.25">
      <c r="AR59" s="7"/>
      <c r="AS59" s="7"/>
      <c r="AT59" s="7"/>
      <c r="AU59" s="7"/>
      <c r="AV59" s="7"/>
      <c r="AW59" s="7"/>
    </row>
    <row r="60" spans="2:50" s="10" customFormat="1" x14ac:dyDescent="0.25">
      <c r="AR60" s="7"/>
      <c r="AS60" s="7"/>
      <c r="AT60" s="7"/>
      <c r="AU60" s="7"/>
      <c r="AV60" s="7"/>
      <c r="AW60" s="7"/>
    </row>
    <row r="61" spans="2:50" s="10" customFormat="1" x14ac:dyDescent="0.25">
      <c r="AR61" s="7"/>
      <c r="AS61" s="7"/>
      <c r="AT61" s="7"/>
      <c r="AU61" s="7"/>
      <c r="AV61" s="7"/>
      <c r="AW61" s="7"/>
    </row>
    <row r="62" spans="2:50" s="10" customFormat="1" x14ac:dyDescent="0.25">
      <c r="AR62" s="7"/>
      <c r="AS62" s="7"/>
      <c r="AT62" s="7"/>
      <c r="AU62" s="7"/>
      <c r="AV62" s="7"/>
      <c r="AW62" s="7"/>
    </row>
    <row r="63" spans="2:50" s="10" customFormat="1" x14ac:dyDescent="0.25">
      <c r="AR63" s="7"/>
      <c r="AS63" s="7"/>
      <c r="AT63" s="7"/>
      <c r="AU63" s="7"/>
      <c r="AV63" s="7"/>
      <c r="AW63" s="7"/>
    </row>
    <row r="64" spans="2:50"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sheetData>
  <mergeCells count="48">
    <mergeCell ref="B51:AN51"/>
    <mergeCell ref="C10:D10"/>
    <mergeCell ref="T8:W8"/>
    <mergeCell ref="X8:AA8"/>
    <mergeCell ref="AB8:AC8"/>
    <mergeCell ref="AD8:AF8"/>
    <mergeCell ref="AG8:AJ8"/>
    <mergeCell ref="AK8:AN8"/>
    <mergeCell ref="B8:C8"/>
    <mergeCell ref="D8:F8"/>
    <mergeCell ref="G8:J8"/>
    <mergeCell ref="K8:N8"/>
    <mergeCell ref="O8:P8"/>
    <mergeCell ref="Q8:S8"/>
    <mergeCell ref="C12:AM49"/>
    <mergeCell ref="AK7:AN7"/>
    <mergeCell ref="B7:C7"/>
    <mergeCell ref="D7:F7"/>
    <mergeCell ref="G7:J7"/>
    <mergeCell ref="K7:N7"/>
    <mergeCell ref="O7:P7"/>
    <mergeCell ref="Q7:S7"/>
    <mergeCell ref="T7:W7"/>
    <mergeCell ref="X7:AA7"/>
    <mergeCell ref="AB7:AC7"/>
    <mergeCell ref="AD7:AF7"/>
    <mergeCell ref="AG7:AJ7"/>
    <mergeCell ref="AL6:AN6"/>
    <mergeCell ref="B4:G4"/>
    <mergeCell ref="I4:Z4"/>
    <mergeCell ref="AA4:AD4"/>
    <mergeCell ref="AE4:AN4"/>
    <mergeCell ref="B5:H5"/>
    <mergeCell ref="I5:AN5"/>
    <mergeCell ref="B6:I6"/>
    <mergeCell ref="J6:AC6"/>
    <mergeCell ref="AD6:AF6"/>
    <mergeCell ref="AG6:AI6"/>
    <mergeCell ref="AJ6:AK6"/>
    <mergeCell ref="B3:G3"/>
    <mergeCell ref="I3:Z3"/>
    <mergeCell ref="AA3:AD3"/>
    <mergeCell ref="AE3:AN3"/>
    <mergeCell ref="B1:AN1"/>
    <mergeCell ref="B2:G2"/>
    <mergeCell ref="I2:Z2"/>
    <mergeCell ref="AA2:AD2"/>
    <mergeCell ref="AE2:AN2"/>
  </mergeCells>
  <pageMargins left="0.78740157480314998" right="0.196850393700787" top="0.39370078740157499" bottom="0.62" header="0.196850393700787" footer="0.196850393700787"/>
  <pageSetup paperSize="9" scale="93" orientation="portrait" r:id="rId1"/>
  <headerFooter>
    <oddFooter>&amp;L&amp;"Calibri,Regular"&amp;11Copyright 2019, Worley
&amp;F&amp;R&amp;"Calibri,Regular"&amp;11Rev. 0, 01 December 2019</oddFoot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A1:AW73"/>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6</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ToC!F16</f>
        <v>3.0</v>
      </c>
      <c r="D10" s="287"/>
      <c r="E10" s="72"/>
      <c r="F10" s="108" t="str">
        <f>ToC!H16</f>
        <v>Nomenclature</v>
      </c>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25">
      <c r="B12" s="100"/>
      <c r="C12" s="72" t="s">
        <v>119</v>
      </c>
      <c r="D12" s="72"/>
      <c r="E12" s="72"/>
      <c r="F12" s="72"/>
      <c r="G12" s="72" t="s">
        <v>120</v>
      </c>
      <c r="H12" s="72"/>
      <c r="I12" s="72"/>
      <c r="J12" s="72"/>
      <c r="K12" s="72"/>
      <c r="L12" s="72"/>
      <c r="M12" s="72"/>
      <c r="N12" s="72"/>
      <c r="O12" s="72"/>
      <c r="P12" s="72"/>
      <c r="Q12" s="72"/>
      <c r="R12" s="72"/>
      <c r="S12" s="72"/>
      <c r="T12" s="72"/>
      <c r="U12" s="72"/>
      <c r="V12" s="72"/>
      <c r="W12" s="72"/>
      <c r="X12" s="72"/>
      <c r="Y12" s="72"/>
      <c r="Z12" s="72"/>
      <c r="AA12" s="72" t="s">
        <v>121</v>
      </c>
      <c r="AB12" s="72"/>
      <c r="AC12" s="72"/>
      <c r="AD12" s="72"/>
      <c r="AE12" s="72"/>
      <c r="AF12" s="72"/>
      <c r="AG12" s="72"/>
      <c r="AH12" s="72"/>
      <c r="AI12" s="72"/>
      <c r="AJ12" s="72"/>
      <c r="AK12" s="72"/>
      <c r="AL12" s="72"/>
      <c r="AM12" s="72"/>
      <c r="AN12" s="101"/>
      <c r="AR12" s="10"/>
    </row>
    <row r="13" spans="1:49" ht="14.9" customHeight="1" x14ac:dyDescent="0.4">
      <c r="B13" s="100"/>
      <c r="C13" s="115" t="s">
        <v>122</v>
      </c>
      <c r="D13" s="115"/>
      <c r="E13" s="115"/>
      <c r="F13" s="115"/>
      <c r="G13" s="115" t="s">
        <v>123</v>
      </c>
      <c r="H13" s="115"/>
      <c r="I13" s="115"/>
      <c r="J13" s="115"/>
      <c r="K13" s="115"/>
      <c r="L13" s="115"/>
      <c r="M13" s="115"/>
      <c r="N13" s="115"/>
      <c r="O13" s="115"/>
      <c r="P13" s="115"/>
      <c r="Q13" s="115"/>
      <c r="R13" s="115"/>
      <c r="S13" s="115"/>
      <c r="T13" s="115"/>
      <c r="U13" s="115"/>
      <c r="V13" s="115"/>
      <c r="W13" s="115"/>
      <c r="X13" s="115"/>
      <c r="Y13" s="115"/>
      <c r="Z13" s="115"/>
      <c r="AA13" s="115" t="s">
        <v>124</v>
      </c>
      <c r="AB13" s="72"/>
      <c r="AC13" s="72"/>
      <c r="AD13" s="72"/>
      <c r="AE13" s="72"/>
      <c r="AF13" s="72"/>
      <c r="AG13" s="72"/>
      <c r="AH13" s="72"/>
      <c r="AI13" s="72"/>
      <c r="AJ13" s="72"/>
      <c r="AK13" s="72"/>
      <c r="AL13" s="72"/>
      <c r="AM13" s="72"/>
      <c r="AN13" s="101"/>
      <c r="AR13" s="10"/>
    </row>
    <row r="14" spans="1:49" ht="14.9" customHeight="1" x14ac:dyDescent="0.4">
      <c r="B14" s="100"/>
      <c r="C14" s="116" t="s">
        <v>125</v>
      </c>
      <c r="D14" s="115"/>
      <c r="E14" s="115"/>
      <c r="F14" s="115"/>
      <c r="G14" s="115" t="s">
        <v>126</v>
      </c>
      <c r="H14" s="115"/>
      <c r="I14" s="115"/>
      <c r="J14" s="115"/>
      <c r="K14" s="115"/>
      <c r="L14" s="115"/>
      <c r="M14" s="115"/>
      <c r="N14" s="115"/>
      <c r="O14" s="115"/>
      <c r="P14" s="115"/>
      <c r="Q14" s="115"/>
      <c r="R14" s="115"/>
      <c r="S14" s="115"/>
      <c r="T14" s="115"/>
      <c r="U14" s="115"/>
      <c r="V14" s="115"/>
      <c r="W14" s="115"/>
      <c r="X14" s="115"/>
      <c r="Y14" s="115"/>
      <c r="Z14" s="115"/>
      <c r="AA14" s="115" t="s">
        <v>124</v>
      </c>
      <c r="AB14" s="72"/>
      <c r="AC14" s="72"/>
      <c r="AD14" s="72"/>
      <c r="AE14" s="72"/>
      <c r="AF14" s="72"/>
      <c r="AG14" s="72"/>
      <c r="AH14" s="72"/>
      <c r="AI14" s="72"/>
      <c r="AJ14" s="72"/>
      <c r="AK14" s="72"/>
      <c r="AL14" s="72"/>
      <c r="AM14" s="72"/>
      <c r="AN14" s="101"/>
      <c r="AR14" s="10"/>
    </row>
    <row r="15" spans="1:49" ht="14.9" customHeight="1" x14ac:dyDescent="0.4">
      <c r="B15" s="100"/>
      <c r="C15" s="115" t="s">
        <v>127</v>
      </c>
      <c r="D15" s="115"/>
      <c r="E15" s="115"/>
      <c r="F15" s="115"/>
      <c r="G15" s="115" t="s">
        <v>128</v>
      </c>
      <c r="H15" s="115"/>
      <c r="I15" s="115"/>
      <c r="J15" s="115"/>
      <c r="K15" s="115"/>
      <c r="L15" s="115"/>
      <c r="M15" s="115"/>
      <c r="N15" s="115"/>
      <c r="O15" s="115"/>
      <c r="P15" s="115"/>
      <c r="Q15" s="115"/>
      <c r="R15" s="115"/>
      <c r="S15" s="115"/>
      <c r="T15" s="115"/>
      <c r="U15" s="115"/>
      <c r="V15" s="115"/>
      <c r="W15" s="115"/>
      <c r="X15" s="115"/>
      <c r="Y15" s="115"/>
      <c r="Z15" s="115"/>
      <c r="AA15" s="115" t="s">
        <v>124</v>
      </c>
      <c r="AB15" s="72"/>
      <c r="AC15" s="72"/>
      <c r="AD15" s="72"/>
      <c r="AE15" s="72"/>
      <c r="AF15" s="72"/>
      <c r="AG15" s="72"/>
      <c r="AH15" s="72"/>
      <c r="AI15" s="72"/>
      <c r="AJ15" s="72"/>
      <c r="AK15" s="72"/>
      <c r="AL15" s="72"/>
      <c r="AM15" s="72"/>
      <c r="AN15" s="101"/>
      <c r="AR15" s="10"/>
    </row>
    <row r="16" spans="1:49" ht="14.9" customHeight="1" x14ac:dyDescent="0.25">
      <c r="B16" s="100"/>
      <c r="C16" s="72" t="s">
        <v>129</v>
      </c>
      <c r="D16" s="72"/>
      <c r="E16" s="72"/>
      <c r="F16" s="72"/>
      <c r="G16" s="72" t="s">
        <v>130</v>
      </c>
      <c r="H16" s="72"/>
      <c r="I16" s="72"/>
      <c r="J16" s="72"/>
      <c r="K16" s="72"/>
      <c r="L16" s="72"/>
      <c r="M16" s="72"/>
      <c r="N16" s="72"/>
      <c r="O16" s="72"/>
      <c r="P16" s="72"/>
      <c r="Q16" s="72"/>
      <c r="R16" s="72"/>
      <c r="S16" s="72"/>
      <c r="T16" s="72"/>
      <c r="U16" s="72"/>
      <c r="V16" s="72"/>
      <c r="W16" s="72"/>
      <c r="X16" s="72"/>
      <c r="Y16" s="72"/>
      <c r="Z16" s="72"/>
      <c r="AA16" s="72" t="s">
        <v>131</v>
      </c>
      <c r="AB16" s="72"/>
      <c r="AC16" s="72"/>
      <c r="AD16" s="72"/>
      <c r="AE16" s="72"/>
      <c r="AF16" s="72"/>
      <c r="AG16" s="72"/>
      <c r="AH16" s="72"/>
      <c r="AI16" s="72"/>
      <c r="AJ16" s="72"/>
      <c r="AK16" s="72"/>
      <c r="AL16" s="72"/>
      <c r="AM16" s="72"/>
      <c r="AN16" s="101"/>
      <c r="AR16" s="10"/>
    </row>
    <row r="17" spans="1:44" ht="14.9" customHeight="1" x14ac:dyDescent="0.25">
      <c r="B17" s="100"/>
      <c r="C17" s="72" t="s">
        <v>132</v>
      </c>
      <c r="D17" s="72"/>
      <c r="E17" s="72"/>
      <c r="F17" s="72"/>
      <c r="G17" s="72" t="s">
        <v>133</v>
      </c>
      <c r="H17" s="72"/>
      <c r="I17" s="72"/>
      <c r="J17" s="72"/>
      <c r="K17" s="72"/>
      <c r="L17" s="72"/>
      <c r="M17" s="72"/>
      <c r="N17" s="72"/>
      <c r="O17" s="72"/>
      <c r="P17" s="72"/>
      <c r="Q17" s="72"/>
      <c r="R17" s="72"/>
      <c r="S17" s="72"/>
      <c r="T17" s="72"/>
      <c r="U17" s="72"/>
      <c r="V17" s="72"/>
      <c r="W17" s="72"/>
      <c r="X17" s="72"/>
      <c r="Y17" s="72"/>
      <c r="Z17" s="72"/>
      <c r="AA17" s="72" t="s">
        <v>134</v>
      </c>
      <c r="AB17" s="72"/>
      <c r="AC17" s="72"/>
      <c r="AD17" s="72"/>
      <c r="AE17" s="72"/>
      <c r="AF17" s="72"/>
      <c r="AG17" s="72"/>
      <c r="AH17" s="72"/>
      <c r="AI17" s="72"/>
      <c r="AJ17" s="72"/>
      <c r="AK17" s="72"/>
      <c r="AL17" s="72"/>
      <c r="AM17" s="72"/>
      <c r="AN17" s="101"/>
      <c r="AR17" s="10"/>
    </row>
    <row r="18" spans="1:44" ht="14.9" customHeight="1" x14ac:dyDescent="0.25">
      <c r="B18" s="100"/>
      <c r="C18" s="72" t="s">
        <v>135</v>
      </c>
      <c r="D18" s="72"/>
      <c r="E18" s="72"/>
      <c r="F18" s="72"/>
      <c r="G18" s="72" t="s">
        <v>136</v>
      </c>
      <c r="H18" s="72"/>
      <c r="I18" s="72"/>
      <c r="J18" s="72"/>
      <c r="K18" s="72"/>
      <c r="L18" s="72"/>
      <c r="M18" s="72"/>
      <c r="N18" s="72"/>
      <c r="O18" s="72"/>
      <c r="P18" s="72"/>
      <c r="Q18" s="72"/>
      <c r="R18" s="72"/>
      <c r="S18" s="72"/>
      <c r="T18" s="72"/>
      <c r="U18" s="72"/>
      <c r="V18" s="72"/>
      <c r="W18" s="72"/>
      <c r="X18" s="72"/>
      <c r="Y18" s="72"/>
      <c r="Z18" s="72"/>
      <c r="AA18" s="72" t="s">
        <v>134</v>
      </c>
      <c r="AB18" s="72"/>
      <c r="AC18" s="72"/>
      <c r="AD18" s="72"/>
      <c r="AE18" s="72"/>
      <c r="AF18" s="72"/>
      <c r="AG18" s="72"/>
      <c r="AH18" s="72"/>
      <c r="AI18" s="72"/>
      <c r="AJ18" s="72"/>
      <c r="AK18" s="72"/>
      <c r="AL18" s="72"/>
      <c r="AM18" s="72"/>
      <c r="AN18" s="101"/>
      <c r="AR18" s="10"/>
    </row>
    <row r="19" spans="1:44" ht="14.9" customHeight="1" x14ac:dyDescent="0.25">
      <c r="B19" s="100"/>
      <c r="C19" s="72" t="s">
        <v>137</v>
      </c>
      <c r="D19" s="72"/>
      <c r="E19" s="72"/>
      <c r="F19" s="72"/>
      <c r="G19" s="72" t="s">
        <v>138</v>
      </c>
      <c r="H19" s="72"/>
      <c r="I19" s="72"/>
      <c r="J19" s="72"/>
      <c r="K19" s="72"/>
      <c r="L19" s="72"/>
      <c r="M19" s="72"/>
      <c r="N19" s="72"/>
      <c r="O19" s="72"/>
      <c r="P19" s="72"/>
      <c r="Q19" s="72"/>
      <c r="R19" s="72"/>
      <c r="S19" s="72"/>
      <c r="T19" s="72"/>
      <c r="U19" s="72"/>
      <c r="V19" s="72"/>
      <c r="W19" s="72"/>
      <c r="X19" s="72"/>
      <c r="Y19" s="72"/>
      <c r="Z19" s="72"/>
      <c r="AA19" s="72" t="s">
        <v>131</v>
      </c>
      <c r="AB19" s="72"/>
      <c r="AC19" s="72"/>
      <c r="AD19" s="72"/>
      <c r="AE19" s="72"/>
      <c r="AF19" s="72"/>
      <c r="AG19" s="72"/>
      <c r="AH19" s="72"/>
      <c r="AI19" s="72"/>
      <c r="AJ19" s="72"/>
      <c r="AK19" s="72"/>
      <c r="AL19" s="72"/>
      <c r="AM19" s="72"/>
      <c r="AN19" s="101"/>
      <c r="AR19" s="10"/>
    </row>
    <row r="20" spans="1:44" ht="14.9" customHeight="1" x14ac:dyDescent="0.4">
      <c r="B20" s="100"/>
      <c r="C20" s="115" t="s">
        <v>139</v>
      </c>
      <c r="D20" s="115"/>
      <c r="E20" s="115"/>
      <c r="F20" s="115"/>
      <c r="G20" s="115" t="s">
        <v>140</v>
      </c>
      <c r="H20" s="115"/>
      <c r="I20" s="115"/>
      <c r="J20" s="115"/>
      <c r="K20" s="115"/>
      <c r="L20" s="115"/>
      <c r="M20" s="115"/>
      <c r="N20" s="115"/>
      <c r="O20" s="115"/>
      <c r="P20" s="115"/>
      <c r="Q20" s="115"/>
      <c r="R20" s="115"/>
      <c r="S20" s="115"/>
      <c r="T20" s="115"/>
      <c r="U20" s="115"/>
      <c r="V20" s="115"/>
      <c r="W20" s="115"/>
      <c r="X20" s="115"/>
      <c r="Y20" s="115"/>
      <c r="Z20" s="115"/>
      <c r="AA20" s="115" t="s">
        <v>141</v>
      </c>
      <c r="AB20" s="72"/>
      <c r="AC20" s="72"/>
      <c r="AD20" s="72"/>
      <c r="AE20" s="72"/>
      <c r="AF20" s="72"/>
      <c r="AG20" s="72"/>
      <c r="AH20" s="72"/>
      <c r="AI20" s="72"/>
      <c r="AJ20" s="72"/>
      <c r="AK20" s="72"/>
      <c r="AL20" s="72"/>
      <c r="AM20" s="72"/>
      <c r="AN20" s="101"/>
      <c r="AR20" s="10"/>
    </row>
    <row r="21" spans="1:44" ht="14.9" customHeight="1" x14ac:dyDescent="0.25">
      <c r="A21" s="70"/>
      <c r="B21" s="100"/>
      <c r="C21" s="72" t="s">
        <v>142</v>
      </c>
      <c r="D21" s="72"/>
      <c r="E21" s="72"/>
      <c r="F21" s="72"/>
      <c r="G21" s="72" t="s">
        <v>143</v>
      </c>
      <c r="H21" s="72"/>
      <c r="I21" s="72"/>
      <c r="J21" s="72"/>
      <c r="K21" s="72"/>
      <c r="L21" s="72"/>
      <c r="M21" s="72"/>
      <c r="N21" s="72"/>
      <c r="O21" s="72"/>
      <c r="P21" s="72"/>
      <c r="Q21" s="72"/>
      <c r="R21" s="72"/>
      <c r="S21" s="72"/>
      <c r="T21" s="72"/>
      <c r="U21" s="72"/>
      <c r="V21" s="72"/>
      <c r="W21" s="72"/>
      <c r="X21" s="72"/>
      <c r="Y21" s="72"/>
      <c r="Z21" s="72"/>
      <c r="AA21" s="72" t="s">
        <v>141</v>
      </c>
      <c r="AB21" s="72"/>
      <c r="AC21" s="72"/>
      <c r="AD21" s="72"/>
      <c r="AE21" s="72"/>
      <c r="AF21" s="72"/>
      <c r="AG21" s="72"/>
      <c r="AH21" s="72"/>
      <c r="AI21" s="72"/>
      <c r="AJ21" s="72"/>
      <c r="AK21" s="72"/>
      <c r="AL21" s="72"/>
      <c r="AM21" s="72"/>
      <c r="AN21" s="101"/>
      <c r="AR21" s="10"/>
    </row>
    <row r="22" spans="1:44" ht="14.9" customHeight="1" x14ac:dyDescent="0.3">
      <c r="B22" s="100"/>
      <c r="C22" s="115" t="s">
        <v>144</v>
      </c>
      <c r="D22" s="115"/>
      <c r="E22" s="115"/>
      <c r="F22" s="115"/>
      <c r="G22" s="115" t="s">
        <v>145</v>
      </c>
      <c r="H22" s="115"/>
      <c r="I22" s="115"/>
      <c r="J22" s="115"/>
      <c r="K22" s="115"/>
      <c r="L22" s="115"/>
      <c r="M22" s="115"/>
      <c r="N22" s="115"/>
      <c r="O22" s="115"/>
      <c r="P22" s="115"/>
      <c r="Q22" s="115"/>
      <c r="R22" s="115"/>
      <c r="S22" s="115"/>
      <c r="T22" s="115"/>
      <c r="U22" s="115"/>
      <c r="V22" s="115"/>
      <c r="W22" s="115"/>
      <c r="X22" s="115"/>
      <c r="Y22" s="115"/>
      <c r="Z22" s="115"/>
      <c r="AA22" s="115" t="s">
        <v>146</v>
      </c>
      <c r="AB22" s="72"/>
      <c r="AC22" s="72"/>
      <c r="AD22" s="72"/>
      <c r="AE22" s="72"/>
      <c r="AF22" s="72"/>
      <c r="AG22" s="72"/>
      <c r="AH22" s="72"/>
      <c r="AI22" s="72"/>
      <c r="AJ22" s="72"/>
      <c r="AK22" s="72"/>
      <c r="AL22" s="72"/>
      <c r="AM22" s="72"/>
      <c r="AN22" s="101"/>
      <c r="AR22" s="10"/>
    </row>
    <row r="23" spans="1:44" ht="14.9" customHeight="1" x14ac:dyDescent="0.4">
      <c r="B23" s="100"/>
      <c r="C23" s="115" t="s">
        <v>147</v>
      </c>
      <c r="D23" s="115"/>
      <c r="E23" s="115"/>
      <c r="F23" s="115"/>
      <c r="G23" s="115" t="s">
        <v>148</v>
      </c>
      <c r="H23" s="115"/>
      <c r="I23" s="115"/>
      <c r="J23" s="115"/>
      <c r="K23" s="115"/>
      <c r="L23" s="115"/>
      <c r="M23" s="115"/>
      <c r="N23" s="115"/>
      <c r="O23" s="115"/>
      <c r="P23" s="115"/>
      <c r="Q23" s="115"/>
      <c r="R23" s="115"/>
      <c r="S23" s="115"/>
      <c r="T23" s="115"/>
      <c r="U23" s="115"/>
      <c r="V23" s="115"/>
      <c r="W23" s="115"/>
      <c r="X23" s="115"/>
      <c r="Y23" s="115"/>
      <c r="Z23" s="115"/>
      <c r="AA23" s="115" t="s">
        <v>149</v>
      </c>
      <c r="AB23" s="72"/>
      <c r="AC23" s="72"/>
      <c r="AD23" s="72"/>
      <c r="AE23" s="72"/>
      <c r="AF23" s="72"/>
      <c r="AG23" s="72"/>
      <c r="AH23" s="72"/>
      <c r="AI23" s="72"/>
      <c r="AJ23" s="72"/>
      <c r="AK23" s="72"/>
      <c r="AL23" s="72"/>
      <c r="AM23" s="72"/>
      <c r="AN23" s="101"/>
      <c r="AR23" s="10"/>
    </row>
    <row r="24" spans="1:44" ht="14.9" customHeight="1" x14ac:dyDescent="0.3">
      <c r="B24" s="100"/>
      <c r="C24" s="72" t="s">
        <v>150</v>
      </c>
      <c r="D24" s="72"/>
      <c r="E24" s="72"/>
      <c r="F24" s="72"/>
      <c r="G24" s="72" t="s">
        <v>151</v>
      </c>
      <c r="H24" s="72"/>
      <c r="I24" s="72"/>
      <c r="J24" s="72"/>
      <c r="K24" s="72"/>
      <c r="L24" s="72"/>
      <c r="M24" s="72"/>
      <c r="N24" s="72"/>
      <c r="O24" s="72"/>
      <c r="P24" s="72"/>
      <c r="Q24" s="72"/>
      <c r="R24" s="72"/>
      <c r="S24" s="72"/>
      <c r="T24" s="72"/>
      <c r="U24" s="72"/>
      <c r="V24" s="72"/>
      <c r="W24" s="72"/>
      <c r="X24" s="72"/>
      <c r="Y24" s="72"/>
      <c r="Z24" s="72"/>
      <c r="AA24" s="115" t="s">
        <v>149</v>
      </c>
      <c r="AB24" s="72"/>
      <c r="AC24" s="72"/>
      <c r="AD24" s="72"/>
      <c r="AE24" s="72"/>
      <c r="AF24" s="72"/>
      <c r="AG24" s="72"/>
      <c r="AH24" s="72"/>
      <c r="AI24" s="72"/>
      <c r="AJ24" s="72"/>
      <c r="AK24" s="72"/>
      <c r="AL24" s="72"/>
      <c r="AM24" s="72"/>
      <c r="AN24" s="101"/>
      <c r="AR24" s="10"/>
    </row>
    <row r="25" spans="1:44" ht="14.9" customHeight="1" x14ac:dyDescent="0.3">
      <c r="B25" s="100"/>
      <c r="C25" s="72" t="s">
        <v>152</v>
      </c>
      <c r="D25" s="72"/>
      <c r="E25" s="72"/>
      <c r="F25" s="72"/>
      <c r="G25" s="72" t="s">
        <v>153</v>
      </c>
      <c r="H25" s="72"/>
      <c r="I25" s="72"/>
      <c r="J25" s="72"/>
      <c r="K25" s="72"/>
      <c r="L25" s="72"/>
      <c r="M25" s="72"/>
      <c r="N25" s="72"/>
      <c r="O25" s="72"/>
      <c r="P25" s="72"/>
      <c r="Q25" s="72"/>
      <c r="R25" s="72"/>
      <c r="S25" s="72"/>
      <c r="T25" s="72"/>
      <c r="U25" s="72"/>
      <c r="V25" s="72"/>
      <c r="W25" s="72"/>
      <c r="X25" s="72"/>
      <c r="Y25" s="72"/>
      <c r="Z25" s="72"/>
      <c r="AA25" s="115" t="s">
        <v>149</v>
      </c>
      <c r="AB25" s="72"/>
      <c r="AC25" s="72"/>
      <c r="AD25" s="72"/>
      <c r="AE25" s="72"/>
      <c r="AF25" s="72"/>
      <c r="AG25" s="72"/>
      <c r="AH25" s="72"/>
      <c r="AI25" s="72"/>
      <c r="AJ25" s="72"/>
      <c r="AK25" s="72"/>
      <c r="AL25" s="72"/>
      <c r="AM25" s="72"/>
      <c r="AN25" s="101"/>
      <c r="AR25" s="10"/>
    </row>
    <row r="26" spans="1:44" ht="14.9" customHeight="1" x14ac:dyDescent="0.25">
      <c r="B26" s="100"/>
      <c r="C26" s="72" t="s">
        <v>154</v>
      </c>
      <c r="D26" s="72"/>
      <c r="E26" s="72"/>
      <c r="F26" s="72"/>
      <c r="G26" s="72" t="s">
        <v>155</v>
      </c>
      <c r="H26" s="72"/>
      <c r="I26" s="72"/>
      <c r="J26" s="72"/>
      <c r="K26" s="72"/>
      <c r="L26" s="72"/>
      <c r="M26" s="72"/>
      <c r="N26" s="72"/>
      <c r="O26" s="72"/>
      <c r="P26" s="72"/>
      <c r="Q26" s="72"/>
      <c r="R26" s="72"/>
      <c r="S26" s="72"/>
      <c r="T26" s="72"/>
      <c r="U26" s="72"/>
      <c r="V26" s="72"/>
      <c r="W26" s="72"/>
      <c r="X26" s="72"/>
      <c r="Y26" s="72"/>
      <c r="Z26" s="72"/>
      <c r="AA26" s="72" t="s">
        <v>156</v>
      </c>
      <c r="AB26" s="72"/>
      <c r="AC26" s="72"/>
      <c r="AD26" s="72"/>
      <c r="AE26" s="72"/>
      <c r="AF26" s="72"/>
      <c r="AG26" s="72"/>
      <c r="AH26" s="72"/>
      <c r="AI26" s="72"/>
      <c r="AJ26" s="72"/>
      <c r="AK26" s="72"/>
      <c r="AL26" s="72"/>
      <c r="AM26" s="72"/>
      <c r="AN26" s="101"/>
      <c r="AR26" s="10"/>
    </row>
    <row r="27" spans="1:44" ht="14.9" customHeight="1" x14ac:dyDescent="0.3">
      <c r="B27" s="100"/>
      <c r="C27" s="115" t="s">
        <v>157</v>
      </c>
      <c r="D27" s="115"/>
      <c r="E27" s="115"/>
      <c r="F27" s="115"/>
      <c r="G27" s="115" t="s">
        <v>158</v>
      </c>
      <c r="H27" s="115"/>
      <c r="I27" s="115"/>
      <c r="J27" s="115"/>
      <c r="K27" s="115"/>
      <c r="L27" s="115"/>
      <c r="M27" s="115"/>
      <c r="N27" s="115"/>
      <c r="O27" s="115"/>
      <c r="P27" s="115"/>
      <c r="Q27" s="115"/>
      <c r="R27" s="115"/>
      <c r="S27" s="115"/>
      <c r="T27" s="115"/>
      <c r="U27" s="115"/>
      <c r="V27" s="115"/>
      <c r="W27" s="115"/>
      <c r="X27" s="115"/>
      <c r="Y27" s="115"/>
      <c r="Z27" s="115"/>
      <c r="AA27" s="115" t="s">
        <v>124</v>
      </c>
      <c r="AB27" s="72"/>
      <c r="AC27" s="72"/>
      <c r="AD27" s="72"/>
      <c r="AE27" s="72"/>
      <c r="AF27" s="72"/>
      <c r="AG27" s="72"/>
      <c r="AH27" s="72"/>
      <c r="AI27" s="72"/>
      <c r="AJ27" s="72"/>
      <c r="AK27" s="72"/>
      <c r="AL27" s="72"/>
      <c r="AM27" s="72"/>
      <c r="AN27" s="101"/>
      <c r="AR27" s="10"/>
    </row>
    <row r="28" spans="1:44" ht="14.9" customHeight="1" x14ac:dyDescent="0.25">
      <c r="B28" s="100"/>
      <c r="C28" s="72" t="s">
        <v>157</v>
      </c>
      <c r="D28" s="72"/>
      <c r="E28" s="72"/>
      <c r="F28" s="72"/>
      <c r="G28" s="72" t="s">
        <v>159</v>
      </c>
      <c r="H28" s="72"/>
      <c r="I28" s="72"/>
      <c r="J28" s="72"/>
      <c r="K28" s="72"/>
      <c r="L28" s="72"/>
      <c r="M28" s="72"/>
      <c r="N28" s="72"/>
      <c r="O28" s="72"/>
      <c r="P28" s="72"/>
      <c r="Q28" s="72"/>
      <c r="R28" s="72"/>
      <c r="S28" s="72"/>
      <c r="T28" s="72"/>
      <c r="U28" s="72"/>
      <c r="V28" s="72"/>
      <c r="W28" s="72"/>
      <c r="X28" s="72"/>
      <c r="Y28" s="72"/>
      <c r="Z28" s="72"/>
      <c r="AA28" s="72" t="s">
        <v>124</v>
      </c>
      <c r="AB28" s="72"/>
      <c r="AC28" s="72"/>
      <c r="AD28" s="72"/>
      <c r="AE28" s="72"/>
      <c r="AF28" s="72"/>
      <c r="AG28" s="72"/>
      <c r="AH28" s="72"/>
      <c r="AI28" s="72"/>
      <c r="AJ28" s="72"/>
      <c r="AK28" s="72"/>
      <c r="AL28" s="72"/>
      <c r="AM28" s="72"/>
      <c r="AN28" s="101"/>
      <c r="AR28" s="10"/>
    </row>
    <row r="29" spans="1:44" ht="14.9" customHeight="1" x14ac:dyDescent="0.25">
      <c r="B29" s="100"/>
      <c r="C29" s="72" t="s">
        <v>160</v>
      </c>
      <c r="D29" s="72"/>
      <c r="E29" s="72"/>
      <c r="F29" s="72"/>
      <c r="G29" s="72" t="s">
        <v>161</v>
      </c>
      <c r="H29" s="72"/>
      <c r="I29" s="72"/>
      <c r="J29" s="72"/>
      <c r="K29" s="72"/>
      <c r="L29" s="72"/>
      <c r="M29" s="72"/>
      <c r="N29" s="72"/>
      <c r="O29" s="72"/>
      <c r="P29" s="72"/>
      <c r="Q29" s="72"/>
      <c r="R29" s="72"/>
      <c r="S29" s="72"/>
      <c r="T29" s="72"/>
      <c r="U29" s="72"/>
      <c r="V29" s="72"/>
      <c r="W29" s="72"/>
      <c r="X29" s="72"/>
      <c r="Y29" s="72"/>
      <c r="Z29" s="72"/>
      <c r="AA29" s="72" t="s">
        <v>162</v>
      </c>
      <c r="AB29" s="72"/>
      <c r="AC29" s="72"/>
      <c r="AD29" s="72"/>
      <c r="AE29" s="72"/>
      <c r="AF29" s="72"/>
      <c r="AG29" s="72"/>
      <c r="AH29" s="72"/>
      <c r="AI29" s="72"/>
      <c r="AJ29" s="72"/>
      <c r="AK29" s="72"/>
      <c r="AL29" s="72"/>
      <c r="AM29" s="72"/>
      <c r="AN29" s="101"/>
      <c r="AR29" s="10"/>
    </row>
    <row r="30" spans="1:44" ht="14.9" customHeight="1" x14ac:dyDescent="0.3">
      <c r="B30" s="100"/>
      <c r="C30" s="115" t="s">
        <v>163</v>
      </c>
      <c r="D30" s="115"/>
      <c r="E30" s="115"/>
      <c r="F30" s="115"/>
      <c r="G30" s="115" t="s">
        <v>164</v>
      </c>
      <c r="H30" s="115"/>
      <c r="I30" s="115"/>
      <c r="J30" s="115"/>
      <c r="K30" s="115"/>
      <c r="L30" s="115"/>
      <c r="M30" s="115"/>
      <c r="N30" s="115"/>
      <c r="O30" s="115"/>
      <c r="P30" s="115"/>
      <c r="Q30" s="115"/>
      <c r="R30" s="115"/>
      <c r="S30" s="115"/>
      <c r="T30" s="115"/>
      <c r="U30" s="115"/>
      <c r="V30" s="115"/>
      <c r="W30" s="115"/>
      <c r="X30" s="115"/>
      <c r="Y30" s="115"/>
      <c r="Z30" s="115"/>
      <c r="AA30" s="115" t="s">
        <v>137</v>
      </c>
      <c r="AB30" s="72"/>
      <c r="AC30" s="72"/>
      <c r="AD30" s="72"/>
      <c r="AE30" s="72"/>
      <c r="AF30" s="72"/>
      <c r="AG30" s="72"/>
      <c r="AH30" s="72"/>
      <c r="AI30" s="72"/>
      <c r="AJ30" s="72"/>
      <c r="AK30" s="72"/>
      <c r="AL30" s="72"/>
      <c r="AM30" s="72"/>
      <c r="AN30" s="101"/>
      <c r="AR30" s="10"/>
    </row>
    <row r="31" spans="1:44" ht="14.9" customHeight="1" x14ac:dyDescent="0.3">
      <c r="B31" s="100"/>
      <c r="C31" s="115" t="s">
        <v>165</v>
      </c>
      <c r="D31" s="115"/>
      <c r="E31" s="115"/>
      <c r="F31" s="115"/>
      <c r="G31" s="115" t="s">
        <v>166</v>
      </c>
      <c r="H31" s="115"/>
      <c r="I31" s="115"/>
      <c r="J31" s="115"/>
      <c r="K31" s="115"/>
      <c r="L31" s="115"/>
      <c r="M31" s="115"/>
      <c r="N31" s="115"/>
      <c r="O31" s="115"/>
      <c r="P31" s="115"/>
      <c r="Q31" s="115"/>
      <c r="R31" s="115"/>
      <c r="S31" s="115"/>
      <c r="T31" s="115"/>
      <c r="U31" s="115"/>
      <c r="V31" s="115"/>
      <c r="W31" s="115"/>
      <c r="X31" s="115"/>
      <c r="Y31" s="115"/>
      <c r="Z31" s="115"/>
      <c r="AA31" s="115" t="s">
        <v>167</v>
      </c>
      <c r="AB31" s="72"/>
      <c r="AC31" s="72"/>
      <c r="AD31" s="72"/>
      <c r="AE31" s="72"/>
      <c r="AF31" s="72"/>
      <c r="AG31" s="72"/>
      <c r="AH31" s="72"/>
      <c r="AI31" s="72"/>
      <c r="AJ31" s="72"/>
      <c r="AK31" s="72"/>
      <c r="AL31" s="72"/>
      <c r="AM31" s="72"/>
      <c r="AN31" s="101"/>
      <c r="AR31" s="10"/>
    </row>
    <row r="32" spans="1:44" ht="14.9" customHeight="1" x14ac:dyDescent="0.25">
      <c r="B32" s="100"/>
      <c r="C32" s="72" t="s">
        <v>168</v>
      </c>
      <c r="D32" s="72"/>
      <c r="E32" s="72"/>
      <c r="F32" s="72"/>
      <c r="G32" s="72" t="s">
        <v>169</v>
      </c>
      <c r="H32" s="72"/>
      <c r="I32" s="72"/>
      <c r="J32" s="72"/>
      <c r="K32" s="72"/>
      <c r="L32" s="72"/>
      <c r="M32" s="72"/>
      <c r="N32" s="72"/>
      <c r="O32" s="72"/>
      <c r="P32" s="72"/>
      <c r="Q32" s="72"/>
      <c r="R32" s="72"/>
      <c r="S32" s="72"/>
      <c r="T32" s="72"/>
      <c r="U32" s="72"/>
      <c r="V32" s="72"/>
      <c r="W32" s="72"/>
      <c r="X32" s="72"/>
      <c r="Y32" s="72"/>
      <c r="Z32" s="72"/>
      <c r="AA32" s="72" t="s">
        <v>170</v>
      </c>
      <c r="AB32" s="72"/>
      <c r="AC32" s="72"/>
      <c r="AD32" s="72"/>
      <c r="AE32" s="72"/>
      <c r="AF32" s="72"/>
      <c r="AG32" s="72"/>
      <c r="AH32" s="72"/>
      <c r="AI32" s="72"/>
      <c r="AJ32" s="72"/>
      <c r="AK32" s="72"/>
      <c r="AL32" s="72"/>
      <c r="AM32" s="72"/>
      <c r="AN32" s="101"/>
      <c r="AR32" s="10"/>
    </row>
    <row r="33" spans="2:44" ht="14.9" customHeight="1" x14ac:dyDescent="0.25">
      <c r="B33" s="100"/>
      <c r="C33" s="72" t="s">
        <v>171</v>
      </c>
      <c r="D33" s="72"/>
      <c r="E33" s="72"/>
      <c r="F33" s="72"/>
      <c r="G33" s="72" t="s">
        <v>172</v>
      </c>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2:44" ht="14.9" customHeight="1" x14ac:dyDescent="0.25">
      <c r="B34" s="100"/>
      <c r="C34" s="72" t="s">
        <v>173</v>
      </c>
      <c r="D34" s="72"/>
      <c r="E34" s="72"/>
      <c r="F34" s="72"/>
      <c r="G34" s="72" t="s">
        <v>174</v>
      </c>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2:44" ht="14.9" customHeight="1" x14ac:dyDescent="0.25">
      <c r="B35" s="100"/>
      <c r="C35" s="72" t="s">
        <v>175</v>
      </c>
      <c r="D35" s="72"/>
      <c r="E35" s="72"/>
      <c r="F35" s="72"/>
      <c r="G35" s="72" t="s">
        <v>176</v>
      </c>
      <c r="H35" s="72"/>
      <c r="I35" s="72"/>
      <c r="J35" s="72"/>
      <c r="K35" s="72"/>
      <c r="L35" s="72"/>
      <c r="M35" s="72"/>
      <c r="N35" s="72"/>
      <c r="O35" s="72"/>
      <c r="P35" s="72"/>
      <c r="Q35" s="72"/>
      <c r="R35" s="72"/>
      <c r="S35" s="72"/>
      <c r="T35" s="72"/>
      <c r="U35" s="72"/>
      <c r="V35" s="72"/>
      <c r="W35" s="72"/>
      <c r="X35" s="72"/>
      <c r="Y35" s="72"/>
      <c r="Z35" s="72"/>
      <c r="AA35" s="72" t="s">
        <v>177</v>
      </c>
      <c r="AB35" s="72"/>
      <c r="AC35" s="72"/>
      <c r="AD35" s="72"/>
      <c r="AE35" s="72"/>
      <c r="AF35" s="72"/>
      <c r="AG35" s="72"/>
      <c r="AH35" s="72"/>
      <c r="AI35" s="72"/>
      <c r="AJ35" s="72"/>
      <c r="AK35" s="72"/>
      <c r="AL35" s="72"/>
      <c r="AM35" s="72"/>
      <c r="AN35" s="101"/>
      <c r="AR35" s="10"/>
    </row>
    <row r="36" spans="2:44" ht="14.9" customHeight="1" x14ac:dyDescent="0.25">
      <c r="B36" s="100"/>
      <c r="C36" s="72" t="s">
        <v>178</v>
      </c>
      <c r="D36" s="72"/>
      <c r="E36" s="72"/>
      <c r="F36" s="72"/>
      <c r="G36" s="72" t="s">
        <v>179</v>
      </c>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2: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2: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2: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2: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2: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row>
    <row r="42" spans="2: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row>
    <row r="43" spans="2: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row>
    <row r="44" spans="2:44"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row>
    <row r="45" spans="2: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row>
    <row r="46" spans="2: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2: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2: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49" ht="14.9"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10"/>
    </row>
    <row r="50" spans="2:49" ht="14.9" customHeight="1" x14ac:dyDescent="0.25">
      <c r="B50" s="100"/>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101"/>
      <c r="AR50" s="10"/>
    </row>
    <row r="51" spans="2:49" s="10" customFormat="1" ht="36"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R51" s="7"/>
      <c r="AS51" s="7"/>
      <c r="AT51" s="7"/>
      <c r="AU51" s="7"/>
      <c r="AV51" s="7"/>
      <c r="AW51" s="7"/>
    </row>
    <row r="52" spans="2:49" s="10" customFormat="1" x14ac:dyDescent="0.25">
      <c r="AR52" s="7"/>
      <c r="AS52" s="7"/>
      <c r="AT52" s="7"/>
      <c r="AU52" s="7"/>
      <c r="AV52" s="7"/>
      <c r="AW52" s="7"/>
    </row>
    <row r="53" spans="2:49" s="10" customFormat="1" x14ac:dyDescent="0.25">
      <c r="AR53" s="7"/>
      <c r="AS53" s="7"/>
      <c r="AT53" s="7"/>
      <c r="AU53" s="7"/>
      <c r="AV53" s="7"/>
      <c r="AW53" s="7"/>
    </row>
    <row r="54" spans="2:49" s="10" customFormat="1" x14ac:dyDescent="0.25">
      <c r="AR54" s="7"/>
      <c r="AS54" s="7"/>
      <c r="AT54" s="7"/>
      <c r="AU54" s="7"/>
      <c r="AV54" s="7"/>
      <c r="AW54" s="7"/>
    </row>
    <row r="55" spans="2:49" s="10" customFormat="1" x14ac:dyDescent="0.25">
      <c r="AR55" s="7"/>
      <c r="AS55" s="7"/>
      <c r="AT55" s="7"/>
      <c r="AU55" s="7"/>
      <c r="AV55" s="7"/>
      <c r="AW55" s="7"/>
    </row>
    <row r="56" spans="2:49" s="10" customFormat="1" x14ac:dyDescent="0.25">
      <c r="AR56" s="7"/>
      <c r="AS56" s="7"/>
      <c r="AT56" s="7"/>
      <c r="AU56" s="7"/>
      <c r="AV56" s="7"/>
      <c r="AW56" s="7"/>
    </row>
    <row r="57" spans="2:49" s="10" customFormat="1" x14ac:dyDescent="0.25">
      <c r="AR57" s="7"/>
      <c r="AS57" s="7"/>
      <c r="AT57" s="7"/>
      <c r="AU57" s="7"/>
      <c r="AV57" s="7"/>
      <c r="AW57" s="7"/>
    </row>
    <row r="58" spans="2:49" s="10" customFormat="1" x14ac:dyDescent="0.25">
      <c r="AR58" s="7"/>
      <c r="AS58" s="7"/>
      <c r="AT58" s="7"/>
      <c r="AU58" s="7"/>
      <c r="AV58" s="7"/>
      <c r="AW58" s="7"/>
    </row>
    <row r="59" spans="2:49" s="10" customFormat="1" x14ac:dyDescent="0.25">
      <c r="AR59" s="7"/>
      <c r="AS59" s="7"/>
      <c r="AT59" s="7"/>
      <c r="AU59" s="7"/>
      <c r="AV59" s="7"/>
      <c r="AW59" s="7"/>
    </row>
    <row r="60" spans="2:49" s="10" customFormat="1" x14ac:dyDescent="0.25">
      <c r="AR60" s="7"/>
      <c r="AS60" s="7"/>
      <c r="AT60" s="7"/>
      <c r="AU60" s="7"/>
      <c r="AV60" s="7"/>
      <c r="AW60" s="7"/>
    </row>
    <row r="61" spans="2:49" s="10" customFormat="1" x14ac:dyDescent="0.25">
      <c r="AR61" s="7"/>
      <c r="AS61" s="7"/>
      <c r="AT61" s="7"/>
      <c r="AU61" s="7"/>
      <c r="AV61" s="7"/>
      <c r="AW61" s="7"/>
    </row>
    <row r="62" spans="2:49" s="10" customFormat="1" x14ac:dyDescent="0.25">
      <c r="AR62" s="7"/>
      <c r="AS62" s="7"/>
      <c r="AT62" s="7"/>
      <c r="AU62" s="7"/>
      <c r="AV62" s="7"/>
      <c r="AW62" s="7"/>
    </row>
    <row r="63" spans="2:49" s="10" customFormat="1" x14ac:dyDescent="0.25">
      <c r="AR63" s="7"/>
      <c r="AS63" s="7"/>
      <c r="AT63" s="7"/>
      <c r="AU63" s="7"/>
      <c r="AV63" s="7"/>
      <c r="AW63" s="7"/>
    </row>
    <row r="64" spans="2:49"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sheetData>
  <sortState xmlns:xlrd2="http://schemas.microsoft.com/office/spreadsheetml/2017/richdata2" ref="C12:AH36">
    <sortCondition ref="C12:C36"/>
  </sortState>
  <mergeCells count="47">
    <mergeCell ref="C10:D10"/>
    <mergeCell ref="B51:AN51"/>
    <mergeCell ref="T8:W8"/>
    <mergeCell ref="X8:AA8"/>
    <mergeCell ref="AB8:AC8"/>
    <mergeCell ref="AD8:AF8"/>
    <mergeCell ref="AG8:AJ8"/>
    <mergeCell ref="AK8:AN8"/>
    <mergeCell ref="B8:C8"/>
    <mergeCell ref="D8:F8"/>
    <mergeCell ref="G8:J8"/>
    <mergeCell ref="K8:N8"/>
    <mergeCell ref="O8:P8"/>
    <mergeCell ref="Q8:S8"/>
    <mergeCell ref="AK7:AN7"/>
    <mergeCell ref="B7:C7"/>
    <mergeCell ref="D7:F7"/>
    <mergeCell ref="G7:J7"/>
    <mergeCell ref="K7:N7"/>
    <mergeCell ref="O7:P7"/>
    <mergeCell ref="Q7:S7"/>
    <mergeCell ref="T7:W7"/>
    <mergeCell ref="X7:AA7"/>
    <mergeCell ref="AB7:AC7"/>
    <mergeCell ref="AD7:AF7"/>
    <mergeCell ref="AG7:AJ7"/>
    <mergeCell ref="AL6:AN6"/>
    <mergeCell ref="B4:G4"/>
    <mergeCell ref="I4:Z4"/>
    <mergeCell ref="AA4:AD4"/>
    <mergeCell ref="AE4:AN4"/>
    <mergeCell ref="B5:H5"/>
    <mergeCell ref="I5:AN5"/>
    <mergeCell ref="B6:I6"/>
    <mergeCell ref="J6:AC6"/>
    <mergeCell ref="AD6:AF6"/>
    <mergeCell ref="AG6:AI6"/>
    <mergeCell ref="AJ6:AK6"/>
    <mergeCell ref="B3:G3"/>
    <mergeCell ref="I3:Z3"/>
    <mergeCell ref="AA3:AD3"/>
    <mergeCell ref="AE3:AN3"/>
    <mergeCell ref="B1:AN1"/>
    <mergeCell ref="B2:G2"/>
    <mergeCell ref="I2:Z2"/>
    <mergeCell ref="AA2:AD2"/>
    <mergeCell ref="AE2:AN2"/>
  </mergeCells>
  <pageMargins left="0.78740157480314998" right="0.196850393700787" top="0.39370078740157499" bottom="0.62" header="0.196850393700787" footer="0.196850393700787"/>
  <pageSetup paperSize="9" scale="93" orientation="portrait" r:id="rId1"/>
  <headerFooter>
    <oddFooter>&amp;L&amp;"Calibri,Regular"&amp;11Copyright 2019, Worley
&amp;F&amp;R&amp;"Calibri,Regular"&amp;11Rev. 0, 01 December 2019</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rgb="FF0070C0"/>
    <pageSetUpPr fitToPage="1"/>
  </sheetPr>
  <dimension ref="A1:AX73"/>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7</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ToC!F17</f>
        <v>4.0</v>
      </c>
      <c r="D10" s="287"/>
      <c r="E10" s="108"/>
      <c r="F10" s="108" t="str">
        <f>ToC!H17</f>
        <v>Mechanism</v>
      </c>
      <c r="G10" s="113"/>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25">
      <c r="B12" s="100"/>
      <c r="C12" s="72" t="s">
        <v>180</v>
      </c>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101"/>
      <c r="AR12" s="10"/>
    </row>
    <row r="13" spans="1:49" ht="14.9" customHeight="1" x14ac:dyDescent="0.25">
      <c r="B13" s="100"/>
      <c r="C13" s="72" t="s">
        <v>181</v>
      </c>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101"/>
      <c r="AR13" s="10"/>
    </row>
    <row r="14" spans="1:49" ht="14.9" customHeight="1" x14ac:dyDescent="0.25">
      <c r="B14" s="100"/>
      <c r="C14" s="72" t="s">
        <v>182</v>
      </c>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101"/>
      <c r="AR14" s="10"/>
    </row>
    <row r="15" spans="1:49" ht="14.9" customHeight="1" x14ac:dyDescent="0.25">
      <c r="B15" s="100"/>
      <c r="C15" s="72" t="s">
        <v>183</v>
      </c>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101"/>
      <c r="AR15" s="10"/>
    </row>
    <row r="16" spans="1:49" ht="14.9" customHeight="1" x14ac:dyDescent="0.25">
      <c r="B16" s="100"/>
      <c r="C16" s="72" t="s">
        <v>184</v>
      </c>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101"/>
      <c r="AR16" s="10"/>
    </row>
    <row r="17" spans="1:44" ht="14.9" customHeight="1" x14ac:dyDescent="0.25">
      <c r="B17" s="100"/>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101"/>
      <c r="AR17" s="10"/>
    </row>
    <row r="18" spans="1:44" ht="14.9" customHeight="1" x14ac:dyDescent="0.25">
      <c r="B18" s="100"/>
      <c r="C18" s="72" t="s">
        <v>185</v>
      </c>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101"/>
      <c r="AR18" s="10"/>
    </row>
    <row r="19" spans="1:44" ht="14.9" customHeight="1" x14ac:dyDescent="0.25">
      <c r="B19" s="100"/>
      <c r="C19" s="72" t="s">
        <v>186</v>
      </c>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101"/>
      <c r="AR19" s="10"/>
    </row>
    <row r="20" spans="1:44" ht="14.9" customHeight="1" x14ac:dyDescent="0.25">
      <c r="B20" s="100"/>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101"/>
      <c r="AR20" s="10"/>
    </row>
    <row r="21" spans="1:44" ht="14.9" customHeight="1" x14ac:dyDescent="0.25">
      <c r="B21" s="100"/>
      <c r="C21" s="287" t="str">
        <f>ToC!F18</f>
        <v>4.1</v>
      </c>
      <c r="D21" s="287"/>
      <c r="E21" s="72"/>
      <c r="F21" s="108" t="str">
        <f>ToC!H18</f>
        <v xml:space="preserve">Dry Gas Rapid Valve Opening Methodology </v>
      </c>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101"/>
      <c r="AR21" s="10"/>
    </row>
    <row r="22" spans="1:44" ht="14.9" customHeight="1" x14ac:dyDescent="0.25">
      <c r="A22" s="70"/>
      <c r="B22" s="10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101"/>
      <c r="AR22" s="10"/>
    </row>
    <row r="23" spans="1:44" ht="14.9" customHeight="1" x14ac:dyDescent="0.25">
      <c r="B23" s="100"/>
      <c r="C23" s="72" t="s">
        <v>187</v>
      </c>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101"/>
      <c r="AR23" s="10"/>
    </row>
    <row r="24" spans="1:44" ht="14.9" customHeight="1" x14ac:dyDescent="0.25">
      <c r="B24" s="10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101"/>
      <c r="AR24" s="10"/>
    </row>
    <row r="25" spans="1:44" ht="14.9" customHeight="1" x14ac:dyDescent="0.25">
      <c r="B25" s="10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101"/>
      <c r="AR25" s="10"/>
    </row>
    <row r="26" spans="1:44" ht="14.9" customHeight="1" x14ac:dyDescent="0.25">
      <c r="B26" s="10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101"/>
      <c r="AR26" s="10"/>
    </row>
    <row r="27" spans="1:44" ht="14.9" customHeight="1" x14ac:dyDescent="0.25">
      <c r="B27" s="10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101"/>
      <c r="AR27" s="10"/>
    </row>
    <row r="28" spans="1:44" ht="14.9" customHeight="1" x14ac:dyDescent="0.25">
      <c r="B28" s="10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101"/>
      <c r="AR28" s="10"/>
    </row>
    <row r="29" spans="1:44" ht="14.9" customHeight="1" x14ac:dyDescent="0.25">
      <c r="B29" s="10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101"/>
      <c r="AR29" s="10"/>
    </row>
    <row r="30" spans="1:44" ht="14.9" customHeight="1" x14ac:dyDescent="0.25">
      <c r="B30" s="10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101"/>
      <c r="AR30" s="10"/>
    </row>
    <row r="31" spans="1:44" ht="14.9" customHeight="1" x14ac:dyDescent="0.25">
      <c r="B31" s="10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101"/>
      <c r="AR31" s="10"/>
    </row>
    <row r="32" spans="1:44" ht="14.9" customHeight="1" x14ac:dyDescent="0.25">
      <c r="B32" s="10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101"/>
      <c r="AR32" s="10"/>
    </row>
    <row r="33" spans="2: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2: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2: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2: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2: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2: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2: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2: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2: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row>
    <row r="42" spans="2: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row>
    <row r="43" spans="2: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row>
    <row r="44" spans="2:44"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row>
    <row r="45" spans="2: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row>
    <row r="46" spans="2: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2: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2: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50" ht="14.9"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10"/>
    </row>
    <row r="50" spans="2:50" s="10" customFormat="1" ht="14.9" customHeight="1" x14ac:dyDescent="0.25">
      <c r="B50" s="110"/>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2"/>
      <c r="AS50" s="7"/>
      <c r="AT50" s="7"/>
      <c r="AU50" s="7"/>
      <c r="AV50" s="7"/>
      <c r="AW50" s="7"/>
      <c r="AX50" s="7"/>
    </row>
    <row r="51" spans="2:50" s="10" customFormat="1" ht="36"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R51" s="7"/>
      <c r="AS51" s="7"/>
      <c r="AT51" s="7"/>
      <c r="AU51" s="7"/>
      <c r="AV51" s="7"/>
      <c r="AW51" s="7"/>
    </row>
    <row r="52" spans="2:50" s="10" customFormat="1" ht="13" x14ac:dyDescent="0.3">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R52" s="7"/>
      <c r="AS52" s="7"/>
      <c r="AT52" s="7"/>
      <c r="AU52" s="7"/>
      <c r="AV52" s="7"/>
      <c r="AW52" s="7"/>
    </row>
    <row r="53" spans="2:50" s="10" customFormat="1" x14ac:dyDescent="0.25">
      <c r="AR53" s="7"/>
      <c r="AS53" s="7"/>
      <c r="AT53" s="7"/>
      <c r="AU53" s="7"/>
      <c r="AV53" s="7"/>
      <c r="AW53" s="7"/>
    </row>
    <row r="54" spans="2:50" s="10" customFormat="1" x14ac:dyDescent="0.25">
      <c r="AR54" s="7"/>
      <c r="AS54" s="7"/>
      <c r="AT54" s="7"/>
      <c r="AU54" s="7"/>
      <c r="AV54" s="7"/>
      <c r="AW54" s="7"/>
    </row>
    <row r="55" spans="2:50" s="10" customFormat="1" x14ac:dyDescent="0.25">
      <c r="AR55" s="7"/>
      <c r="AS55" s="7"/>
      <c r="AT55" s="7"/>
      <c r="AU55" s="7"/>
      <c r="AV55" s="7"/>
      <c r="AW55" s="7"/>
    </row>
    <row r="56" spans="2:50" s="10" customFormat="1" x14ac:dyDescent="0.25">
      <c r="AR56" s="7"/>
      <c r="AS56" s="7"/>
      <c r="AT56" s="7"/>
      <c r="AU56" s="7"/>
      <c r="AV56" s="7"/>
      <c r="AW56" s="7"/>
    </row>
    <row r="57" spans="2:50" s="10" customFormat="1" x14ac:dyDescent="0.25">
      <c r="AR57" s="7"/>
      <c r="AS57" s="7"/>
      <c r="AT57" s="7"/>
      <c r="AU57" s="7"/>
      <c r="AV57" s="7"/>
      <c r="AW57" s="7"/>
    </row>
    <row r="58" spans="2:50" s="10" customFormat="1" x14ac:dyDescent="0.25">
      <c r="AR58" s="7"/>
      <c r="AS58" s="7"/>
      <c r="AT58" s="7"/>
      <c r="AU58" s="7"/>
      <c r="AV58" s="7"/>
      <c r="AW58" s="7"/>
    </row>
    <row r="59" spans="2:50" s="10" customFormat="1" x14ac:dyDescent="0.25">
      <c r="AR59" s="7"/>
      <c r="AS59" s="7"/>
      <c r="AT59" s="7"/>
      <c r="AU59" s="7"/>
      <c r="AV59" s="7"/>
      <c r="AW59" s="7"/>
    </row>
    <row r="60" spans="2:50" s="10" customFormat="1" x14ac:dyDescent="0.25">
      <c r="AR60" s="7"/>
      <c r="AS60" s="7"/>
      <c r="AT60" s="7"/>
      <c r="AU60" s="7"/>
      <c r="AV60" s="7"/>
      <c r="AW60" s="7"/>
    </row>
    <row r="61" spans="2:50" s="10" customFormat="1" x14ac:dyDescent="0.25">
      <c r="AR61" s="7"/>
      <c r="AS61" s="7"/>
      <c r="AT61" s="7"/>
      <c r="AU61" s="7"/>
      <c r="AV61" s="7"/>
      <c r="AW61" s="7"/>
    </row>
    <row r="62" spans="2:50" s="10" customFormat="1" x14ac:dyDescent="0.25">
      <c r="AR62" s="7"/>
      <c r="AS62" s="7"/>
      <c r="AT62" s="7"/>
      <c r="AU62" s="7"/>
      <c r="AV62" s="7"/>
      <c r="AW62" s="7"/>
    </row>
    <row r="63" spans="2:50" s="10" customFormat="1" x14ac:dyDescent="0.25">
      <c r="AR63" s="7"/>
      <c r="AS63" s="7"/>
      <c r="AT63" s="7"/>
      <c r="AU63" s="7"/>
      <c r="AV63" s="7"/>
      <c r="AW63" s="7"/>
    </row>
    <row r="64" spans="2:50"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sheetData>
  <mergeCells count="48">
    <mergeCell ref="B51:AN51"/>
    <mergeCell ref="C10:D10"/>
    <mergeCell ref="T8:W8"/>
    <mergeCell ref="X8:AA8"/>
    <mergeCell ref="AB8:AC8"/>
    <mergeCell ref="AD8:AF8"/>
    <mergeCell ref="AG8:AJ8"/>
    <mergeCell ref="AK8:AN8"/>
    <mergeCell ref="B8:C8"/>
    <mergeCell ref="D8:F8"/>
    <mergeCell ref="G8:J8"/>
    <mergeCell ref="K8:N8"/>
    <mergeCell ref="O8:P8"/>
    <mergeCell ref="Q8:S8"/>
    <mergeCell ref="C21:D21"/>
    <mergeCell ref="AK7:AN7"/>
    <mergeCell ref="B7:C7"/>
    <mergeCell ref="D7:F7"/>
    <mergeCell ref="G7:J7"/>
    <mergeCell ref="K7:N7"/>
    <mergeCell ref="O7:P7"/>
    <mergeCell ref="Q7:S7"/>
    <mergeCell ref="T7:W7"/>
    <mergeCell ref="X7:AA7"/>
    <mergeCell ref="AB7:AC7"/>
    <mergeCell ref="AD7:AF7"/>
    <mergeCell ref="AG7:AJ7"/>
    <mergeCell ref="AL6:AN6"/>
    <mergeCell ref="B4:G4"/>
    <mergeCell ref="I4:Z4"/>
    <mergeCell ref="AA4:AD4"/>
    <mergeCell ref="AE4:AN4"/>
    <mergeCell ref="B5:H5"/>
    <mergeCell ref="I5:AN5"/>
    <mergeCell ref="B6:I6"/>
    <mergeCell ref="J6:AC6"/>
    <mergeCell ref="AD6:AF6"/>
    <mergeCell ref="AG6:AI6"/>
    <mergeCell ref="AJ6:AK6"/>
    <mergeCell ref="B3:G3"/>
    <mergeCell ref="I3:Z3"/>
    <mergeCell ref="AA3:AD3"/>
    <mergeCell ref="AE3:AN3"/>
    <mergeCell ref="B1:AN1"/>
    <mergeCell ref="B2:G2"/>
    <mergeCell ref="I2:Z2"/>
    <mergeCell ref="AA2:AD2"/>
    <mergeCell ref="AE2:AN2"/>
  </mergeCells>
  <pageMargins left="0.78740157480314998" right="0.196850393700787" top="0.39370078740157499" bottom="0.62" header="0.196850393700787" footer="0.196850393700787"/>
  <pageSetup paperSize="9" scale="93" orientation="portrait" r:id="rId1"/>
  <headerFooter>
    <oddFooter>&amp;L&amp;"Calibri,Regular"&amp;11Copyright 2019, Worley
&amp;F&amp;R&amp;"Calibri,Regular"&amp;11Rev. 0, 01 December 2019</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pageSetUpPr fitToPage="1"/>
  </sheetPr>
  <dimension ref="A1:AW73"/>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2" width="14" style="10" customWidth="1"/>
    <col min="43" max="43" width="12.81640625" style="10" customWidth="1"/>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8</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ToC!F19</f>
        <v>4.2</v>
      </c>
      <c r="D10" s="287"/>
      <c r="E10" s="113"/>
      <c r="F10" s="108" t="str">
        <f>ToC!H19</f>
        <v>Liquid or Multiphase Valve Closure</v>
      </c>
      <c r="G10" s="113"/>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25">
      <c r="B12" s="100"/>
      <c r="C12" s="72" t="s">
        <v>188</v>
      </c>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101"/>
      <c r="AR12" s="10"/>
    </row>
    <row r="13" spans="1:49" ht="14.9" customHeight="1" x14ac:dyDescent="0.25">
      <c r="B13" s="100"/>
      <c r="C13" s="72" t="s">
        <v>189</v>
      </c>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101"/>
      <c r="AR13" s="10"/>
    </row>
    <row r="14" spans="1:49" ht="14.9" customHeight="1" x14ac:dyDescent="0.25">
      <c r="B14" s="100"/>
      <c r="C14" s="72" t="s">
        <v>190</v>
      </c>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101"/>
      <c r="AR14" s="10"/>
    </row>
    <row r="15" spans="1:49" ht="14.9" customHeight="1" x14ac:dyDescent="0.25">
      <c r="B15" s="100"/>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101"/>
      <c r="AR15" s="10"/>
    </row>
    <row r="16" spans="1:49" ht="14.9" customHeight="1" x14ac:dyDescent="0.25">
      <c r="B16" s="100"/>
      <c r="C16" s="72" t="s">
        <v>191</v>
      </c>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101"/>
      <c r="AR16" s="10"/>
    </row>
    <row r="17" spans="1:44" ht="14.9" customHeight="1" x14ac:dyDescent="0.25">
      <c r="B17" s="100"/>
      <c r="C17" s="72" t="s">
        <v>192</v>
      </c>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101"/>
      <c r="AR17" s="10"/>
    </row>
    <row r="18" spans="1:44" ht="14.9" customHeight="1" x14ac:dyDescent="0.25">
      <c r="B18" s="100"/>
      <c r="C18" s="72" t="s">
        <v>193</v>
      </c>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101"/>
      <c r="AR18" s="10"/>
    </row>
    <row r="19" spans="1:44" ht="14.9" customHeight="1" x14ac:dyDescent="0.25">
      <c r="B19" s="100"/>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101"/>
      <c r="AR19" s="10"/>
    </row>
    <row r="20" spans="1:44" ht="14.9" customHeight="1" x14ac:dyDescent="0.25">
      <c r="B20" s="100"/>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101"/>
      <c r="AR20" s="10"/>
    </row>
    <row r="21" spans="1:44" ht="14.9" customHeight="1" x14ac:dyDescent="0.25">
      <c r="A21" s="70"/>
      <c r="B21" s="100"/>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101"/>
      <c r="AR21" s="10"/>
    </row>
    <row r="22" spans="1:44" ht="14.9" customHeight="1" x14ac:dyDescent="0.25">
      <c r="B22" s="10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101"/>
      <c r="AR22" s="10"/>
    </row>
    <row r="23" spans="1:44" ht="14.9" customHeight="1" x14ac:dyDescent="0.25">
      <c r="B23" s="10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101"/>
      <c r="AR23" s="10"/>
    </row>
    <row r="24" spans="1:44" ht="14.9" customHeight="1" x14ac:dyDescent="0.25">
      <c r="B24" s="10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101"/>
      <c r="AR24" s="10"/>
    </row>
    <row r="25" spans="1:44" ht="14.9" customHeight="1" x14ac:dyDescent="0.25">
      <c r="B25" s="10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101"/>
      <c r="AR25" s="10"/>
    </row>
    <row r="26" spans="1:44" ht="14.9" customHeight="1" x14ac:dyDescent="0.25">
      <c r="B26" s="10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101"/>
      <c r="AR26" s="10"/>
    </row>
    <row r="27" spans="1:44" ht="14.9" customHeight="1" x14ac:dyDescent="0.25">
      <c r="B27" s="10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101"/>
      <c r="AR27" s="10"/>
    </row>
    <row r="28" spans="1:44" ht="14.9" customHeight="1" x14ac:dyDescent="0.25">
      <c r="B28" s="10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101"/>
      <c r="AR28" s="10"/>
    </row>
    <row r="29" spans="1:44" ht="14.9" customHeight="1" x14ac:dyDescent="0.25">
      <c r="B29" s="10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101"/>
      <c r="AR29" s="10"/>
    </row>
    <row r="30" spans="1:44" ht="14.9" customHeight="1" x14ac:dyDescent="0.25">
      <c r="B30" s="10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101"/>
      <c r="AR30" s="10"/>
    </row>
    <row r="31" spans="1:44" ht="14.9" customHeight="1" x14ac:dyDescent="0.25">
      <c r="B31" s="10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101"/>
      <c r="AR31" s="10"/>
    </row>
    <row r="32" spans="1:44" ht="14.9" customHeight="1" x14ac:dyDescent="0.25">
      <c r="B32" s="10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101"/>
      <c r="AR32" s="10"/>
    </row>
    <row r="33" spans="2: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2: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2: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2: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2: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2: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2: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2: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2: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P41" s="28"/>
      <c r="AQ41" s="28"/>
      <c r="AR41" s="10"/>
    </row>
    <row r="42" spans="2: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P42" s="28"/>
      <c r="AQ42" s="29"/>
      <c r="AR42" s="10"/>
    </row>
    <row r="43" spans="2: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P43" s="28"/>
      <c r="AQ43" s="29"/>
      <c r="AR43" s="10"/>
    </row>
    <row r="44" spans="2:44"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P44" s="28"/>
      <c r="AQ44" s="29"/>
      <c r="AR44" s="10"/>
    </row>
    <row r="45" spans="2: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P45" s="28"/>
      <c r="AQ45" s="29"/>
      <c r="AR45" s="10"/>
    </row>
    <row r="46" spans="2: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2: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2: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49" ht="14.9" customHeight="1" x14ac:dyDescent="0.25">
      <c r="B49" s="100"/>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1"/>
      <c r="AR49" s="10"/>
    </row>
    <row r="50" spans="2:49" ht="14.9" customHeight="1" x14ac:dyDescent="0.25">
      <c r="B50" s="100"/>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101"/>
      <c r="AR50" s="10"/>
    </row>
    <row r="51" spans="2:49" s="10" customFormat="1" ht="36"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R51" s="7"/>
      <c r="AS51" s="7"/>
      <c r="AT51" s="7"/>
      <c r="AU51" s="7"/>
      <c r="AV51" s="7"/>
      <c r="AW51" s="7"/>
    </row>
    <row r="52" spans="2:49" s="10" customFormat="1" x14ac:dyDescent="0.25">
      <c r="AR52" s="7"/>
      <c r="AS52" s="7"/>
      <c r="AT52" s="7"/>
      <c r="AU52" s="7"/>
      <c r="AV52" s="7"/>
      <c r="AW52" s="7"/>
    </row>
    <row r="53" spans="2:49" s="10" customFormat="1" x14ac:dyDescent="0.25">
      <c r="AR53" s="7"/>
      <c r="AS53" s="7"/>
      <c r="AT53" s="7"/>
      <c r="AU53" s="7"/>
      <c r="AV53" s="7"/>
      <c r="AW53" s="7"/>
    </row>
    <row r="54" spans="2:49" s="10" customFormat="1" x14ac:dyDescent="0.25">
      <c r="AR54" s="7"/>
      <c r="AS54" s="7"/>
      <c r="AT54" s="7"/>
      <c r="AU54" s="7"/>
      <c r="AV54" s="7"/>
      <c r="AW54" s="7"/>
    </row>
    <row r="55" spans="2:49" s="10" customFormat="1" x14ac:dyDescent="0.25">
      <c r="AR55" s="7"/>
      <c r="AS55" s="7"/>
      <c r="AT55" s="7"/>
      <c r="AU55" s="7"/>
      <c r="AV55" s="7"/>
      <c r="AW55" s="7"/>
    </row>
    <row r="56" spans="2:49" s="10" customFormat="1" x14ac:dyDescent="0.25">
      <c r="AR56" s="7"/>
      <c r="AS56" s="7"/>
      <c r="AT56" s="7"/>
      <c r="AU56" s="7"/>
      <c r="AV56" s="7"/>
      <c r="AW56" s="7"/>
    </row>
    <row r="57" spans="2:49" s="10" customFormat="1" x14ac:dyDescent="0.25">
      <c r="AR57" s="7"/>
      <c r="AS57" s="7"/>
      <c r="AT57" s="7"/>
      <c r="AU57" s="7"/>
      <c r="AV57" s="7"/>
      <c r="AW57" s="7"/>
    </row>
    <row r="58" spans="2:49" s="10" customFormat="1" x14ac:dyDescent="0.25">
      <c r="AR58" s="7"/>
      <c r="AS58" s="7"/>
      <c r="AT58" s="7"/>
      <c r="AU58" s="7"/>
      <c r="AV58" s="7"/>
      <c r="AW58" s="7"/>
    </row>
    <row r="59" spans="2:49" s="10" customFormat="1" x14ac:dyDescent="0.25">
      <c r="AR59" s="7"/>
      <c r="AS59" s="7"/>
      <c r="AT59" s="7"/>
      <c r="AU59" s="7"/>
      <c r="AV59" s="7"/>
      <c r="AW59" s="7"/>
    </row>
    <row r="60" spans="2:49" s="10" customFormat="1" x14ac:dyDescent="0.25">
      <c r="AR60" s="7"/>
      <c r="AS60" s="7"/>
      <c r="AT60" s="7"/>
      <c r="AU60" s="7"/>
      <c r="AV60" s="7"/>
      <c r="AW60" s="7"/>
    </row>
    <row r="61" spans="2:49" s="10" customFormat="1" x14ac:dyDescent="0.25">
      <c r="AR61" s="7"/>
      <c r="AS61" s="7"/>
      <c r="AT61" s="7"/>
      <c r="AU61" s="7"/>
      <c r="AV61" s="7"/>
      <c r="AW61" s="7"/>
    </row>
    <row r="62" spans="2:49" s="10" customFormat="1" x14ac:dyDescent="0.25">
      <c r="AR62" s="7"/>
      <c r="AS62" s="7"/>
      <c r="AT62" s="7"/>
      <c r="AU62" s="7"/>
      <c r="AV62" s="7"/>
      <c r="AW62" s="7"/>
    </row>
    <row r="63" spans="2:49" s="10" customFormat="1" x14ac:dyDescent="0.25">
      <c r="AR63" s="7"/>
      <c r="AS63" s="7"/>
      <c r="AT63" s="7"/>
      <c r="AU63" s="7"/>
      <c r="AV63" s="7"/>
      <c r="AW63" s="7"/>
    </row>
    <row r="64" spans="2:49"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sheetData>
  <mergeCells count="47">
    <mergeCell ref="C10:D10"/>
    <mergeCell ref="B51:AN51"/>
    <mergeCell ref="T8:W8"/>
    <mergeCell ref="X8:AA8"/>
    <mergeCell ref="AB8:AC8"/>
    <mergeCell ref="AD8:AF8"/>
    <mergeCell ref="AG8:AJ8"/>
    <mergeCell ref="AK8:AN8"/>
    <mergeCell ref="B8:C8"/>
    <mergeCell ref="D8:F8"/>
    <mergeCell ref="G8:J8"/>
    <mergeCell ref="K8:N8"/>
    <mergeCell ref="O8:P8"/>
    <mergeCell ref="Q8:S8"/>
    <mergeCell ref="AK7:AN7"/>
    <mergeCell ref="B7:C7"/>
    <mergeCell ref="D7:F7"/>
    <mergeCell ref="G7:J7"/>
    <mergeCell ref="K7:N7"/>
    <mergeCell ref="O7:P7"/>
    <mergeCell ref="Q7:S7"/>
    <mergeCell ref="T7:W7"/>
    <mergeCell ref="X7:AA7"/>
    <mergeCell ref="AB7:AC7"/>
    <mergeCell ref="AD7:AF7"/>
    <mergeCell ref="AG7:AJ7"/>
    <mergeCell ref="AL6:AN6"/>
    <mergeCell ref="B4:G4"/>
    <mergeCell ref="I4:Z4"/>
    <mergeCell ref="AA4:AD4"/>
    <mergeCell ref="AE4:AN4"/>
    <mergeCell ref="B5:H5"/>
    <mergeCell ref="I5:AN5"/>
    <mergeCell ref="B6:I6"/>
    <mergeCell ref="J6:AC6"/>
    <mergeCell ref="AD6:AF6"/>
    <mergeCell ref="AG6:AI6"/>
    <mergeCell ref="AJ6:AK6"/>
    <mergeCell ref="B3:G3"/>
    <mergeCell ref="I3:Z3"/>
    <mergeCell ref="AA3:AD3"/>
    <mergeCell ref="AE3:AN3"/>
    <mergeCell ref="B1:AN1"/>
    <mergeCell ref="B2:G2"/>
    <mergeCell ref="I2:Z2"/>
    <mergeCell ref="AA2:AD2"/>
    <mergeCell ref="AE2:AN2"/>
  </mergeCells>
  <pageMargins left="0.78740157480314998" right="0.196850393700787" top="0.39370078740157499" bottom="0.62" header="0.196850393700787" footer="0.196850393700787"/>
  <pageSetup paperSize="9" scale="93" orientation="portrait" r:id="rId1"/>
  <headerFooter>
    <oddFooter>&amp;L&amp;"Calibri,Regular"&amp;11Copyright 2019, Worley
&amp;F&amp;R&amp;"Calibri,Regular"&amp;11Rev. 0, 01 December 2019</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pageSetUpPr fitToPage="1"/>
  </sheetPr>
  <dimension ref="A1:AW73"/>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2" width="14" style="10" customWidth="1"/>
    <col min="43" max="43" width="12.81640625" style="10" customWidth="1"/>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9</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ToC!F20</f>
        <v>4.3</v>
      </c>
      <c r="D10" s="287"/>
      <c r="E10" s="113"/>
      <c r="F10" s="108" t="str">
        <f>ToC!H20</f>
        <v>Liquid or Multiphase Valve Opening</v>
      </c>
      <c r="G10" s="113"/>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25">
      <c r="B12" s="100"/>
      <c r="C12" s="72" t="s">
        <v>194</v>
      </c>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101"/>
      <c r="AR12" s="10"/>
    </row>
    <row r="13" spans="1:49" ht="14.9" customHeight="1" x14ac:dyDescent="0.25">
      <c r="B13" s="100"/>
      <c r="C13" s="72" t="s">
        <v>195</v>
      </c>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101"/>
      <c r="AR13" s="10"/>
    </row>
    <row r="14" spans="1:49" ht="14.9" customHeight="1" x14ac:dyDescent="0.25">
      <c r="B14" s="100"/>
      <c r="C14" s="72" t="s">
        <v>196</v>
      </c>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101"/>
      <c r="AR14" s="10"/>
    </row>
    <row r="15" spans="1:49" ht="14.9" customHeight="1" x14ac:dyDescent="0.25">
      <c r="B15" s="100"/>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101"/>
      <c r="AR15" s="10"/>
    </row>
    <row r="16" spans="1:49" ht="14.9" customHeight="1" x14ac:dyDescent="0.25">
      <c r="B16" s="100"/>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101"/>
      <c r="AR16" s="10"/>
    </row>
    <row r="17" spans="1:44" ht="14.9" customHeight="1" x14ac:dyDescent="0.25">
      <c r="B17" s="100"/>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101"/>
      <c r="AR17" s="10"/>
    </row>
    <row r="18" spans="1:44" ht="14.9" customHeight="1" x14ac:dyDescent="0.25">
      <c r="B18" s="100"/>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101"/>
      <c r="AR18" s="10"/>
    </row>
    <row r="19" spans="1:44" ht="14.9" customHeight="1" x14ac:dyDescent="0.25">
      <c r="B19" s="100"/>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101"/>
      <c r="AR19" s="10"/>
    </row>
    <row r="20" spans="1:44" ht="14.9" customHeight="1" x14ac:dyDescent="0.25">
      <c r="B20" s="100"/>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101"/>
      <c r="AR20" s="10"/>
    </row>
    <row r="21" spans="1:44" ht="14.9" customHeight="1" x14ac:dyDescent="0.25">
      <c r="A21" s="70"/>
      <c r="B21" s="100"/>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101"/>
      <c r="AR21" s="10"/>
    </row>
    <row r="22" spans="1:44" ht="14.9" customHeight="1" x14ac:dyDescent="0.25">
      <c r="B22" s="10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101"/>
      <c r="AR22" s="10"/>
    </row>
    <row r="23" spans="1:44" ht="14.9" customHeight="1" x14ac:dyDescent="0.25">
      <c r="B23" s="10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101"/>
      <c r="AR23" s="10"/>
    </row>
    <row r="24" spans="1:44" ht="14.9" customHeight="1" x14ac:dyDescent="0.25">
      <c r="B24" s="10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101"/>
      <c r="AR24" s="10"/>
    </row>
    <row r="25" spans="1:44" ht="14.9" customHeight="1" x14ac:dyDescent="0.25">
      <c r="B25" s="10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101"/>
      <c r="AR25" s="10"/>
    </row>
    <row r="26" spans="1:44" ht="14.9" customHeight="1" x14ac:dyDescent="0.25">
      <c r="B26" s="10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101"/>
      <c r="AR26" s="10"/>
    </row>
    <row r="27" spans="1:44" ht="14.9" customHeight="1" x14ac:dyDescent="0.25">
      <c r="B27" s="10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101"/>
      <c r="AR27" s="10"/>
    </row>
    <row r="28" spans="1:44" ht="14.9" customHeight="1" x14ac:dyDescent="0.25">
      <c r="B28" s="10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101"/>
      <c r="AR28" s="10"/>
    </row>
    <row r="29" spans="1:44" ht="14.9" customHeight="1" x14ac:dyDescent="0.25">
      <c r="B29" s="10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101"/>
      <c r="AR29" s="10"/>
    </row>
    <row r="30" spans="1:44" ht="14.9" customHeight="1" x14ac:dyDescent="0.25">
      <c r="B30" s="10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101"/>
      <c r="AR30" s="10"/>
    </row>
    <row r="31" spans="1:44" ht="14.9" customHeight="1" x14ac:dyDescent="0.25">
      <c r="B31" s="10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101"/>
      <c r="AR31" s="10"/>
    </row>
    <row r="32" spans="1:44" ht="14.9" customHeight="1" x14ac:dyDescent="0.25">
      <c r="B32" s="10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101"/>
      <c r="AR32" s="10"/>
    </row>
    <row r="33" spans="2: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2: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2: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2: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2: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2: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2: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2: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2: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P41" s="28"/>
      <c r="AQ41" s="28"/>
      <c r="AR41" s="10"/>
    </row>
    <row r="42" spans="2: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P42" s="28"/>
      <c r="AQ42" s="29"/>
      <c r="AR42" s="10"/>
    </row>
    <row r="43" spans="2: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P43" s="28"/>
      <c r="AQ43" s="29"/>
      <c r="AR43" s="10"/>
    </row>
    <row r="44" spans="2:44"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P44" s="28"/>
      <c r="AQ44" s="29"/>
      <c r="AR44" s="10"/>
    </row>
    <row r="45" spans="2: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P45" s="28"/>
      <c r="AQ45" s="29"/>
      <c r="AR45" s="10"/>
    </row>
    <row r="46" spans="2: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2: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2: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49" ht="14.9" customHeight="1" x14ac:dyDescent="0.25">
      <c r="B49" s="100"/>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1"/>
      <c r="AR49" s="10"/>
    </row>
    <row r="50" spans="2:49" ht="14.9" customHeight="1" x14ac:dyDescent="0.25">
      <c r="B50" s="100"/>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101"/>
      <c r="AR50" s="10"/>
    </row>
    <row r="51" spans="2:49" s="10" customFormat="1" ht="36"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R51" s="7"/>
      <c r="AS51" s="7"/>
      <c r="AT51" s="7"/>
      <c r="AU51" s="7"/>
      <c r="AV51" s="7"/>
      <c r="AW51" s="7"/>
    </row>
    <row r="52" spans="2:49" s="10" customFormat="1" x14ac:dyDescent="0.25">
      <c r="AR52" s="7"/>
      <c r="AS52" s="7"/>
      <c r="AT52" s="7"/>
      <c r="AU52" s="7"/>
      <c r="AV52" s="7"/>
      <c r="AW52" s="7"/>
    </row>
    <row r="53" spans="2:49" s="10" customFormat="1" x14ac:dyDescent="0.25">
      <c r="AR53" s="7"/>
      <c r="AS53" s="7"/>
      <c r="AT53" s="7"/>
      <c r="AU53" s="7"/>
      <c r="AV53" s="7"/>
      <c r="AW53" s="7"/>
    </row>
    <row r="54" spans="2:49" s="10" customFormat="1" x14ac:dyDescent="0.25">
      <c r="AR54" s="7"/>
      <c r="AS54" s="7"/>
      <c r="AT54" s="7"/>
      <c r="AU54" s="7"/>
      <c r="AV54" s="7"/>
      <c r="AW54" s="7"/>
    </row>
    <row r="55" spans="2:49" s="10" customFormat="1" x14ac:dyDescent="0.25">
      <c r="AR55" s="7"/>
      <c r="AS55" s="7"/>
      <c r="AT55" s="7"/>
      <c r="AU55" s="7"/>
      <c r="AV55" s="7"/>
      <c r="AW55" s="7"/>
    </row>
    <row r="56" spans="2:49" s="10" customFormat="1" x14ac:dyDescent="0.25">
      <c r="AR56" s="7"/>
      <c r="AS56" s="7"/>
      <c r="AT56" s="7"/>
      <c r="AU56" s="7"/>
      <c r="AV56" s="7"/>
      <c r="AW56" s="7"/>
    </row>
    <row r="57" spans="2:49" s="10" customFormat="1" x14ac:dyDescent="0.25">
      <c r="AR57" s="7"/>
      <c r="AS57" s="7"/>
      <c r="AT57" s="7"/>
      <c r="AU57" s="7"/>
      <c r="AV57" s="7"/>
      <c r="AW57" s="7"/>
    </row>
    <row r="58" spans="2:49" s="10" customFormat="1" x14ac:dyDescent="0.25">
      <c r="AR58" s="7"/>
      <c r="AS58" s="7"/>
      <c r="AT58" s="7"/>
      <c r="AU58" s="7"/>
      <c r="AV58" s="7"/>
      <c r="AW58" s="7"/>
    </row>
    <row r="59" spans="2:49" s="10" customFormat="1" x14ac:dyDescent="0.25">
      <c r="AR59" s="7"/>
      <c r="AS59" s="7"/>
      <c r="AT59" s="7"/>
      <c r="AU59" s="7"/>
      <c r="AV59" s="7"/>
      <c r="AW59" s="7"/>
    </row>
    <row r="60" spans="2:49" s="10" customFormat="1" x14ac:dyDescent="0.25">
      <c r="AR60" s="7"/>
      <c r="AS60" s="7"/>
      <c r="AT60" s="7"/>
      <c r="AU60" s="7"/>
      <c r="AV60" s="7"/>
      <c r="AW60" s="7"/>
    </row>
    <row r="61" spans="2:49" s="10" customFormat="1" x14ac:dyDescent="0.25">
      <c r="AR61" s="7"/>
      <c r="AS61" s="7"/>
      <c r="AT61" s="7"/>
      <c r="AU61" s="7"/>
      <c r="AV61" s="7"/>
      <c r="AW61" s="7"/>
    </row>
    <row r="62" spans="2:49" s="10" customFormat="1" x14ac:dyDescent="0.25">
      <c r="AR62" s="7"/>
      <c r="AS62" s="7"/>
      <c r="AT62" s="7"/>
      <c r="AU62" s="7"/>
      <c r="AV62" s="7"/>
      <c r="AW62" s="7"/>
    </row>
    <row r="63" spans="2:49" s="10" customFormat="1" x14ac:dyDescent="0.25">
      <c r="AR63" s="7"/>
      <c r="AS63" s="7"/>
      <c r="AT63" s="7"/>
      <c r="AU63" s="7"/>
      <c r="AV63" s="7"/>
      <c r="AW63" s="7"/>
    </row>
    <row r="64" spans="2:49"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sheetData>
  <mergeCells count="47">
    <mergeCell ref="C10:D10"/>
    <mergeCell ref="B51:AN51"/>
    <mergeCell ref="T8:W8"/>
    <mergeCell ref="X8:AA8"/>
    <mergeCell ref="AB8:AC8"/>
    <mergeCell ref="AD8:AF8"/>
    <mergeCell ref="AG8:AJ8"/>
    <mergeCell ref="AK8:AN8"/>
    <mergeCell ref="B8:C8"/>
    <mergeCell ref="D8:F8"/>
    <mergeCell ref="G8:J8"/>
    <mergeCell ref="K8:N8"/>
    <mergeCell ref="O8:P8"/>
    <mergeCell ref="Q8:S8"/>
    <mergeCell ref="AK7:AN7"/>
    <mergeCell ref="B7:C7"/>
    <mergeCell ref="D7:F7"/>
    <mergeCell ref="G7:J7"/>
    <mergeCell ref="K7:N7"/>
    <mergeCell ref="O7:P7"/>
    <mergeCell ref="Q7:S7"/>
    <mergeCell ref="T7:W7"/>
    <mergeCell ref="X7:AA7"/>
    <mergeCell ref="AB7:AC7"/>
    <mergeCell ref="AD7:AF7"/>
    <mergeCell ref="AG7:AJ7"/>
    <mergeCell ref="AL6:AN6"/>
    <mergeCell ref="B4:G4"/>
    <mergeCell ref="I4:Z4"/>
    <mergeCell ref="AA4:AD4"/>
    <mergeCell ref="AE4:AN4"/>
    <mergeCell ref="B5:H5"/>
    <mergeCell ref="I5:AN5"/>
    <mergeCell ref="B6:I6"/>
    <mergeCell ref="J6:AC6"/>
    <mergeCell ref="AD6:AF6"/>
    <mergeCell ref="AG6:AI6"/>
    <mergeCell ref="AJ6:AK6"/>
    <mergeCell ref="B3:G3"/>
    <mergeCell ref="I3:Z3"/>
    <mergeCell ref="AA3:AD3"/>
    <mergeCell ref="AE3:AN3"/>
    <mergeCell ref="B1:AN1"/>
    <mergeCell ref="B2:G2"/>
    <mergeCell ref="I2:Z2"/>
    <mergeCell ref="AA2:AD2"/>
    <mergeCell ref="AE2:AN2"/>
  </mergeCells>
  <pageMargins left="0.78740157480314998" right="0.196850393700787" top="0.39370078740157499" bottom="0.62" header="0.196850393700787" footer="0.196850393700787"/>
  <pageSetup paperSize="9" scale="93" orientation="portrait" r:id="rId1"/>
  <headerFooter>
    <oddFooter>&amp;L&amp;"Calibri,Regular"&amp;11Copyright 2019, Worley
&amp;F&amp;R&amp;"Calibri,Regular"&amp;11Rev. 0, 01 December 2019</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pageSetUpPr fitToPage="1"/>
  </sheetPr>
  <dimension ref="A1:AX73"/>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10</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ToC!F21</f>
        <v>5.0</v>
      </c>
      <c r="D10" s="287"/>
      <c r="E10" s="108"/>
      <c r="F10" s="108" t="str">
        <f>ToC!H21</f>
        <v>Case Descriptions</v>
      </c>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25">
      <c r="B12" s="100"/>
      <c r="C12" s="289" t="s">
        <v>197</v>
      </c>
      <c r="D12" s="290"/>
      <c r="E12" s="290"/>
      <c r="F12" s="290"/>
      <c r="G12" s="290"/>
      <c r="H12" s="290"/>
      <c r="I12" s="290"/>
      <c r="J12" s="290"/>
      <c r="K12" s="290"/>
      <c r="L12" s="290"/>
      <c r="M12" s="290"/>
      <c r="N12" s="290"/>
      <c r="O12" s="290"/>
      <c r="P12" s="290"/>
      <c r="Q12" s="290"/>
      <c r="R12" s="290"/>
      <c r="S12" s="290"/>
      <c r="T12" s="290"/>
      <c r="U12" s="290"/>
      <c r="V12" s="290"/>
      <c r="W12" s="290"/>
      <c r="X12" s="290"/>
      <c r="Y12" s="290"/>
      <c r="Z12" s="290"/>
      <c r="AA12" s="290"/>
      <c r="AB12" s="290"/>
      <c r="AC12" s="290"/>
      <c r="AD12" s="290"/>
      <c r="AE12" s="290"/>
      <c r="AF12" s="290"/>
      <c r="AG12" s="290"/>
      <c r="AH12" s="290"/>
      <c r="AI12" s="290"/>
      <c r="AJ12" s="290"/>
      <c r="AK12" s="290"/>
      <c r="AL12" s="290"/>
      <c r="AM12" s="290"/>
      <c r="AN12" s="101"/>
      <c r="AR12" s="10"/>
    </row>
    <row r="13" spans="1:49" ht="14.9" customHeight="1" x14ac:dyDescent="0.25">
      <c r="B13" s="100"/>
      <c r="C13" s="290"/>
      <c r="D13" s="290"/>
      <c r="E13" s="290"/>
      <c r="F13" s="290"/>
      <c r="G13" s="290"/>
      <c r="H13" s="290"/>
      <c r="I13" s="290"/>
      <c r="J13" s="290"/>
      <c r="K13" s="290"/>
      <c r="L13" s="290"/>
      <c r="M13" s="290"/>
      <c r="N13" s="290"/>
      <c r="O13" s="290"/>
      <c r="P13" s="290"/>
      <c r="Q13" s="290"/>
      <c r="R13" s="290"/>
      <c r="S13" s="290"/>
      <c r="T13" s="290"/>
      <c r="U13" s="290"/>
      <c r="V13" s="290"/>
      <c r="W13" s="290"/>
      <c r="X13" s="290"/>
      <c r="Y13" s="290"/>
      <c r="Z13" s="290"/>
      <c r="AA13" s="290"/>
      <c r="AB13" s="290"/>
      <c r="AC13" s="290"/>
      <c r="AD13" s="290"/>
      <c r="AE13" s="290"/>
      <c r="AF13" s="290"/>
      <c r="AG13" s="290"/>
      <c r="AH13" s="290"/>
      <c r="AI13" s="290"/>
      <c r="AJ13" s="290"/>
      <c r="AK13" s="290"/>
      <c r="AL13" s="290"/>
      <c r="AM13" s="290"/>
      <c r="AN13" s="101"/>
      <c r="AR13" s="10"/>
    </row>
    <row r="14" spans="1:49" ht="14.9" customHeight="1" x14ac:dyDescent="0.25">
      <c r="B14" s="100"/>
      <c r="C14" s="290"/>
      <c r="D14" s="290"/>
      <c r="E14" s="290"/>
      <c r="F14" s="290"/>
      <c r="G14" s="290"/>
      <c r="H14" s="290"/>
      <c r="I14" s="290"/>
      <c r="J14" s="290"/>
      <c r="K14" s="290"/>
      <c r="L14" s="290"/>
      <c r="M14" s="290"/>
      <c r="N14" s="290"/>
      <c r="O14" s="290"/>
      <c r="P14" s="290"/>
      <c r="Q14" s="290"/>
      <c r="R14" s="290"/>
      <c r="S14" s="290"/>
      <c r="T14" s="290"/>
      <c r="U14" s="290"/>
      <c r="V14" s="290"/>
      <c r="W14" s="290"/>
      <c r="X14" s="290"/>
      <c r="Y14" s="290"/>
      <c r="Z14" s="290"/>
      <c r="AA14" s="290"/>
      <c r="AB14" s="290"/>
      <c r="AC14" s="290"/>
      <c r="AD14" s="290"/>
      <c r="AE14" s="290"/>
      <c r="AF14" s="290"/>
      <c r="AG14" s="290"/>
      <c r="AH14" s="290"/>
      <c r="AI14" s="290"/>
      <c r="AJ14" s="290"/>
      <c r="AK14" s="290"/>
      <c r="AL14" s="290"/>
      <c r="AM14" s="290"/>
      <c r="AN14" s="101"/>
      <c r="AR14" s="10"/>
    </row>
    <row r="15" spans="1:49" ht="14.9" customHeight="1" x14ac:dyDescent="0.25">
      <c r="B15" s="100"/>
      <c r="C15" s="290"/>
      <c r="D15" s="290"/>
      <c r="E15" s="290"/>
      <c r="F15" s="290"/>
      <c r="G15" s="290"/>
      <c r="H15" s="290"/>
      <c r="I15" s="290"/>
      <c r="J15" s="290"/>
      <c r="K15" s="290"/>
      <c r="L15" s="290"/>
      <c r="M15" s="290"/>
      <c r="N15" s="290"/>
      <c r="O15" s="290"/>
      <c r="P15" s="290"/>
      <c r="Q15" s="290"/>
      <c r="R15" s="290"/>
      <c r="S15" s="290"/>
      <c r="T15" s="290"/>
      <c r="U15" s="290"/>
      <c r="V15" s="290"/>
      <c r="W15" s="290"/>
      <c r="X15" s="290"/>
      <c r="Y15" s="290"/>
      <c r="Z15" s="290"/>
      <c r="AA15" s="290"/>
      <c r="AB15" s="290"/>
      <c r="AC15" s="290"/>
      <c r="AD15" s="290"/>
      <c r="AE15" s="290"/>
      <c r="AF15" s="290"/>
      <c r="AG15" s="290"/>
      <c r="AH15" s="290"/>
      <c r="AI15" s="290"/>
      <c r="AJ15" s="290"/>
      <c r="AK15" s="290"/>
      <c r="AL15" s="290"/>
      <c r="AM15" s="290"/>
      <c r="AN15" s="101"/>
      <c r="AR15" s="10"/>
    </row>
    <row r="16" spans="1:49" ht="14.9" customHeight="1" x14ac:dyDescent="0.25">
      <c r="B16" s="100"/>
      <c r="C16" s="290"/>
      <c r="D16" s="290"/>
      <c r="E16" s="290"/>
      <c r="F16" s="290"/>
      <c r="G16" s="290"/>
      <c r="H16" s="290"/>
      <c r="I16" s="290"/>
      <c r="J16" s="290"/>
      <c r="K16" s="290"/>
      <c r="L16" s="290"/>
      <c r="M16" s="290"/>
      <c r="N16" s="290"/>
      <c r="O16" s="290"/>
      <c r="P16" s="290"/>
      <c r="Q16" s="290"/>
      <c r="R16" s="290"/>
      <c r="S16" s="290"/>
      <c r="T16" s="290"/>
      <c r="U16" s="290"/>
      <c r="V16" s="290"/>
      <c r="W16" s="290"/>
      <c r="X16" s="290"/>
      <c r="Y16" s="290"/>
      <c r="Z16" s="290"/>
      <c r="AA16" s="290"/>
      <c r="AB16" s="290"/>
      <c r="AC16" s="290"/>
      <c r="AD16" s="290"/>
      <c r="AE16" s="290"/>
      <c r="AF16" s="290"/>
      <c r="AG16" s="290"/>
      <c r="AH16" s="290"/>
      <c r="AI16" s="290"/>
      <c r="AJ16" s="290"/>
      <c r="AK16" s="290"/>
      <c r="AL16" s="290"/>
      <c r="AM16" s="290"/>
      <c r="AN16" s="101"/>
      <c r="AR16" s="10"/>
    </row>
    <row r="17" spans="1:44" ht="14.9" customHeight="1" x14ac:dyDescent="0.25">
      <c r="B17" s="100"/>
      <c r="C17" s="290"/>
      <c r="D17" s="290"/>
      <c r="E17" s="290"/>
      <c r="F17" s="290"/>
      <c r="G17" s="290"/>
      <c r="H17" s="290"/>
      <c r="I17" s="290"/>
      <c r="J17" s="290"/>
      <c r="K17" s="290"/>
      <c r="L17" s="290"/>
      <c r="M17" s="290"/>
      <c r="N17" s="290"/>
      <c r="O17" s="290"/>
      <c r="P17" s="290"/>
      <c r="Q17" s="290"/>
      <c r="R17" s="290"/>
      <c r="S17" s="290"/>
      <c r="T17" s="290"/>
      <c r="U17" s="290"/>
      <c r="V17" s="290"/>
      <c r="W17" s="290"/>
      <c r="X17" s="290"/>
      <c r="Y17" s="290"/>
      <c r="Z17" s="290"/>
      <c r="AA17" s="290"/>
      <c r="AB17" s="290"/>
      <c r="AC17" s="290"/>
      <c r="AD17" s="290"/>
      <c r="AE17" s="290"/>
      <c r="AF17" s="290"/>
      <c r="AG17" s="290"/>
      <c r="AH17" s="290"/>
      <c r="AI17" s="290"/>
      <c r="AJ17" s="290"/>
      <c r="AK17" s="290"/>
      <c r="AL17" s="290"/>
      <c r="AM17" s="290"/>
      <c r="AN17" s="101"/>
      <c r="AR17" s="10"/>
    </row>
    <row r="18" spans="1:44" ht="14.9" customHeight="1" x14ac:dyDescent="0.25">
      <c r="B18" s="100"/>
      <c r="C18" s="290"/>
      <c r="D18" s="290"/>
      <c r="E18" s="290"/>
      <c r="F18" s="290"/>
      <c r="G18" s="290"/>
      <c r="H18" s="290"/>
      <c r="I18" s="290"/>
      <c r="J18" s="290"/>
      <c r="K18" s="290"/>
      <c r="L18" s="290"/>
      <c r="M18" s="290"/>
      <c r="N18" s="290"/>
      <c r="O18" s="290"/>
      <c r="P18" s="290"/>
      <c r="Q18" s="290"/>
      <c r="R18" s="290"/>
      <c r="S18" s="290"/>
      <c r="T18" s="290"/>
      <c r="U18" s="290"/>
      <c r="V18" s="290"/>
      <c r="W18" s="290"/>
      <c r="X18" s="290"/>
      <c r="Y18" s="290"/>
      <c r="Z18" s="290"/>
      <c r="AA18" s="290"/>
      <c r="AB18" s="290"/>
      <c r="AC18" s="290"/>
      <c r="AD18" s="290"/>
      <c r="AE18" s="290"/>
      <c r="AF18" s="290"/>
      <c r="AG18" s="290"/>
      <c r="AH18" s="290"/>
      <c r="AI18" s="290"/>
      <c r="AJ18" s="290"/>
      <c r="AK18" s="290"/>
      <c r="AL18" s="290"/>
      <c r="AM18" s="290"/>
      <c r="AN18" s="101"/>
      <c r="AR18" s="10"/>
    </row>
    <row r="19" spans="1:44" ht="14.9" customHeight="1" x14ac:dyDescent="0.25">
      <c r="B19" s="100"/>
      <c r="C19" s="290"/>
      <c r="D19" s="290"/>
      <c r="E19" s="290"/>
      <c r="F19" s="290"/>
      <c r="G19" s="290"/>
      <c r="H19" s="290"/>
      <c r="I19" s="290"/>
      <c r="J19" s="290"/>
      <c r="K19" s="290"/>
      <c r="L19" s="290"/>
      <c r="M19" s="290"/>
      <c r="N19" s="290"/>
      <c r="O19" s="290"/>
      <c r="P19" s="290"/>
      <c r="Q19" s="290"/>
      <c r="R19" s="290"/>
      <c r="S19" s="290"/>
      <c r="T19" s="290"/>
      <c r="U19" s="290"/>
      <c r="V19" s="290"/>
      <c r="W19" s="290"/>
      <c r="X19" s="290"/>
      <c r="Y19" s="290"/>
      <c r="Z19" s="290"/>
      <c r="AA19" s="290"/>
      <c r="AB19" s="290"/>
      <c r="AC19" s="290"/>
      <c r="AD19" s="290"/>
      <c r="AE19" s="290"/>
      <c r="AF19" s="290"/>
      <c r="AG19" s="290"/>
      <c r="AH19" s="290"/>
      <c r="AI19" s="290"/>
      <c r="AJ19" s="290"/>
      <c r="AK19" s="290"/>
      <c r="AL19" s="290"/>
      <c r="AM19" s="290"/>
      <c r="AN19" s="101"/>
      <c r="AR19" s="10"/>
    </row>
    <row r="20" spans="1:44" ht="14.9" customHeight="1" x14ac:dyDescent="0.25">
      <c r="B20" s="100"/>
      <c r="C20" s="290"/>
      <c r="D20" s="290"/>
      <c r="E20" s="290"/>
      <c r="F20" s="290"/>
      <c r="G20" s="290"/>
      <c r="H20" s="290"/>
      <c r="I20" s="290"/>
      <c r="J20" s="290"/>
      <c r="K20" s="290"/>
      <c r="L20" s="290"/>
      <c r="M20" s="290"/>
      <c r="N20" s="290"/>
      <c r="O20" s="290"/>
      <c r="P20" s="290"/>
      <c r="Q20" s="290"/>
      <c r="R20" s="290"/>
      <c r="S20" s="290"/>
      <c r="T20" s="290"/>
      <c r="U20" s="290"/>
      <c r="V20" s="290"/>
      <c r="W20" s="290"/>
      <c r="X20" s="290"/>
      <c r="Y20" s="290"/>
      <c r="Z20" s="290"/>
      <c r="AA20" s="290"/>
      <c r="AB20" s="290"/>
      <c r="AC20" s="290"/>
      <c r="AD20" s="290"/>
      <c r="AE20" s="290"/>
      <c r="AF20" s="290"/>
      <c r="AG20" s="290"/>
      <c r="AH20" s="290"/>
      <c r="AI20" s="290"/>
      <c r="AJ20" s="290"/>
      <c r="AK20" s="290"/>
      <c r="AL20" s="290"/>
      <c r="AM20" s="290"/>
      <c r="AN20" s="101"/>
      <c r="AR20" s="10"/>
    </row>
    <row r="21" spans="1:44" ht="14.9" customHeight="1" x14ac:dyDescent="0.25">
      <c r="A21" s="70"/>
      <c r="B21" s="100"/>
      <c r="C21" s="290"/>
      <c r="D21" s="290"/>
      <c r="E21" s="290"/>
      <c r="F21" s="290"/>
      <c r="G21" s="290"/>
      <c r="H21" s="290"/>
      <c r="I21" s="290"/>
      <c r="J21" s="290"/>
      <c r="K21" s="290"/>
      <c r="L21" s="290"/>
      <c r="M21" s="290"/>
      <c r="N21" s="290"/>
      <c r="O21" s="290"/>
      <c r="P21" s="290"/>
      <c r="Q21" s="290"/>
      <c r="R21" s="290"/>
      <c r="S21" s="290"/>
      <c r="T21" s="290"/>
      <c r="U21" s="290"/>
      <c r="V21" s="290"/>
      <c r="W21" s="290"/>
      <c r="X21" s="290"/>
      <c r="Y21" s="290"/>
      <c r="Z21" s="290"/>
      <c r="AA21" s="290"/>
      <c r="AB21" s="290"/>
      <c r="AC21" s="290"/>
      <c r="AD21" s="290"/>
      <c r="AE21" s="290"/>
      <c r="AF21" s="290"/>
      <c r="AG21" s="290"/>
      <c r="AH21" s="290"/>
      <c r="AI21" s="290"/>
      <c r="AJ21" s="290"/>
      <c r="AK21" s="290"/>
      <c r="AL21" s="290"/>
      <c r="AM21" s="290"/>
      <c r="AN21" s="101"/>
      <c r="AR21" s="10"/>
    </row>
    <row r="22" spans="1:44" ht="14.9" customHeight="1" x14ac:dyDescent="0.25">
      <c r="B22" s="100"/>
      <c r="C22" s="290"/>
      <c r="D22" s="290"/>
      <c r="E22" s="290"/>
      <c r="F22" s="290"/>
      <c r="G22" s="290"/>
      <c r="H22" s="290"/>
      <c r="I22" s="290"/>
      <c r="J22" s="290"/>
      <c r="K22" s="290"/>
      <c r="L22" s="290"/>
      <c r="M22" s="290"/>
      <c r="N22" s="290"/>
      <c r="O22" s="290"/>
      <c r="P22" s="290"/>
      <c r="Q22" s="290"/>
      <c r="R22" s="290"/>
      <c r="S22" s="290"/>
      <c r="T22" s="290"/>
      <c r="U22" s="290"/>
      <c r="V22" s="290"/>
      <c r="W22" s="290"/>
      <c r="X22" s="290"/>
      <c r="Y22" s="290"/>
      <c r="Z22" s="290"/>
      <c r="AA22" s="290"/>
      <c r="AB22" s="290"/>
      <c r="AC22" s="290"/>
      <c r="AD22" s="290"/>
      <c r="AE22" s="290"/>
      <c r="AF22" s="290"/>
      <c r="AG22" s="290"/>
      <c r="AH22" s="290"/>
      <c r="AI22" s="290"/>
      <c r="AJ22" s="290"/>
      <c r="AK22" s="290"/>
      <c r="AL22" s="290"/>
      <c r="AM22" s="290"/>
      <c r="AN22" s="101"/>
      <c r="AR22" s="10"/>
    </row>
    <row r="23" spans="1:44" ht="14.9" customHeight="1" x14ac:dyDescent="0.25">
      <c r="B23" s="100"/>
      <c r="C23" s="290"/>
      <c r="D23" s="290"/>
      <c r="E23" s="290"/>
      <c r="F23" s="290"/>
      <c r="G23" s="290"/>
      <c r="H23" s="290"/>
      <c r="I23" s="290"/>
      <c r="J23" s="290"/>
      <c r="K23" s="290"/>
      <c r="L23" s="290"/>
      <c r="M23" s="290"/>
      <c r="N23" s="290"/>
      <c r="O23" s="290"/>
      <c r="P23" s="290"/>
      <c r="Q23" s="290"/>
      <c r="R23" s="290"/>
      <c r="S23" s="290"/>
      <c r="T23" s="290"/>
      <c r="U23" s="290"/>
      <c r="V23" s="290"/>
      <c r="W23" s="290"/>
      <c r="X23" s="290"/>
      <c r="Y23" s="290"/>
      <c r="Z23" s="290"/>
      <c r="AA23" s="290"/>
      <c r="AB23" s="290"/>
      <c r="AC23" s="290"/>
      <c r="AD23" s="290"/>
      <c r="AE23" s="290"/>
      <c r="AF23" s="290"/>
      <c r="AG23" s="290"/>
      <c r="AH23" s="290"/>
      <c r="AI23" s="290"/>
      <c r="AJ23" s="290"/>
      <c r="AK23" s="290"/>
      <c r="AL23" s="290"/>
      <c r="AM23" s="290"/>
      <c r="AN23" s="101"/>
      <c r="AR23" s="10"/>
    </row>
    <row r="24" spans="1:44" ht="14.9" customHeight="1" x14ac:dyDescent="0.25">
      <c r="B24" s="100"/>
      <c r="C24" s="290"/>
      <c r="D24" s="290"/>
      <c r="E24" s="290"/>
      <c r="F24" s="290"/>
      <c r="G24" s="290"/>
      <c r="H24" s="290"/>
      <c r="I24" s="290"/>
      <c r="J24" s="290"/>
      <c r="K24" s="290"/>
      <c r="L24" s="290"/>
      <c r="M24" s="290"/>
      <c r="N24" s="290"/>
      <c r="O24" s="290"/>
      <c r="P24" s="290"/>
      <c r="Q24" s="290"/>
      <c r="R24" s="290"/>
      <c r="S24" s="290"/>
      <c r="T24" s="290"/>
      <c r="U24" s="290"/>
      <c r="V24" s="290"/>
      <c r="W24" s="290"/>
      <c r="X24" s="290"/>
      <c r="Y24" s="290"/>
      <c r="Z24" s="290"/>
      <c r="AA24" s="290"/>
      <c r="AB24" s="290"/>
      <c r="AC24" s="290"/>
      <c r="AD24" s="290"/>
      <c r="AE24" s="290"/>
      <c r="AF24" s="290"/>
      <c r="AG24" s="290"/>
      <c r="AH24" s="290"/>
      <c r="AI24" s="290"/>
      <c r="AJ24" s="290"/>
      <c r="AK24" s="290"/>
      <c r="AL24" s="290"/>
      <c r="AM24" s="290"/>
      <c r="AN24" s="101"/>
      <c r="AR24" s="10"/>
    </row>
    <row r="25" spans="1:44" ht="14.9" customHeight="1" x14ac:dyDescent="0.25">
      <c r="B25" s="100"/>
      <c r="C25" s="290"/>
      <c r="D25" s="290"/>
      <c r="E25" s="290"/>
      <c r="F25" s="290"/>
      <c r="G25" s="290"/>
      <c r="H25" s="290"/>
      <c r="I25" s="290"/>
      <c r="J25" s="290"/>
      <c r="K25" s="290"/>
      <c r="L25" s="290"/>
      <c r="M25" s="290"/>
      <c r="N25" s="290"/>
      <c r="O25" s="290"/>
      <c r="P25" s="290"/>
      <c r="Q25" s="290"/>
      <c r="R25" s="290"/>
      <c r="S25" s="290"/>
      <c r="T25" s="290"/>
      <c r="U25" s="290"/>
      <c r="V25" s="290"/>
      <c r="W25" s="290"/>
      <c r="X25" s="290"/>
      <c r="Y25" s="290"/>
      <c r="Z25" s="290"/>
      <c r="AA25" s="290"/>
      <c r="AB25" s="290"/>
      <c r="AC25" s="290"/>
      <c r="AD25" s="290"/>
      <c r="AE25" s="290"/>
      <c r="AF25" s="290"/>
      <c r="AG25" s="290"/>
      <c r="AH25" s="290"/>
      <c r="AI25" s="290"/>
      <c r="AJ25" s="290"/>
      <c r="AK25" s="290"/>
      <c r="AL25" s="290"/>
      <c r="AM25" s="290"/>
      <c r="AN25" s="101"/>
      <c r="AR25" s="10"/>
    </row>
    <row r="26" spans="1:44" ht="14.9" customHeight="1" x14ac:dyDescent="0.25">
      <c r="B26" s="100"/>
      <c r="C26" s="290"/>
      <c r="D26" s="290"/>
      <c r="E26" s="290"/>
      <c r="F26" s="290"/>
      <c r="G26" s="290"/>
      <c r="H26" s="290"/>
      <c r="I26" s="290"/>
      <c r="J26" s="290"/>
      <c r="K26" s="290"/>
      <c r="L26" s="290"/>
      <c r="M26" s="290"/>
      <c r="N26" s="290"/>
      <c r="O26" s="290"/>
      <c r="P26" s="290"/>
      <c r="Q26" s="290"/>
      <c r="R26" s="290"/>
      <c r="S26" s="290"/>
      <c r="T26" s="290"/>
      <c r="U26" s="290"/>
      <c r="V26" s="290"/>
      <c r="W26" s="290"/>
      <c r="X26" s="290"/>
      <c r="Y26" s="290"/>
      <c r="Z26" s="290"/>
      <c r="AA26" s="290"/>
      <c r="AB26" s="290"/>
      <c r="AC26" s="290"/>
      <c r="AD26" s="290"/>
      <c r="AE26" s="290"/>
      <c r="AF26" s="290"/>
      <c r="AG26" s="290"/>
      <c r="AH26" s="290"/>
      <c r="AI26" s="290"/>
      <c r="AJ26" s="290"/>
      <c r="AK26" s="290"/>
      <c r="AL26" s="290"/>
      <c r="AM26" s="290"/>
      <c r="AN26" s="101"/>
      <c r="AR26" s="10"/>
    </row>
    <row r="27" spans="1:44" ht="14.9" customHeight="1" x14ac:dyDescent="0.25">
      <c r="B27" s="100"/>
      <c r="C27" s="290"/>
      <c r="D27" s="290"/>
      <c r="E27" s="290"/>
      <c r="F27" s="290"/>
      <c r="G27" s="290"/>
      <c r="H27" s="290"/>
      <c r="I27" s="290"/>
      <c r="J27" s="290"/>
      <c r="K27" s="290"/>
      <c r="L27" s="290"/>
      <c r="M27" s="290"/>
      <c r="N27" s="290"/>
      <c r="O27" s="290"/>
      <c r="P27" s="290"/>
      <c r="Q27" s="290"/>
      <c r="R27" s="290"/>
      <c r="S27" s="290"/>
      <c r="T27" s="290"/>
      <c r="U27" s="290"/>
      <c r="V27" s="290"/>
      <c r="W27" s="290"/>
      <c r="X27" s="290"/>
      <c r="Y27" s="290"/>
      <c r="Z27" s="290"/>
      <c r="AA27" s="290"/>
      <c r="AB27" s="290"/>
      <c r="AC27" s="290"/>
      <c r="AD27" s="290"/>
      <c r="AE27" s="290"/>
      <c r="AF27" s="290"/>
      <c r="AG27" s="290"/>
      <c r="AH27" s="290"/>
      <c r="AI27" s="290"/>
      <c r="AJ27" s="290"/>
      <c r="AK27" s="290"/>
      <c r="AL27" s="290"/>
      <c r="AM27" s="290"/>
      <c r="AN27" s="101"/>
      <c r="AR27" s="10"/>
    </row>
    <row r="28" spans="1:44" ht="14.9" customHeight="1" x14ac:dyDescent="0.25">
      <c r="B28" s="100"/>
      <c r="C28" s="290"/>
      <c r="D28" s="290"/>
      <c r="E28" s="290"/>
      <c r="F28" s="290"/>
      <c r="G28" s="290"/>
      <c r="H28" s="290"/>
      <c r="I28" s="290"/>
      <c r="J28" s="290"/>
      <c r="K28" s="290"/>
      <c r="L28" s="290"/>
      <c r="M28" s="290"/>
      <c r="N28" s="290"/>
      <c r="O28" s="290"/>
      <c r="P28" s="290"/>
      <c r="Q28" s="290"/>
      <c r="R28" s="290"/>
      <c r="S28" s="290"/>
      <c r="T28" s="290"/>
      <c r="U28" s="290"/>
      <c r="V28" s="290"/>
      <c r="W28" s="290"/>
      <c r="X28" s="290"/>
      <c r="Y28" s="290"/>
      <c r="Z28" s="290"/>
      <c r="AA28" s="290"/>
      <c r="AB28" s="290"/>
      <c r="AC28" s="290"/>
      <c r="AD28" s="290"/>
      <c r="AE28" s="290"/>
      <c r="AF28" s="290"/>
      <c r="AG28" s="290"/>
      <c r="AH28" s="290"/>
      <c r="AI28" s="290"/>
      <c r="AJ28" s="290"/>
      <c r="AK28" s="290"/>
      <c r="AL28" s="290"/>
      <c r="AM28" s="290"/>
      <c r="AN28" s="101"/>
      <c r="AR28" s="10"/>
    </row>
    <row r="29" spans="1:44" ht="14.9" customHeight="1" x14ac:dyDescent="0.25">
      <c r="B29" s="100"/>
      <c r="C29" s="290"/>
      <c r="D29" s="290"/>
      <c r="E29" s="290"/>
      <c r="F29" s="290"/>
      <c r="G29" s="290"/>
      <c r="H29" s="290"/>
      <c r="I29" s="290"/>
      <c r="J29" s="290"/>
      <c r="K29" s="290"/>
      <c r="L29" s="290"/>
      <c r="M29" s="290"/>
      <c r="N29" s="290"/>
      <c r="O29" s="290"/>
      <c r="P29" s="290"/>
      <c r="Q29" s="290"/>
      <c r="R29" s="290"/>
      <c r="S29" s="290"/>
      <c r="T29" s="290"/>
      <c r="U29" s="290"/>
      <c r="V29" s="290"/>
      <c r="W29" s="290"/>
      <c r="X29" s="290"/>
      <c r="Y29" s="290"/>
      <c r="Z29" s="290"/>
      <c r="AA29" s="290"/>
      <c r="AB29" s="290"/>
      <c r="AC29" s="290"/>
      <c r="AD29" s="290"/>
      <c r="AE29" s="290"/>
      <c r="AF29" s="290"/>
      <c r="AG29" s="290"/>
      <c r="AH29" s="290"/>
      <c r="AI29" s="290"/>
      <c r="AJ29" s="290"/>
      <c r="AK29" s="290"/>
      <c r="AL29" s="290"/>
      <c r="AM29" s="290"/>
      <c r="AN29" s="101"/>
      <c r="AR29" s="10"/>
    </row>
    <row r="30" spans="1:44" ht="14.9" customHeight="1" x14ac:dyDescent="0.25">
      <c r="B30" s="100"/>
      <c r="C30" s="290"/>
      <c r="D30" s="290"/>
      <c r="E30" s="290"/>
      <c r="F30" s="290"/>
      <c r="G30" s="290"/>
      <c r="H30" s="290"/>
      <c r="I30" s="290"/>
      <c r="J30" s="290"/>
      <c r="K30" s="290"/>
      <c r="L30" s="290"/>
      <c r="M30" s="290"/>
      <c r="N30" s="290"/>
      <c r="O30" s="290"/>
      <c r="P30" s="290"/>
      <c r="Q30" s="290"/>
      <c r="R30" s="290"/>
      <c r="S30" s="290"/>
      <c r="T30" s="290"/>
      <c r="U30" s="290"/>
      <c r="V30" s="290"/>
      <c r="W30" s="290"/>
      <c r="X30" s="290"/>
      <c r="Y30" s="290"/>
      <c r="Z30" s="290"/>
      <c r="AA30" s="290"/>
      <c r="AB30" s="290"/>
      <c r="AC30" s="290"/>
      <c r="AD30" s="290"/>
      <c r="AE30" s="290"/>
      <c r="AF30" s="290"/>
      <c r="AG30" s="290"/>
      <c r="AH30" s="290"/>
      <c r="AI30" s="290"/>
      <c r="AJ30" s="290"/>
      <c r="AK30" s="290"/>
      <c r="AL30" s="290"/>
      <c r="AM30" s="290"/>
      <c r="AN30" s="101"/>
      <c r="AR30" s="10"/>
    </row>
    <row r="31" spans="1:44" ht="14.9" customHeight="1" x14ac:dyDescent="0.25">
      <c r="B31" s="100"/>
      <c r="C31" s="290"/>
      <c r="D31" s="290"/>
      <c r="E31" s="290"/>
      <c r="F31" s="290"/>
      <c r="G31" s="290"/>
      <c r="H31" s="290"/>
      <c r="I31" s="290"/>
      <c r="J31" s="290"/>
      <c r="K31" s="290"/>
      <c r="L31" s="290"/>
      <c r="M31" s="290"/>
      <c r="N31" s="290"/>
      <c r="O31" s="290"/>
      <c r="P31" s="290"/>
      <c r="Q31" s="290"/>
      <c r="R31" s="290"/>
      <c r="S31" s="290"/>
      <c r="T31" s="290"/>
      <c r="U31" s="290"/>
      <c r="V31" s="290"/>
      <c r="W31" s="290"/>
      <c r="X31" s="290"/>
      <c r="Y31" s="290"/>
      <c r="Z31" s="290"/>
      <c r="AA31" s="290"/>
      <c r="AB31" s="290"/>
      <c r="AC31" s="290"/>
      <c r="AD31" s="290"/>
      <c r="AE31" s="290"/>
      <c r="AF31" s="290"/>
      <c r="AG31" s="290"/>
      <c r="AH31" s="290"/>
      <c r="AI31" s="290"/>
      <c r="AJ31" s="290"/>
      <c r="AK31" s="290"/>
      <c r="AL31" s="290"/>
      <c r="AM31" s="290"/>
      <c r="AN31" s="101"/>
      <c r="AR31" s="10"/>
    </row>
    <row r="32" spans="1:44" ht="14.9" customHeight="1" x14ac:dyDescent="0.25">
      <c r="B32" s="100"/>
      <c r="C32" s="290"/>
      <c r="D32" s="290"/>
      <c r="E32" s="290"/>
      <c r="F32" s="290"/>
      <c r="G32" s="290"/>
      <c r="H32" s="290"/>
      <c r="I32" s="290"/>
      <c r="J32" s="290"/>
      <c r="K32" s="290"/>
      <c r="L32" s="290"/>
      <c r="M32" s="290"/>
      <c r="N32" s="290"/>
      <c r="O32" s="290"/>
      <c r="P32" s="290"/>
      <c r="Q32" s="290"/>
      <c r="R32" s="290"/>
      <c r="S32" s="290"/>
      <c r="T32" s="290"/>
      <c r="U32" s="290"/>
      <c r="V32" s="290"/>
      <c r="W32" s="290"/>
      <c r="X32" s="290"/>
      <c r="Y32" s="290"/>
      <c r="Z32" s="290"/>
      <c r="AA32" s="290"/>
      <c r="AB32" s="290"/>
      <c r="AC32" s="290"/>
      <c r="AD32" s="290"/>
      <c r="AE32" s="290"/>
      <c r="AF32" s="290"/>
      <c r="AG32" s="290"/>
      <c r="AH32" s="290"/>
      <c r="AI32" s="290"/>
      <c r="AJ32" s="290"/>
      <c r="AK32" s="290"/>
      <c r="AL32" s="290"/>
      <c r="AM32" s="290"/>
      <c r="AN32" s="101"/>
      <c r="AR32" s="10"/>
    </row>
    <row r="33" spans="2:44" ht="14.9" customHeight="1" x14ac:dyDescent="0.25">
      <c r="B33" s="100"/>
      <c r="C33" s="290"/>
      <c r="D33" s="290"/>
      <c r="E33" s="290"/>
      <c r="F33" s="290"/>
      <c r="G33" s="290"/>
      <c r="H33" s="290"/>
      <c r="I33" s="290"/>
      <c r="J33" s="290"/>
      <c r="K33" s="290"/>
      <c r="L33" s="290"/>
      <c r="M33" s="290"/>
      <c r="N33" s="290"/>
      <c r="O33" s="290"/>
      <c r="P33" s="290"/>
      <c r="Q33" s="290"/>
      <c r="R33" s="290"/>
      <c r="S33" s="290"/>
      <c r="T33" s="290"/>
      <c r="U33" s="290"/>
      <c r="V33" s="290"/>
      <c r="W33" s="290"/>
      <c r="X33" s="290"/>
      <c r="Y33" s="290"/>
      <c r="Z33" s="290"/>
      <c r="AA33" s="290"/>
      <c r="AB33" s="290"/>
      <c r="AC33" s="290"/>
      <c r="AD33" s="290"/>
      <c r="AE33" s="290"/>
      <c r="AF33" s="290"/>
      <c r="AG33" s="290"/>
      <c r="AH33" s="290"/>
      <c r="AI33" s="290"/>
      <c r="AJ33" s="290"/>
      <c r="AK33" s="290"/>
      <c r="AL33" s="290"/>
      <c r="AM33" s="290"/>
      <c r="AN33" s="101"/>
      <c r="AR33" s="10"/>
    </row>
    <row r="34" spans="2:44" ht="14.9" customHeight="1" x14ac:dyDescent="0.25">
      <c r="B34" s="100"/>
      <c r="C34" s="290"/>
      <c r="D34" s="290"/>
      <c r="E34" s="290"/>
      <c r="F34" s="290"/>
      <c r="G34" s="290"/>
      <c r="H34" s="290"/>
      <c r="I34" s="290"/>
      <c r="J34" s="290"/>
      <c r="K34" s="290"/>
      <c r="L34" s="290"/>
      <c r="M34" s="290"/>
      <c r="N34" s="290"/>
      <c r="O34" s="290"/>
      <c r="P34" s="290"/>
      <c r="Q34" s="290"/>
      <c r="R34" s="290"/>
      <c r="S34" s="290"/>
      <c r="T34" s="290"/>
      <c r="U34" s="290"/>
      <c r="V34" s="290"/>
      <c r="W34" s="290"/>
      <c r="X34" s="290"/>
      <c r="Y34" s="290"/>
      <c r="Z34" s="290"/>
      <c r="AA34" s="290"/>
      <c r="AB34" s="290"/>
      <c r="AC34" s="290"/>
      <c r="AD34" s="290"/>
      <c r="AE34" s="290"/>
      <c r="AF34" s="290"/>
      <c r="AG34" s="290"/>
      <c r="AH34" s="290"/>
      <c r="AI34" s="290"/>
      <c r="AJ34" s="290"/>
      <c r="AK34" s="290"/>
      <c r="AL34" s="290"/>
      <c r="AM34" s="290"/>
      <c r="AN34" s="101"/>
      <c r="AR34" s="10"/>
    </row>
    <row r="35" spans="2:44" ht="14.9" customHeight="1" x14ac:dyDescent="0.25">
      <c r="B35" s="100"/>
      <c r="C35" s="290"/>
      <c r="D35" s="290"/>
      <c r="E35" s="290"/>
      <c r="F35" s="290"/>
      <c r="G35" s="290"/>
      <c r="H35" s="290"/>
      <c r="I35" s="290"/>
      <c r="J35" s="290"/>
      <c r="K35" s="290"/>
      <c r="L35" s="290"/>
      <c r="M35" s="290"/>
      <c r="N35" s="290"/>
      <c r="O35" s="290"/>
      <c r="P35" s="290"/>
      <c r="Q35" s="290"/>
      <c r="R35" s="290"/>
      <c r="S35" s="290"/>
      <c r="T35" s="290"/>
      <c r="U35" s="290"/>
      <c r="V35" s="290"/>
      <c r="W35" s="290"/>
      <c r="X35" s="290"/>
      <c r="Y35" s="290"/>
      <c r="Z35" s="290"/>
      <c r="AA35" s="290"/>
      <c r="AB35" s="290"/>
      <c r="AC35" s="290"/>
      <c r="AD35" s="290"/>
      <c r="AE35" s="290"/>
      <c r="AF35" s="290"/>
      <c r="AG35" s="290"/>
      <c r="AH35" s="290"/>
      <c r="AI35" s="290"/>
      <c r="AJ35" s="290"/>
      <c r="AK35" s="290"/>
      <c r="AL35" s="290"/>
      <c r="AM35" s="290"/>
      <c r="AN35" s="101"/>
      <c r="AR35" s="10"/>
    </row>
    <row r="36" spans="2:44" ht="14.9" customHeight="1" x14ac:dyDescent="0.25">
      <c r="B36" s="100"/>
      <c r="C36" s="290"/>
      <c r="D36" s="290"/>
      <c r="E36" s="290"/>
      <c r="F36" s="290"/>
      <c r="G36" s="290"/>
      <c r="H36" s="290"/>
      <c r="I36" s="290"/>
      <c r="J36" s="290"/>
      <c r="K36" s="290"/>
      <c r="L36" s="290"/>
      <c r="M36" s="290"/>
      <c r="N36" s="290"/>
      <c r="O36" s="290"/>
      <c r="P36" s="290"/>
      <c r="Q36" s="290"/>
      <c r="R36" s="290"/>
      <c r="S36" s="290"/>
      <c r="T36" s="290"/>
      <c r="U36" s="290"/>
      <c r="V36" s="290"/>
      <c r="W36" s="290"/>
      <c r="X36" s="290"/>
      <c r="Y36" s="290"/>
      <c r="Z36" s="290"/>
      <c r="AA36" s="290"/>
      <c r="AB36" s="290"/>
      <c r="AC36" s="290"/>
      <c r="AD36" s="290"/>
      <c r="AE36" s="290"/>
      <c r="AF36" s="290"/>
      <c r="AG36" s="290"/>
      <c r="AH36" s="290"/>
      <c r="AI36" s="290"/>
      <c r="AJ36" s="290"/>
      <c r="AK36" s="290"/>
      <c r="AL36" s="290"/>
      <c r="AM36" s="290"/>
      <c r="AN36" s="101"/>
      <c r="AR36" s="10"/>
    </row>
    <row r="37" spans="2:44" ht="14.9" customHeight="1" x14ac:dyDescent="0.25">
      <c r="B37" s="100"/>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0"/>
      <c r="AA37" s="290"/>
      <c r="AB37" s="290"/>
      <c r="AC37" s="290"/>
      <c r="AD37" s="290"/>
      <c r="AE37" s="290"/>
      <c r="AF37" s="290"/>
      <c r="AG37" s="290"/>
      <c r="AH37" s="290"/>
      <c r="AI37" s="290"/>
      <c r="AJ37" s="290"/>
      <c r="AK37" s="290"/>
      <c r="AL37" s="290"/>
      <c r="AM37" s="290"/>
      <c r="AN37" s="101"/>
      <c r="AR37" s="10"/>
    </row>
    <row r="38" spans="2:44" ht="14.9" customHeight="1" x14ac:dyDescent="0.25">
      <c r="B38" s="100"/>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0"/>
      <c r="AA38" s="290"/>
      <c r="AB38" s="290"/>
      <c r="AC38" s="290"/>
      <c r="AD38" s="290"/>
      <c r="AE38" s="290"/>
      <c r="AF38" s="290"/>
      <c r="AG38" s="290"/>
      <c r="AH38" s="290"/>
      <c r="AI38" s="290"/>
      <c r="AJ38" s="290"/>
      <c r="AK38" s="290"/>
      <c r="AL38" s="290"/>
      <c r="AM38" s="290"/>
      <c r="AN38" s="101"/>
      <c r="AR38" s="10"/>
    </row>
    <row r="39" spans="2:44" ht="14.9" customHeight="1" x14ac:dyDescent="0.25">
      <c r="B39" s="100"/>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0"/>
      <c r="AA39" s="290"/>
      <c r="AB39" s="290"/>
      <c r="AC39" s="290"/>
      <c r="AD39" s="290"/>
      <c r="AE39" s="290"/>
      <c r="AF39" s="290"/>
      <c r="AG39" s="290"/>
      <c r="AH39" s="290"/>
      <c r="AI39" s="290"/>
      <c r="AJ39" s="290"/>
      <c r="AK39" s="290"/>
      <c r="AL39" s="290"/>
      <c r="AM39" s="290"/>
      <c r="AN39" s="101"/>
      <c r="AR39" s="10"/>
    </row>
    <row r="40" spans="2:44" ht="14.9" customHeight="1" x14ac:dyDescent="0.25">
      <c r="B40" s="100"/>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0"/>
      <c r="AA40" s="290"/>
      <c r="AB40" s="290"/>
      <c r="AC40" s="290"/>
      <c r="AD40" s="290"/>
      <c r="AE40" s="290"/>
      <c r="AF40" s="290"/>
      <c r="AG40" s="290"/>
      <c r="AH40" s="290"/>
      <c r="AI40" s="290"/>
      <c r="AJ40" s="290"/>
      <c r="AK40" s="290"/>
      <c r="AL40" s="290"/>
      <c r="AM40" s="290"/>
      <c r="AN40" s="101"/>
      <c r="AR40" s="10"/>
    </row>
    <row r="41" spans="2:44" ht="14.9" customHeight="1" x14ac:dyDescent="0.25">
      <c r="B41" s="100"/>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0"/>
      <c r="AA41" s="290"/>
      <c r="AB41" s="290"/>
      <c r="AC41" s="290"/>
      <c r="AD41" s="290"/>
      <c r="AE41" s="290"/>
      <c r="AF41" s="290"/>
      <c r="AG41" s="290"/>
      <c r="AH41" s="290"/>
      <c r="AI41" s="290"/>
      <c r="AJ41" s="290"/>
      <c r="AK41" s="290"/>
      <c r="AL41" s="290"/>
      <c r="AM41" s="290"/>
      <c r="AN41" s="101"/>
      <c r="AR41" s="10"/>
    </row>
    <row r="42" spans="2:44" ht="14.9" customHeight="1" x14ac:dyDescent="0.25">
      <c r="B42" s="100"/>
      <c r="C42" s="290"/>
      <c r="D42" s="290"/>
      <c r="E42" s="290"/>
      <c r="F42" s="290"/>
      <c r="G42" s="290"/>
      <c r="H42" s="290"/>
      <c r="I42" s="290"/>
      <c r="J42" s="290"/>
      <c r="K42" s="290"/>
      <c r="L42" s="290"/>
      <c r="M42" s="290"/>
      <c r="N42" s="290"/>
      <c r="O42" s="290"/>
      <c r="P42" s="290"/>
      <c r="Q42" s="290"/>
      <c r="R42" s="290"/>
      <c r="S42" s="290"/>
      <c r="T42" s="290"/>
      <c r="U42" s="290"/>
      <c r="V42" s="290"/>
      <c r="W42" s="290"/>
      <c r="X42" s="290"/>
      <c r="Y42" s="290"/>
      <c r="Z42" s="290"/>
      <c r="AA42" s="290"/>
      <c r="AB42" s="290"/>
      <c r="AC42" s="290"/>
      <c r="AD42" s="290"/>
      <c r="AE42" s="290"/>
      <c r="AF42" s="290"/>
      <c r="AG42" s="290"/>
      <c r="AH42" s="290"/>
      <c r="AI42" s="290"/>
      <c r="AJ42" s="290"/>
      <c r="AK42" s="290"/>
      <c r="AL42" s="290"/>
      <c r="AM42" s="290"/>
      <c r="AN42" s="101"/>
      <c r="AR42" s="10"/>
    </row>
    <row r="43" spans="2:44" ht="14.9" customHeight="1" x14ac:dyDescent="0.25">
      <c r="B43" s="100"/>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0"/>
      <c r="AA43" s="290"/>
      <c r="AB43" s="290"/>
      <c r="AC43" s="290"/>
      <c r="AD43" s="290"/>
      <c r="AE43" s="290"/>
      <c r="AF43" s="290"/>
      <c r="AG43" s="290"/>
      <c r="AH43" s="290"/>
      <c r="AI43" s="290"/>
      <c r="AJ43" s="290"/>
      <c r="AK43" s="290"/>
      <c r="AL43" s="290"/>
      <c r="AM43" s="290"/>
      <c r="AN43" s="101"/>
      <c r="AR43" s="10"/>
    </row>
    <row r="44" spans="2:44" ht="14.9" customHeight="1" x14ac:dyDescent="0.25">
      <c r="B44" s="100"/>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0"/>
      <c r="AA44" s="290"/>
      <c r="AB44" s="290"/>
      <c r="AC44" s="290"/>
      <c r="AD44" s="290"/>
      <c r="AE44" s="290"/>
      <c r="AF44" s="290"/>
      <c r="AG44" s="290"/>
      <c r="AH44" s="290"/>
      <c r="AI44" s="290"/>
      <c r="AJ44" s="290"/>
      <c r="AK44" s="290"/>
      <c r="AL44" s="290"/>
      <c r="AM44" s="290"/>
      <c r="AN44" s="101"/>
      <c r="AR44" s="10"/>
    </row>
    <row r="45" spans="2:44" ht="14.9" customHeight="1" x14ac:dyDescent="0.25">
      <c r="B45" s="100"/>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0"/>
      <c r="AA45" s="290"/>
      <c r="AB45" s="290"/>
      <c r="AC45" s="290"/>
      <c r="AD45" s="290"/>
      <c r="AE45" s="290"/>
      <c r="AF45" s="290"/>
      <c r="AG45" s="290"/>
      <c r="AH45" s="290"/>
      <c r="AI45" s="290"/>
      <c r="AJ45" s="290"/>
      <c r="AK45" s="290"/>
      <c r="AL45" s="290"/>
      <c r="AM45" s="290"/>
      <c r="AN45" s="101"/>
      <c r="AR45" s="10"/>
    </row>
    <row r="46" spans="2:44" ht="14.9" customHeight="1" x14ac:dyDescent="0.25">
      <c r="B46" s="100"/>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0"/>
      <c r="AA46" s="290"/>
      <c r="AB46" s="290"/>
      <c r="AC46" s="290"/>
      <c r="AD46" s="290"/>
      <c r="AE46" s="290"/>
      <c r="AF46" s="290"/>
      <c r="AG46" s="290"/>
      <c r="AH46" s="290"/>
      <c r="AI46" s="290"/>
      <c r="AJ46" s="290"/>
      <c r="AK46" s="290"/>
      <c r="AL46" s="290"/>
      <c r="AM46" s="290"/>
      <c r="AN46" s="101"/>
      <c r="AR46" s="10"/>
    </row>
    <row r="47" spans="2:44" ht="14.9" customHeight="1" x14ac:dyDescent="0.25">
      <c r="B47" s="100"/>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0"/>
      <c r="AA47" s="290"/>
      <c r="AB47" s="290"/>
      <c r="AC47" s="290"/>
      <c r="AD47" s="290"/>
      <c r="AE47" s="290"/>
      <c r="AF47" s="290"/>
      <c r="AG47" s="290"/>
      <c r="AH47" s="290"/>
      <c r="AI47" s="290"/>
      <c r="AJ47" s="290"/>
      <c r="AK47" s="290"/>
      <c r="AL47" s="290"/>
      <c r="AM47" s="290"/>
      <c r="AN47" s="101"/>
      <c r="AR47" s="10"/>
    </row>
    <row r="48" spans="2:44" ht="14.9" customHeight="1" x14ac:dyDescent="0.25">
      <c r="B48" s="100"/>
      <c r="C48" s="290"/>
      <c r="D48" s="290"/>
      <c r="E48" s="290"/>
      <c r="F48" s="290"/>
      <c r="G48" s="290"/>
      <c r="H48" s="290"/>
      <c r="I48" s="290"/>
      <c r="J48" s="290"/>
      <c r="K48" s="290"/>
      <c r="L48" s="290"/>
      <c r="M48" s="290"/>
      <c r="N48" s="290"/>
      <c r="O48" s="290"/>
      <c r="P48" s="290"/>
      <c r="Q48" s="290"/>
      <c r="R48" s="290"/>
      <c r="S48" s="290"/>
      <c r="T48" s="290"/>
      <c r="U48" s="290"/>
      <c r="V48" s="290"/>
      <c r="W48" s="290"/>
      <c r="X48" s="290"/>
      <c r="Y48" s="290"/>
      <c r="Z48" s="290"/>
      <c r="AA48" s="290"/>
      <c r="AB48" s="290"/>
      <c r="AC48" s="290"/>
      <c r="AD48" s="290"/>
      <c r="AE48" s="290"/>
      <c r="AF48" s="290"/>
      <c r="AG48" s="290"/>
      <c r="AH48" s="290"/>
      <c r="AI48" s="290"/>
      <c r="AJ48" s="290"/>
      <c r="AK48" s="290"/>
      <c r="AL48" s="290"/>
      <c r="AM48" s="290"/>
      <c r="AN48" s="101"/>
      <c r="AR48" s="10"/>
    </row>
    <row r="49" spans="2:50" ht="14.9" customHeight="1" x14ac:dyDescent="0.25">
      <c r="B49" s="100"/>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0"/>
      <c r="AA49" s="290"/>
      <c r="AB49" s="290"/>
      <c r="AC49" s="290"/>
      <c r="AD49" s="290"/>
      <c r="AE49" s="290"/>
      <c r="AF49" s="290"/>
      <c r="AG49" s="290"/>
      <c r="AH49" s="290"/>
      <c r="AI49" s="290"/>
      <c r="AJ49" s="290"/>
      <c r="AK49" s="290"/>
      <c r="AL49" s="290"/>
      <c r="AM49" s="290"/>
      <c r="AN49" s="101"/>
      <c r="AR49" s="10"/>
    </row>
    <row r="50" spans="2:50" s="10" customFormat="1" ht="14.9" customHeight="1" x14ac:dyDescent="0.25">
      <c r="B50" s="110"/>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2"/>
      <c r="AS50" s="7"/>
      <c r="AT50" s="7"/>
      <c r="AU50" s="7"/>
      <c r="AV50" s="7"/>
      <c r="AW50" s="7"/>
      <c r="AX50" s="7"/>
    </row>
    <row r="51" spans="2:50" s="10" customFormat="1" ht="36"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R51" s="7"/>
      <c r="AS51" s="7"/>
      <c r="AT51" s="7"/>
      <c r="AU51" s="7"/>
      <c r="AV51" s="7"/>
      <c r="AW51" s="7"/>
    </row>
    <row r="52" spans="2:50" s="10" customFormat="1" x14ac:dyDescent="0.25">
      <c r="AR52" s="7"/>
      <c r="AS52" s="7"/>
      <c r="AT52" s="7"/>
      <c r="AU52" s="7"/>
      <c r="AV52" s="7"/>
      <c r="AW52" s="7"/>
    </row>
    <row r="53" spans="2:50" s="10" customFormat="1" x14ac:dyDescent="0.25">
      <c r="AR53" s="7"/>
      <c r="AS53" s="7"/>
      <c r="AT53" s="7"/>
      <c r="AU53" s="7"/>
      <c r="AV53" s="7"/>
      <c r="AW53" s="7"/>
    </row>
    <row r="54" spans="2:50" s="10" customFormat="1" x14ac:dyDescent="0.25">
      <c r="AR54" s="7"/>
      <c r="AS54" s="7"/>
      <c r="AT54" s="7"/>
      <c r="AU54" s="7"/>
      <c r="AV54" s="7"/>
      <c r="AW54" s="7"/>
    </row>
    <row r="55" spans="2:50" s="10" customFormat="1" x14ac:dyDescent="0.25">
      <c r="AR55" s="7"/>
      <c r="AS55" s="7"/>
      <c r="AT55" s="7"/>
      <c r="AU55" s="7"/>
      <c r="AV55" s="7"/>
      <c r="AW55" s="7"/>
    </row>
    <row r="56" spans="2:50" s="10" customFormat="1" x14ac:dyDescent="0.25">
      <c r="AR56" s="7"/>
      <c r="AS56" s="7"/>
      <c r="AT56" s="7"/>
      <c r="AU56" s="7"/>
      <c r="AV56" s="7"/>
      <c r="AW56" s="7"/>
    </row>
    <row r="57" spans="2:50" s="10" customFormat="1" x14ac:dyDescent="0.25">
      <c r="AR57" s="7"/>
      <c r="AS57" s="7"/>
      <c r="AT57" s="7"/>
      <c r="AU57" s="7"/>
      <c r="AV57" s="7"/>
      <c r="AW57" s="7"/>
    </row>
    <row r="58" spans="2:50" s="10" customFormat="1" x14ac:dyDescent="0.25">
      <c r="AR58" s="7"/>
      <c r="AS58" s="7"/>
      <c r="AT58" s="7"/>
      <c r="AU58" s="7"/>
      <c r="AV58" s="7"/>
      <c r="AW58" s="7"/>
    </row>
    <row r="59" spans="2:50" s="10" customFormat="1" x14ac:dyDescent="0.25">
      <c r="AR59" s="7"/>
      <c r="AS59" s="7"/>
      <c r="AT59" s="7"/>
      <c r="AU59" s="7"/>
      <c r="AV59" s="7"/>
      <c r="AW59" s="7"/>
    </row>
    <row r="60" spans="2:50" s="10" customFormat="1" x14ac:dyDescent="0.25">
      <c r="AR60" s="7"/>
      <c r="AS60" s="7"/>
      <c r="AT60" s="7"/>
      <c r="AU60" s="7"/>
      <c r="AV60" s="7"/>
      <c r="AW60" s="7"/>
    </row>
    <row r="61" spans="2:50" s="10" customFormat="1" x14ac:dyDescent="0.25">
      <c r="AR61" s="7"/>
      <c r="AS61" s="7"/>
      <c r="AT61" s="7"/>
      <c r="AU61" s="7"/>
      <c r="AV61" s="7"/>
      <c r="AW61" s="7"/>
    </row>
    <row r="62" spans="2:50" s="10" customFormat="1" x14ac:dyDescent="0.25">
      <c r="AR62" s="7"/>
      <c r="AS62" s="7"/>
      <c r="AT62" s="7"/>
      <c r="AU62" s="7"/>
      <c r="AV62" s="7"/>
      <c r="AW62" s="7"/>
    </row>
    <row r="63" spans="2:50" s="10" customFormat="1" x14ac:dyDescent="0.25">
      <c r="AR63" s="7"/>
      <c r="AS63" s="7"/>
      <c r="AT63" s="7"/>
      <c r="AU63" s="7"/>
      <c r="AV63" s="7"/>
      <c r="AW63" s="7"/>
    </row>
    <row r="64" spans="2:50"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sheetData>
  <mergeCells count="48">
    <mergeCell ref="B3:G3"/>
    <mergeCell ref="I3:Z3"/>
    <mergeCell ref="AA3:AD3"/>
    <mergeCell ref="AE3:AN3"/>
    <mergeCell ref="B1:AN1"/>
    <mergeCell ref="B2:G2"/>
    <mergeCell ref="I2:Z2"/>
    <mergeCell ref="AA2:AD2"/>
    <mergeCell ref="AE2:AN2"/>
    <mergeCell ref="AL6:AN6"/>
    <mergeCell ref="B4:G4"/>
    <mergeCell ref="I4:Z4"/>
    <mergeCell ref="AA4:AD4"/>
    <mergeCell ref="AE4:AN4"/>
    <mergeCell ref="B5:H5"/>
    <mergeCell ref="I5:AN5"/>
    <mergeCell ref="B6:I6"/>
    <mergeCell ref="J6:AC6"/>
    <mergeCell ref="AD6:AF6"/>
    <mergeCell ref="AG6:AI6"/>
    <mergeCell ref="AJ6:AK6"/>
    <mergeCell ref="AK7:AN7"/>
    <mergeCell ref="B7:C7"/>
    <mergeCell ref="D7:F7"/>
    <mergeCell ref="G7:J7"/>
    <mergeCell ref="K7:N7"/>
    <mergeCell ref="O7:P7"/>
    <mergeCell ref="Q7:S7"/>
    <mergeCell ref="T7:W7"/>
    <mergeCell ref="X7:AA7"/>
    <mergeCell ref="AB7:AC7"/>
    <mergeCell ref="AD7:AF7"/>
    <mergeCell ref="AG7:AJ7"/>
    <mergeCell ref="C10:D10"/>
    <mergeCell ref="C12:AM49"/>
    <mergeCell ref="B51:AN51"/>
    <mergeCell ref="T8:W8"/>
    <mergeCell ref="X8:AA8"/>
    <mergeCell ref="AB8:AC8"/>
    <mergeCell ref="AD8:AF8"/>
    <mergeCell ref="AG8:AJ8"/>
    <mergeCell ref="AK8:AN8"/>
    <mergeCell ref="B8:C8"/>
    <mergeCell ref="D8:F8"/>
    <mergeCell ref="G8:J8"/>
    <mergeCell ref="K8:N8"/>
    <mergeCell ref="O8:P8"/>
    <mergeCell ref="Q8:S8"/>
  </mergeCells>
  <pageMargins left="0.78740157480314998" right="0.196850393700787" top="0.39370078740157499" bottom="0.62" header="0.196850393700787" footer="0.196850393700787"/>
  <pageSetup paperSize="9" scale="93" orientation="portrait" r:id="rId1"/>
  <headerFooter>
    <oddFooter>&amp;L&amp;"Calibri,Regular"&amp;11Copyright 2019, Worley
&amp;F&amp;R&amp;"Calibri,Regular"&amp;11Rev. 0, 01 December 2019</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pageSetUpPr fitToPage="1"/>
  </sheetPr>
  <dimension ref="A1:AW87"/>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11</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ToC!F22</f>
        <v>6.1</v>
      </c>
      <c r="D10" s="287"/>
      <c r="E10" s="108"/>
      <c r="F10" s="108" t="str">
        <f>ToC!H22</f>
        <v>Case Summary Dry Gas Rapid Valve Opening</v>
      </c>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3">
      <c r="B12" s="100"/>
      <c r="C12" s="106"/>
      <c r="D12" s="106"/>
      <c r="E12" s="106"/>
      <c r="F12" s="106"/>
      <c r="G12" s="106"/>
      <c r="H12" s="106"/>
      <c r="I12" s="106"/>
      <c r="J12" s="106"/>
      <c r="K12" s="106"/>
      <c r="L12" s="72"/>
      <c r="M12" s="306" t="str">
        <f>'App A- Dry Gas Calc '!T12</f>
        <v>CASE I</v>
      </c>
      <c r="N12" s="306"/>
      <c r="O12" s="306"/>
      <c r="P12" s="306"/>
      <c r="Q12" s="306"/>
      <c r="R12" s="306"/>
      <c r="S12" s="306"/>
      <c r="T12" s="306"/>
      <c r="U12" s="306"/>
      <c r="V12" s="306" t="str">
        <f>'App A- Dry Gas Calc '!Z12</f>
        <v>CASE II</v>
      </c>
      <c r="W12" s="306"/>
      <c r="X12" s="306"/>
      <c r="Y12" s="306"/>
      <c r="Z12" s="306"/>
      <c r="AA12" s="306"/>
      <c r="AB12" s="306"/>
      <c r="AC12" s="306"/>
      <c r="AD12" s="306"/>
      <c r="AE12" s="306" t="str">
        <f>'App A- Dry Gas Calc '!AF12</f>
        <v>CASE III</v>
      </c>
      <c r="AF12" s="306"/>
      <c r="AG12" s="306"/>
      <c r="AH12" s="306"/>
      <c r="AI12" s="306"/>
      <c r="AJ12" s="306"/>
      <c r="AK12" s="306"/>
      <c r="AL12" s="306"/>
      <c r="AM12" s="306"/>
      <c r="AN12" s="101"/>
      <c r="AR12" s="10"/>
    </row>
    <row r="13" spans="1:49" ht="14.9" customHeight="1" x14ac:dyDescent="0.25">
      <c r="B13" s="100"/>
      <c r="C13" s="291" t="s">
        <v>198</v>
      </c>
      <c r="D13" s="292"/>
      <c r="E13" s="292"/>
      <c r="F13" s="292"/>
      <c r="G13" s="292"/>
      <c r="H13" s="292"/>
      <c r="I13" s="292"/>
      <c r="J13" s="292"/>
      <c r="K13" s="292"/>
      <c r="L13" s="292"/>
      <c r="M13" s="292"/>
      <c r="N13" s="292"/>
      <c r="O13" s="292"/>
      <c r="P13" s="292"/>
      <c r="Q13" s="292"/>
      <c r="R13" s="292"/>
      <c r="S13" s="292"/>
      <c r="T13" s="292"/>
      <c r="U13" s="292"/>
      <c r="V13" s="292"/>
      <c r="W13" s="292"/>
      <c r="X13" s="292"/>
      <c r="Y13" s="292"/>
      <c r="Z13" s="292"/>
      <c r="AA13" s="292"/>
      <c r="AB13" s="292"/>
      <c r="AC13" s="292"/>
      <c r="AD13" s="292"/>
      <c r="AE13" s="292"/>
      <c r="AF13" s="292"/>
      <c r="AG13" s="292"/>
      <c r="AH13" s="292"/>
      <c r="AI13" s="292"/>
      <c r="AJ13" s="292"/>
      <c r="AK13" s="292"/>
      <c r="AL13" s="292"/>
      <c r="AM13" s="305"/>
      <c r="AN13" s="101"/>
      <c r="AR13" s="10"/>
    </row>
    <row r="14" spans="1:49" ht="14.9" customHeight="1" x14ac:dyDescent="0.25">
      <c r="B14" s="100"/>
      <c r="C14" s="296" t="str">
        <f>'App A- Dry Gas Calc '!C14</f>
        <v>Line/Unit Number</v>
      </c>
      <c r="D14" s="297"/>
      <c r="E14" s="297"/>
      <c r="F14" s="297"/>
      <c r="G14" s="297"/>
      <c r="H14" s="297"/>
      <c r="I14" s="297"/>
      <c r="J14" s="297"/>
      <c r="K14" s="297"/>
      <c r="L14" s="298"/>
      <c r="M14" s="302" t="str">
        <f>'App A- Dry Gas Calc '!T14</f>
        <v/>
      </c>
      <c r="N14" s="303"/>
      <c r="O14" s="303"/>
      <c r="P14" s="303"/>
      <c r="Q14" s="303"/>
      <c r="R14" s="303"/>
      <c r="S14" s="303"/>
      <c r="T14" s="303"/>
      <c r="U14" s="304"/>
      <c r="V14" s="302" t="str">
        <f>'App A- Dry Gas Calc '!Z14</f>
        <v/>
      </c>
      <c r="W14" s="303"/>
      <c r="X14" s="303"/>
      <c r="Y14" s="303"/>
      <c r="Z14" s="303"/>
      <c r="AA14" s="303"/>
      <c r="AB14" s="303"/>
      <c r="AC14" s="303"/>
      <c r="AD14" s="304"/>
      <c r="AE14" s="302" t="str">
        <f>'App A- Dry Gas Calc '!AF14</f>
        <v/>
      </c>
      <c r="AF14" s="303"/>
      <c r="AG14" s="303"/>
      <c r="AH14" s="303"/>
      <c r="AI14" s="303"/>
      <c r="AJ14" s="303"/>
      <c r="AK14" s="303"/>
      <c r="AL14" s="303"/>
      <c r="AM14" s="304"/>
      <c r="AN14" s="101"/>
      <c r="AR14" s="10"/>
    </row>
    <row r="15" spans="1:49" ht="14.9" customHeight="1" x14ac:dyDescent="0.25">
      <c r="B15" s="100"/>
      <c r="C15" s="296" t="str">
        <f>'App A- Dry Gas Calc '!C27</f>
        <v>Support Type</v>
      </c>
      <c r="D15" s="297"/>
      <c r="E15" s="297"/>
      <c r="F15" s="297"/>
      <c r="G15" s="297"/>
      <c r="H15" s="297"/>
      <c r="I15" s="297"/>
      <c r="J15" s="297"/>
      <c r="K15" s="297"/>
      <c r="L15" s="298"/>
      <c r="M15" s="302" t="str">
        <f>'App A- Dry Gas Calc '!T27</f>
        <v>Medium Stiff</v>
      </c>
      <c r="N15" s="303"/>
      <c r="O15" s="303"/>
      <c r="P15" s="303"/>
      <c r="Q15" s="303"/>
      <c r="R15" s="303"/>
      <c r="S15" s="303"/>
      <c r="T15" s="303"/>
      <c r="U15" s="304"/>
      <c r="V15" s="302" t="str">
        <f>'App A- Dry Gas Calc '!Z27</f>
        <v>Medium Stiff</v>
      </c>
      <c r="W15" s="303"/>
      <c r="X15" s="303"/>
      <c r="Y15" s="303"/>
      <c r="Z15" s="303"/>
      <c r="AA15" s="303"/>
      <c r="AB15" s="303"/>
      <c r="AC15" s="303"/>
      <c r="AD15" s="304"/>
      <c r="AE15" s="302" t="str">
        <f>'App A- Dry Gas Calc '!AF27</f>
        <v>Medium Stiff</v>
      </c>
      <c r="AF15" s="303"/>
      <c r="AG15" s="303"/>
      <c r="AH15" s="303"/>
      <c r="AI15" s="303"/>
      <c r="AJ15" s="303"/>
      <c r="AK15" s="303"/>
      <c r="AL15" s="303"/>
      <c r="AM15" s="304"/>
      <c r="AN15" s="101"/>
      <c r="AR15" s="10"/>
    </row>
    <row r="16" spans="1:49" ht="14.9" customHeight="1" x14ac:dyDescent="0.25">
      <c r="B16" s="100"/>
      <c r="C16" s="296" t="str">
        <f>'App A- Dry Gas Calc '!C19</f>
        <v>Nominal Pipe Diameter (mm)</v>
      </c>
      <c r="D16" s="297"/>
      <c r="E16" s="297"/>
      <c r="F16" s="297"/>
      <c r="G16" s="297"/>
      <c r="H16" s="297"/>
      <c r="I16" s="297"/>
      <c r="J16" s="297"/>
      <c r="K16" s="297"/>
      <c r="L16" s="298"/>
      <c r="M16" s="302">
        <f>'App A- Dry Gas Calc '!T19</f>
        <v>100</v>
      </c>
      <c r="N16" s="303"/>
      <c r="O16" s="303"/>
      <c r="P16" s="303"/>
      <c r="Q16" s="303"/>
      <c r="R16" s="303"/>
      <c r="S16" s="303"/>
      <c r="T16" s="303"/>
      <c r="U16" s="304"/>
      <c r="V16" s="302">
        <f>'App A- Dry Gas Calc '!Z19</f>
        <v>100</v>
      </c>
      <c r="W16" s="303"/>
      <c r="X16" s="303"/>
      <c r="Y16" s="303"/>
      <c r="Z16" s="303"/>
      <c r="AA16" s="303"/>
      <c r="AB16" s="303"/>
      <c r="AC16" s="303"/>
      <c r="AD16" s="304"/>
      <c r="AE16" s="302">
        <f>'App A- Dry Gas Calc '!AF19</f>
        <v>100</v>
      </c>
      <c r="AF16" s="303"/>
      <c r="AG16" s="303"/>
      <c r="AH16" s="303"/>
      <c r="AI16" s="303"/>
      <c r="AJ16" s="303"/>
      <c r="AK16" s="303"/>
      <c r="AL16" s="303"/>
      <c r="AM16" s="304"/>
      <c r="AN16" s="101"/>
      <c r="AR16" s="10"/>
    </row>
    <row r="17" spans="2:44" ht="14.9" customHeight="1" x14ac:dyDescent="0.25">
      <c r="B17" s="100"/>
      <c r="C17" s="291" t="s">
        <v>199</v>
      </c>
      <c r="D17" s="292"/>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c r="AG17" s="292"/>
      <c r="AH17" s="292"/>
      <c r="AI17" s="292"/>
      <c r="AJ17" s="292"/>
      <c r="AK17" s="292"/>
      <c r="AL17" s="292"/>
      <c r="AM17" s="305"/>
      <c r="AN17" s="101"/>
      <c r="AR17" s="10"/>
    </row>
    <row r="18" spans="2:44" ht="14.9" customHeight="1" x14ac:dyDescent="0.25">
      <c r="B18" s="100"/>
      <c r="C18" s="296" t="s">
        <v>200</v>
      </c>
      <c r="D18" s="297"/>
      <c r="E18" s="297"/>
      <c r="F18" s="297"/>
      <c r="G18" s="297"/>
      <c r="H18" s="297"/>
      <c r="I18" s="297"/>
      <c r="J18" s="297"/>
      <c r="K18" s="297"/>
      <c r="L18" s="297"/>
      <c r="M18" s="294">
        <f>'App A- Dry Gas Calc '!T31</f>
        <v>6.2856323459324486</v>
      </c>
      <c r="N18" s="295"/>
      <c r="O18" s="295"/>
      <c r="P18" s="295"/>
      <c r="Q18" s="295"/>
      <c r="R18" s="295"/>
      <c r="S18" s="295"/>
      <c r="T18" s="295"/>
      <c r="U18" s="295"/>
      <c r="V18" s="294">
        <f>'App A- Dry Gas Calc '!Z31</f>
        <v>6.2856323459324486</v>
      </c>
      <c r="W18" s="295"/>
      <c r="X18" s="295"/>
      <c r="Y18" s="295"/>
      <c r="Z18" s="295"/>
      <c r="AA18" s="295"/>
      <c r="AB18" s="295"/>
      <c r="AC18" s="295"/>
      <c r="AD18" s="295"/>
      <c r="AE18" s="294">
        <f>'App A- Dry Gas Calc '!AF31</f>
        <v>6.2856323459324486</v>
      </c>
      <c r="AF18" s="295"/>
      <c r="AG18" s="295"/>
      <c r="AH18" s="295"/>
      <c r="AI18" s="295"/>
      <c r="AJ18" s="295"/>
      <c r="AK18" s="295"/>
      <c r="AL18" s="295"/>
      <c r="AM18" s="295"/>
      <c r="AN18" s="101"/>
      <c r="AR18" s="10"/>
    </row>
    <row r="19" spans="2:44" ht="14.9" customHeight="1" x14ac:dyDescent="0.25">
      <c r="B19" s="100"/>
      <c r="C19" s="296" t="s">
        <v>201</v>
      </c>
      <c r="D19" s="297"/>
      <c r="E19" s="297"/>
      <c r="F19" s="297"/>
      <c r="G19" s="297"/>
      <c r="H19" s="297"/>
      <c r="I19" s="297"/>
      <c r="J19" s="297"/>
      <c r="K19" s="297"/>
      <c r="L19" s="298"/>
      <c r="M19" s="299">
        <f>'App A- Dry Gas Calc '!T33</f>
        <v>1.0613347513992295</v>
      </c>
      <c r="N19" s="300"/>
      <c r="O19" s="300"/>
      <c r="P19" s="300"/>
      <c r="Q19" s="300"/>
      <c r="R19" s="300"/>
      <c r="S19" s="300"/>
      <c r="T19" s="300"/>
      <c r="U19" s="301"/>
      <c r="V19" s="299">
        <f>'App A- Dry Gas Calc '!Z33</f>
        <v>1.0613347513992295</v>
      </c>
      <c r="W19" s="300"/>
      <c r="X19" s="300"/>
      <c r="Y19" s="300"/>
      <c r="Z19" s="300"/>
      <c r="AA19" s="300"/>
      <c r="AB19" s="300"/>
      <c r="AC19" s="300"/>
      <c r="AD19" s="301"/>
      <c r="AE19" s="299">
        <f>'App A- Dry Gas Calc '!AF33</f>
        <v>1.3843899116879474</v>
      </c>
      <c r="AF19" s="300"/>
      <c r="AG19" s="300"/>
      <c r="AH19" s="300"/>
      <c r="AI19" s="300"/>
      <c r="AJ19" s="300"/>
      <c r="AK19" s="300"/>
      <c r="AL19" s="300"/>
      <c r="AM19" s="301"/>
      <c r="AN19" s="101"/>
      <c r="AR19" s="10"/>
    </row>
    <row r="20" spans="2:44" ht="14.9" customHeight="1" x14ac:dyDescent="0.25">
      <c r="B20" s="100"/>
      <c r="C20" s="291" t="s">
        <v>202</v>
      </c>
      <c r="D20" s="292"/>
      <c r="E20" s="292"/>
      <c r="F20" s="292"/>
      <c r="G20" s="292"/>
      <c r="H20" s="292"/>
      <c r="I20" s="292"/>
      <c r="J20" s="292"/>
      <c r="K20" s="292"/>
      <c r="L20" s="292"/>
      <c r="M20" s="293">
        <f>'App A- Dry Gas Calc '!T34</f>
        <v>5.9223843727397725</v>
      </c>
      <c r="N20" s="293"/>
      <c r="O20" s="293"/>
      <c r="P20" s="293"/>
      <c r="Q20" s="293"/>
      <c r="R20" s="293"/>
      <c r="S20" s="293"/>
      <c r="T20" s="293"/>
      <c r="U20" s="293"/>
      <c r="V20" s="293">
        <f>'App A- Dry Gas Calc '!Z34</f>
        <v>5.9223843727397725</v>
      </c>
      <c r="W20" s="293"/>
      <c r="X20" s="293"/>
      <c r="Y20" s="293"/>
      <c r="Z20" s="293"/>
      <c r="AA20" s="293"/>
      <c r="AB20" s="293"/>
      <c r="AC20" s="293"/>
      <c r="AD20" s="293"/>
      <c r="AE20" s="293">
        <f>'App A- Dry Gas Calc '!AF34</f>
        <v>4.5403627206937349</v>
      </c>
      <c r="AF20" s="293"/>
      <c r="AG20" s="293"/>
      <c r="AH20" s="293"/>
      <c r="AI20" s="293"/>
      <c r="AJ20" s="293"/>
      <c r="AK20" s="293"/>
      <c r="AL20" s="293"/>
      <c r="AM20" s="293"/>
      <c r="AN20" s="101"/>
      <c r="AR20" s="10"/>
    </row>
    <row r="21" spans="2:44" ht="14.9" customHeight="1" x14ac:dyDescent="0.25">
      <c r="B21" s="100"/>
      <c r="C21" s="117"/>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101"/>
      <c r="AR21" s="10"/>
    </row>
    <row r="22" spans="2:44" ht="14.9" customHeight="1" x14ac:dyDescent="0.25">
      <c r="B22" s="100"/>
      <c r="C22" s="117"/>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101"/>
      <c r="AR22" s="10"/>
    </row>
    <row r="23" spans="2:44" ht="14.9" customHeight="1" x14ac:dyDescent="0.25">
      <c r="B23" s="10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101"/>
      <c r="AR23" s="10"/>
    </row>
    <row r="24" spans="2:44" ht="14.9" customHeight="1" x14ac:dyDescent="0.25">
      <c r="B24" s="10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101"/>
      <c r="AR24" s="10"/>
    </row>
    <row r="25" spans="2:44" ht="14.9" customHeight="1" x14ac:dyDescent="0.25">
      <c r="B25" s="10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101"/>
      <c r="AR25" s="10"/>
    </row>
    <row r="26" spans="2:44" ht="14.9" customHeight="1" x14ac:dyDescent="0.25">
      <c r="B26" s="10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101"/>
      <c r="AR26" s="10"/>
    </row>
    <row r="27" spans="2:44" ht="14.9" customHeight="1" x14ac:dyDescent="0.25">
      <c r="B27" s="10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101"/>
      <c r="AR27" s="10"/>
    </row>
    <row r="28" spans="2:44" ht="14.9" customHeight="1" x14ac:dyDescent="0.25">
      <c r="B28" s="10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101"/>
      <c r="AR28" s="10"/>
    </row>
    <row r="29" spans="2:44" ht="14.9" customHeight="1" x14ac:dyDescent="0.25">
      <c r="B29" s="10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101"/>
      <c r="AR29" s="10"/>
    </row>
    <row r="30" spans="2:44" ht="14.9" customHeight="1" x14ac:dyDescent="0.25">
      <c r="B30" s="10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101"/>
      <c r="AR30" s="10"/>
    </row>
    <row r="31" spans="2:44" ht="14.9" customHeight="1" x14ac:dyDescent="0.25">
      <c r="B31" s="10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101"/>
      <c r="AR31" s="10"/>
    </row>
    <row r="32" spans="2:44" ht="14.9" customHeight="1" x14ac:dyDescent="0.25">
      <c r="B32" s="10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101"/>
      <c r="AR32" s="10"/>
    </row>
    <row r="33" spans="1: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1: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1: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1: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1: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1: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1: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1: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1: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row>
    <row r="42" spans="1: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row>
    <row r="43" spans="1: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row>
    <row r="44" spans="1:44" ht="14.9" customHeight="1" x14ac:dyDescent="0.25">
      <c r="A44" s="70"/>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row>
    <row r="45" spans="1: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row>
    <row r="46" spans="1: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1: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1: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44" ht="15.75"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10"/>
    </row>
    <row r="50" spans="2:44" ht="14.9" customHeight="1" x14ac:dyDescent="0.25">
      <c r="B50" s="100"/>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101"/>
      <c r="AR50" s="10"/>
    </row>
    <row r="51" spans="2:44" ht="14.9" customHeight="1" x14ac:dyDescent="0.25">
      <c r="B51" s="100"/>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101"/>
      <c r="AR51" s="10"/>
    </row>
    <row r="52" spans="2:44" ht="14.9" customHeight="1" x14ac:dyDescent="0.25">
      <c r="B52" s="100"/>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101"/>
      <c r="AR52" s="10"/>
    </row>
    <row r="53" spans="2:44" ht="14.9" customHeight="1" x14ac:dyDescent="0.25">
      <c r="B53" s="100"/>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101"/>
      <c r="AR53" s="10"/>
    </row>
    <row r="54" spans="2:44" ht="14.9" customHeight="1" x14ac:dyDescent="0.25">
      <c r="B54" s="100"/>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101"/>
      <c r="AR54" s="10"/>
    </row>
    <row r="55" spans="2:44" ht="14.9" customHeight="1" x14ac:dyDescent="0.25">
      <c r="B55" s="100"/>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101"/>
      <c r="AR55" s="10"/>
    </row>
    <row r="56" spans="2:44" ht="14.9" customHeight="1" x14ac:dyDescent="0.25">
      <c r="B56" s="100"/>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101"/>
      <c r="AR56" s="10"/>
    </row>
    <row r="57" spans="2:44" ht="14.9" customHeight="1" x14ac:dyDescent="0.25">
      <c r="B57" s="100"/>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101"/>
      <c r="AR57" s="10"/>
    </row>
    <row r="58" spans="2:44" ht="14.9" customHeight="1" x14ac:dyDescent="0.25">
      <c r="B58" s="100"/>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101"/>
      <c r="AR58" s="10"/>
    </row>
    <row r="59" spans="2:44" ht="14.9" customHeight="1" x14ac:dyDescent="0.25">
      <c r="B59" s="100"/>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101"/>
      <c r="AR59" s="10"/>
    </row>
    <row r="60" spans="2:44" ht="14.9" customHeight="1" x14ac:dyDescent="0.25">
      <c r="B60" s="100"/>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101"/>
      <c r="AR60" s="10"/>
    </row>
    <row r="61" spans="2:44" ht="14.9" customHeight="1" x14ac:dyDescent="0.25">
      <c r="B61" s="100"/>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101"/>
      <c r="AR61" s="10"/>
    </row>
    <row r="62" spans="2:44" ht="14.9" customHeight="1" x14ac:dyDescent="0.25">
      <c r="B62" s="100"/>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101"/>
      <c r="AR62" s="10"/>
    </row>
    <row r="63" spans="2:44" ht="14.9" customHeight="1" x14ac:dyDescent="0.25">
      <c r="B63" s="100"/>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101"/>
      <c r="AR63" s="10"/>
    </row>
    <row r="64" spans="2:44" ht="14.9" customHeight="1" x14ac:dyDescent="0.25">
      <c r="B64" s="100"/>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101"/>
      <c r="AR64" s="10"/>
    </row>
    <row r="65" spans="2:49" s="10" customFormat="1" ht="36" customHeight="1" x14ac:dyDescent="0.25">
      <c r="B65"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250"/>
      <c r="AK65" s="250"/>
      <c r="AL65" s="250"/>
      <c r="AM65" s="250"/>
      <c r="AN65" s="250"/>
      <c r="AR65" s="7"/>
      <c r="AS65" s="7"/>
      <c r="AT65" s="7"/>
      <c r="AU65" s="7"/>
      <c r="AV65" s="7"/>
      <c r="AW65" s="7"/>
    </row>
    <row r="66" spans="2:49" s="10" customFormat="1" ht="13" x14ac:dyDescent="0.3">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R66" s="7"/>
      <c r="AS66" s="7"/>
      <c r="AT66" s="7"/>
      <c r="AU66" s="7"/>
      <c r="AV66" s="7"/>
      <c r="AW66" s="7"/>
    </row>
    <row r="67" spans="2:49" s="10" customFormat="1" x14ac:dyDescent="0.25">
      <c r="AR67" s="7"/>
      <c r="AS67" s="7"/>
      <c r="AT67" s="7"/>
      <c r="AU67" s="7"/>
      <c r="AV67" s="7"/>
      <c r="AW67" s="7"/>
    </row>
    <row r="68" spans="2:49" s="10" customFormat="1" x14ac:dyDescent="0.25">
      <c r="AR68" s="7"/>
      <c r="AS68" s="7"/>
      <c r="AT68" s="7"/>
      <c r="AU68" s="7"/>
      <c r="AV68" s="7"/>
      <c r="AW68" s="7"/>
    </row>
    <row r="69" spans="2:49" s="10" customFormat="1" x14ac:dyDescent="0.25">
      <c r="AR69" s="7"/>
      <c r="AS69" s="7"/>
      <c r="AT69" s="7"/>
      <c r="AU69" s="7"/>
      <c r="AV69" s="7"/>
      <c r="AW69" s="7"/>
    </row>
    <row r="70" spans="2:49" s="10" customFormat="1" x14ac:dyDescent="0.25">
      <c r="AR70" s="7"/>
      <c r="AS70" s="7"/>
      <c r="AT70" s="7"/>
      <c r="AU70" s="7"/>
      <c r="AV70" s="7"/>
      <c r="AW70" s="7"/>
    </row>
    <row r="71" spans="2:49" s="10" customFormat="1" x14ac:dyDescent="0.25">
      <c r="AR71" s="7"/>
      <c r="AS71" s="7"/>
      <c r="AT71" s="7"/>
      <c r="AU71" s="7"/>
      <c r="AV71" s="7"/>
      <c r="AW71" s="7"/>
    </row>
    <row r="72" spans="2:49" s="10" customFormat="1" x14ac:dyDescent="0.25">
      <c r="AR72" s="7"/>
      <c r="AS72" s="7"/>
      <c r="AT72" s="7"/>
      <c r="AU72" s="7"/>
      <c r="AV72" s="7"/>
      <c r="AW72" s="7"/>
    </row>
    <row r="73" spans="2:49" s="10" customFormat="1" x14ac:dyDescent="0.25">
      <c r="AR73" s="7"/>
      <c r="AS73" s="7"/>
      <c r="AT73" s="7"/>
      <c r="AU73" s="7"/>
      <c r="AV73" s="7"/>
      <c r="AW73" s="7"/>
    </row>
    <row r="74" spans="2:49" s="10" customFormat="1" x14ac:dyDescent="0.25">
      <c r="AR74" s="7"/>
      <c r="AS74" s="7"/>
      <c r="AT74" s="7"/>
      <c r="AU74" s="7"/>
      <c r="AV74" s="7"/>
      <c r="AW74" s="7"/>
    </row>
    <row r="75" spans="2:49" s="10" customFormat="1" x14ac:dyDescent="0.25">
      <c r="AR75" s="7"/>
      <c r="AS75" s="7"/>
      <c r="AT75" s="7"/>
      <c r="AU75" s="7"/>
      <c r="AV75" s="7"/>
      <c r="AW75" s="7"/>
    </row>
    <row r="76" spans="2:49" s="10" customFormat="1" x14ac:dyDescent="0.25">
      <c r="AR76" s="7"/>
      <c r="AS76" s="7"/>
      <c r="AT76" s="7"/>
      <c r="AU76" s="7"/>
      <c r="AV76" s="7"/>
      <c r="AW76" s="7"/>
    </row>
    <row r="77" spans="2:49" s="10" customFormat="1" x14ac:dyDescent="0.25">
      <c r="AR77" s="7"/>
      <c r="AS77" s="7"/>
      <c r="AT77" s="7"/>
      <c r="AU77" s="7"/>
      <c r="AV77" s="7"/>
      <c r="AW77" s="7"/>
    </row>
    <row r="78" spans="2:49" s="10" customFormat="1" x14ac:dyDescent="0.25">
      <c r="AR78" s="7"/>
      <c r="AS78" s="7"/>
      <c r="AT78" s="7"/>
      <c r="AU78" s="7"/>
      <c r="AV78" s="7"/>
      <c r="AW78" s="7"/>
    </row>
    <row r="79" spans="2:49" s="10" customFormat="1" x14ac:dyDescent="0.25">
      <c r="AR79" s="7"/>
      <c r="AS79" s="7"/>
      <c r="AT79" s="7"/>
      <c r="AU79" s="7"/>
      <c r="AV79" s="7"/>
      <c r="AW79" s="7"/>
    </row>
    <row r="80" spans="2:49" s="10" customFormat="1" x14ac:dyDescent="0.25">
      <c r="AR80" s="7"/>
      <c r="AS80" s="7"/>
      <c r="AT80" s="7"/>
      <c r="AU80" s="7"/>
      <c r="AV80" s="7"/>
      <c r="AW80" s="7"/>
    </row>
    <row r="81" spans="44:49" s="10" customFormat="1" x14ac:dyDescent="0.25">
      <c r="AR81" s="7"/>
      <c r="AS81" s="7"/>
      <c r="AT81" s="7"/>
      <c r="AU81" s="7"/>
      <c r="AV81" s="7"/>
      <c r="AW81" s="7"/>
    </row>
    <row r="82" spans="44:49" s="10" customFormat="1" x14ac:dyDescent="0.25">
      <c r="AR82" s="7"/>
      <c r="AS82" s="7"/>
      <c r="AT82" s="7"/>
      <c r="AU82" s="7"/>
      <c r="AV82" s="7"/>
      <c r="AW82" s="7"/>
    </row>
    <row r="83" spans="44:49" s="10" customFormat="1" x14ac:dyDescent="0.25">
      <c r="AR83" s="7"/>
      <c r="AS83" s="7"/>
      <c r="AT83" s="7"/>
      <c r="AU83" s="7"/>
      <c r="AV83" s="7"/>
      <c r="AW83" s="7"/>
    </row>
    <row r="84" spans="44:49" s="10" customFormat="1" x14ac:dyDescent="0.25">
      <c r="AR84" s="7"/>
      <c r="AS84" s="7"/>
      <c r="AT84" s="7"/>
      <c r="AU84" s="7"/>
      <c r="AV84" s="7"/>
      <c r="AW84" s="7"/>
    </row>
    <row r="85" spans="44:49" s="10" customFormat="1" x14ac:dyDescent="0.25">
      <c r="AR85" s="7"/>
      <c r="AS85" s="7"/>
      <c r="AT85" s="7"/>
      <c r="AU85" s="7"/>
      <c r="AV85" s="7"/>
      <c r="AW85" s="7"/>
    </row>
    <row r="86" spans="44:49" s="10" customFormat="1" x14ac:dyDescent="0.25">
      <c r="AR86" s="7"/>
      <c r="AS86" s="7"/>
      <c r="AT86" s="7"/>
      <c r="AU86" s="7"/>
      <c r="AV86" s="7"/>
      <c r="AW86" s="7"/>
    </row>
    <row r="87" spans="44:49" s="10" customFormat="1" x14ac:dyDescent="0.25">
      <c r="AR87" s="7"/>
      <c r="AS87" s="7"/>
      <c r="AT87" s="7"/>
      <c r="AU87" s="7"/>
      <c r="AV87" s="7"/>
      <c r="AW87" s="7"/>
    </row>
  </sheetData>
  <mergeCells count="76">
    <mergeCell ref="B65:AN65"/>
    <mergeCell ref="C10:D10"/>
    <mergeCell ref="T8:W8"/>
    <mergeCell ref="X8:AA8"/>
    <mergeCell ref="AB8:AC8"/>
    <mergeCell ref="AD8:AF8"/>
    <mergeCell ref="AG8:AJ8"/>
    <mergeCell ref="AK8:AN8"/>
    <mergeCell ref="B8:C8"/>
    <mergeCell ref="D8:F8"/>
    <mergeCell ref="G8:J8"/>
    <mergeCell ref="K8:N8"/>
    <mergeCell ref="O8:P8"/>
    <mergeCell ref="Q8:S8"/>
    <mergeCell ref="M12:U12"/>
    <mergeCell ref="V12:AD12"/>
    <mergeCell ref="AG6:AI6"/>
    <mergeCell ref="AJ6:AK6"/>
    <mergeCell ref="B3:G3"/>
    <mergeCell ref="I3:Z3"/>
    <mergeCell ref="AA3:AD3"/>
    <mergeCell ref="AE3:AN3"/>
    <mergeCell ref="AE12:AM12"/>
    <mergeCell ref="B1:AN1"/>
    <mergeCell ref="B2:G2"/>
    <mergeCell ref="I2:Z2"/>
    <mergeCell ref="AA2:AD2"/>
    <mergeCell ref="AE2:AN2"/>
    <mergeCell ref="AL6:AN6"/>
    <mergeCell ref="B4:G4"/>
    <mergeCell ref="I4:Z4"/>
    <mergeCell ref="AA4:AD4"/>
    <mergeCell ref="AE4:AN4"/>
    <mergeCell ref="B5:H5"/>
    <mergeCell ref="I5:AN5"/>
    <mergeCell ref="B6:I6"/>
    <mergeCell ref="J6:AC6"/>
    <mergeCell ref="AD6:AF6"/>
    <mergeCell ref="C15:L15"/>
    <mergeCell ref="M15:U15"/>
    <mergeCell ref="V15:AD15"/>
    <mergeCell ref="AE15:AM15"/>
    <mergeCell ref="AK7:AN7"/>
    <mergeCell ref="B7:C7"/>
    <mergeCell ref="D7:F7"/>
    <mergeCell ref="G7:J7"/>
    <mergeCell ref="K7:N7"/>
    <mergeCell ref="O7:P7"/>
    <mergeCell ref="Q7:S7"/>
    <mergeCell ref="T7:W7"/>
    <mergeCell ref="X7:AA7"/>
    <mergeCell ref="AB7:AC7"/>
    <mergeCell ref="AD7:AF7"/>
    <mergeCell ref="AG7:AJ7"/>
    <mergeCell ref="C13:AM13"/>
    <mergeCell ref="C14:L14"/>
    <mergeCell ref="M14:U14"/>
    <mergeCell ref="V14:AD14"/>
    <mergeCell ref="AE14:AM14"/>
    <mergeCell ref="C16:L16"/>
    <mergeCell ref="M16:U16"/>
    <mergeCell ref="V16:AD16"/>
    <mergeCell ref="AE16:AM16"/>
    <mergeCell ref="C17:AM17"/>
    <mergeCell ref="C20:L20"/>
    <mergeCell ref="M20:U20"/>
    <mergeCell ref="V20:AD20"/>
    <mergeCell ref="AE20:AM20"/>
    <mergeCell ref="M18:U18"/>
    <mergeCell ref="V18:AD18"/>
    <mergeCell ref="AE18:AM18"/>
    <mergeCell ref="C18:L18"/>
    <mergeCell ref="C19:L19"/>
    <mergeCell ref="M19:U19"/>
    <mergeCell ref="V19:AD19"/>
    <mergeCell ref="AE19:AM19"/>
  </mergeCells>
  <pageMargins left="0.78740157480314998" right="0.196850393700787" top="0.39370078740157499" bottom="0.62" header="0.196850393700787" footer="0.196850393700787"/>
  <pageSetup paperSize="9" scale="74" orientation="portrait" r:id="rId1"/>
  <headerFooter>
    <oddFooter>&amp;L&amp;"Calibri,Regular"&amp;11Copyright 2019, Worley
&amp;F&amp;R&amp;"Calibri,Regular"&amp;11Rev. 0, 01 December 2019</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pageSetUpPr fitToPage="1"/>
  </sheetPr>
  <dimension ref="A1:AW71"/>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12</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ToC!F23</f>
        <v>6.2</v>
      </c>
      <c r="D10" s="287"/>
      <c r="E10" s="108"/>
      <c r="F10" s="108" t="str">
        <f>ToC!H23</f>
        <v>Case Summary Liquid or Multiphase Valve Closure</v>
      </c>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3">
      <c r="B12" s="100"/>
      <c r="C12" s="106"/>
      <c r="D12" s="106"/>
      <c r="E12" s="106"/>
      <c r="F12" s="106"/>
      <c r="G12" s="106"/>
      <c r="H12" s="106"/>
      <c r="I12" s="106"/>
      <c r="J12" s="106"/>
      <c r="K12" s="106"/>
      <c r="L12" s="72"/>
      <c r="M12" s="306" t="str">
        <f>'AppB- Liquid or Multiphase Calc'!T11</f>
        <v>CASE IV</v>
      </c>
      <c r="N12" s="306"/>
      <c r="O12" s="306"/>
      <c r="P12" s="306"/>
      <c r="Q12" s="306"/>
      <c r="R12" s="306"/>
      <c r="S12" s="306"/>
      <c r="T12" s="306"/>
      <c r="U12" s="306"/>
      <c r="V12" s="306" t="str">
        <f>'AppB- Liquid or Multiphase Calc'!Z11</f>
        <v>CASE V</v>
      </c>
      <c r="W12" s="306"/>
      <c r="X12" s="306"/>
      <c r="Y12" s="306"/>
      <c r="Z12" s="306"/>
      <c r="AA12" s="306"/>
      <c r="AB12" s="306"/>
      <c r="AC12" s="306"/>
      <c r="AD12" s="306"/>
      <c r="AE12" s="306" t="str">
        <f>'AppB- Liquid or Multiphase Calc'!AF11</f>
        <v>CASE VI</v>
      </c>
      <c r="AF12" s="306"/>
      <c r="AG12" s="306"/>
      <c r="AH12" s="306"/>
      <c r="AI12" s="306"/>
      <c r="AJ12" s="306"/>
      <c r="AK12" s="306"/>
      <c r="AL12" s="306"/>
      <c r="AM12" s="306"/>
      <c r="AN12" s="101"/>
      <c r="AR12" s="10"/>
    </row>
    <row r="13" spans="1:49" ht="14.9" customHeight="1" x14ac:dyDescent="0.25">
      <c r="B13" s="100"/>
      <c r="C13" s="291" t="s">
        <v>198</v>
      </c>
      <c r="D13" s="292"/>
      <c r="E13" s="292"/>
      <c r="F13" s="292"/>
      <c r="G13" s="292"/>
      <c r="H13" s="292"/>
      <c r="I13" s="292"/>
      <c r="J13" s="292"/>
      <c r="K13" s="292"/>
      <c r="L13" s="292"/>
      <c r="M13" s="292"/>
      <c r="N13" s="292"/>
      <c r="O13" s="292"/>
      <c r="P13" s="292"/>
      <c r="Q13" s="292"/>
      <c r="R13" s="292"/>
      <c r="S13" s="292"/>
      <c r="T13" s="292"/>
      <c r="U13" s="292"/>
      <c r="V13" s="292"/>
      <c r="W13" s="292"/>
      <c r="X13" s="292"/>
      <c r="Y13" s="292"/>
      <c r="Z13" s="292"/>
      <c r="AA13" s="292"/>
      <c r="AB13" s="292"/>
      <c r="AC13" s="292"/>
      <c r="AD13" s="292"/>
      <c r="AE13" s="292"/>
      <c r="AF13" s="292"/>
      <c r="AG13" s="292"/>
      <c r="AH13" s="292"/>
      <c r="AI13" s="292"/>
      <c r="AJ13" s="292"/>
      <c r="AK13" s="292"/>
      <c r="AL13" s="292"/>
      <c r="AM13" s="305"/>
      <c r="AN13" s="101"/>
      <c r="AR13" s="10"/>
    </row>
    <row r="14" spans="1:49" ht="14.9" customHeight="1" x14ac:dyDescent="0.25">
      <c r="B14" s="100"/>
      <c r="C14" s="329" t="str">
        <f>'AppB- Liquid or Multiphase Calc'!C13</f>
        <v>Line/Unit Number</v>
      </c>
      <c r="D14" s="329"/>
      <c r="E14" s="329"/>
      <c r="F14" s="329"/>
      <c r="G14" s="329"/>
      <c r="H14" s="329"/>
      <c r="I14" s="329"/>
      <c r="J14" s="329"/>
      <c r="K14" s="329"/>
      <c r="L14" s="329"/>
      <c r="M14" s="310" t="str">
        <f>'AppB- Liquid or Multiphase Calc'!T13</f>
        <v/>
      </c>
      <c r="N14" s="310"/>
      <c r="O14" s="310"/>
      <c r="P14" s="310"/>
      <c r="Q14" s="310"/>
      <c r="R14" s="310"/>
      <c r="S14" s="310"/>
      <c r="T14" s="310"/>
      <c r="U14" s="310"/>
      <c r="V14" s="310" t="str">
        <f>'AppB- Liquid or Multiphase Calc'!Z13</f>
        <v/>
      </c>
      <c r="W14" s="310"/>
      <c r="X14" s="310"/>
      <c r="Y14" s="310"/>
      <c r="Z14" s="310"/>
      <c r="AA14" s="310"/>
      <c r="AB14" s="310"/>
      <c r="AC14" s="310"/>
      <c r="AD14" s="310"/>
      <c r="AE14" s="310" t="str">
        <f>'AppB- Liquid or Multiphase Calc'!AF13</f>
        <v/>
      </c>
      <c r="AF14" s="310"/>
      <c r="AG14" s="310"/>
      <c r="AH14" s="310"/>
      <c r="AI14" s="310"/>
      <c r="AJ14" s="310"/>
      <c r="AK14" s="310"/>
      <c r="AL14" s="310"/>
      <c r="AM14" s="310"/>
      <c r="AN14" s="101"/>
      <c r="AR14" s="10"/>
    </row>
    <row r="15" spans="1:49" ht="14.9" customHeight="1" x14ac:dyDescent="0.25">
      <c r="B15" s="100"/>
      <c r="C15" s="329" t="str">
        <f>'AppB- Liquid or Multiphase Calc'!C16</f>
        <v>Nominal Pipe Diameter (mm)</v>
      </c>
      <c r="D15" s="329"/>
      <c r="E15" s="329"/>
      <c r="F15" s="329"/>
      <c r="G15" s="329"/>
      <c r="H15" s="329"/>
      <c r="I15" s="329"/>
      <c r="J15" s="329"/>
      <c r="K15" s="329"/>
      <c r="L15" s="329"/>
      <c r="M15" s="310">
        <f>'AppB- Liquid or Multiphase Calc'!T16</f>
        <v>200</v>
      </c>
      <c r="N15" s="310"/>
      <c r="O15" s="310"/>
      <c r="P15" s="310"/>
      <c r="Q15" s="310"/>
      <c r="R15" s="310"/>
      <c r="S15" s="310"/>
      <c r="T15" s="310"/>
      <c r="U15" s="310"/>
      <c r="V15" s="310">
        <f>'AppB- Liquid or Multiphase Calc'!Z16</f>
        <v>200</v>
      </c>
      <c r="W15" s="310"/>
      <c r="X15" s="310"/>
      <c r="Y15" s="310"/>
      <c r="Z15" s="310"/>
      <c r="AA15" s="310"/>
      <c r="AB15" s="310"/>
      <c r="AC15" s="310"/>
      <c r="AD15" s="310"/>
      <c r="AE15" s="310">
        <f>'AppB- Liquid or Multiphase Calc'!AF16</f>
        <v>200</v>
      </c>
      <c r="AF15" s="310"/>
      <c r="AG15" s="310"/>
      <c r="AH15" s="310"/>
      <c r="AI15" s="310"/>
      <c r="AJ15" s="310"/>
      <c r="AK15" s="310"/>
      <c r="AL15" s="310"/>
      <c r="AM15" s="310"/>
      <c r="AN15" s="101"/>
      <c r="AR15" s="10"/>
    </row>
    <row r="16" spans="1:49" ht="14.9" customHeight="1" x14ac:dyDescent="0.25">
      <c r="B16" s="100"/>
      <c r="C16" s="329" t="str">
        <f>'AppB- Liquid or Multiphase Calc'!C29</f>
        <v>Valve Type</v>
      </c>
      <c r="D16" s="329"/>
      <c r="E16" s="329"/>
      <c r="F16" s="329"/>
      <c r="G16" s="329"/>
      <c r="H16" s="329"/>
      <c r="I16" s="329"/>
      <c r="J16" s="329"/>
      <c r="K16" s="329"/>
      <c r="L16" s="329"/>
      <c r="M16" s="310" t="str">
        <f>'AppB- Liquid or Multiphase Calc'!T29</f>
        <v>Butterfly</v>
      </c>
      <c r="N16" s="310"/>
      <c r="O16" s="310"/>
      <c r="P16" s="310"/>
      <c r="Q16" s="310"/>
      <c r="R16" s="310"/>
      <c r="S16" s="310"/>
      <c r="T16" s="310"/>
      <c r="U16" s="310"/>
      <c r="V16" s="310" t="str">
        <f>'AppB- Liquid or Multiphase Calc'!Z29</f>
        <v>Gate</v>
      </c>
      <c r="W16" s="310"/>
      <c r="X16" s="310"/>
      <c r="Y16" s="310"/>
      <c r="Z16" s="310"/>
      <c r="AA16" s="310"/>
      <c r="AB16" s="310"/>
      <c r="AC16" s="310"/>
      <c r="AD16" s="310"/>
      <c r="AE16" s="310" t="str">
        <f>'AppB- Liquid or Multiphase Calc'!AF29</f>
        <v>Globe</v>
      </c>
      <c r="AF16" s="310"/>
      <c r="AG16" s="310"/>
      <c r="AH16" s="310"/>
      <c r="AI16" s="310"/>
      <c r="AJ16" s="310"/>
      <c r="AK16" s="310"/>
      <c r="AL16" s="310"/>
      <c r="AM16" s="310"/>
      <c r="AN16" s="101"/>
      <c r="AR16" s="10"/>
    </row>
    <row r="17" spans="2:44" ht="14.9" customHeight="1" x14ac:dyDescent="0.25">
      <c r="B17" s="100"/>
      <c r="C17" s="329" t="str">
        <f>'AppB- Liquid or Multiphase Calc'!C24</f>
        <v xml:space="preserve">Valve Closing Time (sec) </v>
      </c>
      <c r="D17" s="329"/>
      <c r="E17" s="329"/>
      <c r="F17" s="329"/>
      <c r="G17" s="329"/>
      <c r="H17" s="329"/>
      <c r="I17" s="329"/>
      <c r="J17" s="329"/>
      <c r="K17" s="329"/>
      <c r="L17" s="329"/>
      <c r="M17" s="310">
        <f>'AppB- Liquid or Multiphase Calc'!T24</f>
        <v>8</v>
      </c>
      <c r="N17" s="310"/>
      <c r="O17" s="310"/>
      <c r="P17" s="310"/>
      <c r="Q17" s="310"/>
      <c r="R17" s="310"/>
      <c r="S17" s="310"/>
      <c r="T17" s="310"/>
      <c r="U17" s="310"/>
      <c r="V17" s="310">
        <f>'AppB- Liquid or Multiphase Calc'!Z24</f>
        <v>8</v>
      </c>
      <c r="W17" s="310"/>
      <c r="X17" s="310"/>
      <c r="Y17" s="310"/>
      <c r="Z17" s="310"/>
      <c r="AA17" s="310"/>
      <c r="AB17" s="310"/>
      <c r="AC17" s="310"/>
      <c r="AD17" s="310"/>
      <c r="AE17" s="310">
        <f>'AppB- Liquid or Multiphase Calc'!AF24</f>
        <v>8</v>
      </c>
      <c r="AF17" s="310"/>
      <c r="AG17" s="310"/>
      <c r="AH17" s="310"/>
      <c r="AI17" s="310"/>
      <c r="AJ17" s="310"/>
      <c r="AK17" s="310"/>
      <c r="AL17" s="310"/>
      <c r="AM17" s="310"/>
      <c r="AN17" s="101"/>
      <c r="AR17" s="10"/>
    </row>
    <row r="18" spans="2:44" ht="14.9" customHeight="1" x14ac:dyDescent="0.25">
      <c r="B18" s="100"/>
      <c r="C18" s="329" t="str">
        <f>'AppB- Liquid or Multiphase Calc'!C33</f>
        <v>Support type</v>
      </c>
      <c r="D18" s="329"/>
      <c r="E18" s="329"/>
      <c r="F18" s="329"/>
      <c r="G18" s="329"/>
      <c r="H18" s="329"/>
      <c r="I18" s="329"/>
      <c r="J18" s="329"/>
      <c r="K18" s="329"/>
      <c r="L18" s="329"/>
      <c r="M18" s="310" t="str">
        <f>'AppB- Liquid or Multiphase Calc'!T33</f>
        <v>Medium Stiff</v>
      </c>
      <c r="N18" s="310"/>
      <c r="O18" s="310"/>
      <c r="P18" s="310"/>
      <c r="Q18" s="310"/>
      <c r="R18" s="310"/>
      <c r="S18" s="310"/>
      <c r="T18" s="310"/>
      <c r="U18" s="310"/>
      <c r="V18" s="310" t="str">
        <f>'AppB- Liquid or Multiphase Calc'!Z33</f>
        <v>Medium Stiff</v>
      </c>
      <c r="W18" s="310"/>
      <c r="X18" s="310"/>
      <c r="Y18" s="310"/>
      <c r="Z18" s="310"/>
      <c r="AA18" s="310"/>
      <c r="AB18" s="310"/>
      <c r="AC18" s="310"/>
      <c r="AD18" s="310"/>
      <c r="AE18" s="310" t="str">
        <f>'AppB- Liquid or Multiphase Calc'!AF33</f>
        <v>Medium Stiff</v>
      </c>
      <c r="AF18" s="310"/>
      <c r="AG18" s="310"/>
      <c r="AH18" s="310"/>
      <c r="AI18" s="310"/>
      <c r="AJ18" s="310"/>
      <c r="AK18" s="310"/>
      <c r="AL18" s="310"/>
      <c r="AM18" s="310"/>
      <c r="AN18" s="101"/>
      <c r="AR18" s="10"/>
    </row>
    <row r="19" spans="2:44" ht="14.9" customHeight="1" x14ac:dyDescent="0.25">
      <c r="B19" s="100"/>
      <c r="C19" s="309" t="str">
        <f>'AppB- Liquid or Multiphase Calc'!C30</f>
        <v>Is the Valve downstream of a pump</v>
      </c>
      <c r="D19" s="309"/>
      <c r="E19" s="309"/>
      <c r="F19" s="309"/>
      <c r="G19" s="309"/>
      <c r="H19" s="309"/>
      <c r="I19" s="309"/>
      <c r="J19" s="309"/>
      <c r="K19" s="309"/>
      <c r="L19" s="309"/>
      <c r="M19" s="310" t="str">
        <f>'AppB- Liquid or Multiphase Calc'!T30</f>
        <v>Yes</v>
      </c>
      <c r="N19" s="310"/>
      <c r="O19" s="310"/>
      <c r="P19" s="310"/>
      <c r="Q19" s="310"/>
      <c r="R19" s="310"/>
      <c r="S19" s="310"/>
      <c r="T19" s="310"/>
      <c r="U19" s="310"/>
      <c r="V19" s="310" t="str">
        <f>'AppB- Liquid or Multiphase Calc'!Z30</f>
        <v>Yes</v>
      </c>
      <c r="W19" s="310"/>
      <c r="X19" s="310"/>
      <c r="Y19" s="310"/>
      <c r="Z19" s="310"/>
      <c r="AA19" s="310"/>
      <c r="AB19" s="310"/>
      <c r="AC19" s="310"/>
      <c r="AD19" s="310"/>
      <c r="AE19" s="310" t="str">
        <f>'AppB- Liquid or Multiphase Calc'!AF30</f>
        <v>No</v>
      </c>
      <c r="AF19" s="310"/>
      <c r="AG19" s="310"/>
      <c r="AH19" s="310"/>
      <c r="AI19" s="310"/>
      <c r="AJ19" s="310"/>
      <c r="AK19" s="310"/>
      <c r="AL19" s="310"/>
      <c r="AM19" s="310"/>
      <c r="AN19" s="101"/>
      <c r="AR19" s="10"/>
    </row>
    <row r="20" spans="2:44" ht="14.9" customHeight="1" x14ac:dyDescent="0.25">
      <c r="B20" s="100"/>
      <c r="C20" s="309"/>
      <c r="D20" s="309"/>
      <c r="E20" s="309"/>
      <c r="F20" s="309"/>
      <c r="G20" s="309"/>
      <c r="H20" s="309"/>
      <c r="I20" s="309"/>
      <c r="J20" s="309"/>
      <c r="K20" s="309"/>
      <c r="L20" s="309"/>
      <c r="M20" s="310"/>
      <c r="N20" s="310"/>
      <c r="O20" s="310"/>
      <c r="P20" s="310"/>
      <c r="Q20" s="310"/>
      <c r="R20" s="310"/>
      <c r="S20" s="310"/>
      <c r="T20" s="310"/>
      <c r="U20" s="310"/>
      <c r="V20" s="310"/>
      <c r="W20" s="310"/>
      <c r="X20" s="310"/>
      <c r="Y20" s="310"/>
      <c r="Z20" s="310"/>
      <c r="AA20" s="310"/>
      <c r="AB20" s="310"/>
      <c r="AC20" s="310"/>
      <c r="AD20" s="310"/>
      <c r="AE20" s="310"/>
      <c r="AF20" s="310"/>
      <c r="AG20" s="310"/>
      <c r="AH20" s="310"/>
      <c r="AI20" s="310"/>
      <c r="AJ20" s="310"/>
      <c r="AK20" s="310"/>
      <c r="AL20" s="310"/>
      <c r="AM20" s="310"/>
      <c r="AN20" s="101"/>
      <c r="AR20" s="10"/>
    </row>
    <row r="21" spans="2:44" ht="14.9" customHeight="1" x14ac:dyDescent="0.25">
      <c r="B21" s="100"/>
      <c r="C21" s="291" t="s">
        <v>199</v>
      </c>
      <c r="D21" s="292"/>
      <c r="E21" s="292"/>
      <c r="F21" s="292"/>
      <c r="G21" s="292"/>
      <c r="H21" s="292"/>
      <c r="I21" s="292"/>
      <c r="J21" s="292"/>
      <c r="K21" s="292"/>
      <c r="L21" s="292"/>
      <c r="M21" s="292"/>
      <c r="N21" s="292"/>
      <c r="O21" s="292"/>
      <c r="P21" s="292"/>
      <c r="Q21" s="292"/>
      <c r="R21" s="292"/>
      <c r="S21" s="292"/>
      <c r="T21" s="292"/>
      <c r="U21" s="292"/>
      <c r="V21" s="292"/>
      <c r="W21" s="292"/>
      <c r="X21" s="292"/>
      <c r="Y21" s="292"/>
      <c r="Z21" s="292"/>
      <c r="AA21" s="292"/>
      <c r="AB21" s="292"/>
      <c r="AC21" s="292"/>
      <c r="AD21" s="292"/>
      <c r="AE21" s="292"/>
      <c r="AF21" s="292"/>
      <c r="AG21" s="292"/>
      <c r="AH21" s="292"/>
      <c r="AI21" s="292"/>
      <c r="AJ21" s="292"/>
      <c r="AK21" s="292"/>
      <c r="AL21" s="292"/>
      <c r="AM21" s="305"/>
      <c r="AN21" s="101"/>
      <c r="AR21" s="10"/>
    </row>
    <row r="22" spans="2:44" ht="14.9" customHeight="1" x14ac:dyDescent="0.25">
      <c r="B22" s="100"/>
      <c r="C22" s="296" t="s">
        <v>203</v>
      </c>
      <c r="D22" s="297"/>
      <c r="E22" s="297"/>
      <c r="F22" s="297"/>
      <c r="G22" s="297"/>
      <c r="H22" s="297"/>
      <c r="I22" s="297"/>
      <c r="J22" s="297"/>
      <c r="K22" s="297"/>
      <c r="L22" s="297"/>
      <c r="M22" s="294">
        <f>'AppB- Liquid or Multiphase Calc'!T42</f>
        <v>152.136158118938</v>
      </c>
      <c r="N22" s="295"/>
      <c r="O22" s="295"/>
      <c r="P22" s="295"/>
      <c r="Q22" s="295"/>
      <c r="R22" s="295"/>
      <c r="S22" s="295"/>
      <c r="T22" s="295"/>
      <c r="U22" s="295"/>
      <c r="V22" s="294">
        <f>'AppB- Liquid or Multiphase Calc'!Z42</f>
        <v>152.15976839525135</v>
      </c>
      <c r="W22" s="295"/>
      <c r="X22" s="295"/>
      <c r="Y22" s="295"/>
      <c r="Z22" s="295"/>
      <c r="AA22" s="295"/>
      <c r="AB22" s="295"/>
      <c r="AC22" s="295"/>
      <c r="AD22" s="295"/>
      <c r="AE22" s="294">
        <f>'AppB- Liquid or Multiphase Calc'!AF42</f>
        <v>152.15976839525135</v>
      </c>
      <c r="AF22" s="295"/>
      <c r="AG22" s="295"/>
      <c r="AH22" s="295"/>
      <c r="AI22" s="295"/>
      <c r="AJ22" s="295"/>
      <c r="AK22" s="295"/>
      <c r="AL22" s="295"/>
      <c r="AM22" s="295"/>
      <c r="AN22" s="101"/>
      <c r="AR22" s="10"/>
    </row>
    <row r="23" spans="2:44" ht="14.9" customHeight="1" x14ac:dyDescent="0.25">
      <c r="B23" s="100"/>
      <c r="C23" s="296" t="s">
        <v>204</v>
      </c>
      <c r="D23" s="297"/>
      <c r="E23" s="297"/>
      <c r="F23" s="297"/>
      <c r="G23" s="297"/>
      <c r="H23" s="297"/>
      <c r="I23" s="297"/>
      <c r="J23" s="297"/>
      <c r="K23" s="297"/>
      <c r="L23" s="298"/>
      <c r="M23" s="299">
        <f>'AppB- Liquid or Multiphase Calc'!T45</f>
        <v>19474.881060598625</v>
      </c>
      <c r="N23" s="307"/>
      <c r="O23" s="307"/>
      <c r="P23" s="307"/>
      <c r="Q23" s="307"/>
      <c r="R23" s="307"/>
      <c r="S23" s="307"/>
      <c r="T23" s="307"/>
      <c r="U23" s="308"/>
      <c r="V23" s="299">
        <f>'AppB- Liquid or Multiphase Calc'!Z45</f>
        <v>30643.784754874701</v>
      </c>
      <c r="W23" s="307"/>
      <c r="X23" s="307"/>
      <c r="Y23" s="307"/>
      <c r="Z23" s="307"/>
      <c r="AA23" s="307"/>
      <c r="AB23" s="307"/>
      <c r="AC23" s="307"/>
      <c r="AD23" s="308"/>
      <c r="AE23" s="299">
        <f>'AppB- Liquid or Multiphase Calc'!AF45</f>
        <v>24935.531411244367</v>
      </c>
      <c r="AF23" s="307"/>
      <c r="AG23" s="307"/>
      <c r="AH23" s="307"/>
      <c r="AI23" s="307"/>
      <c r="AJ23" s="307"/>
      <c r="AK23" s="307"/>
      <c r="AL23" s="307"/>
      <c r="AM23" s="308"/>
      <c r="AN23" s="101"/>
      <c r="AR23" s="10"/>
    </row>
    <row r="24" spans="2:44" ht="14.9" customHeight="1" x14ac:dyDescent="0.25">
      <c r="B24" s="100"/>
      <c r="C24" s="323" t="s">
        <v>205</v>
      </c>
      <c r="D24" s="324"/>
      <c r="E24" s="324"/>
      <c r="F24" s="324"/>
      <c r="G24" s="324"/>
      <c r="H24" s="324"/>
      <c r="I24" s="324"/>
      <c r="J24" s="324"/>
      <c r="K24" s="324"/>
      <c r="L24" s="325"/>
      <c r="M24" s="311">
        <f>'AppB- Liquid or Multiphase Calc'!T46</f>
        <v>18469474.8810606</v>
      </c>
      <c r="N24" s="312"/>
      <c r="O24" s="312"/>
      <c r="P24" s="312"/>
      <c r="Q24" s="312"/>
      <c r="R24" s="312"/>
      <c r="S24" s="312"/>
      <c r="T24" s="312"/>
      <c r="U24" s="313"/>
      <c r="V24" s="311">
        <f>'AppB- Liquid or Multiphase Calc'!Z46</f>
        <v>18480643.784754872</v>
      </c>
      <c r="W24" s="312"/>
      <c r="X24" s="312"/>
      <c r="Y24" s="312"/>
      <c r="Z24" s="312"/>
      <c r="AA24" s="312"/>
      <c r="AB24" s="312"/>
      <c r="AC24" s="312"/>
      <c r="AD24" s="313"/>
      <c r="AE24" s="311" t="str">
        <f>'AppB- Liquid or Multiphase Calc'!AF46</f>
        <v>-</v>
      </c>
      <c r="AF24" s="312"/>
      <c r="AG24" s="312"/>
      <c r="AH24" s="312"/>
      <c r="AI24" s="312"/>
      <c r="AJ24" s="312"/>
      <c r="AK24" s="312"/>
      <c r="AL24" s="312"/>
      <c r="AM24" s="313"/>
      <c r="AN24" s="101"/>
      <c r="AR24" s="10"/>
    </row>
    <row r="25" spans="2:44" ht="14.9" customHeight="1" x14ac:dyDescent="0.25">
      <c r="B25" s="100"/>
      <c r="C25" s="326"/>
      <c r="D25" s="327"/>
      <c r="E25" s="327"/>
      <c r="F25" s="327"/>
      <c r="G25" s="327"/>
      <c r="H25" s="327"/>
      <c r="I25" s="327"/>
      <c r="J25" s="327"/>
      <c r="K25" s="327"/>
      <c r="L25" s="328"/>
      <c r="M25" s="314"/>
      <c r="N25" s="315"/>
      <c r="O25" s="315"/>
      <c r="P25" s="315"/>
      <c r="Q25" s="315"/>
      <c r="R25" s="315"/>
      <c r="S25" s="315"/>
      <c r="T25" s="315"/>
      <c r="U25" s="316"/>
      <c r="V25" s="314"/>
      <c r="W25" s="315"/>
      <c r="X25" s="315"/>
      <c r="Y25" s="315"/>
      <c r="Z25" s="315"/>
      <c r="AA25" s="315"/>
      <c r="AB25" s="315"/>
      <c r="AC25" s="315"/>
      <c r="AD25" s="316"/>
      <c r="AE25" s="314"/>
      <c r="AF25" s="315"/>
      <c r="AG25" s="315"/>
      <c r="AH25" s="315"/>
      <c r="AI25" s="315"/>
      <c r="AJ25" s="315"/>
      <c r="AK25" s="315"/>
      <c r="AL25" s="315"/>
      <c r="AM25" s="316"/>
      <c r="AN25" s="101"/>
      <c r="AR25" s="10"/>
    </row>
    <row r="26" spans="2:44" ht="14.9" customHeight="1" x14ac:dyDescent="0.25">
      <c r="B26" s="100"/>
      <c r="C26" s="320" t="s">
        <v>203</v>
      </c>
      <c r="D26" s="321"/>
      <c r="E26" s="321"/>
      <c r="F26" s="321"/>
      <c r="G26" s="321"/>
      <c r="H26" s="321"/>
      <c r="I26" s="321"/>
      <c r="J26" s="321"/>
      <c r="K26" s="321"/>
      <c r="L26" s="322"/>
      <c r="M26" s="299">
        <f>'AppB- Liquid or Multiphase Calc'!T47</f>
        <v>0.65160450953468363</v>
      </c>
      <c r="N26" s="307"/>
      <c r="O26" s="307"/>
      <c r="P26" s="307"/>
      <c r="Q26" s="307"/>
      <c r="R26" s="307"/>
      <c r="S26" s="307"/>
      <c r="T26" s="307"/>
      <c r="U26" s="308"/>
      <c r="V26" s="299">
        <f>'AppB- Liquid or Multiphase Calc'!Z47</f>
        <v>0.76127571717614895</v>
      </c>
      <c r="W26" s="307"/>
      <c r="X26" s="307"/>
      <c r="Y26" s="307"/>
      <c r="Z26" s="307"/>
      <c r="AA26" s="307"/>
      <c r="AB26" s="307"/>
      <c r="AC26" s="307"/>
      <c r="AD26" s="308"/>
      <c r="AE26" s="299">
        <f>'AppB- Liquid or Multiphase Calc'!AF47</f>
        <v>0.619467037446924</v>
      </c>
      <c r="AF26" s="307"/>
      <c r="AG26" s="307"/>
      <c r="AH26" s="307"/>
      <c r="AI26" s="307"/>
      <c r="AJ26" s="307"/>
      <c r="AK26" s="307"/>
      <c r="AL26" s="307"/>
      <c r="AM26" s="308"/>
      <c r="AN26" s="101"/>
      <c r="AR26" s="10"/>
    </row>
    <row r="27" spans="2:44" ht="14.9" customHeight="1" x14ac:dyDescent="0.25">
      <c r="B27" s="100"/>
      <c r="C27" s="320" t="s">
        <v>206</v>
      </c>
      <c r="D27" s="321"/>
      <c r="E27" s="321"/>
      <c r="F27" s="321"/>
      <c r="G27" s="321"/>
      <c r="H27" s="321"/>
      <c r="I27" s="321"/>
      <c r="J27" s="321"/>
      <c r="K27" s="321"/>
      <c r="L27" s="322"/>
      <c r="M27" s="299">
        <f>'AppB- Liquid or Multiphase Calc'!T49</f>
        <v>6.4464186791661717</v>
      </c>
      <c r="N27" s="307"/>
      <c r="O27" s="307"/>
      <c r="P27" s="307"/>
      <c r="Q27" s="307"/>
      <c r="R27" s="307"/>
      <c r="S27" s="307"/>
      <c r="T27" s="307"/>
      <c r="U27" s="308"/>
      <c r="V27" s="299">
        <f>'AppB- Liquid or Multiphase Calc'!Z49</f>
        <v>17.495150551485093</v>
      </c>
      <c r="W27" s="307"/>
      <c r="X27" s="307"/>
      <c r="Y27" s="307"/>
      <c r="Z27" s="307"/>
      <c r="AA27" s="307"/>
      <c r="AB27" s="307"/>
      <c r="AC27" s="307"/>
      <c r="AD27" s="308"/>
      <c r="AE27" s="299">
        <f>'AppB- Liquid or Multiphase Calc'!AF49</f>
        <v>17.495150551485093</v>
      </c>
      <c r="AF27" s="307"/>
      <c r="AG27" s="307"/>
      <c r="AH27" s="307"/>
      <c r="AI27" s="307"/>
      <c r="AJ27" s="307"/>
      <c r="AK27" s="307"/>
      <c r="AL27" s="307"/>
      <c r="AM27" s="308"/>
      <c r="AN27" s="101"/>
      <c r="AR27" s="10"/>
    </row>
    <row r="28" spans="2:44" ht="42" customHeight="1" x14ac:dyDescent="0.25">
      <c r="B28" s="100"/>
      <c r="C28" s="320" t="str">
        <f>'AppB- Liquid or Multiphase Calc'!C50</f>
        <v>Likelihood of Failure (L.O.F.)</v>
      </c>
      <c r="D28" s="321"/>
      <c r="E28" s="321"/>
      <c r="F28" s="321"/>
      <c r="G28" s="321"/>
      <c r="H28" s="321"/>
      <c r="I28" s="321"/>
      <c r="J28" s="321"/>
      <c r="K28" s="321"/>
      <c r="L28" s="322"/>
      <c r="M28" s="317">
        <f>'AppB- Liquid or Multiphase Calc'!T50</f>
        <v>0.10108007902753333</v>
      </c>
      <c r="N28" s="318"/>
      <c r="O28" s="318"/>
      <c r="P28" s="318"/>
      <c r="Q28" s="318"/>
      <c r="R28" s="318"/>
      <c r="S28" s="318"/>
      <c r="T28" s="318"/>
      <c r="U28" s="319"/>
      <c r="V28" s="317">
        <f>'AppB- Liquid or Multiphase Calc'!Z50</f>
        <v>4.3513527645038033E-2</v>
      </c>
      <c r="W28" s="318"/>
      <c r="X28" s="318"/>
      <c r="Y28" s="318"/>
      <c r="Z28" s="318"/>
      <c r="AA28" s="318"/>
      <c r="AB28" s="318"/>
      <c r="AC28" s="318"/>
      <c r="AD28" s="319"/>
      <c r="AE28" s="317">
        <f>'AppB- Liquid or Multiphase Calc'!AF50</f>
        <v>3.5407928364145455E-2</v>
      </c>
      <c r="AF28" s="318"/>
      <c r="AG28" s="318"/>
      <c r="AH28" s="318"/>
      <c r="AI28" s="318"/>
      <c r="AJ28" s="318"/>
      <c r="AK28" s="318"/>
      <c r="AL28" s="318"/>
      <c r="AM28" s="319"/>
      <c r="AN28" s="101"/>
      <c r="AR28" s="10"/>
    </row>
    <row r="29" spans="2:44" ht="14.9" customHeight="1" x14ac:dyDescent="0.25">
      <c r="B29" s="100"/>
      <c r="C29" s="117"/>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101"/>
      <c r="AR29" s="10"/>
    </row>
    <row r="30" spans="2:44" ht="14.9" customHeight="1" x14ac:dyDescent="0.25">
      <c r="B30" s="100"/>
      <c r="C30" s="117"/>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101"/>
      <c r="AR30" s="10"/>
    </row>
    <row r="31" spans="2:44" ht="14.9" customHeight="1" x14ac:dyDescent="0.25">
      <c r="B31" s="10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101"/>
      <c r="AR31" s="10"/>
    </row>
    <row r="32" spans="2:44" ht="14.9" customHeight="1" x14ac:dyDescent="0.25">
      <c r="B32" s="10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101"/>
      <c r="AR32" s="10"/>
    </row>
    <row r="33" spans="2: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2: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2: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2: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2: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2: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2: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2: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2: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row>
    <row r="42" spans="2: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row>
    <row r="43" spans="2: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row>
    <row r="44" spans="2:44"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row>
    <row r="45" spans="2: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row>
    <row r="46" spans="2: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2: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2: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49" s="10" customFormat="1" ht="36" customHeight="1" x14ac:dyDescent="0.25">
      <c r="B49"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R49" s="7"/>
      <c r="AS49" s="7"/>
      <c r="AT49" s="7"/>
      <c r="AU49" s="7"/>
      <c r="AV49" s="7"/>
      <c r="AW49" s="7"/>
    </row>
    <row r="50" spans="2:49" s="10" customFormat="1" x14ac:dyDescent="0.25">
      <c r="AR50" s="7"/>
      <c r="AS50" s="7"/>
      <c r="AT50" s="7"/>
      <c r="AU50" s="7"/>
      <c r="AV50" s="7"/>
      <c r="AW50" s="7"/>
    </row>
    <row r="51" spans="2:49" s="10" customFormat="1" x14ac:dyDescent="0.25">
      <c r="AR51" s="7"/>
      <c r="AS51" s="7"/>
      <c r="AT51" s="7"/>
      <c r="AU51" s="7"/>
      <c r="AV51" s="7"/>
      <c r="AW51" s="7"/>
    </row>
    <row r="52" spans="2:49" s="10" customFormat="1" x14ac:dyDescent="0.25">
      <c r="AR52" s="7"/>
      <c r="AS52" s="7"/>
      <c r="AT52" s="7"/>
      <c r="AU52" s="7"/>
      <c r="AV52" s="7"/>
      <c r="AW52" s="7"/>
    </row>
    <row r="53" spans="2:49" s="10" customFormat="1" x14ac:dyDescent="0.25">
      <c r="AR53" s="7"/>
      <c r="AS53" s="7"/>
      <c r="AT53" s="7"/>
      <c r="AU53" s="7"/>
      <c r="AV53" s="7"/>
      <c r="AW53" s="7"/>
    </row>
    <row r="54" spans="2:49" s="10" customFormat="1" x14ac:dyDescent="0.25">
      <c r="AR54" s="7"/>
      <c r="AS54" s="7"/>
      <c r="AT54" s="7"/>
      <c r="AU54" s="7"/>
      <c r="AV54" s="7"/>
      <c r="AW54" s="7"/>
    </row>
    <row r="55" spans="2:49" s="10" customFormat="1" x14ac:dyDescent="0.25">
      <c r="AR55" s="7"/>
      <c r="AS55" s="7"/>
      <c r="AT55" s="7"/>
      <c r="AU55" s="7"/>
      <c r="AV55" s="7"/>
      <c r="AW55" s="7"/>
    </row>
    <row r="56" spans="2:49" s="10" customFormat="1" x14ac:dyDescent="0.25">
      <c r="AR56" s="7"/>
      <c r="AS56" s="7"/>
      <c r="AT56" s="7"/>
      <c r="AU56" s="7"/>
      <c r="AV56" s="7"/>
      <c r="AW56" s="7"/>
    </row>
    <row r="57" spans="2:49" s="10" customFormat="1" x14ac:dyDescent="0.25">
      <c r="AR57" s="7"/>
      <c r="AS57" s="7"/>
      <c r="AT57" s="7"/>
      <c r="AU57" s="7"/>
      <c r="AV57" s="7"/>
      <c r="AW57" s="7"/>
    </row>
    <row r="58" spans="2:49" s="10" customFormat="1" x14ac:dyDescent="0.25">
      <c r="AR58" s="7"/>
      <c r="AS58" s="7"/>
      <c r="AT58" s="7"/>
      <c r="AU58" s="7"/>
      <c r="AV58" s="7"/>
      <c r="AW58" s="7"/>
    </row>
    <row r="59" spans="2:49" s="10" customFormat="1" x14ac:dyDescent="0.25">
      <c r="AR59" s="7"/>
      <c r="AS59" s="7"/>
      <c r="AT59" s="7"/>
      <c r="AU59" s="7"/>
      <c r="AV59" s="7"/>
      <c r="AW59" s="7"/>
    </row>
    <row r="60" spans="2:49" s="10" customFormat="1" x14ac:dyDescent="0.25">
      <c r="AR60" s="7"/>
      <c r="AS60" s="7"/>
      <c r="AT60" s="7"/>
      <c r="AU60" s="7"/>
      <c r="AV60" s="7"/>
      <c r="AW60" s="7"/>
    </row>
    <row r="61" spans="2:49" s="10" customFormat="1" x14ac:dyDescent="0.25">
      <c r="AR61" s="7"/>
      <c r="AS61" s="7"/>
      <c r="AT61" s="7"/>
      <c r="AU61" s="7"/>
      <c r="AV61" s="7"/>
      <c r="AW61" s="7"/>
    </row>
    <row r="62" spans="2:49" s="10" customFormat="1" x14ac:dyDescent="0.25">
      <c r="AR62" s="7"/>
      <c r="AS62" s="7"/>
      <c r="AT62" s="7"/>
      <c r="AU62" s="7"/>
      <c r="AV62" s="7"/>
      <c r="AW62" s="7"/>
    </row>
    <row r="63" spans="2:49" s="10" customFormat="1" x14ac:dyDescent="0.25">
      <c r="AR63" s="7"/>
      <c r="AS63" s="7"/>
      <c r="AT63" s="7"/>
      <c r="AU63" s="7"/>
      <c r="AV63" s="7"/>
      <c r="AW63" s="7"/>
    </row>
    <row r="64" spans="2:49"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sheetData>
  <mergeCells count="100">
    <mergeCell ref="B3:G3"/>
    <mergeCell ref="I3:Z3"/>
    <mergeCell ref="AA3:AD3"/>
    <mergeCell ref="AE3:AN3"/>
    <mergeCell ref="B1:AN1"/>
    <mergeCell ref="B2:G2"/>
    <mergeCell ref="I2:Z2"/>
    <mergeCell ref="AA2:AD2"/>
    <mergeCell ref="AE2:AN2"/>
    <mergeCell ref="AL6:AN6"/>
    <mergeCell ref="B4:G4"/>
    <mergeCell ref="I4:Z4"/>
    <mergeCell ref="AA4:AD4"/>
    <mergeCell ref="AE4:AN4"/>
    <mergeCell ref="B5:H5"/>
    <mergeCell ref="I5:AN5"/>
    <mergeCell ref="B6:I6"/>
    <mergeCell ref="J6:AC6"/>
    <mergeCell ref="AD6:AF6"/>
    <mergeCell ref="AG6:AI6"/>
    <mergeCell ref="AJ6:AK6"/>
    <mergeCell ref="AK7:AN7"/>
    <mergeCell ref="B7:C7"/>
    <mergeCell ref="D7:F7"/>
    <mergeCell ref="G7:J7"/>
    <mergeCell ref="K7:N7"/>
    <mergeCell ref="O7:P7"/>
    <mergeCell ref="Q7:S7"/>
    <mergeCell ref="T7:W7"/>
    <mergeCell ref="X7:AA7"/>
    <mergeCell ref="AB7:AC7"/>
    <mergeCell ref="AD7:AF7"/>
    <mergeCell ref="AG7:AJ7"/>
    <mergeCell ref="C14:L14"/>
    <mergeCell ref="M14:U14"/>
    <mergeCell ref="V14:AD14"/>
    <mergeCell ref="AE14:AM14"/>
    <mergeCell ref="T8:W8"/>
    <mergeCell ref="X8:AA8"/>
    <mergeCell ref="AB8:AC8"/>
    <mergeCell ref="AD8:AF8"/>
    <mergeCell ref="AG8:AJ8"/>
    <mergeCell ref="AK8:AN8"/>
    <mergeCell ref="B8:C8"/>
    <mergeCell ref="D8:F8"/>
    <mergeCell ref="G8:J8"/>
    <mergeCell ref="K8:N8"/>
    <mergeCell ref="O8:P8"/>
    <mergeCell ref="Q8:S8"/>
    <mergeCell ref="C10:D10"/>
    <mergeCell ref="M12:U12"/>
    <mergeCell ref="V12:AD12"/>
    <mergeCell ref="AE12:AM12"/>
    <mergeCell ref="C13:AM13"/>
    <mergeCell ref="C17:L17"/>
    <mergeCell ref="M17:U17"/>
    <mergeCell ref="V17:AD17"/>
    <mergeCell ref="AE17:AM17"/>
    <mergeCell ref="C18:L18"/>
    <mergeCell ref="M18:U18"/>
    <mergeCell ref="V18:AD18"/>
    <mergeCell ref="AE18:AM18"/>
    <mergeCell ref="C15:L15"/>
    <mergeCell ref="M15:U15"/>
    <mergeCell ref="V15:AD15"/>
    <mergeCell ref="AE15:AM15"/>
    <mergeCell ref="C16:L16"/>
    <mergeCell ref="M16:U16"/>
    <mergeCell ref="V16:AD16"/>
    <mergeCell ref="AE16:AM16"/>
    <mergeCell ref="B49:AN49"/>
    <mergeCell ref="C23:L23"/>
    <mergeCell ref="V27:AD27"/>
    <mergeCell ref="AE27:AM27"/>
    <mergeCell ref="M28:U28"/>
    <mergeCell ref="V28:AD28"/>
    <mergeCell ref="AE28:AM28"/>
    <mergeCell ref="C26:L26"/>
    <mergeCell ref="C27:L27"/>
    <mergeCell ref="C28:L28"/>
    <mergeCell ref="M23:U23"/>
    <mergeCell ref="V23:AD23"/>
    <mergeCell ref="M27:U27"/>
    <mergeCell ref="C24:L25"/>
    <mergeCell ref="M24:U25"/>
    <mergeCell ref="V24:AD25"/>
    <mergeCell ref="AE23:AM23"/>
    <mergeCell ref="M26:U26"/>
    <mergeCell ref="V26:AD26"/>
    <mergeCell ref="AE26:AM26"/>
    <mergeCell ref="C19:L20"/>
    <mergeCell ref="M19:U20"/>
    <mergeCell ref="V19:AD20"/>
    <mergeCell ref="AE19:AM20"/>
    <mergeCell ref="C21:AM21"/>
    <mergeCell ref="C22:L22"/>
    <mergeCell ref="M22:U22"/>
    <mergeCell ref="V22:AD22"/>
    <mergeCell ref="AE22:AM22"/>
    <mergeCell ref="AE24:AM25"/>
  </mergeCells>
  <pageMargins left="0.78740157480314998" right="0.196850393700787" top="0.39370078740157499" bottom="0.62" header="0.196850393700787" footer="0.196850393700787"/>
  <pageSetup paperSize="9" scale="93" orientation="portrait" r:id="rId1"/>
  <headerFooter>
    <oddFooter>&amp;L&amp;"Calibri,Regular"&amp;11Copyright 2019, Worley
&amp;F&amp;R&amp;"Calibri,Regular"&amp;11Rev. 0, 01 December 2019</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pageSetUpPr fitToPage="1"/>
  </sheetPr>
  <dimension ref="A1:AW87"/>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1:4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4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13</v>
      </c>
      <c r="AH6" s="282"/>
      <c r="AI6" s="282"/>
      <c r="AJ6" s="274" t="s">
        <v>14</v>
      </c>
      <c r="AK6" s="274"/>
      <c r="AL6" s="256">
        <f>num_pages</f>
        <v>13</v>
      </c>
      <c r="AM6" s="256"/>
      <c r="AN6" s="257"/>
      <c r="AO6" s="17"/>
      <c r="AP6" s="17"/>
      <c r="AQ6" s="17"/>
    </row>
    <row r="7" spans="1:4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4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row>
    <row r="9" spans="1: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1:49" ht="14.9" customHeight="1" x14ac:dyDescent="0.25">
      <c r="B10" s="100"/>
      <c r="C10" s="287" t="str">
        <f>ToC!F24</f>
        <v>6.3</v>
      </c>
      <c r="D10" s="287"/>
      <c r="E10" s="108"/>
      <c r="F10" s="108" t="str">
        <f>ToC!H24</f>
        <v>Case Summary Liquid or Multiphase Rapid Valve Opening</v>
      </c>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1: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1:49" ht="14.9" customHeight="1" x14ac:dyDescent="0.3">
      <c r="B12" s="100"/>
      <c r="C12" s="106"/>
      <c r="D12" s="106"/>
      <c r="E12" s="106"/>
      <c r="F12" s="106"/>
      <c r="G12" s="106"/>
      <c r="H12" s="106"/>
      <c r="I12" s="106"/>
      <c r="J12" s="106"/>
      <c r="K12" s="106"/>
      <c r="L12" s="72"/>
      <c r="M12" s="306" t="str">
        <f>'APPC- Liquid or Multiphase Open'!T12</f>
        <v>CASE VII</v>
      </c>
      <c r="N12" s="306"/>
      <c r="O12" s="306"/>
      <c r="P12" s="306"/>
      <c r="Q12" s="306"/>
      <c r="R12" s="306"/>
      <c r="S12" s="306"/>
      <c r="T12" s="306"/>
      <c r="U12" s="306"/>
      <c r="V12" s="306" t="str">
        <f>'APPC- Liquid or Multiphase Open'!Z12</f>
        <v>CASE VIII</v>
      </c>
      <c r="W12" s="306"/>
      <c r="X12" s="306"/>
      <c r="Y12" s="306"/>
      <c r="Z12" s="306"/>
      <c r="AA12" s="306"/>
      <c r="AB12" s="306"/>
      <c r="AC12" s="306"/>
      <c r="AD12" s="306"/>
      <c r="AE12" s="306" t="str">
        <f>'APPC- Liquid or Multiphase Open'!AF12</f>
        <v>CASE IX</v>
      </c>
      <c r="AF12" s="306"/>
      <c r="AG12" s="306"/>
      <c r="AH12" s="306"/>
      <c r="AI12" s="306"/>
      <c r="AJ12" s="306"/>
      <c r="AK12" s="306"/>
      <c r="AL12" s="306"/>
      <c r="AM12" s="306"/>
      <c r="AN12" s="101"/>
      <c r="AR12" s="10"/>
    </row>
    <row r="13" spans="1:49" ht="14.9" customHeight="1" x14ac:dyDescent="0.25">
      <c r="B13" s="100"/>
      <c r="C13" s="291" t="s">
        <v>198</v>
      </c>
      <c r="D13" s="292"/>
      <c r="E13" s="292"/>
      <c r="F13" s="292"/>
      <c r="G13" s="292"/>
      <c r="H13" s="292"/>
      <c r="I13" s="292"/>
      <c r="J13" s="292"/>
      <c r="K13" s="292"/>
      <c r="L13" s="292"/>
      <c r="M13" s="292"/>
      <c r="N13" s="292"/>
      <c r="O13" s="292"/>
      <c r="P13" s="292"/>
      <c r="Q13" s="292"/>
      <c r="R13" s="292"/>
      <c r="S13" s="292"/>
      <c r="T13" s="292"/>
      <c r="U13" s="292"/>
      <c r="V13" s="292"/>
      <c r="W13" s="292"/>
      <c r="X13" s="292"/>
      <c r="Y13" s="292"/>
      <c r="Z13" s="292"/>
      <c r="AA13" s="292"/>
      <c r="AB13" s="292"/>
      <c r="AC13" s="292"/>
      <c r="AD13" s="292"/>
      <c r="AE13" s="292"/>
      <c r="AF13" s="292"/>
      <c r="AG13" s="292"/>
      <c r="AH13" s="292"/>
      <c r="AI13" s="292"/>
      <c r="AJ13" s="292"/>
      <c r="AK13" s="292"/>
      <c r="AL13" s="292"/>
      <c r="AM13" s="305"/>
      <c r="AN13" s="101"/>
      <c r="AR13" s="10"/>
    </row>
    <row r="14" spans="1:49" ht="14.9" customHeight="1" x14ac:dyDescent="0.25">
      <c r="B14" s="100"/>
      <c r="C14" s="330" t="str">
        <f>'APPC- Liquid or Multiphase Open'!C14</f>
        <v>Line/Unit Number</v>
      </c>
      <c r="D14" s="330"/>
      <c r="E14" s="330"/>
      <c r="F14" s="330"/>
      <c r="G14" s="330"/>
      <c r="H14" s="330"/>
      <c r="I14" s="330"/>
      <c r="J14" s="330"/>
      <c r="K14" s="330"/>
      <c r="L14" s="330"/>
      <c r="M14" s="303" t="str">
        <f>'APPC- Liquid or Multiphase Open'!T14</f>
        <v/>
      </c>
      <c r="N14" s="303"/>
      <c r="O14" s="303"/>
      <c r="P14" s="303"/>
      <c r="Q14" s="303"/>
      <c r="R14" s="303"/>
      <c r="S14" s="303"/>
      <c r="T14" s="303"/>
      <c r="U14" s="304"/>
      <c r="V14" s="302" t="str">
        <f>'APPC- Liquid or Multiphase Open'!Z14</f>
        <v/>
      </c>
      <c r="W14" s="303"/>
      <c r="X14" s="303"/>
      <c r="Y14" s="303"/>
      <c r="Z14" s="303"/>
      <c r="AA14" s="303"/>
      <c r="AB14" s="303"/>
      <c r="AC14" s="303"/>
      <c r="AD14" s="304"/>
      <c r="AE14" s="302" t="str">
        <f>'APPC- Liquid or Multiphase Open'!AF14</f>
        <v/>
      </c>
      <c r="AF14" s="303"/>
      <c r="AG14" s="303"/>
      <c r="AH14" s="303"/>
      <c r="AI14" s="303"/>
      <c r="AJ14" s="303"/>
      <c r="AK14" s="303"/>
      <c r="AL14" s="303"/>
      <c r="AM14" s="304"/>
      <c r="AN14" s="101"/>
      <c r="AR14" s="10"/>
    </row>
    <row r="15" spans="1:49" ht="14.9" customHeight="1" x14ac:dyDescent="0.25">
      <c r="B15" s="100"/>
      <c r="C15" s="330" t="str">
        <f>'APPC- Liquid or Multiphase Open'!C18:S18</f>
        <v>Nominal Pipe Diameter (mm)</v>
      </c>
      <c r="D15" s="330"/>
      <c r="E15" s="330"/>
      <c r="F15" s="330"/>
      <c r="G15" s="330"/>
      <c r="H15" s="330"/>
      <c r="I15" s="330"/>
      <c r="J15" s="330"/>
      <c r="K15" s="330"/>
      <c r="L15" s="330"/>
      <c r="M15" s="303">
        <f>'APPC- Liquid or Multiphase Open'!T18</f>
        <v>80</v>
      </c>
      <c r="N15" s="303"/>
      <c r="O15" s="303"/>
      <c r="P15" s="303"/>
      <c r="Q15" s="303"/>
      <c r="R15" s="303"/>
      <c r="S15" s="303"/>
      <c r="T15" s="303"/>
      <c r="U15" s="304"/>
      <c r="V15" s="302">
        <f>'APPC- Liquid or Multiphase Open'!Z18</f>
        <v>80</v>
      </c>
      <c r="W15" s="303"/>
      <c r="X15" s="303"/>
      <c r="Y15" s="303"/>
      <c r="Z15" s="303"/>
      <c r="AA15" s="303"/>
      <c r="AB15" s="303"/>
      <c r="AC15" s="303"/>
      <c r="AD15" s="304"/>
      <c r="AE15" s="302">
        <f>'APPC- Liquid or Multiphase Open'!AF18</f>
        <v>80</v>
      </c>
      <c r="AF15" s="303"/>
      <c r="AG15" s="303"/>
      <c r="AH15" s="303"/>
      <c r="AI15" s="303"/>
      <c r="AJ15" s="303"/>
      <c r="AK15" s="303"/>
      <c r="AL15" s="303"/>
      <c r="AM15" s="304"/>
      <c r="AN15" s="101"/>
      <c r="AR15" s="10"/>
    </row>
    <row r="16" spans="1:49" ht="14.9" customHeight="1" x14ac:dyDescent="0.25">
      <c r="B16" s="100"/>
      <c r="C16" s="330" t="str">
        <f>'APPC- Liquid or Multiphase Open'!C26</f>
        <v>Support Type</v>
      </c>
      <c r="D16" s="330"/>
      <c r="E16" s="330"/>
      <c r="F16" s="330"/>
      <c r="G16" s="330"/>
      <c r="H16" s="330"/>
      <c r="I16" s="330"/>
      <c r="J16" s="330"/>
      <c r="K16" s="330"/>
      <c r="L16" s="330"/>
      <c r="M16" s="303" t="str">
        <f>'APPC- Liquid or Multiphase Open'!T26</f>
        <v>Medium</v>
      </c>
      <c r="N16" s="303"/>
      <c r="O16" s="303"/>
      <c r="P16" s="303"/>
      <c r="Q16" s="303"/>
      <c r="R16" s="303"/>
      <c r="S16" s="303"/>
      <c r="T16" s="303"/>
      <c r="U16" s="304"/>
      <c r="V16" s="302" t="str">
        <f>'APPC- Liquid or Multiphase Open'!Z26</f>
        <v>Medium</v>
      </c>
      <c r="W16" s="303"/>
      <c r="X16" s="303"/>
      <c r="Y16" s="303"/>
      <c r="Z16" s="303"/>
      <c r="AA16" s="303"/>
      <c r="AB16" s="303"/>
      <c r="AC16" s="303"/>
      <c r="AD16" s="304"/>
      <c r="AE16" s="302" t="str">
        <f>'APPC- Liquid or Multiphase Open'!AF26</f>
        <v>Medium</v>
      </c>
      <c r="AF16" s="303"/>
      <c r="AG16" s="303"/>
      <c r="AH16" s="303"/>
      <c r="AI16" s="303"/>
      <c r="AJ16" s="303"/>
      <c r="AK16" s="303"/>
      <c r="AL16" s="303"/>
      <c r="AM16" s="304"/>
      <c r="AN16" s="101"/>
      <c r="AR16" s="10"/>
    </row>
    <row r="17" spans="2:44" ht="14.9" customHeight="1" x14ac:dyDescent="0.25">
      <c r="B17" s="100"/>
      <c r="C17" s="291" t="s">
        <v>199</v>
      </c>
      <c r="D17" s="292"/>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c r="AG17" s="292"/>
      <c r="AH17" s="292"/>
      <c r="AI17" s="292"/>
      <c r="AJ17" s="292"/>
      <c r="AK17" s="292"/>
      <c r="AL17" s="292"/>
      <c r="AM17" s="305"/>
      <c r="AN17" s="101"/>
      <c r="AR17" s="10"/>
    </row>
    <row r="18" spans="2:44" ht="14.9" customHeight="1" x14ac:dyDescent="0.25">
      <c r="B18" s="100"/>
      <c r="C18" s="296" t="s">
        <v>200</v>
      </c>
      <c r="D18" s="297"/>
      <c r="E18" s="297"/>
      <c r="F18" s="297"/>
      <c r="G18" s="297"/>
      <c r="H18" s="297"/>
      <c r="I18" s="297"/>
      <c r="J18" s="297"/>
      <c r="K18" s="297"/>
      <c r="L18" s="297"/>
      <c r="M18" s="294">
        <f>'APPC- Liquid or Multiphase Open'!T30</f>
        <v>10.793624740960466</v>
      </c>
      <c r="N18" s="295"/>
      <c r="O18" s="295"/>
      <c r="P18" s="295"/>
      <c r="Q18" s="295"/>
      <c r="R18" s="295"/>
      <c r="S18" s="295"/>
      <c r="T18" s="295"/>
      <c r="U18" s="295"/>
      <c r="V18" s="294">
        <f>'APPC- Liquid or Multiphase Open'!Z30</f>
        <v>10.793624740960466</v>
      </c>
      <c r="W18" s="295"/>
      <c r="X18" s="295"/>
      <c r="Y18" s="295"/>
      <c r="Z18" s="295"/>
      <c r="AA18" s="295"/>
      <c r="AB18" s="295"/>
      <c r="AC18" s="295"/>
      <c r="AD18" s="295"/>
      <c r="AE18" s="294">
        <f>'APPC- Liquid or Multiphase Open'!AF30</f>
        <v>10.793624740960466</v>
      </c>
      <c r="AF18" s="295"/>
      <c r="AG18" s="295"/>
      <c r="AH18" s="295"/>
      <c r="AI18" s="295"/>
      <c r="AJ18" s="295"/>
      <c r="AK18" s="295"/>
      <c r="AL18" s="295"/>
      <c r="AM18" s="295"/>
      <c r="AN18" s="101"/>
      <c r="AR18" s="10"/>
    </row>
    <row r="19" spans="2:44" ht="14.9" customHeight="1" x14ac:dyDescent="0.25">
      <c r="B19" s="100"/>
      <c r="C19" s="296" t="s">
        <v>201</v>
      </c>
      <c r="D19" s="297"/>
      <c r="E19" s="297"/>
      <c r="F19" s="297"/>
      <c r="G19" s="297"/>
      <c r="H19" s="297"/>
      <c r="I19" s="297"/>
      <c r="J19" s="297"/>
      <c r="K19" s="297"/>
      <c r="L19" s="298"/>
      <c r="M19" s="299">
        <f>'APPC- Liquid or Multiphase Open'!T32</f>
        <v>0.30155059967508774</v>
      </c>
      <c r="N19" s="300"/>
      <c r="O19" s="300"/>
      <c r="P19" s="300"/>
      <c r="Q19" s="300"/>
      <c r="R19" s="300"/>
      <c r="S19" s="300"/>
      <c r="T19" s="300"/>
      <c r="U19" s="301"/>
      <c r="V19" s="299">
        <f>'APPC- Liquid or Multiphase Open'!Z32</f>
        <v>0.30155059967508774</v>
      </c>
      <c r="W19" s="300"/>
      <c r="X19" s="300"/>
      <c r="Y19" s="300"/>
      <c r="Z19" s="300"/>
      <c r="AA19" s="300"/>
      <c r="AB19" s="300"/>
      <c r="AC19" s="300"/>
      <c r="AD19" s="301"/>
      <c r="AE19" s="299">
        <f>'APPC- Liquid or Multiphase Open'!AF32</f>
        <v>0.30155059967508774</v>
      </c>
      <c r="AF19" s="300"/>
      <c r="AG19" s="300"/>
      <c r="AH19" s="300"/>
      <c r="AI19" s="300"/>
      <c r="AJ19" s="300"/>
      <c r="AK19" s="300"/>
      <c r="AL19" s="300"/>
      <c r="AM19" s="301"/>
      <c r="AN19" s="101"/>
      <c r="AR19" s="10"/>
    </row>
    <row r="20" spans="2:44" ht="14.9" customHeight="1" x14ac:dyDescent="0.25">
      <c r="B20" s="100"/>
      <c r="C20" s="296" t="str">
        <f>'APPC- Liquid or Multiphase Open'!C33</f>
        <v>Likelihood of Failure (L.O.F.)</v>
      </c>
      <c r="D20" s="297"/>
      <c r="E20" s="297"/>
      <c r="F20" s="297"/>
      <c r="G20" s="297"/>
      <c r="H20" s="297"/>
      <c r="I20" s="297"/>
      <c r="J20" s="297"/>
      <c r="K20" s="297"/>
      <c r="L20" s="297"/>
      <c r="M20" s="293">
        <f>'APPC- Liquid or Multiphase Open'!T33</f>
        <v>35.79374324770135</v>
      </c>
      <c r="N20" s="293"/>
      <c r="O20" s="293"/>
      <c r="P20" s="293"/>
      <c r="Q20" s="293"/>
      <c r="R20" s="293"/>
      <c r="S20" s="293"/>
      <c r="T20" s="293"/>
      <c r="U20" s="293"/>
      <c r="V20" s="293">
        <f>'APPC- Liquid or Multiphase Open'!Z33</f>
        <v>35.79374324770135</v>
      </c>
      <c r="W20" s="293"/>
      <c r="X20" s="293"/>
      <c r="Y20" s="293"/>
      <c r="Z20" s="293"/>
      <c r="AA20" s="293"/>
      <c r="AB20" s="293"/>
      <c r="AC20" s="293"/>
      <c r="AD20" s="293"/>
      <c r="AE20" s="293">
        <f>'APPC- Liquid or Multiphase Open'!AF33</f>
        <v>35.79374324770135</v>
      </c>
      <c r="AF20" s="293"/>
      <c r="AG20" s="293"/>
      <c r="AH20" s="293"/>
      <c r="AI20" s="293"/>
      <c r="AJ20" s="293"/>
      <c r="AK20" s="293"/>
      <c r="AL20" s="293"/>
      <c r="AM20" s="293"/>
      <c r="AN20" s="101"/>
      <c r="AR20" s="10"/>
    </row>
    <row r="21" spans="2:44" ht="14.9" customHeight="1" x14ac:dyDescent="0.25">
      <c r="B21" s="100"/>
      <c r="C21" s="117"/>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101"/>
      <c r="AR21" s="10"/>
    </row>
    <row r="22" spans="2:44" ht="14.9" customHeight="1" x14ac:dyDescent="0.25">
      <c r="B22" s="100"/>
      <c r="C22" s="117"/>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101"/>
      <c r="AR22" s="10"/>
    </row>
    <row r="23" spans="2:44" ht="14.9" customHeight="1" x14ac:dyDescent="0.25">
      <c r="B23" s="10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101"/>
      <c r="AR23" s="10"/>
    </row>
    <row r="24" spans="2:44" ht="14.9" customHeight="1" x14ac:dyDescent="0.25">
      <c r="B24" s="10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101"/>
      <c r="AR24" s="10"/>
    </row>
    <row r="25" spans="2:44" ht="14.9" customHeight="1" x14ac:dyDescent="0.25">
      <c r="B25" s="10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101"/>
      <c r="AR25" s="10"/>
    </row>
    <row r="26" spans="2:44" ht="14.9" customHeight="1" x14ac:dyDescent="0.25">
      <c r="B26" s="10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101"/>
      <c r="AR26" s="10"/>
    </row>
    <row r="27" spans="2:44" ht="14.9" customHeight="1" x14ac:dyDescent="0.25">
      <c r="B27" s="10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101"/>
      <c r="AR27" s="10"/>
    </row>
    <row r="28" spans="2:44" ht="14.9" customHeight="1" x14ac:dyDescent="0.25">
      <c r="B28" s="10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101"/>
      <c r="AR28" s="10"/>
    </row>
    <row r="29" spans="2:44" ht="14.9" customHeight="1" x14ac:dyDescent="0.25">
      <c r="B29" s="10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101"/>
      <c r="AR29" s="10"/>
    </row>
    <row r="30" spans="2:44" ht="14.9" customHeight="1" x14ac:dyDescent="0.25">
      <c r="B30" s="10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101"/>
      <c r="AR30" s="10"/>
    </row>
    <row r="31" spans="2:44" ht="14.9" customHeight="1" x14ac:dyDescent="0.25">
      <c r="B31" s="10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101"/>
      <c r="AR31" s="10"/>
    </row>
    <row r="32" spans="2:44" ht="14.9" customHeight="1" x14ac:dyDescent="0.25">
      <c r="B32" s="10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101"/>
      <c r="AR32" s="10"/>
    </row>
    <row r="33" spans="1: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1: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1: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1: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1: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1: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1: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1: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1: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row>
    <row r="42" spans="1: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row>
    <row r="43" spans="1: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row>
    <row r="44" spans="1:44" ht="14.9" customHeight="1" x14ac:dyDescent="0.25">
      <c r="A44" s="70"/>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row>
    <row r="45" spans="1: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row>
    <row r="46" spans="1: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1: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1: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44" ht="15.75"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10"/>
    </row>
    <row r="50" spans="2:44" ht="14.9" customHeight="1" x14ac:dyDescent="0.25">
      <c r="B50" s="100"/>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101"/>
      <c r="AR50" s="10"/>
    </row>
    <row r="51" spans="2:44" ht="14.9" customHeight="1" x14ac:dyDescent="0.25">
      <c r="B51" s="100"/>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101"/>
      <c r="AR51" s="10"/>
    </row>
    <row r="52" spans="2:44" ht="14.9" customHeight="1" x14ac:dyDescent="0.25">
      <c r="B52" s="100"/>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101"/>
      <c r="AR52" s="10"/>
    </row>
    <row r="53" spans="2:44" ht="14.9" customHeight="1" x14ac:dyDescent="0.25">
      <c r="B53" s="100"/>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101"/>
      <c r="AR53" s="10"/>
    </row>
    <row r="54" spans="2:44" ht="14.9" customHeight="1" x14ac:dyDescent="0.25">
      <c r="B54" s="100"/>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101"/>
      <c r="AR54" s="10"/>
    </row>
    <row r="55" spans="2:44" ht="14.9" customHeight="1" x14ac:dyDescent="0.25">
      <c r="B55" s="100"/>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101"/>
      <c r="AR55" s="10"/>
    </row>
    <row r="56" spans="2:44" ht="14.9" customHeight="1" x14ac:dyDescent="0.25">
      <c r="B56" s="100"/>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101"/>
      <c r="AR56" s="10"/>
    </row>
    <row r="57" spans="2:44" ht="14.9" customHeight="1" x14ac:dyDescent="0.25">
      <c r="B57" s="100"/>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101"/>
      <c r="AR57" s="10"/>
    </row>
    <row r="58" spans="2:44" ht="14.9" customHeight="1" x14ac:dyDescent="0.25">
      <c r="B58" s="100"/>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101"/>
      <c r="AR58" s="10"/>
    </row>
    <row r="59" spans="2:44" ht="14.9" customHeight="1" x14ac:dyDescent="0.25">
      <c r="B59" s="100"/>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101"/>
      <c r="AR59" s="10"/>
    </row>
    <row r="60" spans="2:44" ht="14.9" customHeight="1" x14ac:dyDescent="0.25">
      <c r="B60" s="100"/>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101"/>
      <c r="AR60" s="10"/>
    </row>
    <row r="61" spans="2:44" ht="14.9" customHeight="1" x14ac:dyDescent="0.25">
      <c r="B61" s="100"/>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101"/>
      <c r="AR61" s="10"/>
    </row>
    <row r="62" spans="2:44" ht="14.9" customHeight="1" x14ac:dyDescent="0.25">
      <c r="B62" s="100"/>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101"/>
      <c r="AR62" s="10"/>
    </row>
    <row r="63" spans="2:44" ht="14.9" customHeight="1" x14ac:dyDescent="0.25">
      <c r="B63" s="100"/>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101"/>
      <c r="AR63" s="10"/>
    </row>
    <row r="64" spans="2:44" ht="14.9" customHeight="1" x14ac:dyDescent="0.25">
      <c r="B64" s="100"/>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101"/>
      <c r="AR64" s="10"/>
    </row>
    <row r="65" spans="2:49" s="10" customFormat="1" ht="36" customHeight="1" x14ac:dyDescent="0.25">
      <c r="B65"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250"/>
      <c r="AK65" s="250"/>
      <c r="AL65" s="250"/>
      <c r="AM65" s="250"/>
      <c r="AN65" s="250"/>
      <c r="AR65" s="7"/>
      <c r="AS65" s="7"/>
      <c r="AT65" s="7"/>
      <c r="AU65" s="7"/>
      <c r="AV65" s="7"/>
      <c r="AW65" s="7"/>
    </row>
    <row r="66" spans="2:49" s="10" customFormat="1" x14ac:dyDescent="0.25">
      <c r="AR66" s="7"/>
      <c r="AS66" s="7"/>
      <c r="AT66" s="7"/>
      <c r="AU66" s="7"/>
      <c r="AV66" s="7"/>
      <c r="AW66" s="7"/>
    </row>
    <row r="67" spans="2:49" s="10" customFormat="1" x14ac:dyDescent="0.25">
      <c r="AR67" s="7"/>
      <c r="AS67" s="7"/>
      <c r="AT67" s="7"/>
      <c r="AU67" s="7"/>
      <c r="AV67" s="7"/>
      <c r="AW67" s="7"/>
    </row>
    <row r="68" spans="2:49" s="10" customFormat="1" x14ac:dyDescent="0.25">
      <c r="AR68" s="7"/>
      <c r="AS68" s="7"/>
      <c r="AT68" s="7"/>
      <c r="AU68" s="7"/>
      <c r="AV68" s="7"/>
      <c r="AW68" s="7"/>
    </row>
    <row r="69" spans="2:49" s="10" customFormat="1" x14ac:dyDescent="0.25">
      <c r="AR69" s="7"/>
      <c r="AS69" s="7"/>
      <c r="AT69" s="7"/>
      <c r="AU69" s="7"/>
      <c r="AV69" s="7"/>
      <c r="AW69" s="7"/>
    </row>
    <row r="70" spans="2:49" s="10" customFormat="1" x14ac:dyDescent="0.25">
      <c r="AR70" s="7"/>
      <c r="AS70" s="7"/>
      <c r="AT70" s="7"/>
      <c r="AU70" s="7"/>
      <c r="AV70" s="7"/>
      <c r="AW70" s="7"/>
    </row>
    <row r="71" spans="2:49" s="10" customFormat="1" x14ac:dyDescent="0.25">
      <c r="AR71" s="7"/>
      <c r="AS71" s="7"/>
      <c r="AT71" s="7"/>
      <c r="AU71" s="7"/>
      <c r="AV71" s="7"/>
      <c r="AW71" s="7"/>
    </row>
    <row r="72" spans="2:49" s="10" customFormat="1" x14ac:dyDescent="0.25">
      <c r="AR72" s="7"/>
      <c r="AS72" s="7"/>
      <c r="AT72" s="7"/>
      <c r="AU72" s="7"/>
      <c r="AV72" s="7"/>
      <c r="AW72" s="7"/>
    </row>
    <row r="73" spans="2:49" s="10" customFormat="1" x14ac:dyDescent="0.25">
      <c r="AR73" s="7"/>
      <c r="AS73" s="7"/>
      <c r="AT73" s="7"/>
      <c r="AU73" s="7"/>
      <c r="AV73" s="7"/>
      <c r="AW73" s="7"/>
    </row>
    <row r="74" spans="2:49" s="10" customFormat="1" x14ac:dyDescent="0.25">
      <c r="AR74" s="7"/>
      <c r="AS74" s="7"/>
      <c r="AT74" s="7"/>
      <c r="AU74" s="7"/>
      <c r="AV74" s="7"/>
      <c r="AW74" s="7"/>
    </row>
    <row r="75" spans="2:49" s="10" customFormat="1" x14ac:dyDescent="0.25">
      <c r="AR75" s="7"/>
      <c r="AS75" s="7"/>
      <c r="AT75" s="7"/>
      <c r="AU75" s="7"/>
      <c r="AV75" s="7"/>
      <c r="AW75" s="7"/>
    </row>
    <row r="76" spans="2:49" s="10" customFormat="1" x14ac:dyDescent="0.25">
      <c r="AR76" s="7"/>
      <c r="AS76" s="7"/>
      <c r="AT76" s="7"/>
      <c r="AU76" s="7"/>
      <c r="AV76" s="7"/>
      <c r="AW76" s="7"/>
    </row>
    <row r="77" spans="2:49" s="10" customFormat="1" x14ac:dyDescent="0.25">
      <c r="AR77" s="7"/>
      <c r="AS77" s="7"/>
      <c r="AT77" s="7"/>
      <c r="AU77" s="7"/>
      <c r="AV77" s="7"/>
      <c r="AW77" s="7"/>
    </row>
    <row r="78" spans="2:49" s="10" customFormat="1" x14ac:dyDescent="0.25">
      <c r="AR78" s="7"/>
      <c r="AS78" s="7"/>
      <c r="AT78" s="7"/>
      <c r="AU78" s="7"/>
      <c r="AV78" s="7"/>
      <c r="AW78" s="7"/>
    </row>
    <row r="79" spans="2:49" s="10" customFormat="1" x14ac:dyDescent="0.25">
      <c r="AR79" s="7"/>
      <c r="AS79" s="7"/>
      <c r="AT79" s="7"/>
      <c r="AU79" s="7"/>
      <c r="AV79" s="7"/>
      <c r="AW79" s="7"/>
    </row>
    <row r="80" spans="2:49" s="10" customFormat="1" x14ac:dyDescent="0.25">
      <c r="AR80" s="7"/>
      <c r="AS80" s="7"/>
      <c r="AT80" s="7"/>
      <c r="AU80" s="7"/>
      <c r="AV80" s="7"/>
      <c r="AW80" s="7"/>
    </row>
    <row r="81" spans="44:49" s="10" customFormat="1" x14ac:dyDescent="0.25">
      <c r="AR81" s="7"/>
      <c r="AS81" s="7"/>
      <c r="AT81" s="7"/>
      <c r="AU81" s="7"/>
      <c r="AV81" s="7"/>
      <c r="AW81" s="7"/>
    </row>
    <row r="82" spans="44:49" s="10" customFormat="1" x14ac:dyDescent="0.25">
      <c r="AR82" s="7"/>
      <c r="AS82" s="7"/>
      <c r="AT82" s="7"/>
      <c r="AU82" s="7"/>
      <c r="AV82" s="7"/>
      <c r="AW82" s="7"/>
    </row>
    <row r="83" spans="44:49" s="10" customFormat="1" x14ac:dyDescent="0.25">
      <c r="AR83" s="7"/>
      <c r="AS83" s="7"/>
      <c r="AT83" s="7"/>
      <c r="AU83" s="7"/>
      <c r="AV83" s="7"/>
      <c r="AW83" s="7"/>
    </row>
    <row r="84" spans="44:49" s="10" customFormat="1" x14ac:dyDescent="0.25">
      <c r="AR84" s="7"/>
      <c r="AS84" s="7"/>
      <c r="AT84" s="7"/>
      <c r="AU84" s="7"/>
      <c r="AV84" s="7"/>
      <c r="AW84" s="7"/>
    </row>
    <row r="85" spans="44:49" s="10" customFormat="1" x14ac:dyDescent="0.25">
      <c r="AR85" s="7"/>
      <c r="AS85" s="7"/>
      <c r="AT85" s="7"/>
      <c r="AU85" s="7"/>
      <c r="AV85" s="7"/>
      <c r="AW85" s="7"/>
    </row>
    <row r="86" spans="44:49" s="10" customFormat="1" x14ac:dyDescent="0.25">
      <c r="AR86" s="7"/>
      <c r="AS86" s="7"/>
      <c r="AT86" s="7"/>
      <c r="AU86" s="7"/>
      <c r="AV86" s="7"/>
      <c r="AW86" s="7"/>
    </row>
    <row r="87" spans="44:49" s="10" customFormat="1" x14ac:dyDescent="0.25">
      <c r="AR87" s="7"/>
      <c r="AS87" s="7"/>
      <c r="AT87" s="7"/>
      <c r="AU87" s="7"/>
      <c r="AV87" s="7"/>
      <c r="AW87" s="7"/>
    </row>
  </sheetData>
  <mergeCells count="76">
    <mergeCell ref="B3:G3"/>
    <mergeCell ref="I3:Z3"/>
    <mergeCell ref="AA3:AD3"/>
    <mergeCell ref="AE3:AN3"/>
    <mergeCell ref="B1:AN1"/>
    <mergeCell ref="B2:G2"/>
    <mergeCell ref="I2:Z2"/>
    <mergeCell ref="AA2:AD2"/>
    <mergeCell ref="AE2:AN2"/>
    <mergeCell ref="AL6:AN6"/>
    <mergeCell ref="B4:G4"/>
    <mergeCell ref="I4:Z4"/>
    <mergeCell ref="AA4:AD4"/>
    <mergeCell ref="AE4:AN4"/>
    <mergeCell ref="B5:H5"/>
    <mergeCell ref="I5:AN5"/>
    <mergeCell ref="B6:I6"/>
    <mergeCell ref="J6:AC6"/>
    <mergeCell ref="AD6:AF6"/>
    <mergeCell ref="AG6:AI6"/>
    <mergeCell ref="AJ6:AK6"/>
    <mergeCell ref="AK7:AN7"/>
    <mergeCell ref="B7:C7"/>
    <mergeCell ref="D7:F7"/>
    <mergeCell ref="G7:J7"/>
    <mergeCell ref="K7:N7"/>
    <mergeCell ref="O7:P7"/>
    <mergeCell ref="Q7:S7"/>
    <mergeCell ref="T7:W7"/>
    <mergeCell ref="X7:AA7"/>
    <mergeCell ref="AB7:AC7"/>
    <mergeCell ref="AD7:AF7"/>
    <mergeCell ref="AG7:AJ7"/>
    <mergeCell ref="AK8:AN8"/>
    <mergeCell ref="B8:C8"/>
    <mergeCell ref="D8:F8"/>
    <mergeCell ref="G8:J8"/>
    <mergeCell ref="K8:N8"/>
    <mergeCell ref="O8:P8"/>
    <mergeCell ref="Q8:S8"/>
    <mergeCell ref="T8:W8"/>
    <mergeCell ref="X8:AA8"/>
    <mergeCell ref="AB8:AC8"/>
    <mergeCell ref="AD8:AF8"/>
    <mergeCell ref="AG8:AJ8"/>
    <mergeCell ref="C17:AM17"/>
    <mergeCell ref="C18:L18"/>
    <mergeCell ref="M18:U18"/>
    <mergeCell ref="V18:AD18"/>
    <mergeCell ref="C10:D10"/>
    <mergeCell ref="M12:U12"/>
    <mergeCell ref="V12:AD12"/>
    <mergeCell ref="AE12:AM12"/>
    <mergeCell ref="C13:AM13"/>
    <mergeCell ref="C14:L14"/>
    <mergeCell ref="M14:U14"/>
    <mergeCell ref="V14:AD14"/>
    <mergeCell ref="AE14:AM14"/>
    <mergeCell ref="C15:L15"/>
    <mergeCell ref="M15:U15"/>
    <mergeCell ref="V15:AD15"/>
    <mergeCell ref="AE15:AM15"/>
    <mergeCell ref="C16:L16"/>
    <mergeCell ref="M16:U16"/>
    <mergeCell ref="V16:AD16"/>
    <mergeCell ref="AE16:AM16"/>
    <mergeCell ref="B65:AN65"/>
    <mergeCell ref="AE18:AM18"/>
    <mergeCell ref="C20:L20"/>
    <mergeCell ref="M20:U20"/>
    <mergeCell ref="V20:AD20"/>
    <mergeCell ref="AE20:AM20"/>
    <mergeCell ref="C19:L19"/>
    <mergeCell ref="M19:U19"/>
    <mergeCell ref="V19:AD19"/>
    <mergeCell ref="AE19:AM19"/>
  </mergeCells>
  <pageMargins left="0.78740157480314998" right="0.196850393700787" top="0.39370078740157499" bottom="0.62" header="0.196850393700787" footer="0.196850393700787"/>
  <pageSetup paperSize="9" scale="74" orientation="portrait" r:id="rId1"/>
  <headerFooter>
    <oddFooter>&amp;L&amp;"Calibri,Regular"&amp;11Copyright 2019, Worley
&amp;F&amp;R&amp;"Calibri,Regular"&amp;11Rev. 0, 01 December 2019</oddFooter>
  </headerFooter>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tabColor rgb="FFFFFF00"/>
    <pageSetUpPr fitToPage="1"/>
  </sheetPr>
  <dimension ref="B1:AX73"/>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2:49" ht="60" customHeight="1" x14ac:dyDescent="0.25">
      <c r="B1" s="222" t="s">
        <v>207</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row>
    <row r="2" spans="2: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2: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2: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2: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2:49" s="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29"/>
      <c r="AE6" s="229"/>
      <c r="AF6" s="229"/>
      <c r="AG6" s="274" t="s">
        <v>207</v>
      </c>
      <c r="AH6" s="274"/>
      <c r="AI6" s="274"/>
      <c r="AJ6" s="274"/>
      <c r="AK6" s="274"/>
      <c r="AL6" s="333" t="s">
        <v>115</v>
      </c>
      <c r="AM6" s="333"/>
      <c r="AN6" s="334"/>
      <c r="AO6" s="9"/>
      <c r="AP6" s="9"/>
      <c r="AQ6" s="9"/>
    </row>
    <row r="7" spans="2:49" ht="15" customHeight="1" x14ac:dyDescent="0.25">
      <c r="B7" s="265" t="s">
        <v>51</v>
      </c>
      <c r="C7" s="259"/>
      <c r="D7" s="265" t="s">
        <v>52</v>
      </c>
      <c r="E7" s="258"/>
      <c r="F7" s="258"/>
      <c r="G7" s="265" t="s">
        <v>54</v>
      </c>
      <c r="H7" s="258"/>
      <c r="I7" s="258"/>
      <c r="J7" s="259"/>
      <c r="K7" s="265" t="s">
        <v>55</v>
      </c>
      <c r="L7" s="258"/>
      <c r="M7" s="258"/>
      <c r="N7" s="277"/>
      <c r="O7" s="258" t="s">
        <v>51</v>
      </c>
      <c r="P7" s="259"/>
      <c r="Q7" s="265" t="s">
        <v>52</v>
      </c>
      <c r="R7" s="258"/>
      <c r="S7" s="258"/>
      <c r="T7" s="265" t="s">
        <v>54</v>
      </c>
      <c r="U7" s="258"/>
      <c r="V7" s="258"/>
      <c r="W7" s="259"/>
      <c r="X7" s="265" t="s">
        <v>55</v>
      </c>
      <c r="Y7" s="258"/>
      <c r="Z7" s="258"/>
      <c r="AA7" s="277"/>
      <c r="AB7" s="258" t="s">
        <v>51</v>
      </c>
      <c r="AC7" s="259"/>
      <c r="AD7" s="265" t="s">
        <v>52</v>
      </c>
      <c r="AE7" s="258"/>
      <c r="AF7" s="258"/>
      <c r="AG7" s="265" t="s">
        <v>54</v>
      </c>
      <c r="AH7" s="258"/>
      <c r="AI7" s="258"/>
      <c r="AJ7" s="259"/>
      <c r="AK7" s="265" t="s">
        <v>55</v>
      </c>
      <c r="AL7" s="258"/>
      <c r="AM7" s="258"/>
      <c r="AN7" s="259"/>
    </row>
    <row r="8" spans="2:49" s="22" customFormat="1" ht="15" customHeight="1" x14ac:dyDescent="0.25">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7"/>
      <c r="AP8" s="27"/>
      <c r="AQ8" s="27"/>
      <c r="AR8" s="27"/>
      <c r="AS8" s="27"/>
      <c r="AT8" s="27"/>
      <c r="AU8" s="27"/>
      <c r="AV8" s="27"/>
      <c r="AW8" s="27"/>
    </row>
    <row r="9" spans="2: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2:49" ht="14.9" customHeight="1" x14ac:dyDescent="0.25">
      <c r="B10" s="100"/>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2: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2:49" ht="14.9" customHeight="1" x14ac:dyDescent="0.25">
      <c r="B12" s="239" t="str">
        <f>"Appendix "&amp;AL6</f>
        <v>Appendix A</v>
      </c>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c r="AN12" s="241"/>
      <c r="AR12" s="10"/>
    </row>
    <row r="13" spans="2:49" ht="14.9" customHeight="1" x14ac:dyDescent="0.25">
      <c r="B13" s="239" t="str">
        <f>VLOOKUP(AL6,ToC!F30:AJ51,3)</f>
        <v xml:space="preserve">APPENDIX - A Dry Gas Rapid Valve Opening </v>
      </c>
      <c r="C13" s="240"/>
      <c r="D13" s="240"/>
      <c r="E13" s="240"/>
      <c r="F13" s="240"/>
      <c r="G13" s="240"/>
      <c r="H13" s="240"/>
      <c r="I13" s="240"/>
      <c r="J13" s="240"/>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0"/>
      <c r="AL13" s="240"/>
      <c r="AM13" s="240"/>
      <c r="AN13" s="241"/>
      <c r="AR13" s="10"/>
    </row>
    <row r="14" spans="2:49" ht="14.9" customHeight="1" x14ac:dyDescent="0.25">
      <c r="B14" s="100"/>
      <c r="C14" s="72"/>
      <c r="D14" s="72"/>
      <c r="E14" s="72"/>
      <c r="F14" s="72"/>
      <c r="G14" s="72"/>
      <c r="H14" s="72"/>
      <c r="I14" s="72"/>
      <c r="J14" s="72"/>
      <c r="K14" s="72"/>
      <c r="L14" s="72"/>
      <c r="M14" s="72"/>
      <c r="N14" s="72"/>
      <c r="O14" s="72"/>
      <c r="P14" s="72"/>
      <c r="Q14" s="72"/>
      <c r="R14" s="72"/>
      <c r="S14" s="332">
        <f>VLOOKUP(AL6,ToC!F30:AJ51,29)</f>
        <v>1</v>
      </c>
      <c r="T14" s="332"/>
      <c r="U14" s="331" t="str">
        <f>IF(S14=1," Page"," Pages")</f>
        <v xml:space="preserve"> Page</v>
      </c>
      <c r="V14" s="331"/>
      <c r="W14" s="331"/>
      <c r="X14" s="72"/>
      <c r="Y14" s="72"/>
      <c r="Z14" s="72"/>
      <c r="AA14" s="72"/>
      <c r="AB14" s="72"/>
      <c r="AC14" s="72"/>
      <c r="AD14" s="72"/>
      <c r="AE14" s="72"/>
      <c r="AF14" s="72"/>
      <c r="AG14" s="72"/>
      <c r="AH14" s="72"/>
      <c r="AI14" s="72"/>
      <c r="AJ14" s="72"/>
      <c r="AK14" s="72"/>
      <c r="AL14" s="72"/>
      <c r="AM14" s="72"/>
      <c r="AN14" s="101"/>
      <c r="AR14" s="10"/>
    </row>
    <row r="15" spans="2:49" ht="14.9" customHeight="1" x14ac:dyDescent="0.25">
      <c r="B15" s="100"/>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101"/>
      <c r="AR15" s="10"/>
    </row>
    <row r="16" spans="2:49" ht="14.9" customHeight="1" x14ac:dyDescent="0.25">
      <c r="B16" s="100"/>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101"/>
      <c r="AR16" s="10"/>
    </row>
    <row r="17" spans="2:44" ht="14.9" customHeight="1" x14ac:dyDescent="0.25">
      <c r="B17" s="100"/>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101"/>
      <c r="AR17" s="10"/>
    </row>
    <row r="18" spans="2:44" ht="14.9" customHeight="1" x14ac:dyDescent="0.25">
      <c r="B18" s="100"/>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101"/>
      <c r="AR18" s="10"/>
    </row>
    <row r="19" spans="2:44" ht="14.9" customHeight="1" x14ac:dyDescent="0.25">
      <c r="B19" s="100"/>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101"/>
      <c r="AR19" s="10"/>
    </row>
    <row r="20" spans="2:44" ht="14.9" customHeight="1" x14ac:dyDescent="0.25">
      <c r="B20" s="100"/>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101"/>
      <c r="AR20" s="10"/>
    </row>
    <row r="21" spans="2:44" ht="14.9" customHeight="1" x14ac:dyDescent="0.25">
      <c r="B21" s="100"/>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101"/>
      <c r="AR21" s="10"/>
    </row>
    <row r="22" spans="2:44" ht="14.9" customHeight="1" x14ac:dyDescent="0.25">
      <c r="B22" s="10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101"/>
      <c r="AR22" s="10"/>
    </row>
    <row r="23" spans="2:44" ht="14.9" customHeight="1" x14ac:dyDescent="0.25">
      <c r="B23" s="10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101"/>
      <c r="AR23" s="10"/>
    </row>
    <row r="24" spans="2:44" ht="14.9" customHeight="1" x14ac:dyDescent="0.25">
      <c r="B24" s="10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101"/>
      <c r="AR24" s="10"/>
    </row>
    <row r="25" spans="2:44" ht="14.9" customHeight="1" x14ac:dyDescent="0.25">
      <c r="B25" s="10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101"/>
      <c r="AR25" s="10"/>
    </row>
    <row r="26" spans="2:44" ht="14.9" customHeight="1" x14ac:dyDescent="0.25">
      <c r="B26" s="10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101"/>
      <c r="AR26" s="10"/>
    </row>
    <row r="27" spans="2:44" ht="14.9" customHeight="1" x14ac:dyDescent="0.25">
      <c r="B27" s="10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101"/>
      <c r="AR27" s="10"/>
    </row>
    <row r="28" spans="2:44" ht="14.9" customHeight="1" x14ac:dyDescent="0.25">
      <c r="B28" s="10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101"/>
      <c r="AR28" s="10"/>
    </row>
    <row r="29" spans="2:44" ht="14.9" customHeight="1" x14ac:dyDescent="0.25">
      <c r="B29" s="10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101"/>
      <c r="AR29" s="10"/>
    </row>
    <row r="30" spans="2:44" ht="14.9" customHeight="1" x14ac:dyDescent="0.25">
      <c r="B30" s="10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101"/>
      <c r="AR30" s="10"/>
    </row>
    <row r="31" spans="2:44" ht="14.9" customHeight="1" x14ac:dyDescent="0.25">
      <c r="B31" s="10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101"/>
      <c r="AR31" s="10"/>
    </row>
    <row r="32" spans="2:44" ht="14.9" customHeight="1" x14ac:dyDescent="0.25">
      <c r="B32" s="10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101"/>
      <c r="AR32" s="10"/>
    </row>
    <row r="33" spans="2: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2: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2: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2: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2: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2: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2: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2: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2: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row>
    <row r="42" spans="2: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row>
    <row r="43" spans="2: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row>
    <row r="44" spans="2:44"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row>
    <row r="45" spans="2: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row>
    <row r="46" spans="2: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2: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2: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50" ht="14.9"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10"/>
    </row>
    <row r="50" spans="2:50" s="10" customFormat="1" ht="14.9" customHeight="1" x14ac:dyDescent="0.25">
      <c r="B50" s="110"/>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2"/>
      <c r="AS50" s="7"/>
      <c r="AT50" s="7"/>
      <c r="AU50" s="7"/>
      <c r="AV50" s="7"/>
      <c r="AW50" s="7"/>
      <c r="AX50" s="7"/>
    </row>
    <row r="51" spans="2:50" s="10" customFormat="1" ht="36"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R51" s="7"/>
      <c r="AS51" s="7"/>
      <c r="AT51" s="7"/>
      <c r="AU51" s="7"/>
      <c r="AV51" s="7"/>
      <c r="AW51" s="7"/>
    </row>
    <row r="52" spans="2:50" s="10" customFormat="1" x14ac:dyDescent="0.25">
      <c r="AR52" s="7"/>
      <c r="AS52" s="7"/>
      <c r="AT52" s="7"/>
      <c r="AU52" s="7"/>
      <c r="AV52" s="7"/>
      <c r="AW52" s="7"/>
    </row>
    <row r="53" spans="2:50" s="10" customFormat="1" x14ac:dyDescent="0.25">
      <c r="AR53" s="7"/>
      <c r="AS53" s="7"/>
      <c r="AT53" s="7"/>
      <c r="AU53" s="7"/>
      <c r="AV53" s="7"/>
      <c r="AW53" s="7"/>
    </row>
    <row r="54" spans="2:50" s="10" customFormat="1" x14ac:dyDescent="0.25">
      <c r="AR54" s="7"/>
      <c r="AS54" s="7"/>
      <c r="AT54" s="7"/>
      <c r="AU54" s="7"/>
      <c r="AV54" s="7"/>
      <c r="AW54" s="7"/>
    </row>
    <row r="55" spans="2:50" s="10" customFormat="1" x14ac:dyDescent="0.25">
      <c r="AR55" s="7"/>
      <c r="AS55" s="7"/>
      <c r="AT55" s="7"/>
      <c r="AU55" s="7"/>
      <c r="AV55" s="7"/>
      <c r="AW55" s="7"/>
    </row>
    <row r="56" spans="2:50" s="10" customFormat="1" x14ac:dyDescent="0.25">
      <c r="AR56" s="7"/>
      <c r="AS56" s="7"/>
      <c r="AT56" s="7"/>
      <c r="AU56" s="7"/>
      <c r="AV56" s="7"/>
      <c r="AW56" s="7"/>
    </row>
    <row r="57" spans="2:50" s="10" customFormat="1" x14ac:dyDescent="0.25">
      <c r="AR57" s="7"/>
      <c r="AS57" s="7"/>
      <c r="AT57" s="7"/>
      <c r="AU57" s="7"/>
      <c r="AV57" s="7"/>
      <c r="AW57" s="7"/>
    </row>
    <row r="58" spans="2:50" s="10" customFormat="1" x14ac:dyDescent="0.25">
      <c r="AR58" s="7"/>
      <c r="AS58" s="7"/>
      <c r="AT58" s="7"/>
      <c r="AU58" s="7"/>
      <c r="AV58" s="7"/>
      <c r="AW58" s="7"/>
    </row>
    <row r="59" spans="2:50" s="10" customFormat="1" x14ac:dyDescent="0.25">
      <c r="AR59" s="7"/>
      <c r="AS59" s="7"/>
      <c r="AT59" s="7"/>
      <c r="AU59" s="7"/>
      <c r="AV59" s="7"/>
      <c r="AW59" s="7"/>
    </row>
    <row r="60" spans="2:50" s="10" customFormat="1" x14ac:dyDescent="0.25">
      <c r="AR60" s="7"/>
      <c r="AS60" s="7"/>
      <c r="AT60" s="7"/>
      <c r="AU60" s="7"/>
      <c r="AV60" s="7"/>
      <c r="AW60" s="7"/>
    </row>
    <row r="61" spans="2:50" s="10" customFormat="1" x14ac:dyDescent="0.25">
      <c r="AR61" s="7"/>
      <c r="AS61" s="7"/>
      <c r="AT61" s="7"/>
      <c r="AU61" s="7"/>
      <c r="AV61" s="7"/>
      <c r="AW61" s="7"/>
    </row>
    <row r="62" spans="2:50" s="10" customFormat="1" x14ac:dyDescent="0.25">
      <c r="AR62" s="7"/>
      <c r="AS62" s="7"/>
      <c r="AT62" s="7"/>
      <c r="AU62" s="7"/>
      <c r="AV62" s="7"/>
      <c r="AW62" s="7"/>
    </row>
    <row r="63" spans="2:50" s="10" customFormat="1" x14ac:dyDescent="0.25">
      <c r="AR63" s="7"/>
      <c r="AS63" s="7"/>
      <c r="AT63" s="7"/>
      <c r="AU63" s="7"/>
      <c r="AV63" s="7"/>
      <c r="AW63" s="7"/>
    </row>
    <row r="64" spans="2:50"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sheetData>
  <customSheetViews>
    <customSheetView guid="{F302B859-9C14-40B8-A8C5-DD6CAA83CE4D}" showPageBreaks="1" zeroValues="0" printArea="1" showRuler="0">
      <selection activeCell="T41" sqref="T41"/>
      <pageMargins left="0" right="0" top="0" bottom="0" header="0" footer="0"/>
      <pageSetup paperSize="9" scale="92" orientation="portrait" r:id="rId1"/>
      <headerFooter alignWithMargins="0">
        <oddFooter>&amp;L&amp;6 002-000-PDF-566 (015311) EPF-0027
Rev 6 (1-Sep-09)&amp;C&amp;"Arial,Bold"&amp;6Corporate Base&amp;R&amp;6Page &amp;P of &amp;N</oddFooter>
      </headerFooter>
    </customSheetView>
  </customSheetViews>
  <mergeCells count="48">
    <mergeCell ref="B1:AN1"/>
    <mergeCell ref="AK7:AN7"/>
    <mergeCell ref="B7:C7"/>
    <mergeCell ref="T7:W7"/>
    <mergeCell ref="AB7:AC7"/>
    <mergeCell ref="I5:AN5"/>
    <mergeCell ref="AE2:AN2"/>
    <mergeCell ref="I2:Z2"/>
    <mergeCell ref="AA2:AD2"/>
    <mergeCell ref="B4:G4"/>
    <mergeCell ref="B2:G2"/>
    <mergeCell ref="B5:H5"/>
    <mergeCell ref="B3:G3"/>
    <mergeCell ref="AE4:AN4"/>
    <mergeCell ref="K7:N7"/>
    <mergeCell ref="AD7:AF7"/>
    <mergeCell ref="AA4:AD4"/>
    <mergeCell ref="AE3:AN3"/>
    <mergeCell ref="I3:Z3"/>
    <mergeCell ref="I4:Z4"/>
    <mergeCell ref="AA3:AD3"/>
    <mergeCell ref="B51:AN51"/>
    <mergeCell ref="B6:I6"/>
    <mergeCell ref="B12:AN12"/>
    <mergeCell ref="AL6:AN6"/>
    <mergeCell ref="AG7:AJ7"/>
    <mergeCell ref="O7:P7"/>
    <mergeCell ref="Q7:S7"/>
    <mergeCell ref="X7:AA7"/>
    <mergeCell ref="AK8:AN8"/>
    <mergeCell ref="K8:N8"/>
    <mergeCell ref="AG8:AJ8"/>
    <mergeCell ref="G7:J7"/>
    <mergeCell ref="Q8:S8"/>
    <mergeCell ref="T8:W8"/>
    <mergeCell ref="B8:C8"/>
    <mergeCell ref="D8:F8"/>
    <mergeCell ref="B13:AN13"/>
    <mergeCell ref="U14:W14"/>
    <mergeCell ref="S14:T14"/>
    <mergeCell ref="AG6:AK6"/>
    <mergeCell ref="J6:AF6"/>
    <mergeCell ref="O8:P8"/>
    <mergeCell ref="AB8:AC8"/>
    <mergeCell ref="X8:AA8"/>
    <mergeCell ref="G8:J8"/>
    <mergeCell ref="D7:F7"/>
    <mergeCell ref="AD8:AF8"/>
  </mergeCells>
  <phoneticPr fontId="0" type="noConversion"/>
  <pageMargins left="0.78740157480314998" right="0.196850393700787" top="0.39370078740157499" bottom="0.62" header="0.196850393700787" footer="0.196850393700787"/>
  <pageSetup paperSize="9" scale="93" orientation="portrait" r:id="rId2"/>
  <headerFooter>
    <oddFooter>&amp;L&amp;"Calibri,Regular"&amp;11Copyright 2019, Worley
&amp;F&amp;R&amp;"Calibri,Regular"&amp;11Rev. 0, 01 December 2019</oddFooter>
  </headerFooter>
  <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pageSetUpPr fitToPage="1"/>
  </sheetPr>
  <dimension ref="A1:CL79"/>
  <sheetViews>
    <sheetView zoomScaleNormal="100" zoomScaleSheetLayoutView="100" zoomScalePageLayoutView="85" workbookViewId="0"/>
  </sheetViews>
  <sheetFormatPr defaultColWidth="9.1796875" defaultRowHeight="12.5" x14ac:dyDescent="0.25"/>
  <cols>
    <col min="1" max="1" width="0.7265625" style="7" customWidth="1"/>
    <col min="2" max="13" width="2.54296875" style="7" customWidth="1"/>
    <col min="14" max="14" width="2.81640625" style="7" customWidth="1"/>
    <col min="15" max="15" width="3.1796875" style="7" customWidth="1"/>
    <col min="16" max="16" width="2.54296875" style="7" customWidth="1"/>
    <col min="17" max="17" width="2.81640625" style="7" customWidth="1"/>
    <col min="18" max="18" width="2.7265625" style="7" customWidth="1"/>
    <col min="19" max="19" width="3" style="7" customWidth="1"/>
    <col min="20" max="39" width="2.54296875" style="7" customWidth="1"/>
    <col min="40" max="40" width="2.54296875" style="10" customWidth="1"/>
    <col min="41" max="41" width="21.26953125" style="10" hidden="1" customWidth="1"/>
    <col min="42" max="43" width="9.1796875" style="10" hidden="1" customWidth="1"/>
    <col min="44" max="89" width="9.1796875" style="7" hidden="1" customWidth="1"/>
    <col min="90" max="90" width="9.1796875" style="7" customWidth="1"/>
    <col min="91" max="16384" width="9.1796875" style="7"/>
  </cols>
  <sheetData>
    <row r="1" spans="1:8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8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8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8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8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8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1</v>
      </c>
      <c r="AH6" s="282"/>
      <c r="AI6" s="282"/>
      <c r="AJ6" s="274" t="s">
        <v>14</v>
      </c>
      <c r="AK6" s="274"/>
      <c r="AL6" s="256">
        <f>AppA!S14</f>
        <v>1</v>
      </c>
      <c r="AM6" s="256"/>
      <c r="AN6" s="257"/>
      <c r="AO6" s="17"/>
      <c r="AP6" s="17"/>
      <c r="AQ6" s="17"/>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row>
    <row r="7" spans="1:8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row>
    <row r="8" spans="1:8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row>
    <row r="9" spans="1:8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row>
    <row r="10" spans="1:89" ht="14.9" customHeight="1" x14ac:dyDescent="0.25">
      <c r="B10" s="394" t="s">
        <v>208</v>
      </c>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395"/>
      <c r="AO10" s="9"/>
      <c r="AP10" s="9"/>
      <c r="AQ10" s="9"/>
      <c r="AR10" s="10"/>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row>
    <row r="11" spans="1:89" ht="14.9" customHeight="1" thickBot="1" x14ac:dyDescent="0.3">
      <c r="B11" s="100"/>
      <c r="C11" s="403"/>
      <c r="D11" s="403"/>
      <c r="E11" s="403"/>
      <c r="F11" s="403"/>
      <c r="G11" s="403"/>
      <c r="H11" s="403"/>
      <c r="I11" s="403"/>
      <c r="J11" s="403"/>
      <c r="K11" s="403"/>
      <c r="L11" s="403"/>
      <c r="M11" s="403"/>
      <c r="N11" s="403"/>
      <c r="O11" s="403"/>
      <c r="P11" s="403"/>
      <c r="Q11" s="403"/>
      <c r="R11" s="403"/>
      <c r="S11" s="403"/>
      <c r="T11" s="403"/>
      <c r="U11" s="403"/>
      <c r="V11" s="403"/>
      <c r="W11" s="403"/>
      <c r="X11" s="403"/>
      <c r="Y11" s="403"/>
      <c r="Z11" s="403"/>
      <c r="AA11" s="403"/>
      <c r="AB11" s="403"/>
      <c r="AC11" s="403"/>
      <c r="AD11" s="403"/>
      <c r="AE11" s="403"/>
      <c r="AF11" s="403"/>
      <c r="AG11" s="403"/>
      <c r="AH11" s="403"/>
      <c r="AI11" s="403"/>
      <c r="AJ11" s="403"/>
      <c r="AK11" s="403"/>
      <c r="AL11" s="403"/>
      <c r="AM11" s="403"/>
      <c r="AN11" s="404"/>
      <c r="AO11" s="9"/>
      <c r="AP11" s="9"/>
      <c r="AQ11" s="9"/>
      <c r="AR11" s="10"/>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row>
    <row r="12" spans="1:89" ht="14.9" customHeight="1" thickBot="1" x14ac:dyDescent="0.3">
      <c r="B12" s="100"/>
      <c r="C12" s="396"/>
      <c r="D12" s="397"/>
      <c r="E12" s="397"/>
      <c r="F12" s="397"/>
      <c r="G12" s="397"/>
      <c r="H12" s="397"/>
      <c r="I12" s="397"/>
      <c r="J12" s="397"/>
      <c r="K12" s="397"/>
      <c r="L12" s="397"/>
      <c r="M12" s="397"/>
      <c r="N12" s="397"/>
      <c r="O12" s="397"/>
      <c r="P12" s="397"/>
      <c r="Q12" s="397"/>
      <c r="R12" s="397"/>
      <c r="S12" s="398"/>
      <c r="T12" s="400" t="s">
        <v>209</v>
      </c>
      <c r="U12" s="401"/>
      <c r="V12" s="401"/>
      <c r="W12" s="401"/>
      <c r="X12" s="401"/>
      <c r="Y12" s="402"/>
      <c r="Z12" s="400" t="s">
        <v>210</v>
      </c>
      <c r="AA12" s="401"/>
      <c r="AB12" s="401"/>
      <c r="AC12" s="401"/>
      <c r="AD12" s="401"/>
      <c r="AE12" s="402"/>
      <c r="AF12" s="400" t="s">
        <v>211</v>
      </c>
      <c r="AG12" s="401"/>
      <c r="AH12" s="401"/>
      <c r="AI12" s="401"/>
      <c r="AJ12" s="401"/>
      <c r="AK12" s="402"/>
      <c r="AL12" s="72"/>
      <c r="AM12" s="72"/>
      <c r="AN12" s="101"/>
      <c r="AO12" s="9"/>
      <c r="AP12" s="9"/>
      <c r="AR12" s="10"/>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row>
    <row r="13" spans="1:89" ht="14.9" customHeight="1" thickBot="1" x14ac:dyDescent="0.3">
      <c r="B13" s="100"/>
      <c r="C13" s="362" t="s">
        <v>198</v>
      </c>
      <c r="D13" s="363"/>
      <c r="E13" s="363"/>
      <c r="F13" s="363"/>
      <c r="G13" s="363"/>
      <c r="H13" s="363"/>
      <c r="I13" s="363"/>
      <c r="J13" s="363"/>
      <c r="K13" s="363"/>
      <c r="L13" s="363"/>
      <c r="M13" s="363"/>
      <c r="N13" s="363"/>
      <c r="O13" s="363"/>
      <c r="P13" s="363"/>
      <c r="Q13" s="363"/>
      <c r="R13" s="363"/>
      <c r="S13" s="363"/>
      <c r="T13" s="363"/>
      <c r="U13" s="363"/>
      <c r="V13" s="363"/>
      <c r="W13" s="363"/>
      <c r="X13" s="363"/>
      <c r="Y13" s="363"/>
      <c r="Z13" s="363"/>
      <c r="AA13" s="363"/>
      <c r="AB13" s="363"/>
      <c r="AC13" s="363"/>
      <c r="AD13" s="363"/>
      <c r="AE13" s="363"/>
      <c r="AF13" s="363"/>
      <c r="AG13" s="363"/>
      <c r="AH13" s="363"/>
      <c r="AI13" s="363"/>
      <c r="AJ13" s="363"/>
      <c r="AK13" s="364"/>
      <c r="AL13" s="72"/>
      <c r="AM13" s="72"/>
      <c r="AN13" s="101"/>
      <c r="AO13" s="9"/>
      <c r="AP13" s="9"/>
      <c r="AR13" s="10"/>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row>
    <row r="14" spans="1:89" ht="14.9" customHeight="1" x14ac:dyDescent="0.25">
      <c r="B14" s="100"/>
      <c r="C14" s="349" t="s">
        <v>212</v>
      </c>
      <c r="D14" s="350"/>
      <c r="E14" s="350"/>
      <c r="F14" s="350"/>
      <c r="G14" s="350"/>
      <c r="H14" s="350"/>
      <c r="I14" s="350"/>
      <c r="J14" s="350"/>
      <c r="K14" s="350"/>
      <c r="L14" s="350"/>
      <c r="M14" s="350"/>
      <c r="N14" s="350"/>
      <c r="O14" s="350"/>
      <c r="P14" s="350"/>
      <c r="Q14" s="350"/>
      <c r="R14" s="350"/>
      <c r="S14" s="399"/>
      <c r="T14" s="365" t="s">
        <v>213</v>
      </c>
      <c r="U14" s="366"/>
      <c r="V14" s="366"/>
      <c r="W14" s="366"/>
      <c r="X14" s="366"/>
      <c r="Y14" s="367"/>
      <c r="Z14" s="365" t="s">
        <v>213</v>
      </c>
      <c r="AA14" s="366"/>
      <c r="AB14" s="366"/>
      <c r="AC14" s="366"/>
      <c r="AD14" s="366"/>
      <c r="AE14" s="367"/>
      <c r="AF14" s="365" t="s">
        <v>213</v>
      </c>
      <c r="AG14" s="366"/>
      <c r="AH14" s="366"/>
      <c r="AI14" s="366"/>
      <c r="AJ14" s="366"/>
      <c r="AK14" s="367"/>
      <c r="AL14" s="72"/>
      <c r="AM14" s="72"/>
      <c r="AN14" s="101"/>
      <c r="AO14" s="9"/>
      <c r="AP14" s="9"/>
      <c r="AR14" s="10"/>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row>
    <row r="15" spans="1:89" ht="14.9" customHeight="1" x14ac:dyDescent="0.25">
      <c r="B15" s="100"/>
      <c r="C15" s="338" t="s">
        <v>214</v>
      </c>
      <c r="D15" s="339"/>
      <c r="E15" s="339"/>
      <c r="F15" s="339"/>
      <c r="G15" s="339"/>
      <c r="H15" s="339"/>
      <c r="I15" s="339"/>
      <c r="J15" s="339"/>
      <c r="K15" s="339"/>
      <c r="L15" s="339"/>
      <c r="M15" s="339"/>
      <c r="N15" s="339"/>
      <c r="O15" s="339"/>
      <c r="P15" s="339"/>
      <c r="Q15" s="339"/>
      <c r="R15" s="339"/>
      <c r="S15" s="340"/>
      <c r="T15" s="359">
        <v>14.86</v>
      </c>
      <c r="U15" s="360"/>
      <c r="V15" s="360"/>
      <c r="W15" s="360"/>
      <c r="X15" s="360"/>
      <c r="Y15" s="361"/>
      <c r="Z15" s="359">
        <v>14.86</v>
      </c>
      <c r="AA15" s="360"/>
      <c r="AB15" s="360"/>
      <c r="AC15" s="360"/>
      <c r="AD15" s="360"/>
      <c r="AE15" s="361"/>
      <c r="AF15" s="359">
        <v>14.86</v>
      </c>
      <c r="AG15" s="360"/>
      <c r="AH15" s="360"/>
      <c r="AI15" s="360"/>
      <c r="AJ15" s="360"/>
      <c r="AK15" s="361"/>
      <c r="AL15" s="72"/>
      <c r="AM15" s="72"/>
      <c r="AN15" s="101"/>
      <c r="AR15" s="10"/>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row>
    <row r="16" spans="1:89" ht="14.9" customHeight="1" x14ac:dyDescent="0.25">
      <c r="B16" s="100"/>
      <c r="C16" s="338" t="s">
        <v>215</v>
      </c>
      <c r="D16" s="339"/>
      <c r="E16" s="339"/>
      <c r="F16" s="339"/>
      <c r="G16" s="339"/>
      <c r="H16" s="339"/>
      <c r="I16" s="339"/>
      <c r="J16" s="339"/>
      <c r="K16" s="339"/>
      <c r="L16" s="339"/>
      <c r="M16" s="339"/>
      <c r="N16" s="339"/>
      <c r="O16" s="339"/>
      <c r="P16" s="339"/>
      <c r="Q16" s="339"/>
      <c r="R16" s="339"/>
      <c r="S16" s="340"/>
      <c r="T16" s="359">
        <v>1.33</v>
      </c>
      <c r="U16" s="360"/>
      <c r="V16" s="360"/>
      <c r="W16" s="360"/>
      <c r="X16" s="360"/>
      <c r="Y16" s="361"/>
      <c r="Z16" s="359">
        <v>1.33</v>
      </c>
      <c r="AA16" s="360"/>
      <c r="AB16" s="360"/>
      <c r="AC16" s="360"/>
      <c r="AD16" s="360"/>
      <c r="AE16" s="361"/>
      <c r="AF16" s="359">
        <v>1.33</v>
      </c>
      <c r="AG16" s="360"/>
      <c r="AH16" s="360"/>
      <c r="AI16" s="360"/>
      <c r="AJ16" s="360"/>
      <c r="AK16" s="361"/>
      <c r="AL16" s="72"/>
      <c r="AM16" s="72"/>
      <c r="AN16" s="101"/>
      <c r="AR16" s="10"/>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row>
    <row r="17" spans="1:89" ht="14.9" customHeight="1" x14ac:dyDescent="0.25">
      <c r="B17" s="100"/>
      <c r="C17" s="338" t="s">
        <v>216</v>
      </c>
      <c r="D17" s="339"/>
      <c r="E17" s="339"/>
      <c r="F17" s="339"/>
      <c r="G17" s="339"/>
      <c r="H17" s="339"/>
      <c r="I17" s="339"/>
      <c r="J17" s="339"/>
      <c r="K17" s="339"/>
      <c r="L17" s="339"/>
      <c r="M17" s="339"/>
      <c r="N17" s="339"/>
      <c r="O17" s="339"/>
      <c r="P17" s="339"/>
      <c r="Q17" s="339"/>
      <c r="R17" s="339"/>
      <c r="S17" s="340"/>
      <c r="T17" s="368">
        <v>410</v>
      </c>
      <c r="U17" s="369"/>
      <c r="V17" s="369"/>
      <c r="W17" s="369"/>
      <c r="X17" s="369"/>
      <c r="Y17" s="370"/>
      <c r="Z17" s="368">
        <v>410</v>
      </c>
      <c r="AA17" s="369"/>
      <c r="AB17" s="369"/>
      <c r="AC17" s="369"/>
      <c r="AD17" s="369"/>
      <c r="AE17" s="370"/>
      <c r="AF17" s="368">
        <v>410</v>
      </c>
      <c r="AG17" s="369"/>
      <c r="AH17" s="369"/>
      <c r="AI17" s="369"/>
      <c r="AJ17" s="369"/>
      <c r="AK17" s="370"/>
      <c r="AL17" s="72"/>
      <c r="AM17" s="72"/>
      <c r="AN17" s="101"/>
      <c r="AR17" s="10"/>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row>
    <row r="18" spans="1:89" ht="14.9" customHeight="1" x14ac:dyDescent="0.25">
      <c r="B18" s="100"/>
      <c r="C18" s="338" t="s">
        <v>217</v>
      </c>
      <c r="D18" s="339"/>
      <c r="E18" s="339"/>
      <c r="F18" s="339"/>
      <c r="G18" s="339"/>
      <c r="H18" s="339"/>
      <c r="I18" s="339"/>
      <c r="J18" s="339"/>
      <c r="K18" s="339"/>
      <c r="L18" s="339"/>
      <c r="M18" s="339"/>
      <c r="N18" s="339"/>
      <c r="O18" s="339"/>
      <c r="P18" s="339"/>
      <c r="Q18" s="339"/>
      <c r="R18" s="339"/>
      <c r="S18" s="340"/>
      <c r="T18" s="359">
        <v>21.75</v>
      </c>
      <c r="U18" s="360"/>
      <c r="V18" s="360"/>
      <c r="W18" s="360"/>
      <c r="X18" s="360"/>
      <c r="Y18" s="361"/>
      <c r="Z18" s="359">
        <v>21.75</v>
      </c>
      <c r="AA18" s="360"/>
      <c r="AB18" s="360"/>
      <c r="AC18" s="360"/>
      <c r="AD18" s="360"/>
      <c r="AE18" s="361"/>
      <c r="AF18" s="359">
        <v>21.75</v>
      </c>
      <c r="AG18" s="360"/>
      <c r="AH18" s="360"/>
      <c r="AI18" s="360"/>
      <c r="AJ18" s="360"/>
      <c r="AK18" s="361"/>
      <c r="AL18" s="72"/>
      <c r="AM18" s="72"/>
      <c r="AN18" s="101"/>
      <c r="AR18" s="10"/>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row>
    <row r="19" spans="1:89" ht="14.9" customHeight="1" x14ac:dyDescent="0.25">
      <c r="B19" s="100"/>
      <c r="C19" s="338" t="s">
        <v>218</v>
      </c>
      <c r="D19" s="339"/>
      <c r="E19" s="339"/>
      <c r="F19" s="339"/>
      <c r="G19" s="339"/>
      <c r="H19" s="339"/>
      <c r="I19" s="339"/>
      <c r="J19" s="339"/>
      <c r="K19" s="339"/>
      <c r="L19" s="339"/>
      <c r="M19" s="339"/>
      <c r="N19" s="339"/>
      <c r="O19" s="339"/>
      <c r="P19" s="339"/>
      <c r="Q19" s="339"/>
      <c r="R19" s="339"/>
      <c r="S19" s="340"/>
      <c r="T19" s="371">
        <v>100</v>
      </c>
      <c r="U19" s="372"/>
      <c r="V19" s="372"/>
      <c r="W19" s="372"/>
      <c r="X19" s="372"/>
      <c r="Y19" s="373"/>
      <c r="Z19" s="371">
        <v>100</v>
      </c>
      <c r="AA19" s="372"/>
      <c r="AB19" s="372"/>
      <c r="AC19" s="372"/>
      <c r="AD19" s="372"/>
      <c r="AE19" s="373"/>
      <c r="AF19" s="371">
        <v>100</v>
      </c>
      <c r="AG19" s="372"/>
      <c r="AH19" s="372"/>
      <c r="AI19" s="372"/>
      <c r="AJ19" s="372"/>
      <c r="AK19" s="373"/>
      <c r="AL19" s="72"/>
      <c r="AM19" s="72"/>
      <c r="AN19" s="101"/>
      <c r="AR19" s="10"/>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row>
    <row r="20" spans="1:89" ht="14.9" customHeight="1" x14ac:dyDescent="0.25">
      <c r="B20" s="100"/>
      <c r="C20" s="338" t="s">
        <v>219</v>
      </c>
      <c r="D20" s="339"/>
      <c r="E20" s="339"/>
      <c r="F20" s="339"/>
      <c r="G20" s="339"/>
      <c r="H20" s="339"/>
      <c r="I20" s="339"/>
      <c r="J20" s="339"/>
      <c r="K20" s="339"/>
      <c r="L20" s="339"/>
      <c r="M20" s="339"/>
      <c r="N20" s="339"/>
      <c r="O20" s="339"/>
      <c r="P20" s="339"/>
      <c r="Q20" s="339"/>
      <c r="R20" s="339"/>
      <c r="S20" s="340"/>
      <c r="T20" s="371" t="s">
        <v>220</v>
      </c>
      <c r="U20" s="372"/>
      <c r="V20" s="372"/>
      <c r="W20" s="372"/>
      <c r="X20" s="372"/>
      <c r="Y20" s="373"/>
      <c r="Z20" s="371" t="s">
        <v>221</v>
      </c>
      <c r="AA20" s="372"/>
      <c r="AB20" s="372"/>
      <c r="AC20" s="372"/>
      <c r="AD20" s="372"/>
      <c r="AE20" s="373"/>
      <c r="AF20" s="371" t="s">
        <v>222</v>
      </c>
      <c r="AG20" s="372"/>
      <c r="AH20" s="372"/>
      <c r="AI20" s="372"/>
      <c r="AJ20" s="372"/>
      <c r="AK20" s="373"/>
      <c r="AL20" s="72"/>
      <c r="AM20" s="72"/>
      <c r="AN20" s="101"/>
      <c r="AR20" s="10"/>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row>
    <row r="21" spans="1:89" ht="14.9" customHeight="1" x14ac:dyDescent="0.25">
      <c r="B21" s="100"/>
      <c r="C21" s="338" t="s">
        <v>223</v>
      </c>
      <c r="D21" s="339"/>
      <c r="E21" s="339"/>
      <c r="F21" s="339"/>
      <c r="G21" s="339"/>
      <c r="H21" s="339"/>
      <c r="I21" s="339"/>
      <c r="J21" s="339"/>
      <c r="K21" s="339"/>
      <c r="L21" s="339"/>
      <c r="M21" s="339"/>
      <c r="N21" s="339"/>
      <c r="O21" s="339"/>
      <c r="P21" s="339"/>
      <c r="Q21" s="339"/>
      <c r="R21" s="339"/>
      <c r="S21" s="340"/>
      <c r="T21" s="374">
        <f>IF(T20="Manual Input","-",INDEX($AT$25:$AU$57,MATCH(T19,$AT$25:$AT$57,0),2))</f>
        <v>114.3</v>
      </c>
      <c r="U21" s="375"/>
      <c r="V21" s="375"/>
      <c r="W21" s="375"/>
      <c r="X21" s="375"/>
      <c r="Y21" s="376"/>
      <c r="Z21" s="374">
        <f>IF(Z20="Manual Input","-",INDEX($AT$25:$AU$57,MATCH(Z19,$AT$25:$AT$57,0),2))</f>
        <v>114.3</v>
      </c>
      <c r="AA21" s="375"/>
      <c r="AB21" s="375"/>
      <c r="AC21" s="375"/>
      <c r="AD21" s="375"/>
      <c r="AE21" s="376"/>
      <c r="AF21" s="374">
        <f>IF(AF20="Manual Input","-",INDEX($AT$25:$AU$57,MATCH(AF19,$AT$25:$AT$57,0),2))</f>
        <v>114.3</v>
      </c>
      <c r="AG21" s="375"/>
      <c r="AH21" s="375"/>
      <c r="AI21" s="375"/>
      <c r="AJ21" s="375"/>
      <c r="AK21" s="376"/>
      <c r="AL21" s="72"/>
      <c r="AM21" s="72"/>
      <c r="AN21" s="101"/>
      <c r="AR21" s="10"/>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row>
    <row r="22" spans="1:89" ht="14.9" customHeight="1" x14ac:dyDescent="0.25">
      <c r="A22" s="70"/>
      <c r="B22" s="100"/>
      <c r="C22" s="338" t="s">
        <v>224</v>
      </c>
      <c r="D22" s="339"/>
      <c r="E22" s="339"/>
      <c r="F22" s="339"/>
      <c r="G22" s="339"/>
      <c r="H22" s="339"/>
      <c r="I22" s="339"/>
      <c r="J22" s="339"/>
      <c r="K22" s="339"/>
      <c r="L22" s="339"/>
      <c r="M22" s="339"/>
      <c r="N22" s="339"/>
      <c r="O22" s="339"/>
      <c r="P22" s="339"/>
      <c r="Q22" s="339"/>
      <c r="R22" s="339"/>
      <c r="S22" s="340"/>
      <c r="T22" s="356">
        <f>IF(T20="manual Input","-",((INDEX($AV$25:$CK$57, MATCH(T19, $AT$25:$AT$57,0), MATCH(T20,$AV$22:$CK$22, 0)+1))*25.4))</f>
        <v>6.0198</v>
      </c>
      <c r="U22" s="357"/>
      <c r="V22" s="357"/>
      <c r="W22" s="357"/>
      <c r="X22" s="357"/>
      <c r="Y22" s="358"/>
      <c r="Z22" s="356">
        <f>IF(Z20="manual Input","-",((INDEX($AV$25:$CK$57, MATCH(Z19, $AT$25:$AT$57,0), MATCH(Z20,$AV$22:$CK$22, 0)+1))*25.4))</f>
        <v>6.0198</v>
      </c>
      <c r="AA22" s="357"/>
      <c r="AB22" s="357"/>
      <c r="AC22" s="357"/>
      <c r="AD22" s="357"/>
      <c r="AE22" s="358"/>
      <c r="AF22" s="356">
        <f>IF(AF20="manual Input","-",((INDEX($AV$25:$CK$57, MATCH(AF19, $AT$25:$AT$57,0), MATCH(AF20,$AV$22:$CK$22, 0)+1))*25.4))</f>
        <v>8.5597999999999992</v>
      </c>
      <c r="AG22" s="357"/>
      <c r="AH22" s="357"/>
      <c r="AI22" s="357"/>
      <c r="AJ22" s="357"/>
      <c r="AK22" s="358"/>
      <c r="AL22" s="72"/>
      <c r="AM22" s="72"/>
      <c r="AN22" s="101"/>
      <c r="AR22" s="65" t="s">
        <v>225</v>
      </c>
      <c r="AS22" s="8"/>
      <c r="AT22" s="37" t="s">
        <v>226</v>
      </c>
      <c r="AU22" s="37"/>
      <c r="AV22" s="47" t="s">
        <v>227</v>
      </c>
      <c r="AW22" s="37"/>
      <c r="AX22" s="37"/>
      <c r="AY22" s="47" t="s">
        <v>228</v>
      </c>
      <c r="AZ22" s="37"/>
      <c r="BA22" s="37"/>
      <c r="BB22" s="51" t="s">
        <v>229</v>
      </c>
      <c r="BC22" s="37"/>
      <c r="BD22" s="37"/>
      <c r="BE22" s="51" t="s">
        <v>230</v>
      </c>
      <c r="BF22" s="37"/>
      <c r="BG22" s="37"/>
      <c r="BH22" s="47" t="s">
        <v>221</v>
      </c>
      <c r="BI22" s="37"/>
      <c r="BJ22" s="37"/>
      <c r="BK22" s="67" t="s">
        <v>231</v>
      </c>
      <c r="BL22" s="37"/>
      <c r="BM22" s="37"/>
      <c r="BN22" s="47" t="s">
        <v>222</v>
      </c>
      <c r="BO22" s="37"/>
      <c r="BP22" s="37"/>
      <c r="BQ22" s="51" t="s">
        <v>232</v>
      </c>
      <c r="BR22" s="37"/>
      <c r="BS22" s="37"/>
      <c r="BT22" s="51" t="s">
        <v>233</v>
      </c>
      <c r="BU22" s="37"/>
      <c r="BV22" s="37"/>
      <c r="BW22" s="51" t="s">
        <v>234</v>
      </c>
      <c r="BX22" s="37"/>
      <c r="BY22" s="37"/>
      <c r="BZ22" s="51" t="s">
        <v>235</v>
      </c>
      <c r="CA22" s="37"/>
      <c r="CB22" s="37"/>
      <c r="CC22" s="47" t="s">
        <v>236</v>
      </c>
      <c r="CD22" s="37"/>
      <c r="CE22" s="37"/>
      <c r="CF22" s="47" t="s">
        <v>237</v>
      </c>
      <c r="CG22" s="37"/>
      <c r="CH22" s="37"/>
      <c r="CI22" s="47" t="s">
        <v>238</v>
      </c>
      <c r="CJ22" s="37"/>
      <c r="CK22" s="38"/>
    </row>
    <row r="23" spans="1:89" ht="14.9" customHeight="1" x14ac:dyDescent="0.25">
      <c r="B23" s="100"/>
      <c r="C23" s="389" t="s">
        <v>239</v>
      </c>
      <c r="D23" s="390"/>
      <c r="E23" s="390"/>
      <c r="F23" s="390"/>
      <c r="G23" s="390"/>
      <c r="H23" s="390"/>
      <c r="I23" s="390"/>
      <c r="J23" s="390"/>
      <c r="K23" s="390"/>
      <c r="L23" s="390"/>
      <c r="M23" s="390"/>
      <c r="N23" s="390"/>
      <c r="O23" s="390"/>
      <c r="P23" s="390"/>
      <c r="Q23" s="390"/>
      <c r="R23" s="390"/>
      <c r="S23" s="390"/>
      <c r="T23" s="391"/>
      <c r="U23" s="392"/>
      <c r="V23" s="392"/>
      <c r="W23" s="392"/>
      <c r="X23" s="392"/>
      <c r="Y23" s="393"/>
      <c r="Z23" s="391"/>
      <c r="AA23" s="392"/>
      <c r="AB23" s="392"/>
      <c r="AC23" s="392"/>
      <c r="AD23" s="392"/>
      <c r="AE23" s="393"/>
      <c r="AF23" s="391"/>
      <c r="AG23" s="392"/>
      <c r="AH23" s="392"/>
      <c r="AI23" s="392"/>
      <c r="AJ23" s="392"/>
      <c r="AK23" s="393"/>
      <c r="AL23" s="72"/>
      <c r="AM23" s="72"/>
      <c r="AN23" s="101"/>
      <c r="AR23" s="65"/>
      <c r="AS23" s="8"/>
      <c r="AT23" s="37"/>
      <c r="AU23" s="37"/>
      <c r="AV23" s="47"/>
      <c r="AW23" s="37"/>
      <c r="AX23" s="37"/>
      <c r="AY23" s="47"/>
      <c r="AZ23" s="37"/>
      <c r="BA23" s="37"/>
      <c r="BB23" s="51"/>
      <c r="BC23" s="37"/>
      <c r="BD23" s="37"/>
      <c r="BE23" s="51"/>
      <c r="BF23" s="37"/>
      <c r="BG23" s="37"/>
      <c r="BH23" s="47"/>
      <c r="BI23" s="37"/>
      <c r="BJ23" s="37"/>
      <c r="BK23" s="67"/>
      <c r="BL23" s="37"/>
      <c r="BM23" s="37"/>
      <c r="BN23" s="47"/>
      <c r="BO23" s="37"/>
      <c r="BP23" s="37"/>
      <c r="BQ23" s="51"/>
      <c r="BR23" s="37"/>
      <c r="BS23" s="37"/>
      <c r="BT23" s="51"/>
      <c r="BU23" s="37"/>
      <c r="BV23" s="37"/>
      <c r="BW23" s="51"/>
      <c r="BX23" s="37"/>
      <c r="BY23" s="37"/>
      <c r="BZ23" s="51"/>
      <c r="CA23" s="37"/>
      <c r="CB23" s="37"/>
      <c r="CC23" s="47"/>
      <c r="CD23" s="37"/>
      <c r="CE23" s="37"/>
      <c r="CF23" s="47"/>
      <c r="CG23" s="37"/>
      <c r="CH23" s="37"/>
      <c r="CI23" s="47"/>
      <c r="CJ23" s="37"/>
      <c r="CK23" s="38"/>
    </row>
    <row r="24" spans="1:89" ht="14.9" customHeight="1" x14ac:dyDescent="0.25">
      <c r="B24" s="100"/>
      <c r="C24" s="389" t="s">
        <v>240</v>
      </c>
      <c r="D24" s="390"/>
      <c r="E24" s="390"/>
      <c r="F24" s="390"/>
      <c r="G24" s="390"/>
      <c r="H24" s="390"/>
      <c r="I24" s="390"/>
      <c r="J24" s="390"/>
      <c r="K24" s="390"/>
      <c r="L24" s="390"/>
      <c r="M24" s="390"/>
      <c r="N24" s="390"/>
      <c r="O24" s="390"/>
      <c r="P24" s="390"/>
      <c r="Q24" s="390"/>
      <c r="R24" s="390"/>
      <c r="S24" s="390"/>
      <c r="T24" s="383"/>
      <c r="U24" s="384"/>
      <c r="V24" s="384"/>
      <c r="W24" s="384"/>
      <c r="X24" s="384"/>
      <c r="Y24" s="385"/>
      <c r="Z24" s="383"/>
      <c r="AA24" s="384"/>
      <c r="AB24" s="384"/>
      <c r="AC24" s="384"/>
      <c r="AD24" s="384"/>
      <c r="AE24" s="385"/>
      <c r="AF24" s="383"/>
      <c r="AG24" s="384"/>
      <c r="AH24" s="384"/>
      <c r="AI24" s="384"/>
      <c r="AJ24" s="384"/>
      <c r="AK24" s="385"/>
      <c r="AL24" s="72"/>
      <c r="AM24" s="72"/>
      <c r="AN24" s="101"/>
      <c r="AR24" s="65">
        <v>1</v>
      </c>
      <c r="AS24" s="8"/>
      <c r="AT24" s="43" t="s">
        <v>241</v>
      </c>
      <c r="AU24" s="43" t="s">
        <v>242</v>
      </c>
      <c r="AV24" s="44" t="s">
        <v>243</v>
      </c>
      <c r="AW24" s="43" t="s">
        <v>244</v>
      </c>
      <c r="AX24" s="43" t="s">
        <v>245</v>
      </c>
      <c r="AY24" s="44" t="s">
        <v>243</v>
      </c>
      <c r="AZ24" s="43" t="s">
        <v>244</v>
      </c>
      <c r="BA24" s="43" t="s">
        <v>245</v>
      </c>
      <c r="BB24" s="44" t="s">
        <v>243</v>
      </c>
      <c r="BC24" s="43" t="s">
        <v>244</v>
      </c>
      <c r="BD24" s="43" t="s">
        <v>245</v>
      </c>
      <c r="BE24" s="44" t="s">
        <v>243</v>
      </c>
      <c r="BF24" s="43" t="s">
        <v>244</v>
      </c>
      <c r="BG24" s="43" t="s">
        <v>245</v>
      </c>
      <c r="BH24" s="44" t="s">
        <v>243</v>
      </c>
      <c r="BI24" s="43" t="s">
        <v>244</v>
      </c>
      <c r="BJ24" s="43" t="s">
        <v>245</v>
      </c>
      <c r="BK24" s="44" t="s">
        <v>243</v>
      </c>
      <c r="BL24" s="43" t="s">
        <v>244</v>
      </c>
      <c r="BM24" s="43" t="s">
        <v>245</v>
      </c>
      <c r="BN24" s="44" t="s">
        <v>243</v>
      </c>
      <c r="BO24" s="43" t="s">
        <v>244</v>
      </c>
      <c r="BP24" s="43" t="s">
        <v>245</v>
      </c>
      <c r="BQ24" s="44" t="s">
        <v>243</v>
      </c>
      <c r="BR24" s="43" t="s">
        <v>244</v>
      </c>
      <c r="BS24" s="43" t="s">
        <v>245</v>
      </c>
      <c r="BT24" s="44" t="s">
        <v>243</v>
      </c>
      <c r="BU24" s="43" t="s">
        <v>244</v>
      </c>
      <c r="BV24" s="43" t="s">
        <v>245</v>
      </c>
      <c r="BW24" s="44" t="s">
        <v>243</v>
      </c>
      <c r="BX24" s="43" t="s">
        <v>244</v>
      </c>
      <c r="BY24" s="43" t="s">
        <v>245</v>
      </c>
      <c r="BZ24" s="44" t="s">
        <v>243</v>
      </c>
      <c r="CA24" s="43" t="s">
        <v>244</v>
      </c>
      <c r="CB24" s="43" t="s">
        <v>245</v>
      </c>
      <c r="CC24" s="44" t="s">
        <v>243</v>
      </c>
      <c r="CD24" s="43" t="s">
        <v>244</v>
      </c>
      <c r="CE24" s="43" t="s">
        <v>245</v>
      </c>
      <c r="CF24" s="44" t="s">
        <v>243</v>
      </c>
      <c r="CG24" s="43" t="s">
        <v>244</v>
      </c>
      <c r="CH24" s="43" t="s">
        <v>245</v>
      </c>
      <c r="CI24" s="44" t="s">
        <v>243</v>
      </c>
      <c r="CJ24" s="43" t="s">
        <v>244</v>
      </c>
      <c r="CK24" s="45" t="s">
        <v>245</v>
      </c>
    </row>
    <row r="25" spans="1:89" ht="14.9" customHeight="1" x14ac:dyDescent="0.25">
      <c r="B25" s="100"/>
      <c r="C25" s="338" t="s">
        <v>246</v>
      </c>
      <c r="D25" s="339"/>
      <c r="E25" s="339"/>
      <c r="F25" s="339"/>
      <c r="G25" s="339"/>
      <c r="H25" s="339"/>
      <c r="I25" s="339"/>
      <c r="J25" s="339"/>
      <c r="K25" s="339"/>
      <c r="L25" s="339"/>
      <c r="M25" s="339"/>
      <c r="N25" s="339"/>
      <c r="O25" s="339"/>
      <c r="P25" s="339"/>
      <c r="Q25" s="339"/>
      <c r="R25" s="339"/>
      <c r="S25" s="340"/>
      <c r="T25" s="356">
        <f>IF(T20="Manual Input",(T23-(2*T24)),(T21-(2*T22)))</f>
        <v>102.2604</v>
      </c>
      <c r="U25" s="357"/>
      <c r="V25" s="357"/>
      <c r="W25" s="357"/>
      <c r="X25" s="357"/>
      <c r="Y25" s="358"/>
      <c r="Z25" s="356">
        <f t="shared" ref="Z25" si="0">IF(Z20="Manual Input",(Z23-(2*Z24)),(Z21-(2*Z22)))</f>
        <v>102.2604</v>
      </c>
      <c r="AA25" s="357"/>
      <c r="AB25" s="357"/>
      <c r="AC25" s="357"/>
      <c r="AD25" s="357"/>
      <c r="AE25" s="358"/>
      <c r="AF25" s="356">
        <f t="shared" ref="AF25" si="1">IF(AF20="Manual Input",(AF23-(2*AF24)),(AF21-(2*AF22)))</f>
        <v>97.180399999999992</v>
      </c>
      <c r="AG25" s="357"/>
      <c r="AH25" s="357"/>
      <c r="AI25" s="357"/>
      <c r="AJ25" s="357"/>
      <c r="AK25" s="358"/>
      <c r="AL25" s="72"/>
      <c r="AM25" s="72"/>
      <c r="AN25" s="101"/>
      <c r="AR25" s="10">
        <v>4</v>
      </c>
      <c r="AS25" s="8"/>
      <c r="AT25" s="43">
        <v>10</v>
      </c>
      <c r="AU25" s="62">
        <v>17.149999999999999</v>
      </c>
      <c r="AV25" s="47"/>
      <c r="AW25" s="48"/>
      <c r="AX25" s="48"/>
      <c r="AY25" s="47" t="s">
        <v>228</v>
      </c>
      <c r="AZ25" s="48">
        <v>6.5000000000000002E-2</v>
      </c>
      <c r="BA25" s="48">
        <v>0.54500000000000004</v>
      </c>
      <c r="BB25" s="47"/>
      <c r="BC25" s="132"/>
      <c r="BD25" s="132"/>
      <c r="BE25" s="47"/>
      <c r="BF25" s="132"/>
      <c r="BG25" s="132"/>
      <c r="BH25" s="47" t="s">
        <v>221</v>
      </c>
      <c r="BI25" s="48">
        <v>9.0999999999999998E-2</v>
      </c>
      <c r="BJ25" s="48">
        <v>0.49299999999999999</v>
      </c>
      <c r="BK25" s="47"/>
      <c r="BL25" s="132"/>
      <c r="BM25" s="132"/>
      <c r="BN25" s="47" t="s">
        <v>222</v>
      </c>
      <c r="BO25" s="48">
        <v>0.126</v>
      </c>
      <c r="BP25" s="48">
        <v>0.42499999999999999</v>
      </c>
      <c r="BQ25" s="47"/>
      <c r="BR25" s="132"/>
      <c r="BS25" s="132"/>
      <c r="BT25" s="47"/>
      <c r="BU25" s="132"/>
      <c r="BV25" s="132"/>
      <c r="BW25" s="47"/>
      <c r="BX25" s="132"/>
      <c r="BY25" s="132"/>
      <c r="BZ25" s="47"/>
      <c r="CA25" s="132"/>
      <c r="CB25" s="132"/>
      <c r="CC25" s="47" t="s">
        <v>236</v>
      </c>
      <c r="CD25" s="48">
        <v>9.0999999999999998E-2</v>
      </c>
      <c r="CE25" s="48">
        <v>0.49299999999999999</v>
      </c>
      <c r="CF25" s="47" t="s">
        <v>237</v>
      </c>
      <c r="CG25" s="48">
        <v>0.126</v>
      </c>
      <c r="CH25" s="48">
        <v>0.42299999999999999</v>
      </c>
      <c r="CI25" s="47"/>
      <c r="CJ25" s="132"/>
      <c r="CK25" s="49"/>
    </row>
    <row r="26" spans="1:89" ht="14.9" customHeight="1" x14ac:dyDescent="0.25">
      <c r="B26" s="100"/>
      <c r="C26" s="338" t="s">
        <v>247</v>
      </c>
      <c r="D26" s="339"/>
      <c r="E26" s="339"/>
      <c r="F26" s="339"/>
      <c r="G26" s="339"/>
      <c r="H26" s="339"/>
      <c r="I26" s="339"/>
      <c r="J26" s="339"/>
      <c r="K26" s="339"/>
      <c r="L26" s="339"/>
      <c r="M26" s="339"/>
      <c r="N26" s="339"/>
      <c r="O26" s="339"/>
      <c r="P26" s="339"/>
      <c r="Q26" s="339"/>
      <c r="R26" s="339"/>
      <c r="S26" s="340"/>
      <c r="T26" s="356">
        <f>(INDEX($AT$25:$BI$57,MATCH(T19,$AT$25:$AT$57,0),16))*25.4</f>
        <v>6.0198</v>
      </c>
      <c r="U26" s="357"/>
      <c r="V26" s="357"/>
      <c r="W26" s="357"/>
      <c r="X26" s="357"/>
      <c r="Y26" s="358"/>
      <c r="Z26" s="356">
        <f>(INDEX($AT$25:$BI$57,MATCH(Z19,$AT$25:$AT$57,0),16))*25.4</f>
        <v>6.0198</v>
      </c>
      <c r="AA26" s="357"/>
      <c r="AB26" s="357"/>
      <c r="AC26" s="357"/>
      <c r="AD26" s="357"/>
      <c r="AE26" s="358"/>
      <c r="AF26" s="356">
        <f>(INDEX($AT$25:$BI$57,MATCH(AF19,$AT$25:$AT$57,0),16))*25.4</f>
        <v>6.0198</v>
      </c>
      <c r="AG26" s="357"/>
      <c r="AH26" s="357"/>
      <c r="AI26" s="357"/>
      <c r="AJ26" s="357"/>
      <c r="AK26" s="358"/>
      <c r="AL26" s="72"/>
      <c r="AM26" s="72"/>
      <c r="AN26" s="101"/>
      <c r="AR26" s="65">
        <v>5</v>
      </c>
      <c r="AS26" s="8"/>
      <c r="AT26" s="36">
        <v>15</v>
      </c>
      <c r="AU26" s="63">
        <v>21.34</v>
      </c>
      <c r="AV26" s="47"/>
      <c r="AW26" s="50"/>
      <c r="AX26" s="50"/>
      <c r="AY26" s="47" t="s">
        <v>228</v>
      </c>
      <c r="AZ26" s="50">
        <v>6.5000000000000002E-2</v>
      </c>
      <c r="BA26" s="50">
        <v>0.67400000000000004</v>
      </c>
      <c r="BB26" s="51"/>
      <c r="BC26" s="37"/>
      <c r="BD26" s="37"/>
      <c r="BE26" s="51"/>
      <c r="BF26" s="37"/>
      <c r="BG26" s="37"/>
      <c r="BH26" s="47" t="s">
        <v>221</v>
      </c>
      <c r="BI26" s="50">
        <v>0.109</v>
      </c>
      <c r="BJ26" s="50">
        <v>0.622</v>
      </c>
      <c r="BK26" s="51"/>
      <c r="BL26" s="37"/>
      <c r="BM26" s="37"/>
      <c r="BN26" s="47" t="s">
        <v>222</v>
      </c>
      <c r="BO26" s="50">
        <v>0.14699999999999999</v>
      </c>
      <c r="BP26" s="50">
        <v>0.54600000000000004</v>
      </c>
      <c r="BQ26" s="51"/>
      <c r="BR26" s="37"/>
      <c r="BS26" s="37"/>
      <c r="BT26" s="51"/>
      <c r="BU26" s="52"/>
      <c r="BV26" s="37"/>
      <c r="BW26" s="51"/>
      <c r="BX26" s="37"/>
      <c r="BY26" s="37"/>
      <c r="BZ26" s="51" t="s">
        <v>235</v>
      </c>
      <c r="CA26" s="48">
        <v>0.188</v>
      </c>
      <c r="CB26" s="48">
        <v>0.46400000000000002</v>
      </c>
      <c r="CC26" s="47" t="s">
        <v>236</v>
      </c>
      <c r="CD26" s="50">
        <v>0.109</v>
      </c>
      <c r="CE26" s="50">
        <v>0.622</v>
      </c>
      <c r="CF26" s="47" t="s">
        <v>237</v>
      </c>
      <c r="CG26" s="50">
        <v>0.14699999999999999</v>
      </c>
      <c r="CH26" s="50">
        <v>0.54600000000000004</v>
      </c>
      <c r="CI26" s="47" t="s">
        <v>238</v>
      </c>
      <c r="CJ26" s="48">
        <v>0.29399999999999998</v>
      </c>
      <c r="CK26" s="53">
        <v>0.252</v>
      </c>
    </row>
    <row r="27" spans="1:89" ht="14.9" customHeight="1" x14ac:dyDescent="0.25">
      <c r="B27" s="100"/>
      <c r="C27" s="338" t="s">
        <v>248</v>
      </c>
      <c r="D27" s="339"/>
      <c r="E27" s="339"/>
      <c r="F27" s="339"/>
      <c r="G27" s="339"/>
      <c r="H27" s="339"/>
      <c r="I27" s="339"/>
      <c r="J27" s="339"/>
      <c r="K27" s="339"/>
      <c r="L27" s="339"/>
      <c r="M27" s="339"/>
      <c r="N27" s="339"/>
      <c r="O27" s="339"/>
      <c r="P27" s="339"/>
      <c r="Q27" s="339"/>
      <c r="R27" s="339"/>
      <c r="S27" s="340"/>
      <c r="T27" s="371" t="s">
        <v>249</v>
      </c>
      <c r="U27" s="372"/>
      <c r="V27" s="372"/>
      <c r="W27" s="372"/>
      <c r="X27" s="372"/>
      <c r="Y27" s="373"/>
      <c r="Z27" s="371" t="s">
        <v>249</v>
      </c>
      <c r="AA27" s="372"/>
      <c r="AB27" s="372"/>
      <c r="AC27" s="372"/>
      <c r="AD27" s="372"/>
      <c r="AE27" s="373"/>
      <c r="AF27" s="371" t="s">
        <v>249</v>
      </c>
      <c r="AG27" s="372"/>
      <c r="AH27" s="372"/>
      <c r="AI27" s="372"/>
      <c r="AJ27" s="372"/>
      <c r="AK27" s="373"/>
      <c r="AL27" s="72"/>
      <c r="AM27" s="72"/>
      <c r="AN27" s="101"/>
      <c r="AO27" s="10" t="e">
        <f>IF(Z20="manual input","",(VLOOKUP(Z20,AT25:AU57,2)))</f>
        <v>#N/A</v>
      </c>
      <c r="AR27" s="10">
        <v>6</v>
      </c>
      <c r="AS27" s="8"/>
      <c r="AT27" s="36">
        <v>20</v>
      </c>
      <c r="AU27" s="63">
        <v>26.67</v>
      </c>
      <c r="AV27" s="47" t="s">
        <v>227</v>
      </c>
      <c r="AW27" s="50">
        <v>6.5000000000000002E-2</v>
      </c>
      <c r="AX27" s="50">
        <v>0.92</v>
      </c>
      <c r="AY27" s="47" t="s">
        <v>228</v>
      </c>
      <c r="AZ27" s="50">
        <v>8.3000000000000004E-2</v>
      </c>
      <c r="BA27" s="50">
        <v>0.88400000000000001</v>
      </c>
      <c r="BB27" s="51"/>
      <c r="BC27" s="37"/>
      <c r="BD27" s="37"/>
      <c r="BE27" s="51"/>
      <c r="BF27" s="37"/>
      <c r="BG27" s="37"/>
      <c r="BH27" s="47" t="s">
        <v>221</v>
      </c>
      <c r="BI27" s="50">
        <v>0.113</v>
      </c>
      <c r="BJ27" s="50">
        <v>0.82399999999999995</v>
      </c>
      <c r="BK27" s="51"/>
      <c r="BL27" s="37"/>
      <c r="BM27" s="37"/>
      <c r="BN27" s="47" t="s">
        <v>222</v>
      </c>
      <c r="BO27" s="50">
        <v>0.154</v>
      </c>
      <c r="BP27" s="50">
        <v>0.74199999999999999</v>
      </c>
      <c r="BQ27" s="51"/>
      <c r="BR27" s="37"/>
      <c r="BS27" s="37"/>
      <c r="BT27" s="51"/>
      <c r="BU27" s="37"/>
      <c r="BV27" s="37"/>
      <c r="BW27" s="51"/>
      <c r="BX27" s="37"/>
      <c r="BY27" s="37"/>
      <c r="BZ27" s="51" t="s">
        <v>235</v>
      </c>
      <c r="CA27" s="48">
        <v>0.219</v>
      </c>
      <c r="CB27" s="48">
        <v>0.61199999999999999</v>
      </c>
      <c r="CC27" s="47" t="s">
        <v>236</v>
      </c>
      <c r="CD27" s="50">
        <v>0.113</v>
      </c>
      <c r="CE27" s="50">
        <v>0.82399999999999995</v>
      </c>
      <c r="CF27" s="47" t="s">
        <v>237</v>
      </c>
      <c r="CG27" s="50">
        <v>0.154</v>
      </c>
      <c r="CH27" s="50">
        <v>0.74199999999999999</v>
      </c>
      <c r="CI27" s="47" t="s">
        <v>238</v>
      </c>
      <c r="CJ27" s="48">
        <v>0.308</v>
      </c>
      <c r="CK27" s="53">
        <v>0.434</v>
      </c>
    </row>
    <row r="28" spans="1:89" ht="14.9" customHeight="1" x14ac:dyDescent="0.25">
      <c r="B28" s="100"/>
      <c r="C28" s="343" t="s">
        <v>250</v>
      </c>
      <c r="D28" s="344"/>
      <c r="E28" s="344"/>
      <c r="F28" s="344"/>
      <c r="G28" s="344"/>
      <c r="H28" s="344"/>
      <c r="I28" s="344"/>
      <c r="J28" s="344"/>
      <c r="K28" s="344"/>
      <c r="L28" s="344"/>
      <c r="M28" s="344"/>
      <c r="N28" s="344"/>
      <c r="O28" s="344"/>
      <c r="P28" s="344"/>
      <c r="Q28" s="344"/>
      <c r="R28" s="344"/>
      <c r="S28" s="345"/>
      <c r="T28" s="380">
        <f>IF(T27="user input","",INDEX($AO$33:$AP$36,MATCH(T27,$AP$33:$AP$36,0),1))</f>
        <v>2</v>
      </c>
      <c r="U28" s="381"/>
      <c r="V28" s="381"/>
      <c r="W28" s="381"/>
      <c r="X28" s="381"/>
      <c r="Y28" s="382"/>
      <c r="Z28" s="380">
        <f>IF(Z27="user input","",INDEX($AO$33:$AP$36,MATCH(Z27,$AP$33:$AP$36,0),1))</f>
        <v>2</v>
      </c>
      <c r="AA28" s="381"/>
      <c r="AB28" s="381"/>
      <c r="AC28" s="381"/>
      <c r="AD28" s="381"/>
      <c r="AE28" s="382"/>
      <c r="AF28" s="380">
        <f>IF(AF27="user input","",INDEX($AO$33:$AP$36,MATCH(AF27,$AP$33:$AP$36,0),1))</f>
        <v>2</v>
      </c>
      <c r="AG28" s="381"/>
      <c r="AH28" s="381"/>
      <c r="AI28" s="381"/>
      <c r="AJ28" s="381"/>
      <c r="AK28" s="382"/>
      <c r="AL28" s="72"/>
      <c r="AM28" s="72"/>
      <c r="AN28" s="101"/>
      <c r="AR28" s="65">
        <v>7</v>
      </c>
      <c r="AS28" s="8"/>
      <c r="AT28" s="36">
        <v>25</v>
      </c>
      <c r="AU28" s="63">
        <v>33.4</v>
      </c>
      <c r="AV28" s="47" t="s">
        <v>227</v>
      </c>
      <c r="AW28" s="50">
        <v>6.5000000000000002E-2</v>
      </c>
      <c r="AX28" s="50">
        <v>1.1850000000000001</v>
      </c>
      <c r="AY28" s="47" t="s">
        <v>228</v>
      </c>
      <c r="AZ28" s="50">
        <v>0.109</v>
      </c>
      <c r="BA28" s="50">
        <v>1.097</v>
      </c>
      <c r="BB28" s="51"/>
      <c r="BC28" s="37"/>
      <c r="BD28" s="37"/>
      <c r="BE28" s="51"/>
      <c r="BF28" s="37"/>
      <c r="BG28" s="37"/>
      <c r="BH28" s="47" t="s">
        <v>221</v>
      </c>
      <c r="BI28" s="50">
        <v>0.13300000000000001</v>
      </c>
      <c r="BJ28" s="50">
        <v>1.0489999999999999</v>
      </c>
      <c r="BK28" s="51"/>
      <c r="BL28" s="37"/>
      <c r="BM28" s="37"/>
      <c r="BN28" s="47" t="s">
        <v>222</v>
      </c>
      <c r="BO28" s="50">
        <v>0.17899999999999999</v>
      </c>
      <c r="BP28" s="50">
        <v>0.95700000000000007</v>
      </c>
      <c r="BQ28" s="51"/>
      <c r="BR28" s="37"/>
      <c r="BS28" s="37"/>
      <c r="BT28" s="51"/>
      <c r="BU28" s="37"/>
      <c r="BV28" s="37"/>
      <c r="BW28" s="51"/>
      <c r="BX28" s="37"/>
      <c r="BY28" s="37"/>
      <c r="BZ28" s="51" t="s">
        <v>235</v>
      </c>
      <c r="CA28" s="48">
        <v>0.25</v>
      </c>
      <c r="CB28" s="48">
        <v>0.81499999999999995</v>
      </c>
      <c r="CC28" s="47" t="s">
        <v>236</v>
      </c>
      <c r="CD28" s="50">
        <v>0.13300000000000001</v>
      </c>
      <c r="CE28" s="50">
        <v>1.0489999999999999</v>
      </c>
      <c r="CF28" s="47" t="s">
        <v>237</v>
      </c>
      <c r="CG28" s="50">
        <v>0.17899999999999999</v>
      </c>
      <c r="CH28" s="50">
        <v>0.95700000000000007</v>
      </c>
      <c r="CI28" s="47" t="s">
        <v>238</v>
      </c>
      <c r="CJ28" s="48">
        <v>0.35799999999999998</v>
      </c>
      <c r="CK28" s="53">
        <v>0.59899999999999998</v>
      </c>
    </row>
    <row r="29" spans="1:89" ht="44.25" customHeight="1" thickBot="1" x14ac:dyDescent="0.3">
      <c r="B29" s="100"/>
      <c r="C29" s="341" t="s">
        <v>251</v>
      </c>
      <c r="D29" s="341"/>
      <c r="E29" s="341"/>
      <c r="F29" s="341"/>
      <c r="G29" s="341"/>
      <c r="H29" s="341"/>
      <c r="I29" s="341"/>
      <c r="J29" s="341"/>
      <c r="K29" s="341"/>
      <c r="L29" s="341"/>
      <c r="M29" s="341"/>
      <c r="N29" s="341"/>
      <c r="O29" s="341"/>
      <c r="P29" s="341"/>
      <c r="Q29" s="341"/>
      <c r="R29" s="341"/>
      <c r="S29" s="342"/>
      <c r="T29" s="386" t="str">
        <f>IF(T25&lt;0,"Input Error: Invalid Pipe Wall Thickness",IF(T22=0,"Input Error: Invalid Pipe Schedule","Inputs Ok"))</f>
        <v>Inputs Ok</v>
      </c>
      <c r="U29" s="387"/>
      <c r="V29" s="387"/>
      <c r="W29" s="387"/>
      <c r="X29" s="387"/>
      <c r="Y29" s="388"/>
      <c r="Z29" s="386" t="str">
        <f>IF(Z25&lt;0,"Input Error: Invalid Pipe Wall Thickness",IF(Z22=0,"Input Error: Invalid Pipe Schedule","Inputs Ok"))</f>
        <v>Inputs Ok</v>
      </c>
      <c r="AA29" s="387"/>
      <c r="AB29" s="387"/>
      <c r="AC29" s="387"/>
      <c r="AD29" s="387"/>
      <c r="AE29" s="388"/>
      <c r="AF29" s="386" t="str">
        <f>IF(AF25&lt;0,"Input Error: Invalid Pipe Wall Thickness",IF(AF22=0,"Input Error: Invalid Pipe Schedule","Inputs Ok"))</f>
        <v>Inputs Ok</v>
      </c>
      <c r="AG29" s="387"/>
      <c r="AH29" s="387"/>
      <c r="AI29" s="387"/>
      <c r="AJ29" s="387"/>
      <c r="AK29" s="388"/>
      <c r="AL29" s="72"/>
      <c r="AM29" s="72"/>
      <c r="AN29" s="101"/>
      <c r="AR29" s="10">
        <v>8</v>
      </c>
      <c r="AS29" s="8"/>
      <c r="AT29" s="36">
        <v>32</v>
      </c>
      <c r="AU29" s="63">
        <v>42.16</v>
      </c>
      <c r="AV29" s="47" t="s">
        <v>227</v>
      </c>
      <c r="AW29" s="50">
        <v>6.5000000000000002E-2</v>
      </c>
      <c r="AX29" s="50">
        <v>1.53</v>
      </c>
      <c r="AY29" s="47" t="s">
        <v>228</v>
      </c>
      <c r="AZ29" s="50">
        <v>0.109</v>
      </c>
      <c r="BA29" s="50">
        <v>1.4419999999999999</v>
      </c>
      <c r="BB29" s="51"/>
      <c r="BC29" s="37"/>
      <c r="BD29" s="37"/>
      <c r="BE29" s="51"/>
      <c r="BF29" s="37"/>
      <c r="BG29" s="37"/>
      <c r="BH29" s="47" t="s">
        <v>221</v>
      </c>
      <c r="BI29" s="50">
        <v>0.14000000000000001</v>
      </c>
      <c r="BJ29" s="50">
        <v>1.38</v>
      </c>
      <c r="BK29" s="51"/>
      <c r="BL29" s="37"/>
      <c r="BM29" s="37"/>
      <c r="BN29" s="47" t="s">
        <v>222</v>
      </c>
      <c r="BO29" s="50">
        <v>0.191</v>
      </c>
      <c r="BP29" s="50">
        <v>1.278</v>
      </c>
      <c r="BQ29" s="51"/>
      <c r="BR29" s="37"/>
      <c r="BS29" s="37"/>
      <c r="BT29" s="51"/>
      <c r="BU29" s="37"/>
      <c r="BV29" s="37"/>
      <c r="BW29" s="51"/>
      <c r="BX29" s="37"/>
      <c r="BY29" s="37"/>
      <c r="BZ29" s="51" t="s">
        <v>235</v>
      </c>
      <c r="CA29" s="50">
        <v>0.25</v>
      </c>
      <c r="CB29" s="50">
        <v>1.1599999999999999</v>
      </c>
      <c r="CC29" s="47" t="s">
        <v>236</v>
      </c>
      <c r="CD29" s="50">
        <v>0.14000000000000001</v>
      </c>
      <c r="CE29" s="50">
        <v>1.38</v>
      </c>
      <c r="CF29" s="47" t="s">
        <v>237</v>
      </c>
      <c r="CG29" s="50">
        <v>0.191</v>
      </c>
      <c r="CH29" s="50">
        <v>1.278</v>
      </c>
      <c r="CI29" s="47" t="s">
        <v>238</v>
      </c>
      <c r="CJ29" s="50">
        <v>0.38200000000000001</v>
      </c>
      <c r="CK29" s="54">
        <v>0.89600000000000002</v>
      </c>
    </row>
    <row r="30" spans="1:89" ht="14.9" customHeight="1" thickBot="1" x14ac:dyDescent="0.3">
      <c r="B30" s="100"/>
      <c r="C30" s="346" t="s">
        <v>252</v>
      </c>
      <c r="D30" s="347"/>
      <c r="E30" s="347"/>
      <c r="F30" s="347"/>
      <c r="G30" s="347"/>
      <c r="H30" s="347"/>
      <c r="I30" s="347"/>
      <c r="J30" s="347"/>
      <c r="K30" s="347"/>
      <c r="L30" s="347"/>
      <c r="M30" s="347"/>
      <c r="N30" s="347"/>
      <c r="O30" s="347"/>
      <c r="P30" s="347"/>
      <c r="Q30" s="347"/>
      <c r="R30" s="347"/>
      <c r="S30" s="347"/>
      <c r="T30" s="347"/>
      <c r="U30" s="347"/>
      <c r="V30" s="347"/>
      <c r="W30" s="347"/>
      <c r="X30" s="347"/>
      <c r="Y30" s="347"/>
      <c r="Z30" s="347"/>
      <c r="AA30" s="347"/>
      <c r="AB30" s="347"/>
      <c r="AC30" s="347"/>
      <c r="AD30" s="347"/>
      <c r="AE30" s="347"/>
      <c r="AF30" s="347"/>
      <c r="AG30" s="347"/>
      <c r="AH30" s="347"/>
      <c r="AI30" s="347"/>
      <c r="AJ30" s="347"/>
      <c r="AK30" s="348"/>
      <c r="AL30" s="72"/>
      <c r="AM30" s="72"/>
      <c r="AN30" s="101"/>
      <c r="AR30" s="65">
        <v>9</v>
      </c>
      <c r="AS30" s="8"/>
      <c r="AT30" s="36">
        <v>40</v>
      </c>
      <c r="AU30" s="63">
        <v>48.26</v>
      </c>
      <c r="AV30" s="47" t="s">
        <v>227</v>
      </c>
      <c r="AW30" s="50">
        <v>6.5000000000000002E-2</v>
      </c>
      <c r="AX30" s="50">
        <v>1.77</v>
      </c>
      <c r="AY30" s="47" t="s">
        <v>228</v>
      </c>
      <c r="AZ30" s="50">
        <v>0.109</v>
      </c>
      <c r="BA30" s="50">
        <v>1.6819999999999999</v>
      </c>
      <c r="BB30" s="51"/>
      <c r="BC30" s="37"/>
      <c r="BD30" s="37"/>
      <c r="BE30" s="51"/>
      <c r="BF30" s="37"/>
      <c r="BG30" s="37"/>
      <c r="BH30" s="47" t="s">
        <v>221</v>
      </c>
      <c r="BI30" s="50">
        <v>0.14499999999999999</v>
      </c>
      <c r="BJ30" s="50">
        <v>1.61</v>
      </c>
      <c r="BK30" s="51"/>
      <c r="BL30" s="37"/>
      <c r="BM30" s="37"/>
      <c r="BN30" s="47" t="s">
        <v>222</v>
      </c>
      <c r="BO30" s="50">
        <v>0.2</v>
      </c>
      <c r="BP30" s="50">
        <v>1.5</v>
      </c>
      <c r="BQ30" s="51"/>
      <c r="BR30" s="37"/>
      <c r="BS30" s="37"/>
      <c r="BT30" s="51"/>
      <c r="BU30" s="37"/>
      <c r="BV30" s="37"/>
      <c r="BW30" s="51"/>
      <c r="BX30" s="37"/>
      <c r="BY30" s="37"/>
      <c r="BZ30" s="51" t="s">
        <v>235</v>
      </c>
      <c r="CA30" s="50">
        <v>0.28100000000000003</v>
      </c>
      <c r="CB30" s="50">
        <v>1.3380000000000001</v>
      </c>
      <c r="CC30" s="47" t="s">
        <v>236</v>
      </c>
      <c r="CD30" s="50">
        <v>0.14499999999999999</v>
      </c>
      <c r="CE30" s="50">
        <v>1.61</v>
      </c>
      <c r="CF30" s="47" t="s">
        <v>237</v>
      </c>
      <c r="CG30" s="50">
        <v>0.2</v>
      </c>
      <c r="CH30" s="50">
        <v>1.5</v>
      </c>
      <c r="CI30" s="47" t="s">
        <v>238</v>
      </c>
      <c r="CJ30" s="50">
        <v>0.4</v>
      </c>
      <c r="CK30" s="54">
        <v>1.1000000000000001</v>
      </c>
    </row>
    <row r="31" spans="1:89" ht="14.9" customHeight="1" x14ac:dyDescent="0.25">
      <c r="B31" s="100"/>
      <c r="C31" s="349" t="s">
        <v>253</v>
      </c>
      <c r="D31" s="350"/>
      <c r="E31" s="350"/>
      <c r="F31" s="350"/>
      <c r="G31" s="350"/>
      <c r="H31" s="350"/>
      <c r="I31" s="350"/>
      <c r="J31" s="350"/>
      <c r="K31" s="350"/>
      <c r="L31" s="350"/>
      <c r="M31" s="350"/>
      <c r="N31" s="350"/>
      <c r="O31" s="350"/>
      <c r="P31" s="350"/>
      <c r="Q31" s="350"/>
      <c r="R31" s="350"/>
      <c r="S31" s="351"/>
      <c r="T31" s="377">
        <f t="shared" ref="T31" si="2">IF(T29="Inputs Ok",(T15/1000)*(((2*T16*8314*T17)/((T16+1)*T18))^0.5),"-")</f>
        <v>6.2856323459324486</v>
      </c>
      <c r="U31" s="378"/>
      <c r="V31" s="378"/>
      <c r="W31" s="378"/>
      <c r="X31" s="378"/>
      <c r="Y31" s="379"/>
      <c r="Z31" s="377">
        <f t="shared" ref="Z31" si="3">IF(Z29="Inputs Ok",(Z15/1000)*(((2*Z16*8314*Z17)/((Z16+1)*Z18))^0.5),"-")</f>
        <v>6.2856323459324486</v>
      </c>
      <c r="AA31" s="378"/>
      <c r="AB31" s="378"/>
      <c r="AC31" s="378"/>
      <c r="AD31" s="378"/>
      <c r="AE31" s="379"/>
      <c r="AF31" s="377">
        <f>IF(AF29="Inputs Ok",(AF15/1000)*(((2*AF16*8314*AF17)/((AF16+1)*AF18))^0.5),"-")</f>
        <v>6.2856323459324486</v>
      </c>
      <c r="AG31" s="378"/>
      <c r="AH31" s="378"/>
      <c r="AI31" s="378"/>
      <c r="AJ31" s="378"/>
      <c r="AK31" s="379"/>
      <c r="AL31" s="72"/>
      <c r="AM31" s="72"/>
      <c r="AN31" s="101"/>
      <c r="AR31" s="71">
        <v>10</v>
      </c>
      <c r="AS31" s="8"/>
      <c r="AT31" s="36">
        <v>50</v>
      </c>
      <c r="AU31" s="63">
        <v>60.33</v>
      </c>
      <c r="AV31" s="47">
        <v>5</v>
      </c>
      <c r="AW31" s="50">
        <v>6.5000000000000002E-2</v>
      </c>
      <c r="AX31" s="50">
        <v>2.2450000000000001</v>
      </c>
      <c r="AY31" s="47" t="s">
        <v>228</v>
      </c>
      <c r="AZ31" s="50">
        <v>0.109</v>
      </c>
      <c r="BA31" s="50">
        <v>2.157</v>
      </c>
      <c r="BB31" s="51"/>
      <c r="BC31" s="37"/>
      <c r="BD31" s="37"/>
      <c r="BE31" s="51"/>
      <c r="BF31" s="37"/>
      <c r="BG31" s="37"/>
      <c r="BH31" s="51">
        <v>40</v>
      </c>
      <c r="BI31" s="50">
        <v>0.154</v>
      </c>
      <c r="BJ31" s="50">
        <v>2.0670000000000002</v>
      </c>
      <c r="BK31" s="51"/>
      <c r="BL31" s="37"/>
      <c r="BM31" s="37"/>
      <c r="BN31" s="47">
        <v>80</v>
      </c>
      <c r="BO31" s="50">
        <v>0.218</v>
      </c>
      <c r="BP31" s="50">
        <v>1.9390000000000001</v>
      </c>
      <c r="BQ31" s="51"/>
      <c r="BR31" s="37"/>
      <c r="BS31" s="37"/>
      <c r="BT31" s="51"/>
      <c r="BU31" s="37"/>
      <c r="BV31" s="37"/>
      <c r="BW31" s="51"/>
      <c r="BX31" s="37"/>
      <c r="BY31" s="37"/>
      <c r="BZ31" s="51">
        <v>160</v>
      </c>
      <c r="CA31" s="50">
        <v>0.34399999999999997</v>
      </c>
      <c r="CB31" s="50">
        <v>1.6870000000000001</v>
      </c>
      <c r="CC31" s="47" t="s">
        <v>236</v>
      </c>
      <c r="CD31" s="50">
        <v>0.154</v>
      </c>
      <c r="CE31" s="50">
        <v>2.0670000000000002</v>
      </c>
      <c r="CF31" s="47" t="s">
        <v>237</v>
      </c>
      <c r="CG31" s="50">
        <v>0.218</v>
      </c>
      <c r="CH31" s="50">
        <v>1.9390000000000001</v>
      </c>
      <c r="CI31" s="47" t="s">
        <v>238</v>
      </c>
      <c r="CJ31" s="50">
        <v>0.436</v>
      </c>
      <c r="CK31" s="54">
        <v>1.5029999999999999</v>
      </c>
    </row>
    <row r="32" spans="1:89" ht="14.9" customHeight="1" x14ac:dyDescent="0.25">
      <c r="B32" s="100"/>
      <c r="C32" s="338" t="s">
        <v>254</v>
      </c>
      <c r="D32" s="339"/>
      <c r="E32" s="339"/>
      <c r="F32" s="339"/>
      <c r="G32" s="339"/>
      <c r="H32" s="339"/>
      <c r="I32" s="339"/>
      <c r="J32" s="339"/>
      <c r="K32" s="339"/>
      <c r="L32" s="339"/>
      <c r="M32" s="339"/>
      <c r="N32" s="339"/>
      <c r="O32" s="339"/>
      <c r="P32" s="339"/>
      <c r="Q32" s="339"/>
      <c r="R32" s="339"/>
      <c r="S32" s="352"/>
      <c r="T32" s="356">
        <f t="shared" ref="T32" si="4">IF(T29="Inputs OK",(IF(T20="Manual Input",(T24/T26),(T22/T26))),"-")</f>
        <v>1</v>
      </c>
      <c r="U32" s="357"/>
      <c r="V32" s="357"/>
      <c r="W32" s="357"/>
      <c r="X32" s="357"/>
      <c r="Y32" s="358"/>
      <c r="Z32" s="356">
        <f t="shared" ref="Z32" si="5">IF(Z29="Inputs OK",(IF(Z20="Manual Input",(Z24/Z26),(Z22/Z26))),"-")</f>
        <v>1</v>
      </c>
      <c r="AA32" s="357"/>
      <c r="AB32" s="357"/>
      <c r="AC32" s="357"/>
      <c r="AD32" s="357"/>
      <c r="AE32" s="358"/>
      <c r="AF32" s="356">
        <f>IF(AF29="Inputs OK",(IF(AF20="Manual Input",(AF24/AF26),(AF22/AF26))),"-")</f>
        <v>1.4219409282700421</v>
      </c>
      <c r="AG32" s="357"/>
      <c r="AH32" s="357"/>
      <c r="AI32" s="357"/>
      <c r="AJ32" s="357"/>
      <c r="AK32" s="358"/>
      <c r="AL32" s="72"/>
      <c r="AM32" s="72"/>
      <c r="AN32" s="101"/>
      <c r="AP32" s="21" t="s">
        <v>255</v>
      </c>
      <c r="AR32" s="65">
        <v>11</v>
      </c>
      <c r="AS32" s="8"/>
      <c r="AT32" s="36">
        <v>65</v>
      </c>
      <c r="AU32" s="63">
        <v>73.02</v>
      </c>
      <c r="AV32" s="47" t="s">
        <v>227</v>
      </c>
      <c r="AW32" s="50">
        <v>8.3000000000000004E-2</v>
      </c>
      <c r="AX32" s="50">
        <v>2.7090000000000001</v>
      </c>
      <c r="AY32" s="47" t="s">
        <v>228</v>
      </c>
      <c r="AZ32" s="50">
        <v>0.12</v>
      </c>
      <c r="BA32" s="50">
        <v>2.6349999999999998</v>
      </c>
      <c r="BB32" s="51"/>
      <c r="BC32" s="37"/>
      <c r="BD32" s="37"/>
      <c r="BE32" s="51"/>
      <c r="BF32" s="37"/>
      <c r="BG32" s="37"/>
      <c r="BH32" s="47" t="s">
        <v>221</v>
      </c>
      <c r="BI32" s="50">
        <v>0.20300000000000001</v>
      </c>
      <c r="BJ32" s="50">
        <v>2.4689999999999999</v>
      </c>
      <c r="BK32" s="51"/>
      <c r="BL32" s="37"/>
      <c r="BM32" s="37"/>
      <c r="BN32" s="47" t="s">
        <v>222</v>
      </c>
      <c r="BO32" s="48">
        <v>0.27600000000000002</v>
      </c>
      <c r="BP32" s="48">
        <v>2.323</v>
      </c>
      <c r="BQ32" s="51"/>
      <c r="BR32" s="37"/>
      <c r="BS32" s="37"/>
      <c r="BT32" s="51"/>
      <c r="BU32" s="37"/>
      <c r="BV32" s="37"/>
      <c r="BW32" s="51"/>
      <c r="BX32" s="37"/>
      <c r="BY32" s="37"/>
      <c r="BZ32" s="51" t="s">
        <v>235</v>
      </c>
      <c r="CA32" s="50">
        <v>0.375</v>
      </c>
      <c r="CB32" s="50">
        <v>2.125</v>
      </c>
      <c r="CC32" s="47" t="s">
        <v>236</v>
      </c>
      <c r="CD32" s="48">
        <v>0.20300000000000001</v>
      </c>
      <c r="CE32" s="48">
        <v>2.4689999999999999</v>
      </c>
      <c r="CF32" s="47" t="s">
        <v>237</v>
      </c>
      <c r="CG32" s="48">
        <v>0.27600000000000002</v>
      </c>
      <c r="CH32" s="48">
        <v>2.323</v>
      </c>
      <c r="CI32" s="47" t="s">
        <v>238</v>
      </c>
      <c r="CJ32" s="50">
        <v>0.55200000000000005</v>
      </c>
      <c r="CK32" s="54">
        <v>1.7709999999999999</v>
      </c>
    </row>
    <row r="33" spans="2:89" ht="14.9" customHeight="1" x14ac:dyDescent="0.25">
      <c r="B33" s="100"/>
      <c r="C33" s="338" t="s">
        <v>256</v>
      </c>
      <c r="D33" s="339"/>
      <c r="E33" s="339"/>
      <c r="F33" s="339"/>
      <c r="G33" s="339"/>
      <c r="H33" s="339"/>
      <c r="I33" s="339"/>
      <c r="J33" s="339"/>
      <c r="K33" s="339"/>
      <c r="L33" s="339"/>
      <c r="M33" s="339"/>
      <c r="N33" s="339"/>
      <c r="O33" s="339"/>
      <c r="P33" s="339"/>
      <c r="Q33" s="339"/>
      <c r="R33" s="339"/>
      <c r="S33" s="352"/>
      <c r="T33" s="356">
        <f t="shared" ref="T33" si="6">IF(T29="Inputs OK",(IF(T20="Manual Input",((16.8*T32^3)-(1.81*T32^2)+(525*T32)+25.3)*T23*T28*PI()*((T25^2)/(4*10^9)),((16.8*T32^3)-(1.81*T32^2)+(525*T32)+25.3)*T21*T28*PI()*((T25^2)/(4*10^9)))),"-")</f>
        <v>1.0613347513992295</v>
      </c>
      <c r="U33" s="357"/>
      <c r="V33" s="357"/>
      <c r="W33" s="357"/>
      <c r="X33" s="357"/>
      <c r="Y33" s="358"/>
      <c r="Z33" s="356">
        <f t="shared" ref="Z33" si="7">IF(Z29="Inputs OK",(IF(Z20="Manual Input",((16.8*Z32^3)-(1.81*Z32^2)+(525*Z32)+25.3)*Z23*Z28*PI()*((Z25^2)/(4*10^9)),((16.8*Z32^3)-(1.81*Z32^2)+(525*Z32)+25.3)*Z21*Z28*PI()*((Z25^2)/(4*10^9)))),"-")</f>
        <v>1.0613347513992295</v>
      </c>
      <c r="AA33" s="357"/>
      <c r="AB33" s="357"/>
      <c r="AC33" s="357"/>
      <c r="AD33" s="357"/>
      <c r="AE33" s="358"/>
      <c r="AF33" s="356">
        <f>IF(AF29="Inputs OK",(IF(AF20="Manual Input",((16.8*AF32^3)-(1.81*AF32^2)+(525*AF32)+25.3)*AF23*AF28*PI()*((AF25^2)/(4*10^9)),((16.8*AF32^3)-(1.81*AF32^2)+(525*AF32)+25.3)*AF21*AF28*PI()*((AF25^2)/(4*10^9)))),"-")</f>
        <v>1.3843899116879474</v>
      </c>
      <c r="AG33" s="357"/>
      <c r="AH33" s="357"/>
      <c r="AI33" s="357"/>
      <c r="AJ33" s="357"/>
      <c r="AK33" s="358"/>
      <c r="AL33" s="72"/>
      <c r="AM33" s="72"/>
      <c r="AN33" s="101"/>
      <c r="AO33" s="10">
        <v>4</v>
      </c>
      <c r="AP33" s="21" t="s">
        <v>257</v>
      </c>
      <c r="AR33" s="10">
        <v>12</v>
      </c>
      <c r="AS33" s="8"/>
      <c r="AT33" s="36">
        <v>80</v>
      </c>
      <c r="AU33" s="63">
        <v>88.9</v>
      </c>
      <c r="AV33" s="47" t="s">
        <v>227</v>
      </c>
      <c r="AW33" s="50">
        <v>8.3000000000000004E-2</v>
      </c>
      <c r="AX33" s="50">
        <v>3.3340000000000001</v>
      </c>
      <c r="AY33" s="47" t="s">
        <v>228</v>
      </c>
      <c r="AZ33" s="50">
        <v>0.12</v>
      </c>
      <c r="BA33" s="50">
        <v>3.26</v>
      </c>
      <c r="BB33" s="51"/>
      <c r="BC33" s="37"/>
      <c r="BD33" s="37"/>
      <c r="BE33" s="51"/>
      <c r="BF33" s="37"/>
      <c r="BG33" s="37"/>
      <c r="BH33" s="47" t="s">
        <v>221</v>
      </c>
      <c r="BI33" s="50">
        <v>0.216</v>
      </c>
      <c r="BJ33" s="50">
        <v>3.0680000000000001</v>
      </c>
      <c r="BK33" s="51"/>
      <c r="BL33" s="37"/>
      <c r="BM33" s="37"/>
      <c r="BN33" s="47" t="s">
        <v>222</v>
      </c>
      <c r="BO33" s="48">
        <v>0.3</v>
      </c>
      <c r="BP33" s="48">
        <v>2.9</v>
      </c>
      <c r="BQ33" s="51"/>
      <c r="BR33" s="37"/>
      <c r="BS33" s="37"/>
      <c r="BT33" s="51"/>
      <c r="BU33" s="37"/>
      <c r="BV33" s="37"/>
      <c r="BW33" s="51"/>
      <c r="BX33" s="37"/>
      <c r="BY33" s="37"/>
      <c r="BZ33" s="51" t="s">
        <v>235</v>
      </c>
      <c r="CA33" s="50">
        <v>0.438</v>
      </c>
      <c r="CB33" s="50">
        <v>2.6240000000000001</v>
      </c>
      <c r="CC33" s="47" t="s">
        <v>236</v>
      </c>
      <c r="CD33" s="48">
        <v>0.216</v>
      </c>
      <c r="CE33" s="48">
        <v>3.0680000000000001</v>
      </c>
      <c r="CF33" s="47" t="s">
        <v>237</v>
      </c>
      <c r="CG33" s="48">
        <v>0.3</v>
      </c>
      <c r="CH33" s="48">
        <v>2.9</v>
      </c>
      <c r="CI33" s="47" t="s">
        <v>238</v>
      </c>
      <c r="CJ33" s="50">
        <v>0.6</v>
      </c>
      <c r="CK33" s="54">
        <v>2.2999999999999998</v>
      </c>
    </row>
    <row r="34" spans="2:89" ht="14.9" customHeight="1" thickBot="1" x14ac:dyDescent="0.3">
      <c r="B34" s="100"/>
      <c r="C34" s="335" t="s">
        <v>258</v>
      </c>
      <c r="D34" s="336"/>
      <c r="E34" s="336"/>
      <c r="F34" s="336"/>
      <c r="G34" s="336"/>
      <c r="H34" s="336"/>
      <c r="I34" s="336"/>
      <c r="J34" s="336"/>
      <c r="K34" s="336"/>
      <c r="L34" s="336"/>
      <c r="M34" s="336"/>
      <c r="N34" s="336"/>
      <c r="O34" s="336"/>
      <c r="P34" s="336"/>
      <c r="Q34" s="336"/>
      <c r="R34" s="336"/>
      <c r="S34" s="337"/>
      <c r="T34" s="353">
        <f t="shared" ref="T34" si="8">IF(T29="Inputs Ok",(T31/T33),"Input Error")</f>
        <v>5.9223843727397725</v>
      </c>
      <c r="U34" s="354"/>
      <c r="V34" s="354"/>
      <c r="W34" s="354"/>
      <c r="X34" s="354"/>
      <c r="Y34" s="355"/>
      <c r="Z34" s="353">
        <f t="shared" ref="Z34" si="9">IF(Z29="Inputs Ok",(Z31/Z33),"Input Error")</f>
        <v>5.9223843727397725</v>
      </c>
      <c r="AA34" s="354"/>
      <c r="AB34" s="354"/>
      <c r="AC34" s="354"/>
      <c r="AD34" s="354"/>
      <c r="AE34" s="355"/>
      <c r="AF34" s="353">
        <f>IF(AF29="Inputs Ok",(AF31/AF33),"Input Error")</f>
        <v>4.5403627206937349</v>
      </c>
      <c r="AG34" s="354"/>
      <c r="AH34" s="354"/>
      <c r="AI34" s="354"/>
      <c r="AJ34" s="354"/>
      <c r="AK34" s="355"/>
      <c r="AL34" s="72"/>
      <c r="AM34" s="72"/>
      <c r="AN34" s="101"/>
      <c r="AO34" s="10">
        <v>2</v>
      </c>
      <c r="AP34" s="21" t="s">
        <v>249</v>
      </c>
      <c r="AR34" s="65">
        <v>13</v>
      </c>
      <c r="AS34" s="8"/>
      <c r="AT34" s="36">
        <v>90</v>
      </c>
      <c r="AU34" s="63">
        <v>101.6</v>
      </c>
      <c r="AV34" s="47" t="s">
        <v>227</v>
      </c>
      <c r="AW34" s="50">
        <v>8.3000000000000004E-2</v>
      </c>
      <c r="AX34" s="50">
        <v>3.8340000000000001</v>
      </c>
      <c r="AY34" s="47" t="s">
        <v>228</v>
      </c>
      <c r="AZ34" s="50">
        <v>0.12</v>
      </c>
      <c r="BA34" s="50">
        <v>3.76</v>
      </c>
      <c r="BB34" s="51"/>
      <c r="BC34" s="37"/>
      <c r="BD34" s="37"/>
      <c r="BE34" s="51"/>
      <c r="BF34" s="37"/>
      <c r="BG34" s="37"/>
      <c r="BH34" s="47" t="s">
        <v>221</v>
      </c>
      <c r="BI34" s="50">
        <v>0.22600000000000001</v>
      </c>
      <c r="BJ34" s="50">
        <v>3.548</v>
      </c>
      <c r="BK34" s="51"/>
      <c r="BL34" s="37"/>
      <c r="BM34" s="37"/>
      <c r="BN34" s="47" t="s">
        <v>222</v>
      </c>
      <c r="BO34" s="48">
        <v>0.318</v>
      </c>
      <c r="BP34" s="48">
        <v>3.3639999999999999</v>
      </c>
      <c r="BQ34" s="51"/>
      <c r="BR34" s="37"/>
      <c r="BS34" s="37"/>
      <c r="BT34" s="51"/>
      <c r="BU34" s="37"/>
      <c r="BV34" s="37"/>
      <c r="BW34" s="51"/>
      <c r="BX34" s="37"/>
      <c r="BY34" s="37"/>
      <c r="BZ34" s="51" t="s">
        <v>235</v>
      </c>
      <c r="CA34" s="50"/>
      <c r="CB34" s="50"/>
      <c r="CC34" s="47" t="s">
        <v>236</v>
      </c>
      <c r="CD34" s="48">
        <v>0.22600000000000001</v>
      </c>
      <c r="CE34" s="48">
        <v>3.548</v>
      </c>
      <c r="CF34" s="47" t="s">
        <v>237</v>
      </c>
      <c r="CG34" s="48">
        <v>0.318</v>
      </c>
      <c r="CH34" s="48">
        <v>3.3639999999999999</v>
      </c>
      <c r="CI34" s="47"/>
      <c r="CJ34" s="50"/>
      <c r="CK34" s="54"/>
    </row>
    <row r="35" spans="2:89"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O35" s="10">
        <v>1</v>
      </c>
      <c r="AP35" s="21" t="s">
        <v>259</v>
      </c>
      <c r="AR35" s="10">
        <v>14</v>
      </c>
      <c r="AS35" s="8"/>
      <c r="AT35" s="36">
        <v>100</v>
      </c>
      <c r="AU35" s="63">
        <v>114.3</v>
      </c>
      <c r="AV35" s="47" t="s">
        <v>227</v>
      </c>
      <c r="AW35" s="50">
        <v>8.3000000000000004E-2</v>
      </c>
      <c r="AX35" s="50">
        <v>4.3339999999999996</v>
      </c>
      <c r="AY35" s="47" t="s">
        <v>228</v>
      </c>
      <c r="AZ35" s="50">
        <v>0.12</v>
      </c>
      <c r="BA35" s="50">
        <v>4.26</v>
      </c>
      <c r="BB35" s="51"/>
      <c r="BC35" s="37"/>
      <c r="BD35" s="37"/>
      <c r="BE35" s="51"/>
      <c r="BF35" s="37"/>
      <c r="BG35" s="37"/>
      <c r="BH35" s="47" t="s">
        <v>221</v>
      </c>
      <c r="BI35" s="50">
        <v>0.23700000000000002</v>
      </c>
      <c r="BJ35" s="50">
        <v>4.0259999999999998</v>
      </c>
      <c r="BK35" s="51"/>
      <c r="BL35" s="37"/>
      <c r="BM35" s="37"/>
      <c r="BN35" s="47" t="s">
        <v>222</v>
      </c>
      <c r="BO35" s="50">
        <v>0.33700000000000002</v>
      </c>
      <c r="BP35" s="50">
        <v>3.8260000000000001</v>
      </c>
      <c r="BQ35" s="51"/>
      <c r="BR35" s="37"/>
      <c r="BS35" s="37"/>
      <c r="BT35" s="51" t="s">
        <v>233</v>
      </c>
      <c r="BU35" s="48">
        <v>0.438</v>
      </c>
      <c r="BV35" s="48">
        <v>3.6240000000000001</v>
      </c>
      <c r="BW35" s="51"/>
      <c r="BX35" s="37"/>
      <c r="BY35" s="37"/>
      <c r="BZ35" s="51" t="s">
        <v>235</v>
      </c>
      <c r="CA35" s="48">
        <v>0.53100000000000003</v>
      </c>
      <c r="CB35" s="48">
        <v>3.4380000000000002</v>
      </c>
      <c r="CC35" s="47" t="s">
        <v>236</v>
      </c>
      <c r="CD35" s="50">
        <v>0.23700000000000002</v>
      </c>
      <c r="CE35" s="50">
        <v>4.0259999999999998</v>
      </c>
      <c r="CF35" s="47" t="s">
        <v>237</v>
      </c>
      <c r="CG35" s="50">
        <v>0.33700000000000002</v>
      </c>
      <c r="CH35" s="50">
        <v>3.8260000000000001</v>
      </c>
      <c r="CI35" s="47" t="s">
        <v>238</v>
      </c>
      <c r="CJ35" s="48">
        <v>0.67400000000000004</v>
      </c>
      <c r="CK35" s="53">
        <v>3.1520000000000001</v>
      </c>
    </row>
    <row r="36" spans="2:89"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O36" s="10">
        <v>0.5</v>
      </c>
      <c r="AP36" s="10" t="s">
        <v>260</v>
      </c>
      <c r="AR36" s="65">
        <v>15</v>
      </c>
      <c r="AS36" s="8"/>
      <c r="AT36" s="36">
        <v>125</v>
      </c>
      <c r="AU36" s="63">
        <v>141.30000000000001</v>
      </c>
      <c r="AV36" s="47" t="s">
        <v>227</v>
      </c>
      <c r="AW36" s="50">
        <v>0.109</v>
      </c>
      <c r="AX36" s="50">
        <v>5.3449999999999998</v>
      </c>
      <c r="AY36" s="47" t="s">
        <v>228</v>
      </c>
      <c r="AZ36" s="50">
        <v>0.13400000000000001</v>
      </c>
      <c r="BA36" s="50">
        <v>5.2949999999999999</v>
      </c>
      <c r="BB36" s="51"/>
      <c r="BC36" s="37"/>
      <c r="BD36" s="37"/>
      <c r="BE36" s="51"/>
      <c r="BF36" s="37"/>
      <c r="BG36" s="37"/>
      <c r="BH36" s="47" t="s">
        <v>221</v>
      </c>
      <c r="BI36" s="50">
        <v>0.25800000000000001</v>
      </c>
      <c r="BJ36" s="50">
        <v>5.0469999999999997</v>
      </c>
      <c r="BK36" s="51"/>
      <c r="BL36" s="37"/>
      <c r="BM36" s="37"/>
      <c r="BN36" s="47" t="s">
        <v>222</v>
      </c>
      <c r="BO36" s="50">
        <v>0.375</v>
      </c>
      <c r="BP36" s="50">
        <v>4.8129999999999997</v>
      </c>
      <c r="BQ36" s="51"/>
      <c r="BR36" s="37"/>
      <c r="BS36" s="37"/>
      <c r="BT36" s="51" t="s">
        <v>233</v>
      </c>
      <c r="BU36" s="48">
        <v>0.5</v>
      </c>
      <c r="BV36" s="48">
        <v>4.5629999999999997</v>
      </c>
      <c r="BW36" s="51"/>
      <c r="BX36" s="37"/>
      <c r="BY36" s="37"/>
      <c r="BZ36" s="51" t="s">
        <v>235</v>
      </c>
      <c r="CA36" s="48">
        <v>0.625</v>
      </c>
      <c r="CB36" s="48">
        <v>4.3129999999999997</v>
      </c>
      <c r="CC36" s="47" t="s">
        <v>236</v>
      </c>
      <c r="CD36" s="50">
        <v>0.25800000000000001</v>
      </c>
      <c r="CE36" s="50">
        <v>5.0469999999999997</v>
      </c>
      <c r="CF36" s="47" t="s">
        <v>237</v>
      </c>
      <c r="CG36" s="50">
        <v>0.375</v>
      </c>
      <c r="CH36" s="50">
        <v>4.8129999999999997</v>
      </c>
      <c r="CI36" s="47" t="s">
        <v>238</v>
      </c>
      <c r="CJ36" s="48">
        <v>0.75</v>
      </c>
      <c r="CK36" s="53">
        <v>4.0629999999999997</v>
      </c>
    </row>
    <row r="37" spans="2:89"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v>16</v>
      </c>
      <c r="AS37" s="8"/>
      <c r="AT37" s="36">
        <v>150</v>
      </c>
      <c r="AU37" s="63">
        <v>168.3</v>
      </c>
      <c r="AV37" s="47" t="s">
        <v>227</v>
      </c>
      <c r="AW37" s="50">
        <v>0.109</v>
      </c>
      <c r="AX37" s="50">
        <v>6.407</v>
      </c>
      <c r="AY37" s="47" t="s">
        <v>228</v>
      </c>
      <c r="AZ37" s="50">
        <v>0.13400000000000001</v>
      </c>
      <c r="BA37" s="50">
        <v>6.3570000000000002</v>
      </c>
      <c r="BB37" s="51"/>
      <c r="BC37" s="37"/>
      <c r="BD37" s="37"/>
      <c r="BE37" s="51"/>
      <c r="BF37" s="37"/>
      <c r="BG37" s="37"/>
      <c r="BH37" s="47" t="s">
        <v>221</v>
      </c>
      <c r="BI37" s="50">
        <v>0.28000000000000003</v>
      </c>
      <c r="BJ37" s="50">
        <v>6.0650000000000004</v>
      </c>
      <c r="BK37" s="51"/>
      <c r="BL37" s="37"/>
      <c r="BM37" s="37"/>
      <c r="BN37" s="47" t="s">
        <v>222</v>
      </c>
      <c r="BO37" s="50">
        <v>0.432</v>
      </c>
      <c r="BP37" s="50">
        <v>5.7610000000000001</v>
      </c>
      <c r="BQ37" s="51"/>
      <c r="BR37" s="37"/>
      <c r="BS37" s="37"/>
      <c r="BT37" s="51" t="s">
        <v>233</v>
      </c>
      <c r="BU37" s="48">
        <v>0.56200000000000006</v>
      </c>
      <c r="BV37" s="48">
        <v>5.5010000000000003</v>
      </c>
      <c r="BW37" s="51"/>
      <c r="BX37" s="37"/>
      <c r="BY37" s="37"/>
      <c r="BZ37" s="51" t="s">
        <v>235</v>
      </c>
      <c r="CA37" s="48">
        <v>0.71899999999999997</v>
      </c>
      <c r="CB37" s="48">
        <v>5.1870000000000003</v>
      </c>
      <c r="CC37" s="47" t="s">
        <v>236</v>
      </c>
      <c r="CD37" s="50">
        <v>0.28000000000000003</v>
      </c>
      <c r="CE37" s="50">
        <v>6.0650000000000004</v>
      </c>
      <c r="CF37" s="47" t="s">
        <v>237</v>
      </c>
      <c r="CG37" s="50">
        <v>0.432</v>
      </c>
      <c r="CH37" s="50">
        <v>5.7610000000000001</v>
      </c>
      <c r="CI37" s="47" t="s">
        <v>238</v>
      </c>
      <c r="CJ37" s="48">
        <v>0.86399999999999999</v>
      </c>
      <c r="CK37" s="53">
        <v>4.8970000000000002</v>
      </c>
    </row>
    <row r="38" spans="2:89"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65">
        <v>17</v>
      </c>
      <c r="AS38" s="8"/>
      <c r="AT38" s="36">
        <v>200</v>
      </c>
      <c r="AU38" s="63">
        <v>219.1</v>
      </c>
      <c r="AV38" s="47" t="s">
        <v>227</v>
      </c>
      <c r="AW38" s="50">
        <v>0.109</v>
      </c>
      <c r="AX38" s="50">
        <v>8.407</v>
      </c>
      <c r="AY38" s="47" t="s">
        <v>228</v>
      </c>
      <c r="AZ38" s="50">
        <v>0.14799999999999999</v>
      </c>
      <c r="BA38" s="50">
        <v>8.3290000000000006</v>
      </c>
      <c r="BB38" s="51" t="s">
        <v>229</v>
      </c>
      <c r="BC38" s="48">
        <v>0.25</v>
      </c>
      <c r="BD38" s="48">
        <v>8.125</v>
      </c>
      <c r="BE38" s="51" t="s">
        <v>230</v>
      </c>
      <c r="BF38" s="48">
        <v>0.27700000000000002</v>
      </c>
      <c r="BG38" s="48">
        <v>8.0709999999999997</v>
      </c>
      <c r="BH38" s="47" t="s">
        <v>221</v>
      </c>
      <c r="BI38" s="48">
        <v>0.32200000000000001</v>
      </c>
      <c r="BJ38" s="48">
        <v>7.9809999999999999</v>
      </c>
      <c r="BK38" s="67" t="s">
        <v>231</v>
      </c>
      <c r="BL38" s="48">
        <v>0.40600000000000003</v>
      </c>
      <c r="BM38" s="48">
        <v>7.8129999999999997</v>
      </c>
      <c r="BN38" s="47" t="s">
        <v>222</v>
      </c>
      <c r="BO38" s="50">
        <v>0.5</v>
      </c>
      <c r="BP38" s="50">
        <v>7.625</v>
      </c>
      <c r="BQ38" s="51" t="s">
        <v>232</v>
      </c>
      <c r="BR38" s="48">
        <v>0.59399999999999997</v>
      </c>
      <c r="BS38" s="48">
        <v>7.4370000000000003</v>
      </c>
      <c r="BT38" s="51" t="s">
        <v>233</v>
      </c>
      <c r="BU38" s="50">
        <v>0.71899999999999997</v>
      </c>
      <c r="BV38" s="50">
        <v>7.1870000000000003</v>
      </c>
      <c r="BW38" s="51" t="s">
        <v>234</v>
      </c>
      <c r="BX38" s="48">
        <v>0.81200000000000006</v>
      </c>
      <c r="BY38" s="48">
        <v>7.0010000000000003</v>
      </c>
      <c r="BZ38" s="51" t="s">
        <v>235</v>
      </c>
      <c r="CA38" s="50">
        <v>0.90600000000000003</v>
      </c>
      <c r="CB38" s="50">
        <v>6.8129999999999997</v>
      </c>
      <c r="CC38" s="47" t="s">
        <v>236</v>
      </c>
      <c r="CD38" s="50">
        <v>0.32200000000000001</v>
      </c>
      <c r="CE38" s="50">
        <v>7.9809999999999999</v>
      </c>
      <c r="CF38" s="47" t="s">
        <v>237</v>
      </c>
      <c r="CG38" s="50">
        <v>0.5</v>
      </c>
      <c r="CH38" s="50">
        <v>7.625</v>
      </c>
      <c r="CI38" s="47" t="s">
        <v>238</v>
      </c>
      <c r="CJ38" s="50">
        <v>0.875</v>
      </c>
      <c r="CK38" s="54">
        <v>6.875</v>
      </c>
    </row>
    <row r="39" spans="2:89"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v>18</v>
      </c>
      <c r="AS39" s="8"/>
      <c r="AT39" s="36">
        <v>250</v>
      </c>
      <c r="AU39" s="63">
        <v>273.05</v>
      </c>
      <c r="AV39" s="47" t="s">
        <v>227</v>
      </c>
      <c r="AW39" s="50">
        <v>0.13400000000000001</v>
      </c>
      <c r="AX39" s="50">
        <v>10.481999999999999</v>
      </c>
      <c r="AY39" s="47" t="s">
        <v>228</v>
      </c>
      <c r="AZ39" s="50">
        <v>0.16500000000000001</v>
      </c>
      <c r="BA39" s="50">
        <v>10.42</v>
      </c>
      <c r="BB39" s="51" t="s">
        <v>229</v>
      </c>
      <c r="BC39" s="48">
        <v>0.25</v>
      </c>
      <c r="BD39" s="48">
        <v>10.25</v>
      </c>
      <c r="BE39" s="51" t="s">
        <v>230</v>
      </c>
      <c r="BF39" s="48">
        <v>0.307</v>
      </c>
      <c r="BG39" s="48">
        <v>10.135999999999999</v>
      </c>
      <c r="BH39" s="47" t="s">
        <v>221</v>
      </c>
      <c r="BI39" s="48">
        <v>0.36499999999999999</v>
      </c>
      <c r="BJ39" s="48">
        <v>10.02</v>
      </c>
      <c r="BK39" s="67" t="s">
        <v>231</v>
      </c>
      <c r="BL39" s="48">
        <v>0.5</v>
      </c>
      <c r="BM39" s="48">
        <v>9.75</v>
      </c>
      <c r="BN39" s="47" t="s">
        <v>222</v>
      </c>
      <c r="BO39" s="50">
        <v>0.59399999999999997</v>
      </c>
      <c r="BP39" s="50">
        <v>9.5619999999999994</v>
      </c>
      <c r="BQ39" s="51" t="s">
        <v>232</v>
      </c>
      <c r="BR39" s="48">
        <v>0.71899999999999997</v>
      </c>
      <c r="BS39" s="48">
        <v>9.3119999999999994</v>
      </c>
      <c r="BT39" s="51" t="s">
        <v>233</v>
      </c>
      <c r="BU39" s="50">
        <v>0.84399999999999997</v>
      </c>
      <c r="BV39" s="50">
        <v>9.0619999999999994</v>
      </c>
      <c r="BW39" s="51" t="s">
        <v>234</v>
      </c>
      <c r="BX39" s="48">
        <v>1</v>
      </c>
      <c r="BY39" s="48">
        <v>8.75</v>
      </c>
      <c r="BZ39" s="51" t="s">
        <v>235</v>
      </c>
      <c r="CA39" s="50">
        <v>1.125</v>
      </c>
      <c r="CB39" s="50">
        <v>8.5</v>
      </c>
      <c r="CC39" s="47" t="s">
        <v>236</v>
      </c>
      <c r="CD39" s="50">
        <v>0.36499999999999999</v>
      </c>
      <c r="CE39" s="50">
        <v>10.02</v>
      </c>
      <c r="CF39" s="47" t="s">
        <v>237</v>
      </c>
      <c r="CG39" s="50">
        <v>0.5</v>
      </c>
      <c r="CH39" s="50">
        <v>9.75</v>
      </c>
      <c r="CI39" s="47" t="s">
        <v>238</v>
      </c>
      <c r="CJ39" s="50">
        <v>1</v>
      </c>
      <c r="CK39" s="54">
        <v>8.75</v>
      </c>
    </row>
    <row r="40" spans="2:89"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65">
        <v>19</v>
      </c>
      <c r="AS40" s="8"/>
      <c r="AT40" s="36">
        <v>300</v>
      </c>
      <c r="AU40" s="63">
        <v>323.85000000000002</v>
      </c>
      <c r="AV40" s="47" t="s">
        <v>227</v>
      </c>
      <c r="AW40" s="50">
        <v>0.156</v>
      </c>
      <c r="AX40" s="50">
        <v>12.438000000000001</v>
      </c>
      <c r="AY40" s="47" t="s">
        <v>228</v>
      </c>
      <c r="AZ40" s="50">
        <v>0.18</v>
      </c>
      <c r="BA40" s="50">
        <v>12.39</v>
      </c>
      <c r="BB40" s="51" t="s">
        <v>229</v>
      </c>
      <c r="BC40" s="48">
        <v>0.25</v>
      </c>
      <c r="BD40" s="48">
        <v>12.25</v>
      </c>
      <c r="BE40" s="51" t="s">
        <v>230</v>
      </c>
      <c r="BF40" s="48">
        <v>0.33</v>
      </c>
      <c r="BG40" s="48">
        <v>12.09</v>
      </c>
      <c r="BH40" s="47" t="s">
        <v>221</v>
      </c>
      <c r="BI40" s="48">
        <v>0.40600000000000003</v>
      </c>
      <c r="BJ40" s="48">
        <v>11.938000000000001</v>
      </c>
      <c r="BK40" s="67" t="s">
        <v>231</v>
      </c>
      <c r="BL40" s="48">
        <v>0.56200000000000006</v>
      </c>
      <c r="BM40" s="48">
        <v>11.625999999999999</v>
      </c>
      <c r="BN40" s="47" t="s">
        <v>222</v>
      </c>
      <c r="BO40" s="50">
        <v>0.68800000000000006</v>
      </c>
      <c r="BP40" s="50">
        <v>11.374000000000001</v>
      </c>
      <c r="BQ40" s="51" t="s">
        <v>232</v>
      </c>
      <c r="BR40" s="48">
        <v>0.84399999999999997</v>
      </c>
      <c r="BS40" s="48">
        <v>11.061999999999999</v>
      </c>
      <c r="BT40" s="51" t="s">
        <v>233</v>
      </c>
      <c r="BU40" s="50">
        <v>1</v>
      </c>
      <c r="BV40" s="50">
        <v>10.75</v>
      </c>
      <c r="BW40" s="51" t="s">
        <v>234</v>
      </c>
      <c r="BX40" s="48">
        <v>1.125</v>
      </c>
      <c r="BY40" s="48">
        <v>10.5</v>
      </c>
      <c r="BZ40" s="51" t="s">
        <v>235</v>
      </c>
      <c r="CA40" s="50">
        <v>1.3120000000000001</v>
      </c>
      <c r="CB40" s="50">
        <v>10.125999999999999</v>
      </c>
      <c r="CC40" s="47" t="s">
        <v>236</v>
      </c>
      <c r="CD40" s="50">
        <v>0.375</v>
      </c>
      <c r="CE40" s="50">
        <v>12</v>
      </c>
      <c r="CF40" s="47" t="s">
        <v>237</v>
      </c>
      <c r="CG40" s="50">
        <v>0.5</v>
      </c>
      <c r="CH40" s="50">
        <v>11.75</v>
      </c>
      <c r="CI40" s="47" t="s">
        <v>238</v>
      </c>
      <c r="CJ40" s="50">
        <v>1</v>
      </c>
      <c r="CK40" s="54">
        <v>10.75</v>
      </c>
    </row>
    <row r="41" spans="2:89"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v>20</v>
      </c>
      <c r="AS41" s="8"/>
      <c r="AT41" s="36">
        <v>350</v>
      </c>
      <c r="AU41" s="63">
        <v>355.6</v>
      </c>
      <c r="AV41" s="47" t="s">
        <v>227</v>
      </c>
      <c r="AW41" s="50">
        <v>0.156</v>
      </c>
      <c r="AX41" s="50">
        <v>13.688000000000001</v>
      </c>
      <c r="AY41" s="47" t="s">
        <v>228</v>
      </c>
      <c r="AZ41" s="50">
        <v>0.25</v>
      </c>
      <c r="BA41" s="50">
        <v>13.5</v>
      </c>
      <c r="BB41" s="51" t="s">
        <v>229</v>
      </c>
      <c r="BC41" s="50">
        <v>0.312</v>
      </c>
      <c r="BD41" s="50">
        <v>13.375999999999999</v>
      </c>
      <c r="BE41" s="51" t="s">
        <v>230</v>
      </c>
      <c r="BF41" s="50">
        <v>0.375</v>
      </c>
      <c r="BG41" s="50">
        <v>13.25</v>
      </c>
      <c r="BH41" s="47" t="s">
        <v>221</v>
      </c>
      <c r="BI41" s="50">
        <v>0.438</v>
      </c>
      <c r="BJ41" s="50">
        <v>13.124000000000001</v>
      </c>
      <c r="BK41" s="67" t="s">
        <v>231</v>
      </c>
      <c r="BL41" s="50">
        <v>0.59399999999999997</v>
      </c>
      <c r="BM41" s="50">
        <v>12.811999999999999</v>
      </c>
      <c r="BN41" s="47" t="s">
        <v>222</v>
      </c>
      <c r="BO41" s="48">
        <v>0.75</v>
      </c>
      <c r="BP41" s="48">
        <v>12.5</v>
      </c>
      <c r="BQ41" s="51" t="s">
        <v>232</v>
      </c>
      <c r="BR41" s="50">
        <v>0.93799999999999994</v>
      </c>
      <c r="BS41" s="50">
        <v>12.124000000000001</v>
      </c>
      <c r="BT41" s="51" t="s">
        <v>233</v>
      </c>
      <c r="BU41" s="50">
        <v>1.0940000000000001</v>
      </c>
      <c r="BV41" s="50">
        <v>11.811999999999999</v>
      </c>
      <c r="BW41" s="51" t="s">
        <v>234</v>
      </c>
      <c r="BX41" s="50">
        <v>1.25</v>
      </c>
      <c r="BY41" s="50">
        <v>11.5</v>
      </c>
      <c r="BZ41" s="51" t="s">
        <v>235</v>
      </c>
      <c r="CA41" s="50">
        <v>1.4059999999999999</v>
      </c>
      <c r="CB41" s="50">
        <v>11.188000000000001</v>
      </c>
      <c r="CC41" s="47" t="s">
        <v>236</v>
      </c>
      <c r="CD41" s="48">
        <v>0.375</v>
      </c>
      <c r="CE41" s="48">
        <v>13.25</v>
      </c>
      <c r="CF41" s="47" t="s">
        <v>237</v>
      </c>
      <c r="CG41" s="48">
        <v>0.5</v>
      </c>
      <c r="CH41" s="48">
        <v>13</v>
      </c>
      <c r="CI41" s="132"/>
      <c r="CJ41" s="37"/>
      <c r="CK41" s="38"/>
    </row>
    <row r="42" spans="2:89"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v>22</v>
      </c>
      <c r="AS42" s="8"/>
      <c r="AT42" s="36">
        <v>450</v>
      </c>
      <c r="AU42" s="63">
        <v>457.2</v>
      </c>
      <c r="AV42" s="47" t="s">
        <v>227</v>
      </c>
      <c r="AW42" s="50">
        <v>0.16500000000000001</v>
      </c>
      <c r="AX42" s="50">
        <v>17.670000000000002</v>
      </c>
      <c r="AY42" s="47" t="s">
        <v>228</v>
      </c>
      <c r="AZ42" s="50">
        <v>0.25</v>
      </c>
      <c r="BA42" s="50">
        <v>17.5</v>
      </c>
      <c r="BB42" s="51" t="s">
        <v>229</v>
      </c>
      <c r="BC42" s="50">
        <v>0.312</v>
      </c>
      <c r="BD42" s="50">
        <v>17.376000000000001</v>
      </c>
      <c r="BE42" s="51" t="s">
        <v>230</v>
      </c>
      <c r="BF42" s="50">
        <v>0.438</v>
      </c>
      <c r="BG42" s="50">
        <v>17.123999999999999</v>
      </c>
      <c r="BH42" s="47" t="s">
        <v>221</v>
      </c>
      <c r="BI42" s="50">
        <v>0.56200000000000006</v>
      </c>
      <c r="BJ42" s="50">
        <v>16.876000000000001</v>
      </c>
      <c r="BK42" s="67" t="s">
        <v>231</v>
      </c>
      <c r="BL42" s="50">
        <v>0.75</v>
      </c>
      <c r="BM42" s="50">
        <v>16.5</v>
      </c>
      <c r="BN42" s="47" t="s">
        <v>222</v>
      </c>
      <c r="BO42" s="48">
        <v>0.93800000000000006</v>
      </c>
      <c r="BP42" s="48">
        <v>16.123999999999999</v>
      </c>
      <c r="BQ42" s="51" t="s">
        <v>232</v>
      </c>
      <c r="BR42" s="50">
        <v>1.1559999999999999</v>
      </c>
      <c r="BS42" s="50">
        <v>15.688000000000001</v>
      </c>
      <c r="BT42" s="51" t="s">
        <v>233</v>
      </c>
      <c r="BU42" s="50">
        <v>1.375</v>
      </c>
      <c r="BV42" s="50">
        <v>15.25</v>
      </c>
      <c r="BW42" s="51" t="s">
        <v>234</v>
      </c>
      <c r="BX42" s="50">
        <v>1.5620000000000001</v>
      </c>
      <c r="BY42" s="50">
        <v>14.875999999999999</v>
      </c>
      <c r="BZ42" s="51" t="s">
        <v>235</v>
      </c>
      <c r="CA42" s="50">
        <v>1.7809999999999999</v>
      </c>
      <c r="CB42" s="50">
        <v>14.438000000000001</v>
      </c>
      <c r="CC42" s="47" t="s">
        <v>236</v>
      </c>
      <c r="CD42" s="48">
        <v>0.375</v>
      </c>
      <c r="CE42" s="48">
        <v>17.25</v>
      </c>
      <c r="CF42" s="47" t="s">
        <v>237</v>
      </c>
      <c r="CG42" s="48">
        <v>0.5</v>
      </c>
      <c r="CH42" s="48">
        <v>17</v>
      </c>
      <c r="CI42" s="132"/>
      <c r="CJ42" s="37"/>
      <c r="CK42" s="38"/>
    </row>
    <row r="43" spans="2:89"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65">
        <v>23</v>
      </c>
      <c r="AS43" s="8"/>
      <c r="AT43" s="36">
        <v>500</v>
      </c>
      <c r="AU43" s="63">
        <v>508</v>
      </c>
      <c r="AV43" s="47" t="s">
        <v>227</v>
      </c>
      <c r="AW43" s="50">
        <v>0.188</v>
      </c>
      <c r="AX43" s="50">
        <v>19.623999999999999</v>
      </c>
      <c r="AY43" s="47" t="s">
        <v>228</v>
      </c>
      <c r="AZ43" s="50">
        <v>0.25</v>
      </c>
      <c r="BA43" s="50">
        <v>19.5</v>
      </c>
      <c r="BB43" s="51" t="s">
        <v>229</v>
      </c>
      <c r="BC43" s="50">
        <v>0.375</v>
      </c>
      <c r="BD43" s="50">
        <v>19.25</v>
      </c>
      <c r="BE43" s="51" t="s">
        <v>230</v>
      </c>
      <c r="BF43" s="50">
        <v>0.5</v>
      </c>
      <c r="BG43" s="50">
        <v>19</v>
      </c>
      <c r="BH43" s="47" t="s">
        <v>221</v>
      </c>
      <c r="BI43" s="50">
        <v>0.59399999999999997</v>
      </c>
      <c r="BJ43" s="50">
        <v>18.812000000000001</v>
      </c>
      <c r="BK43" s="67" t="s">
        <v>231</v>
      </c>
      <c r="BL43" s="50">
        <v>0.81200000000000006</v>
      </c>
      <c r="BM43" s="50">
        <v>18.376000000000001</v>
      </c>
      <c r="BN43" s="47" t="s">
        <v>222</v>
      </c>
      <c r="BO43" s="50">
        <v>1.0309999999999999</v>
      </c>
      <c r="BP43" s="50">
        <v>17.937999999999999</v>
      </c>
      <c r="BQ43" s="51" t="s">
        <v>232</v>
      </c>
      <c r="BR43" s="50">
        <v>1.2809999999999999</v>
      </c>
      <c r="BS43" s="50">
        <v>17.437999999999999</v>
      </c>
      <c r="BT43" s="51" t="s">
        <v>233</v>
      </c>
      <c r="BU43" s="48">
        <v>1.5</v>
      </c>
      <c r="BV43" s="48">
        <v>17</v>
      </c>
      <c r="BW43" s="51" t="s">
        <v>234</v>
      </c>
      <c r="BX43" s="50">
        <v>1.75</v>
      </c>
      <c r="BY43" s="50">
        <v>16.5</v>
      </c>
      <c r="BZ43" s="51" t="s">
        <v>235</v>
      </c>
      <c r="CA43" s="48">
        <v>1.9690000000000001</v>
      </c>
      <c r="CB43" s="48">
        <v>16.062000000000001</v>
      </c>
      <c r="CC43" s="47" t="s">
        <v>236</v>
      </c>
      <c r="CD43" s="50">
        <v>0.375</v>
      </c>
      <c r="CE43" s="50">
        <v>19.25</v>
      </c>
      <c r="CF43" s="47" t="s">
        <v>237</v>
      </c>
      <c r="CG43" s="50">
        <v>0.5</v>
      </c>
      <c r="CH43" s="50">
        <v>19</v>
      </c>
      <c r="CI43" s="132"/>
      <c r="CJ43" s="37"/>
      <c r="CK43" s="38"/>
    </row>
    <row r="44" spans="2:89"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v>24</v>
      </c>
      <c r="AS44" s="8"/>
      <c r="AT44" s="36">
        <v>550</v>
      </c>
      <c r="AU44" s="63">
        <v>558.79999999999995</v>
      </c>
      <c r="AV44" s="47" t="s">
        <v>227</v>
      </c>
      <c r="AW44" s="50">
        <v>0.188</v>
      </c>
      <c r="AX44" s="50">
        <v>21.623999999999999</v>
      </c>
      <c r="AY44" s="47" t="s">
        <v>228</v>
      </c>
      <c r="AZ44" s="50">
        <v>0.25</v>
      </c>
      <c r="BA44" s="50">
        <v>23.5</v>
      </c>
      <c r="BB44" s="51" t="s">
        <v>229</v>
      </c>
      <c r="BC44" s="50">
        <v>0.375</v>
      </c>
      <c r="BD44" s="50">
        <v>21.25</v>
      </c>
      <c r="BE44" s="51" t="s">
        <v>230</v>
      </c>
      <c r="BF44" s="50">
        <v>0.5</v>
      </c>
      <c r="BG44" s="50">
        <v>21</v>
      </c>
      <c r="BH44" s="47" t="s">
        <v>221</v>
      </c>
      <c r="BI44" s="50"/>
      <c r="BJ44" s="50"/>
      <c r="BK44" s="67" t="s">
        <v>231</v>
      </c>
      <c r="BL44" s="50">
        <v>0.875</v>
      </c>
      <c r="BM44" s="50">
        <v>20.25</v>
      </c>
      <c r="BN44" s="47" t="s">
        <v>222</v>
      </c>
      <c r="BO44" s="50">
        <v>1.125</v>
      </c>
      <c r="BP44" s="50">
        <v>19.75</v>
      </c>
      <c r="BQ44" s="51" t="s">
        <v>232</v>
      </c>
      <c r="BR44" s="50">
        <v>1.375</v>
      </c>
      <c r="BS44" s="50">
        <v>19.25</v>
      </c>
      <c r="BT44" s="51" t="s">
        <v>233</v>
      </c>
      <c r="BU44" s="48">
        <v>1.625</v>
      </c>
      <c r="BV44" s="48">
        <v>18.75</v>
      </c>
      <c r="BW44" s="51" t="s">
        <v>234</v>
      </c>
      <c r="BX44" s="50">
        <v>1.875</v>
      </c>
      <c r="BY44" s="50">
        <v>20.125</v>
      </c>
      <c r="BZ44" s="51" t="s">
        <v>235</v>
      </c>
      <c r="CA44" s="48">
        <v>2.125</v>
      </c>
      <c r="CB44" s="48">
        <v>17.75</v>
      </c>
      <c r="CC44" s="47" t="s">
        <v>236</v>
      </c>
      <c r="CD44" s="48">
        <v>0.375</v>
      </c>
      <c r="CE44" s="48">
        <v>21.25</v>
      </c>
      <c r="CF44" s="47" t="s">
        <v>237</v>
      </c>
      <c r="CG44" s="48">
        <v>0.5</v>
      </c>
      <c r="CH44" s="48">
        <v>21</v>
      </c>
      <c r="CI44" s="132"/>
      <c r="CJ44" s="37"/>
      <c r="CK44" s="38"/>
    </row>
    <row r="45" spans="2:89"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65">
        <v>25</v>
      </c>
      <c r="AS45" s="8"/>
      <c r="AT45" s="36">
        <v>600</v>
      </c>
      <c r="AU45" s="63">
        <v>609.6</v>
      </c>
      <c r="AV45" s="47" t="s">
        <v>227</v>
      </c>
      <c r="AW45" s="50">
        <v>0.218</v>
      </c>
      <c r="AX45" s="50">
        <v>23.564</v>
      </c>
      <c r="AY45" s="47" t="s">
        <v>228</v>
      </c>
      <c r="AZ45" s="50">
        <v>0.25</v>
      </c>
      <c r="BA45" s="50">
        <v>23.5</v>
      </c>
      <c r="BB45" s="51" t="s">
        <v>229</v>
      </c>
      <c r="BC45" s="50">
        <v>0.375</v>
      </c>
      <c r="BD45" s="50">
        <v>23.25</v>
      </c>
      <c r="BE45" s="51" t="s">
        <v>230</v>
      </c>
      <c r="BF45" s="50">
        <v>0.56200000000000006</v>
      </c>
      <c r="BG45" s="50">
        <v>22.876000000000001</v>
      </c>
      <c r="BH45" s="47" t="s">
        <v>221</v>
      </c>
      <c r="BI45" s="50">
        <v>0.68800000000000006</v>
      </c>
      <c r="BJ45" s="50">
        <v>22.623999999999999</v>
      </c>
      <c r="BK45" s="67" t="s">
        <v>231</v>
      </c>
      <c r="BL45" s="50">
        <v>0.96899999999999997</v>
      </c>
      <c r="BM45" s="50">
        <v>22.062000000000001</v>
      </c>
      <c r="BN45" s="47" t="s">
        <v>222</v>
      </c>
      <c r="BO45" s="50">
        <v>1.2190000000000001</v>
      </c>
      <c r="BP45" s="50">
        <v>21.562000000000001</v>
      </c>
      <c r="BQ45" s="51" t="s">
        <v>232</v>
      </c>
      <c r="BR45" s="50">
        <v>1.5309999999999999</v>
      </c>
      <c r="BS45" s="50">
        <v>20.937999999999999</v>
      </c>
      <c r="BT45" s="51" t="s">
        <v>233</v>
      </c>
      <c r="BU45" s="48">
        <v>1.8120000000000001</v>
      </c>
      <c r="BV45" s="48">
        <v>20.376000000000001</v>
      </c>
      <c r="BW45" s="51" t="s">
        <v>234</v>
      </c>
      <c r="BX45" s="50">
        <v>2.0619999999999998</v>
      </c>
      <c r="BY45" s="50">
        <v>19.876000000000001</v>
      </c>
      <c r="BZ45" s="51" t="s">
        <v>235</v>
      </c>
      <c r="CA45" s="48">
        <v>2.3439999999999999</v>
      </c>
      <c r="CB45" s="48">
        <v>19.312000000000001</v>
      </c>
      <c r="CC45" s="47" t="s">
        <v>236</v>
      </c>
      <c r="CD45" s="48">
        <v>0.375</v>
      </c>
      <c r="CE45" s="48">
        <v>23.25</v>
      </c>
      <c r="CF45" s="47" t="s">
        <v>237</v>
      </c>
      <c r="CG45" s="48">
        <v>0.5</v>
      </c>
      <c r="CH45" s="48">
        <v>23</v>
      </c>
      <c r="CI45" s="132"/>
      <c r="CJ45" s="37"/>
      <c r="CK45" s="38"/>
    </row>
    <row r="46" spans="2:89"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v>26</v>
      </c>
      <c r="AS46" s="8"/>
      <c r="AT46" s="36">
        <v>650</v>
      </c>
      <c r="AU46" s="63">
        <v>660.4</v>
      </c>
      <c r="AV46" s="47"/>
      <c r="AW46" s="50"/>
      <c r="AX46" s="50"/>
      <c r="AY46" s="47" t="s">
        <v>228</v>
      </c>
      <c r="AZ46" s="50">
        <v>0.312</v>
      </c>
      <c r="BA46" s="50">
        <v>25.376000000000001</v>
      </c>
      <c r="BB46" s="51" t="s">
        <v>229</v>
      </c>
      <c r="BC46" s="50">
        <v>0.5</v>
      </c>
      <c r="BD46" s="50">
        <v>25</v>
      </c>
      <c r="BE46" s="51" t="s">
        <v>230</v>
      </c>
      <c r="BF46" s="50"/>
      <c r="BG46" s="50"/>
      <c r="BH46" s="51"/>
      <c r="BI46" s="50"/>
      <c r="BJ46" s="50"/>
      <c r="BK46" s="51"/>
      <c r="BL46" s="37"/>
      <c r="BM46" s="37"/>
      <c r="BN46" s="37"/>
      <c r="BO46" s="37"/>
      <c r="BP46" s="37"/>
      <c r="BQ46" s="37"/>
      <c r="BR46" s="37"/>
      <c r="BS46" s="37"/>
      <c r="BT46" s="37"/>
      <c r="BU46" s="52"/>
      <c r="BV46" s="37"/>
      <c r="BW46" s="37"/>
      <c r="BX46" s="37"/>
      <c r="BY46" s="37"/>
      <c r="BZ46" s="37"/>
      <c r="CA46" s="50"/>
      <c r="CB46" s="50"/>
      <c r="CC46" s="47" t="s">
        <v>236</v>
      </c>
      <c r="CD46" s="48">
        <v>0.375</v>
      </c>
      <c r="CE46" s="48">
        <v>25.25</v>
      </c>
      <c r="CF46" s="47" t="s">
        <v>237</v>
      </c>
      <c r="CG46" s="48">
        <v>0.5</v>
      </c>
      <c r="CH46" s="48">
        <v>25</v>
      </c>
      <c r="CI46" s="132"/>
      <c r="CJ46" s="37"/>
      <c r="CK46" s="38"/>
    </row>
    <row r="47" spans="2:89"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65">
        <v>27</v>
      </c>
      <c r="AS47" s="8"/>
      <c r="AT47" s="36">
        <v>700</v>
      </c>
      <c r="AU47" s="63">
        <v>711.2</v>
      </c>
      <c r="AV47" s="47"/>
      <c r="AW47" s="50"/>
      <c r="AX47" s="50"/>
      <c r="AY47" s="47" t="s">
        <v>228</v>
      </c>
      <c r="AZ47" s="50">
        <v>0.312</v>
      </c>
      <c r="BA47" s="50">
        <v>27.376000000000001</v>
      </c>
      <c r="BB47" s="51" t="s">
        <v>229</v>
      </c>
      <c r="BC47" s="50">
        <v>0.5</v>
      </c>
      <c r="BD47" s="50">
        <v>27</v>
      </c>
      <c r="BE47" s="51" t="s">
        <v>230</v>
      </c>
      <c r="BF47" s="50">
        <v>0.625</v>
      </c>
      <c r="BG47" s="50">
        <v>26.75</v>
      </c>
      <c r="BH47" s="51"/>
      <c r="BI47" s="50"/>
      <c r="BJ47" s="50"/>
      <c r="BK47" s="37"/>
      <c r="BL47" s="37"/>
      <c r="BM47" s="37"/>
      <c r="BN47" s="37"/>
      <c r="BO47" s="37"/>
      <c r="BP47" s="37"/>
      <c r="BQ47" s="37"/>
      <c r="BR47" s="37"/>
      <c r="BS47" s="37"/>
      <c r="BT47" s="37"/>
      <c r="BU47" s="52"/>
      <c r="BV47" s="37"/>
      <c r="BW47" s="37"/>
      <c r="BX47" s="37"/>
      <c r="BY47" s="37"/>
      <c r="BZ47" s="37"/>
      <c r="CA47" s="52"/>
      <c r="CB47" s="37"/>
      <c r="CC47" s="47" t="s">
        <v>236</v>
      </c>
      <c r="CD47" s="50">
        <v>0.375</v>
      </c>
      <c r="CE47" s="50">
        <v>27.25</v>
      </c>
      <c r="CF47" s="47" t="s">
        <v>237</v>
      </c>
      <c r="CG47" s="50">
        <v>0.5</v>
      </c>
      <c r="CH47" s="50">
        <v>27</v>
      </c>
      <c r="CI47" s="132"/>
      <c r="CJ47" s="37"/>
      <c r="CK47" s="38"/>
    </row>
    <row r="48" spans="2:89"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v>28</v>
      </c>
      <c r="AS48" s="8"/>
      <c r="AT48" s="36">
        <v>750</v>
      </c>
      <c r="AU48" s="63">
        <v>762</v>
      </c>
      <c r="AV48" s="47" t="s">
        <v>227</v>
      </c>
      <c r="AW48" s="50">
        <v>0.25</v>
      </c>
      <c r="AX48" s="50">
        <v>29.5</v>
      </c>
      <c r="AY48" s="47" t="s">
        <v>228</v>
      </c>
      <c r="AZ48" s="50">
        <v>0.312</v>
      </c>
      <c r="BA48" s="50">
        <v>29.376000000000001</v>
      </c>
      <c r="BB48" s="51" t="s">
        <v>229</v>
      </c>
      <c r="BC48" s="50">
        <v>0.5</v>
      </c>
      <c r="BD48" s="50">
        <v>29</v>
      </c>
      <c r="BE48" s="51" t="s">
        <v>230</v>
      </c>
      <c r="BF48" s="50">
        <v>0.625</v>
      </c>
      <c r="BG48" s="50">
        <v>28.75</v>
      </c>
      <c r="BH48" s="51"/>
      <c r="BI48" s="50"/>
      <c r="BJ48" s="50"/>
      <c r="BK48" s="37"/>
      <c r="BL48" s="37"/>
      <c r="BM48" s="37"/>
      <c r="BN48" s="37"/>
      <c r="BO48" s="37"/>
      <c r="BP48" s="37"/>
      <c r="BQ48" s="37"/>
      <c r="BR48" s="37"/>
      <c r="BS48" s="37"/>
      <c r="BT48" s="37"/>
      <c r="BU48" s="52"/>
      <c r="BV48" s="37"/>
      <c r="BW48" s="37"/>
      <c r="BX48" s="37"/>
      <c r="BY48" s="37"/>
      <c r="BZ48" s="37"/>
      <c r="CA48" s="52"/>
      <c r="CB48" s="37"/>
      <c r="CC48" s="47" t="s">
        <v>236</v>
      </c>
      <c r="CD48" s="50">
        <v>0.375</v>
      </c>
      <c r="CE48" s="50">
        <v>29.25</v>
      </c>
      <c r="CF48" s="47" t="s">
        <v>237</v>
      </c>
      <c r="CG48" s="50">
        <v>0.5</v>
      </c>
      <c r="CH48" s="50">
        <v>29</v>
      </c>
      <c r="CI48" s="132"/>
      <c r="CJ48" s="37"/>
      <c r="CK48" s="38"/>
    </row>
    <row r="49" spans="2:90" ht="14.9"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65">
        <v>29</v>
      </c>
      <c r="AS49" s="8"/>
      <c r="AT49" s="36">
        <v>800</v>
      </c>
      <c r="AU49" s="63">
        <v>812.8</v>
      </c>
      <c r="AV49" s="47"/>
      <c r="AW49" s="50"/>
      <c r="AX49" s="50"/>
      <c r="AY49" s="47" t="s">
        <v>228</v>
      </c>
      <c r="AZ49" s="50">
        <v>0.312</v>
      </c>
      <c r="BA49" s="50">
        <v>31.376000000000001</v>
      </c>
      <c r="BB49" s="51" t="s">
        <v>229</v>
      </c>
      <c r="BC49" s="50">
        <v>0.5</v>
      </c>
      <c r="BD49" s="50">
        <v>31</v>
      </c>
      <c r="BE49" s="51" t="s">
        <v>230</v>
      </c>
      <c r="BF49" s="50">
        <v>0.625</v>
      </c>
      <c r="BG49" s="50">
        <v>30.75</v>
      </c>
      <c r="BH49" s="47" t="s">
        <v>221</v>
      </c>
      <c r="BI49" s="50">
        <v>0.68800000000000006</v>
      </c>
      <c r="BJ49" s="50">
        <v>30.623999999999999</v>
      </c>
      <c r="BK49" s="37"/>
      <c r="BL49" s="37"/>
      <c r="BM49" s="37"/>
      <c r="BN49" s="37"/>
      <c r="BO49" s="37"/>
      <c r="BP49" s="37"/>
      <c r="BQ49" s="37"/>
      <c r="BR49" s="37"/>
      <c r="BS49" s="37"/>
      <c r="BT49" s="37"/>
      <c r="BU49" s="52"/>
      <c r="BV49" s="37"/>
      <c r="BW49" s="37"/>
      <c r="BX49" s="37"/>
      <c r="BY49" s="37"/>
      <c r="BZ49" s="37"/>
      <c r="CA49" s="52"/>
      <c r="CB49" s="37"/>
      <c r="CC49" s="47" t="s">
        <v>236</v>
      </c>
      <c r="CD49" s="50">
        <v>0.375</v>
      </c>
      <c r="CE49" s="50">
        <v>31.25</v>
      </c>
      <c r="CF49" s="47" t="s">
        <v>237</v>
      </c>
      <c r="CG49" s="50">
        <v>0.5</v>
      </c>
      <c r="CH49" s="50">
        <v>31</v>
      </c>
      <c r="CI49" s="132"/>
      <c r="CJ49" s="37"/>
      <c r="CK49" s="38"/>
    </row>
    <row r="50" spans="2:90" ht="14.9" customHeight="1" x14ac:dyDescent="0.25">
      <c r="B50" s="100"/>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101"/>
      <c r="AR50" s="10">
        <v>30</v>
      </c>
      <c r="AS50" s="8"/>
      <c r="AT50" s="36">
        <v>850</v>
      </c>
      <c r="AU50" s="63">
        <v>863.6</v>
      </c>
      <c r="AV50" s="47"/>
      <c r="AW50" s="50"/>
      <c r="AX50" s="50"/>
      <c r="AY50" s="47" t="s">
        <v>228</v>
      </c>
      <c r="AZ50" s="50">
        <v>0.312</v>
      </c>
      <c r="BA50" s="50">
        <v>33.375999999999998</v>
      </c>
      <c r="BB50" s="51" t="s">
        <v>229</v>
      </c>
      <c r="BC50" s="50">
        <v>0.5</v>
      </c>
      <c r="BD50" s="50">
        <v>33</v>
      </c>
      <c r="BE50" s="51" t="s">
        <v>230</v>
      </c>
      <c r="BF50" s="50">
        <v>0.625</v>
      </c>
      <c r="BG50" s="50">
        <v>32.75</v>
      </c>
      <c r="BH50" s="47" t="s">
        <v>221</v>
      </c>
      <c r="BI50" s="50">
        <v>0.68800000000000006</v>
      </c>
      <c r="BJ50" s="50">
        <v>32.624000000000002</v>
      </c>
      <c r="BK50" s="37"/>
      <c r="BL50" s="37"/>
      <c r="BM50" s="37"/>
      <c r="BN50" s="37"/>
      <c r="BO50" s="37"/>
      <c r="BP50" s="37"/>
      <c r="BQ50" s="37"/>
      <c r="BR50" s="37"/>
      <c r="BS50" s="37"/>
      <c r="BT50" s="37"/>
      <c r="BU50" s="52"/>
      <c r="BV50" s="37"/>
      <c r="BW50" s="37"/>
      <c r="BX50" s="37"/>
      <c r="BY50" s="37"/>
      <c r="BZ50" s="37"/>
      <c r="CA50" s="52"/>
      <c r="CB50" s="37"/>
      <c r="CC50" s="47" t="s">
        <v>236</v>
      </c>
      <c r="CD50" s="50">
        <v>0.375</v>
      </c>
      <c r="CE50" s="50">
        <v>33.25</v>
      </c>
      <c r="CF50" s="47" t="s">
        <v>237</v>
      </c>
      <c r="CG50" s="50">
        <v>0.5</v>
      </c>
      <c r="CH50" s="50">
        <v>33</v>
      </c>
      <c r="CI50" s="132"/>
      <c r="CJ50" s="37"/>
      <c r="CK50" s="38"/>
    </row>
    <row r="51" spans="2:90" ht="15.75" customHeight="1" x14ac:dyDescent="0.25">
      <c r="B51" s="100"/>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101"/>
      <c r="AR51" s="65">
        <v>31</v>
      </c>
      <c r="AS51" s="8"/>
      <c r="AT51" s="36">
        <v>900</v>
      </c>
      <c r="AU51" s="63">
        <v>914.4</v>
      </c>
      <c r="AV51" s="47"/>
      <c r="AW51" s="50"/>
      <c r="AX51" s="50"/>
      <c r="AY51" s="47" t="s">
        <v>228</v>
      </c>
      <c r="AZ51" s="50">
        <v>0.312</v>
      </c>
      <c r="BA51" s="50">
        <v>35.375999999999998</v>
      </c>
      <c r="BB51" s="51" t="s">
        <v>229</v>
      </c>
      <c r="BC51" s="50">
        <v>0.5</v>
      </c>
      <c r="BD51" s="50">
        <v>35</v>
      </c>
      <c r="BE51" s="51" t="s">
        <v>230</v>
      </c>
      <c r="BF51" s="50">
        <v>0.625</v>
      </c>
      <c r="BG51" s="50">
        <v>34.75</v>
      </c>
      <c r="BH51" s="47" t="s">
        <v>221</v>
      </c>
      <c r="BI51" s="50">
        <v>0.75</v>
      </c>
      <c r="BJ51" s="50">
        <v>34.5</v>
      </c>
      <c r="BK51" s="37"/>
      <c r="BL51" s="37"/>
      <c r="BM51" s="37"/>
      <c r="BN51" s="37"/>
      <c r="BO51" s="37"/>
      <c r="BP51" s="37"/>
      <c r="BQ51" s="37"/>
      <c r="BR51" s="37"/>
      <c r="BS51" s="37"/>
      <c r="BT51" s="37"/>
      <c r="BU51" s="52"/>
      <c r="BV51" s="37"/>
      <c r="BW51" s="37"/>
      <c r="BX51" s="37"/>
      <c r="BY51" s="37"/>
      <c r="BZ51" s="37"/>
      <c r="CA51" s="52"/>
      <c r="CB51" s="37"/>
      <c r="CC51" s="47" t="s">
        <v>236</v>
      </c>
      <c r="CD51" s="50">
        <v>0.375</v>
      </c>
      <c r="CE51" s="50">
        <v>35.25</v>
      </c>
      <c r="CF51" s="47" t="s">
        <v>237</v>
      </c>
      <c r="CG51" s="50">
        <v>0.5</v>
      </c>
      <c r="CH51" s="50">
        <v>35</v>
      </c>
      <c r="CI51" s="132"/>
      <c r="CJ51" s="37"/>
      <c r="CK51" s="38"/>
    </row>
    <row r="52" spans="2:90" ht="39.75" customHeight="1" x14ac:dyDescent="0.25">
      <c r="B52"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2" s="250"/>
      <c r="D52" s="250"/>
      <c r="E52" s="250"/>
      <c r="F52" s="250"/>
      <c r="G52" s="250"/>
      <c r="H52" s="250"/>
      <c r="I52" s="250"/>
      <c r="J52" s="250"/>
      <c r="K52" s="250"/>
      <c r="L52" s="250"/>
      <c r="M52" s="250"/>
      <c r="N52" s="250"/>
      <c r="O52" s="250"/>
      <c r="P52" s="250"/>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R52" s="10">
        <v>32</v>
      </c>
      <c r="AS52" s="8"/>
      <c r="AT52" s="36">
        <v>950</v>
      </c>
      <c r="AU52" s="63">
        <v>965.2</v>
      </c>
      <c r="AV52" s="47"/>
      <c r="AW52" s="50"/>
      <c r="AX52" s="50"/>
      <c r="AY52" s="37"/>
      <c r="AZ52" s="50"/>
      <c r="BA52" s="50"/>
      <c r="BB52" s="37"/>
      <c r="BC52" s="37"/>
      <c r="BD52" s="37"/>
      <c r="BE52" s="37"/>
      <c r="BF52" s="37"/>
      <c r="BG52" s="37"/>
      <c r="BH52" s="37"/>
      <c r="BI52" s="37"/>
      <c r="BJ52" s="37"/>
      <c r="BK52" s="37"/>
      <c r="BL52" s="37"/>
      <c r="BM52" s="37"/>
      <c r="BN52" s="37"/>
      <c r="BO52" s="37"/>
      <c r="BP52" s="37"/>
      <c r="BQ52" s="37"/>
      <c r="BR52" s="37"/>
      <c r="BS52" s="37"/>
      <c r="BT52" s="37"/>
      <c r="BU52" s="52"/>
      <c r="BV52" s="37"/>
      <c r="BW52" s="37"/>
      <c r="BX52" s="37"/>
      <c r="BY52" s="37"/>
      <c r="BZ52" s="37"/>
      <c r="CA52" s="52"/>
      <c r="CB52" s="37"/>
      <c r="CC52" s="47" t="s">
        <v>236</v>
      </c>
      <c r="CD52" s="50">
        <v>0.375</v>
      </c>
      <c r="CE52" s="50">
        <v>37.25</v>
      </c>
      <c r="CF52" s="47" t="s">
        <v>237</v>
      </c>
      <c r="CG52" s="50">
        <v>0.5</v>
      </c>
      <c r="CH52" s="50">
        <v>37</v>
      </c>
      <c r="CI52" s="132"/>
      <c r="CJ52" s="37"/>
      <c r="CK52" s="38"/>
    </row>
    <row r="53" spans="2:90" ht="41.25" customHeight="1" x14ac:dyDescent="0.25">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R53" s="65">
        <v>33</v>
      </c>
      <c r="AS53" s="8"/>
      <c r="AT53" s="36">
        <v>1000</v>
      </c>
      <c r="AU53" s="63">
        <v>1016</v>
      </c>
      <c r="AV53" s="47"/>
      <c r="AW53" s="50"/>
      <c r="AX53" s="50"/>
      <c r="AY53" s="37"/>
      <c r="AZ53" s="50"/>
      <c r="BA53" s="50"/>
      <c r="BB53" s="37"/>
      <c r="BC53" s="37"/>
      <c r="BD53" s="37"/>
      <c r="BE53" s="37"/>
      <c r="BF53" s="37"/>
      <c r="BG53" s="37"/>
      <c r="BH53" s="37"/>
      <c r="BI53" s="37"/>
      <c r="BJ53" s="37"/>
      <c r="BK53" s="37"/>
      <c r="BL53" s="37"/>
      <c r="BM53" s="37"/>
      <c r="BN53" s="37"/>
      <c r="BO53" s="37"/>
      <c r="BP53" s="37"/>
      <c r="BQ53" s="37"/>
      <c r="BR53" s="37"/>
      <c r="BS53" s="37"/>
      <c r="BT53" s="37"/>
      <c r="BU53" s="52"/>
      <c r="BV53" s="37"/>
      <c r="BW53" s="37"/>
      <c r="BX53" s="37"/>
      <c r="BY53" s="37"/>
      <c r="BZ53" s="37"/>
      <c r="CA53" s="52"/>
      <c r="CB53" s="37"/>
      <c r="CC53" s="47" t="s">
        <v>236</v>
      </c>
      <c r="CD53" s="48">
        <v>0.375</v>
      </c>
      <c r="CE53" s="48">
        <v>39.25</v>
      </c>
      <c r="CF53" s="47" t="s">
        <v>237</v>
      </c>
      <c r="CG53" s="48">
        <v>0.5</v>
      </c>
      <c r="CH53" s="48">
        <v>39</v>
      </c>
      <c r="CI53" s="132"/>
      <c r="CJ53" s="37"/>
      <c r="CK53" s="38"/>
    </row>
    <row r="54" spans="2:90" ht="14.9" customHeight="1" x14ac:dyDescent="0.25">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R54" s="10">
        <v>34</v>
      </c>
      <c r="AS54" s="8"/>
      <c r="AT54" s="36">
        <v>1050</v>
      </c>
      <c r="AU54" s="63">
        <v>1066.8</v>
      </c>
      <c r="AV54" s="47"/>
      <c r="AW54" s="50"/>
      <c r="AX54" s="50"/>
      <c r="AY54" s="37"/>
      <c r="AZ54" s="37"/>
      <c r="BA54" s="37"/>
      <c r="BB54" s="37"/>
      <c r="BC54" s="37"/>
      <c r="BD54" s="37"/>
      <c r="BE54" s="37"/>
      <c r="BF54" s="37"/>
      <c r="BG54" s="37"/>
      <c r="BH54" s="37"/>
      <c r="BI54" s="55"/>
      <c r="BJ54" s="37"/>
      <c r="BK54" s="37"/>
      <c r="BL54" s="37"/>
      <c r="BM54" s="37"/>
      <c r="BN54" s="37"/>
      <c r="BO54" s="37"/>
      <c r="BP54" s="55"/>
      <c r="BQ54" s="55"/>
      <c r="BR54" s="55"/>
      <c r="BS54" s="55"/>
      <c r="BT54" s="37"/>
      <c r="BU54" s="37"/>
      <c r="BV54" s="37"/>
      <c r="BW54" s="37"/>
      <c r="BX54" s="37"/>
      <c r="BY54" s="37"/>
      <c r="BZ54" s="55"/>
      <c r="CA54" s="37"/>
      <c r="CB54" s="37"/>
      <c r="CC54" s="47" t="s">
        <v>236</v>
      </c>
      <c r="CD54" s="48">
        <v>0.375</v>
      </c>
      <c r="CE54" s="48">
        <v>41.25</v>
      </c>
      <c r="CF54" s="47" t="s">
        <v>237</v>
      </c>
      <c r="CG54" s="48">
        <v>0.5</v>
      </c>
      <c r="CH54" s="48">
        <v>41</v>
      </c>
      <c r="CI54" s="132"/>
      <c r="CJ54" s="37"/>
      <c r="CK54" s="38"/>
    </row>
    <row r="55" spans="2:90" ht="36.75" customHeight="1" x14ac:dyDescent="0.25">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R55" s="65">
        <v>35</v>
      </c>
      <c r="AS55" s="8"/>
      <c r="AT55" s="43">
        <v>1100</v>
      </c>
      <c r="AU55" s="62">
        <v>1117.5999999999999</v>
      </c>
      <c r="AV55" s="47"/>
      <c r="AW55" s="48"/>
      <c r="AX55" s="48"/>
      <c r="AY55" s="132"/>
      <c r="AZ55" s="132"/>
      <c r="BA55" s="132"/>
      <c r="BB55" s="132"/>
      <c r="BC55" s="132"/>
      <c r="BD55" s="132"/>
      <c r="BE55" s="132"/>
      <c r="BF55" s="132"/>
      <c r="BG55" s="132"/>
      <c r="BH55" s="132"/>
      <c r="BI55" s="132"/>
      <c r="BJ55" s="132"/>
      <c r="BK55" s="132"/>
      <c r="BL55" s="132"/>
      <c r="BM55" s="132"/>
      <c r="BN55" s="132"/>
      <c r="BO55" s="132"/>
      <c r="BP55" s="132"/>
      <c r="BQ55" s="132"/>
      <c r="BR55" s="132"/>
      <c r="BS55" s="132"/>
      <c r="BT55" s="132"/>
      <c r="BU55" s="132"/>
      <c r="BV55" s="132"/>
      <c r="BW55" s="132"/>
      <c r="BX55" s="132"/>
      <c r="BY55" s="132"/>
      <c r="BZ55" s="132"/>
      <c r="CA55" s="132"/>
      <c r="CB55" s="132"/>
      <c r="CC55" s="47" t="s">
        <v>236</v>
      </c>
      <c r="CD55" s="48">
        <v>0.375</v>
      </c>
      <c r="CE55" s="48">
        <v>43.25</v>
      </c>
      <c r="CF55" s="47" t="s">
        <v>237</v>
      </c>
      <c r="CG55" s="48">
        <v>0.5</v>
      </c>
      <c r="CH55" s="48">
        <v>43</v>
      </c>
      <c r="CI55" s="132"/>
      <c r="CJ55" s="132"/>
      <c r="CK55" s="49"/>
      <c r="CL55" s="10"/>
    </row>
    <row r="56" spans="2:90" s="10" customFormat="1" ht="37.5" customHeight="1" x14ac:dyDescent="0.25">
      <c r="AR56" s="10">
        <v>36</v>
      </c>
      <c r="AS56" s="8"/>
      <c r="AT56" s="36">
        <v>1150</v>
      </c>
      <c r="AU56" s="63">
        <v>1168.4000000000001</v>
      </c>
      <c r="AV56" s="47"/>
      <c r="AW56" s="50"/>
      <c r="AX56" s="50"/>
      <c r="AY56" s="37"/>
      <c r="AZ56" s="37"/>
      <c r="BA56" s="37"/>
      <c r="BB56" s="37"/>
      <c r="BC56" s="37"/>
      <c r="BD56" s="37"/>
      <c r="BE56" s="37"/>
      <c r="BF56" s="37"/>
      <c r="BG56" s="37"/>
      <c r="BH56" s="37"/>
      <c r="BI56" s="37"/>
      <c r="BJ56" s="37"/>
      <c r="BK56" s="37"/>
      <c r="BL56" s="37"/>
      <c r="BM56" s="37"/>
      <c r="BN56" s="37"/>
      <c r="BO56" s="37"/>
      <c r="BP56" s="37"/>
      <c r="BQ56" s="37"/>
      <c r="BR56" s="37"/>
      <c r="BS56" s="37"/>
      <c r="BT56" s="37"/>
      <c r="BU56" s="52"/>
      <c r="BV56" s="37"/>
      <c r="BW56" s="37"/>
      <c r="BX56" s="37"/>
      <c r="BY56" s="37"/>
      <c r="BZ56" s="37"/>
      <c r="CA56" s="37"/>
      <c r="CB56" s="37"/>
      <c r="CC56" s="47" t="s">
        <v>236</v>
      </c>
      <c r="CD56" s="50">
        <v>0.375</v>
      </c>
      <c r="CE56" s="50">
        <v>45.25</v>
      </c>
      <c r="CF56" s="47" t="s">
        <v>237</v>
      </c>
      <c r="CG56" s="50">
        <v>0.5</v>
      </c>
      <c r="CH56" s="50">
        <v>45</v>
      </c>
      <c r="CI56" s="37"/>
      <c r="CJ56" s="37"/>
      <c r="CK56" s="38"/>
    </row>
    <row r="57" spans="2:90" s="10" customFormat="1" ht="36" customHeight="1" thickBot="1" x14ac:dyDescent="0.3">
      <c r="AR57" s="65">
        <v>37</v>
      </c>
      <c r="AS57" s="8"/>
      <c r="AT57" s="57">
        <v>1200</v>
      </c>
      <c r="AU57" s="64">
        <v>1219.2</v>
      </c>
      <c r="AV57" s="58"/>
      <c r="AW57" s="59"/>
      <c r="AX57" s="59"/>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58" t="s">
        <v>236</v>
      </c>
      <c r="CD57" s="59">
        <v>0.375</v>
      </c>
      <c r="CE57" s="59">
        <v>47.25</v>
      </c>
      <c r="CF57" s="58" t="s">
        <v>237</v>
      </c>
      <c r="CG57" s="59">
        <v>0.5</v>
      </c>
      <c r="CH57" s="59">
        <v>47</v>
      </c>
      <c r="CI57" s="60"/>
      <c r="CJ57" s="60"/>
      <c r="CK57" s="61"/>
    </row>
    <row r="58" spans="2:90" s="10" customFormat="1" x14ac:dyDescent="0.25">
      <c r="AR58" s="7"/>
      <c r="AS58" s="7"/>
      <c r="AT58" s="7"/>
      <c r="AU58" s="7"/>
      <c r="AV58" s="7"/>
      <c r="AW58" s="7"/>
      <c r="AX58" s="7"/>
    </row>
    <row r="59" spans="2:90" s="10" customFormat="1" x14ac:dyDescent="0.25">
      <c r="AR59" s="7"/>
      <c r="AS59" s="7"/>
      <c r="AT59" s="7"/>
      <c r="AU59" s="7"/>
      <c r="AV59" s="7"/>
      <c r="AW59" s="7"/>
      <c r="AX59" s="7"/>
    </row>
    <row r="60" spans="2:90" s="10" customFormat="1" x14ac:dyDescent="0.25">
      <c r="AR60" s="7"/>
      <c r="AS60" s="7"/>
      <c r="AT60" s="7"/>
      <c r="AU60" s="7"/>
      <c r="AV60" s="7"/>
      <c r="AW60" s="7"/>
      <c r="AX60" s="7"/>
    </row>
    <row r="61" spans="2:90" s="10" customFormat="1" x14ac:dyDescent="0.25">
      <c r="AR61" s="7"/>
      <c r="AS61" s="7"/>
      <c r="AT61" s="7"/>
      <c r="AU61" s="7"/>
      <c r="AV61" s="7"/>
      <c r="AW61" s="7"/>
      <c r="AX61" s="7"/>
    </row>
    <row r="62" spans="2:90" s="10" customFormat="1" ht="15.5" x14ac:dyDescent="0.25">
      <c r="AR62" s="7"/>
      <c r="AS62" s="7"/>
      <c r="AT62" s="7"/>
      <c r="AU62" s="7"/>
      <c r="AV62" s="7"/>
      <c r="AW62" s="37">
        <v>1</v>
      </c>
      <c r="AX62" s="37" t="s">
        <v>241</v>
      </c>
      <c r="AY62" s="41" t="s">
        <v>261</v>
      </c>
    </row>
    <row r="63" spans="2:90" s="10" customFormat="1" ht="15.5" x14ac:dyDescent="0.25">
      <c r="AR63" s="7"/>
      <c r="AS63" s="7"/>
      <c r="AT63" s="7"/>
      <c r="AU63" s="7"/>
      <c r="AV63" s="7"/>
      <c r="AW63" s="37">
        <v>2</v>
      </c>
      <c r="AX63" s="37" t="s">
        <v>227</v>
      </c>
      <c r="AY63" s="41">
        <v>5</v>
      </c>
    </row>
    <row r="64" spans="2:90" s="10" customFormat="1" ht="15.5" x14ac:dyDescent="0.25">
      <c r="AR64" s="7"/>
      <c r="AS64" s="7"/>
      <c r="AT64" s="7"/>
      <c r="AU64" s="7"/>
      <c r="AV64" s="7"/>
      <c r="AW64" s="37">
        <v>3</v>
      </c>
      <c r="AX64" s="37" t="s">
        <v>228</v>
      </c>
      <c r="AY64" s="41">
        <v>10</v>
      </c>
    </row>
    <row r="65" spans="2:90" s="10" customFormat="1" ht="15.5" x14ac:dyDescent="0.25">
      <c r="AR65" s="7"/>
      <c r="AS65" s="7"/>
      <c r="AT65" s="7"/>
      <c r="AU65" s="7"/>
      <c r="AV65" s="7"/>
      <c r="AW65" s="37">
        <v>4</v>
      </c>
      <c r="AX65" s="37" t="s">
        <v>229</v>
      </c>
      <c r="AY65" s="41">
        <v>20</v>
      </c>
    </row>
    <row r="66" spans="2:90" s="10" customFormat="1" ht="15.5" x14ac:dyDescent="0.25">
      <c r="AR66" s="7"/>
      <c r="AS66" s="7"/>
      <c r="AT66" s="7"/>
      <c r="AU66" s="7"/>
      <c r="AV66" s="7"/>
      <c r="AW66" s="37">
        <v>5</v>
      </c>
      <c r="AX66" s="37" t="s">
        <v>230</v>
      </c>
      <c r="AY66" s="41">
        <v>30</v>
      </c>
    </row>
    <row r="67" spans="2:90" s="10" customFormat="1" ht="15.5" x14ac:dyDescent="0.25">
      <c r="AR67" s="7"/>
      <c r="AS67" s="7"/>
      <c r="AT67" s="7"/>
      <c r="AU67" s="7"/>
      <c r="AV67" s="7"/>
      <c r="AW67" s="37">
        <v>6</v>
      </c>
      <c r="AX67" s="37" t="s">
        <v>221</v>
      </c>
      <c r="AY67" s="41">
        <v>40</v>
      </c>
    </row>
    <row r="68" spans="2:90" s="10" customFormat="1" ht="15.5" x14ac:dyDescent="0.25">
      <c r="AR68" s="7"/>
      <c r="AS68" s="7"/>
      <c r="AT68" s="7"/>
      <c r="AU68" s="7"/>
      <c r="AV68" s="7"/>
      <c r="AW68" s="37">
        <v>7</v>
      </c>
      <c r="AX68" s="37" t="s">
        <v>222</v>
      </c>
      <c r="AY68" s="41">
        <v>80</v>
      </c>
    </row>
    <row r="69" spans="2:90" s="10" customFormat="1" ht="15.5" x14ac:dyDescent="0.25">
      <c r="AR69" s="7"/>
      <c r="AS69" s="7"/>
      <c r="AT69" s="7"/>
      <c r="AU69" s="7"/>
      <c r="AV69" s="7"/>
      <c r="AW69" s="37">
        <v>8</v>
      </c>
      <c r="AX69" s="37" t="s">
        <v>232</v>
      </c>
      <c r="AY69" s="41">
        <v>100</v>
      </c>
    </row>
    <row r="70" spans="2:90" s="10" customFormat="1" ht="15.5" x14ac:dyDescent="0.25">
      <c r="AR70" s="7"/>
      <c r="AS70" s="7"/>
      <c r="AT70" s="7"/>
      <c r="AU70" s="7"/>
      <c r="AV70" s="7"/>
      <c r="AW70" s="37">
        <v>9</v>
      </c>
      <c r="AX70" s="37" t="s">
        <v>233</v>
      </c>
      <c r="AY70" s="41">
        <v>120</v>
      </c>
    </row>
    <row r="71" spans="2:90" s="10" customFormat="1" ht="15.5" x14ac:dyDescent="0.25">
      <c r="AR71" s="7"/>
      <c r="AS71" s="7"/>
      <c r="AT71" s="7"/>
      <c r="AU71" s="7"/>
      <c r="AV71" s="7"/>
      <c r="AW71" s="37">
        <v>10</v>
      </c>
      <c r="AX71" s="37" t="s">
        <v>234</v>
      </c>
      <c r="AY71" s="41">
        <v>140</v>
      </c>
    </row>
    <row r="72" spans="2:90" s="10" customFormat="1" ht="15.5" x14ac:dyDescent="0.25">
      <c r="AR72" s="7"/>
      <c r="AS72" s="7"/>
      <c r="AT72" s="7"/>
      <c r="AU72" s="7"/>
      <c r="AV72" s="7"/>
      <c r="AW72" s="37">
        <v>11</v>
      </c>
      <c r="AX72" s="37" t="s">
        <v>235</v>
      </c>
      <c r="AY72" s="41">
        <v>160</v>
      </c>
    </row>
    <row r="73" spans="2:90" s="10" customFormat="1" ht="15.5" x14ac:dyDescent="0.25">
      <c r="AR73" s="7"/>
      <c r="AS73" s="7"/>
      <c r="AT73" s="7"/>
      <c r="AU73" s="7"/>
      <c r="AV73" s="7"/>
      <c r="AW73" s="37">
        <v>12</v>
      </c>
      <c r="AX73" s="37" t="s">
        <v>220</v>
      </c>
      <c r="AY73" s="41" t="s">
        <v>236</v>
      </c>
    </row>
    <row r="74" spans="2:90" s="10" customFormat="1" ht="15.5" x14ac:dyDescent="0.25">
      <c r="AR74" s="7"/>
      <c r="AS74" s="7"/>
      <c r="AT74" s="7"/>
      <c r="AU74" s="7"/>
      <c r="AV74" s="7"/>
      <c r="AW74" s="37">
        <v>13</v>
      </c>
      <c r="AX74" s="37" t="s">
        <v>237</v>
      </c>
      <c r="AY74" s="41" t="s">
        <v>237</v>
      </c>
    </row>
    <row r="75" spans="2:90" s="10" customFormat="1" ht="15.5" x14ac:dyDescent="0.2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R75" s="7"/>
      <c r="AS75" s="7"/>
      <c r="AT75" s="7"/>
      <c r="AU75" s="7"/>
      <c r="AV75" s="7"/>
      <c r="AW75" s="37">
        <v>14</v>
      </c>
      <c r="AX75" s="37" t="s">
        <v>238</v>
      </c>
      <c r="AY75" s="41" t="s">
        <v>238</v>
      </c>
    </row>
    <row r="76" spans="2:90" s="10" customFormat="1" x14ac:dyDescent="0.2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R76" s="7"/>
      <c r="AS76" s="7"/>
      <c r="AT76" s="7"/>
      <c r="AU76" s="7"/>
      <c r="AV76" s="7"/>
      <c r="AW76" s="7"/>
      <c r="AX76" s="7"/>
    </row>
    <row r="77" spans="2:90" s="10" customFormat="1" x14ac:dyDescent="0.2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R77" s="7"/>
      <c r="AS77" s="7"/>
      <c r="AT77" s="7"/>
      <c r="AU77" s="7"/>
      <c r="AV77" s="7"/>
      <c r="AW77" s="7"/>
      <c r="AX77" s="7"/>
    </row>
    <row r="78" spans="2:90" s="10" customFormat="1" x14ac:dyDescent="0.25">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row>
    <row r="79" spans="2:90" s="10" customFormat="1" x14ac:dyDescent="0.25">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row>
  </sheetData>
  <mergeCells count="134">
    <mergeCell ref="B10:AN10"/>
    <mergeCell ref="C12:S12"/>
    <mergeCell ref="C14:S14"/>
    <mergeCell ref="C15:S15"/>
    <mergeCell ref="C16:S16"/>
    <mergeCell ref="AF17:AK17"/>
    <mergeCell ref="T12:Y12"/>
    <mergeCell ref="C11:AN11"/>
    <mergeCell ref="Z12:AE12"/>
    <mergeCell ref="AF12:AK12"/>
    <mergeCell ref="T15:Y15"/>
    <mergeCell ref="Z15:AE15"/>
    <mergeCell ref="AF15:AK15"/>
    <mergeCell ref="T16:Y16"/>
    <mergeCell ref="Z16:AE16"/>
    <mergeCell ref="T29:Y29"/>
    <mergeCell ref="Z29:AE29"/>
    <mergeCell ref="AF29:AK29"/>
    <mergeCell ref="Z24:AE24"/>
    <mergeCell ref="Z25:AE25"/>
    <mergeCell ref="AF24:AK24"/>
    <mergeCell ref="AF25:AK25"/>
    <mergeCell ref="C23:S23"/>
    <mergeCell ref="T23:Y23"/>
    <mergeCell ref="Z23:AE23"/>
    <mergeCell ref="AF23:AK23"/>
    <mergeCell ref="C24:S24"/>
    <mergeCell ref="AF27:AK27"/>
    <mergeCell ref="T22:Y22"/>
    <mergeCell ref="Z22:AE22"/>
    <mergeCell ref="AF22:AK22"/>
    <mergeCell ref="T25:Y25"/>
    <mergeCell ref="T28:Y28"/>
    <mergeCell ref="Z28:AE28"/>
    <mergeCell ref="AF28:AK28"/>
    <mergeCell ref="T24:Y24"/>
    <mergeCell ref="T27:Y27"/>
    <mergeCell ref="Z27:AE27"/>
    <mergeCell ref="B52:AN52"/>
    <mergeCell ref="T14:Y14"/>
    <mergeCell ref="Z14:AE14"/>
    <mergeCell ref="AF14:AK14"/>
    <mergeCell ref="T17:Y17"/>
    <mergeCell ref="Z17:AE17"/>
    <mergeCell ref="T20:Y20"/>
    <mergeCell ref="Z20:AE20"/>
    <mergeCell ref="AF20:AK20"/>
    <mergeCell ref="T21:Y21"/>
    <mergeCell ref="Z21:AE21"/>
    <mergeCell ref="AF21:AK21"/>
    <mergeCell ref="T18:Y18"/>
    <mergeCell ref="Z18:AE18"/>
    <mergeCell ref="AF18:AK18"/>
    <mergeCell ref="T19:Y19"/>
    <mergeCell ref="Z19:AE19"/>
    <mergeCell ref="AF19:AK19"/>
    <mergeCell ref="T26:Y26"/>
    <mergeCell ref="Z26:AE26"/>
    <mergeCell ref="AF26:AK26"/>
    <mergeCell ref="T31:Y31"/>
    <mergeCell ref="Z31:AE31"/>
    <mergeCell ref="AF31:AK31"/>
    <mergeCell ref="X7:AA7"/>
    <mergeCell ref="AB7:AC7"/>
    <mergeCell ref="AD7:AF7"/>
    <mergeCell ref="AG7:AJ7"/>
    <mergeCell ref="AK7:AN7"/>
    <mergeCell ref="C13:AK13"/>
    <mergeCell ref="T8:W8"/>
    <mergeCell ref="X8:AA8"/>
    <mergeCell ref="AB8:AC8"/>
    <mergeCell ref="AD8:AF8"/>
    <mergeCell ref="AG8:AJ8"/>
    <mergeCell ref="AK8:AN8"/>
    <mergeCell ref="B8:C8"/>
    <mergeCell ref="D8:F8"/>
    <mergeCell ref="G8:J8"/>
    <mergeCell ref="B7:C7"/>
    <mergeCell ref="D7:F7"/>
    <mergeCell ref="G7:J7"/>
    <mergeCell ref="K7:N7"/>
    <mergeCell ref="O7:P7"/>
    <mergeCell ref="Q7:S7"/>
    <mergeCell ref="K8:N8"/>
    <mergeCell ref="O8:P8"/>
    <mergeCell ref="Q8:S8"/>
    <mergeCell ref="AF33:AK33"/>
    <mergeCell ref="B1:AN1"/>
    <mergeCell ref="B2:G2"/>
    <mergeCell ref="I2:Z2"/>
    <mergeCell ref="AA2:AD2"/>
    <mergeCell ref="AE2:AN2"/>
    <mergeCell ref="B3:G3"/>
    <mergeCell ref="I3:Z3"/>
    <mergeCell ref="AA3:AD3"/>
    <mergeCell ref="AE3:AN3"/>
    <mergeCell ref="B6:I6"/>
    <mergeCell ref="J6:AC6"/>
    <mergeCell ref="AD6:AF6"/>
    <mergeCell ref="AG6:AI6"/>
    <mergeCell ref="AJ6:AK6"/>
    <mergeCell ref="AL6:AN6"/>
    <mergeCell ref="B4:G4"/>
    <mergeCell ref="I4:Z4"/>
    <mergeCell ref="AA4:AD4"/>
    <mergeCell ref="AE4:AN4"/>
    <mergeCell ref="B5:H5"/>
    <mergeCell ref="I5:AN5"/>
    <mergeCell ref="AF16:AK16"/>
    <mergeCell ref="T7:W7"/>
    <mergeCell ref="C34:S34"/>
    <mergeCell ref="C17:S17"/>
    <mergeCell ref="C18:S18"/>
    <mergeCell ref="C19:S19"/>
    <mergeCell ref="C20:S20"/>
    <mergeCell ref="C21:S21"/>
    <mergeCell ref="C22:S22"/>
    <mergeCell ref="C25:S25"/>
    <mergeCell ref="C26:S26"/>
    <mergeCell ref="C27:S27"/>
    <mergeCell ref="C29:S29"/>
    <mergeCell ref="C28:S28"/>
    <mergeCell ref="C30:AK30"/>
    <mergeCell ref="C31:S31"/>
    <mergeCell ref="C32:S32"/>
    <mergeCell ref="C33:S33"/>
    <mergeCell ref="T34:Y34"/>
    <mergeCell ref="Z34:AE34"/>
    <mergeCell ref="AF34:AK34"/>
    <mergeCell ref="T32:Y32"/>
    <mergeCell ref="Z32:AE32"/>
    <mergeCell ref="AF32:AK32"/>
    <mergeCell ref="T33:Y33"/>
    <mergeCell ref="Z33:AE33"/>
  </mergeCells>
  <conditionalFormatting sqref="T23:Y23">
    <cfRule type="expression" dxfId="20" priority="8">
      <formula>$T$20="Manual Input"</formula>
    </cfRule>
  </conditionalFormatting>
  <conditionalFormatting sqref="T24:Y24">
    <cfRule type="expression" dxfId="19" priority="7">
      <formula>$T$20="Manual Input"</formula>
    </cfRule>
  </conditionalFormatting>
  <conditionalFormatting sqref="Z23:AE24">
    <cfRule type="expression" dxfId="18" priority="6">
      <formula>$Z$20="Manual Input"</formula>
    </cfRule>
  </conditionalFormatting>
  <conditionalFormatting sqref="AF23:AK24">
    <cfRule type="expression" dxfId="17" priority="4">
      <formula>$AF$20="Manual Input"</formula>
    </cfRule>
  </conditionalFormatting>
  <conditionalFormatting sqref="T21:Y22">
    <cfRule type="expression" dxfId="16" priority="3">
      <formula>$T$20="Manual Input"</formula>
    </cfRule>
  </conditionalFormatting>
  <conditionalFormatting sqref="Z21:AE22">
    <cfRule type="expression" dxfId="15" priority="2">
      <formula>$Z$20="Manual Input"</formula>
    </cfRule>
  </conditionalFormatting>
  <conditionalFormatting sqref="AF21:AK22">
    <cfRule type="expression" dxfId="14" priority="1">
      <formula>$AF$20="Manual Input"</formula>
    </cfRule>
  </conditionalFormatting>
  <dataValidations disablePrompts="1" count="3">
    <dataValidation type="list" allowBlank="1" showInputMessage="1" showErrorMessage="1" sqref="T27:AK27" xr:uid="{00000000-0002-0000-1000-000000000000}">
      <formula1>$AP$32:$AP$36</formula1>
    </dataValidation>
    <dataValidation type="list" allowBlank="1" showInputMessage="1" showErrorMessage="1" sqref="T20:AK20" xr:uid="{00000000-0002-0000-1000-000001000000}">
      <formula1>$AX$62:$AX$75</formula1>
    </dataValidation>
    <dataValidation type="list" allowBlank="1" showInputMessage="1" showErrorMessage="1" sqref="T19:AK19" xr:uid="{00000000-0002-0000-1000-000002000000}">
      <formula1>$AT$25:$AT$57</formula1>
    </dataValidation>
  </dataValidations>
  <pageMargins left="0.78740157480314998" right="0.196850393700787" top="0.39370078740157499" bottom="0.62" header="0.196850393700787" footer="0.196850393700787"/>
  <pageSetup paperSize="9" scale="88" orientation="portrait" r:id="rId1"/>
  <headerFooter>
    <oddFooter>&amp;L&amp;"Calibri,Regular"&amp;11Copyright 2019, Worley
&amp;F&amp;R&amp;"Calibri,Regular"&amp;11Rev. 0, 01 December 2019</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1">
    <tabColor rgb="FFFFFF00"/>
    <pageSetUpPr fitToPage="1"/>
  </sheetPr>
  <dimension ref="B1:AX73"/>
  <sheetViews>
    <sheetView zoomScaleNormal="100" zoomScaleSheetLayoutView="100" zoomScalePageLayoutView="85"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2:49" ht="60" customHeight="1" x14ac:dyDescent="0.25">
      <c r="B1" s="222" t="s">
        <v>207</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row>
    <row r="2" spans="2: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2: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2: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2: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2:49" s="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29"/>
      <c r="AE6" s="229"/>
      <c r="AF6" s="229"/>
      <c r="AG6" s="274" t="s">
        <v>207</v>
      </c>
      <c r="AH6" s="274"/>
      <c r="AI6" s="274"/>
      <c r="AJ6" s="274"/>
      <c r="AK6" s="274"/>
      <c r="AL6" s="333" t="s">
        <v>116</v>
      </c>
      <c r="AM6" s="333"/>
      <c r="AN6" s="334"/>
      <c r="AO6" s="9"/>
      <c r="AP6" s="9"/>
      <c r="AQ6" s="9"/>
    </row>
    <row r="7" spans="2:49" ht="15" customHeight="1" x14ac:dyDescent="0.25">
      <c r="B7" s="265" t="s">
        <v>51</v>
      </c>
      <c r="C7" s="259"/>
      <c r="D7" s="265" t="s">
        <v>52</v>
      </c>
      <c r="E7" s="258"/>
      <c r="F7" s="258"/>
      <c r="G7" s="265" t="s">
        <v>54</v>
      </c>
      <c r="H7" s="258"/>
      <c r="I7" s="258"/>
      <c r="J7" s="259"/>
      <c r="K7" s="265" t="s">
        <v>55</v>
      </c>
      <c r="L7" s="258"/>
      <c r="M7" s="258"/>
      <c r="N7" s="277"/>
      <c r="O7" s="258" t="s">
        <v>51</v>
      </c>
      <c r="P7" s="259"/>
      <c r="Q7" s="265" t="s">
        <v>52</v>
      </c>
      <c r="R7" s="258"/>
      <c r="S7" s="258"/>
      <c r="T7" s="265" t="s">
        <v>54</v>
      </c>
      <c r="U7" s="258"/>
      <c r="V7" s="258"/>
      <c r="W7" s="259"/>
      <c r="X7" s="265" t="s">
        <v>55</v>
      </c>
      <c r="Y7" s="258"/>
      <c r="Z7" s="258"/>
      <c r="AA7" s="277"/>
      <c r="AB7" s="258" t="s">
        <v>51</v>
      </c>
      <c r="AC7" s="259"/>
      <c r="AD7" s="265" t="s">
        <v>52</v>
      </c>
      <c r="AE7" s="258"/>
      <c r="AF7" s="258"/>
      <c r="AG7" s="265" t="s">
        <v>54</v>
      </c>
      <c r="AH7" s="258"/>
      <c r="AI7" s="258"/>
      <c r="AJ7" s="259"/>
      <c r="AK7" s="265" t="s">
        <v>55</v>
      </c>
      <c r="AL7" s="258"/>
      <c r="AM7" s="258"/>
      <c r="AN7" s="259"/>
    </row>
    <row r="8" spans="2:49" s="22" customFormat="1" ht="15" customHeight="1" x14ac:dyDescent="0.25">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7"/>
      <c r="AP8" s="27"/>
      <c r="AQ8" s="27"/>
      <c r="AR8" s="27"/>
      <c r="AS8" s="27"/>
      <c r="AT8" s="27"/>
      <c r="AU8" s="27"/>
      <c r="AV8" s="27"/>
      <c r="AW8" s="27"/>
    </row>
    <row r="9" spans="2: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2:49" ht="14.9" customHeight="1" x14ac:dyDescent="0.25">
      <c r="B10" s="100"/>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2: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2:49" ht="14.9" customHeight="1" x14ac:dyDescent="0.25">
      <c r="B12" s="239" t="str">
        <f>"Appendix "&amp;AL6</f>
        <v>Appendix B</v>
      </c>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c r="AN12" s="241"/>
      <c r="AR12" s="10"/>
    </row>
    <row r="13" spans="2:49" ht="14.9" customHeight="1" x14ac:dyDescent="0.25">
      <c r="B13" s="239" t="str">
        <f>VLOOKUP(AL6,ToC!F30:AJ51,3)</f>
        <v>APPENDIX - B Liquid Multiphase Valve Closure</v>
      </c>
      <c r="C13" s="240"/>
      <c r="D13" s="240"/>
      <c r="E13" s="240"/>
      <c r="F13" s="240"/>
      <c r="G13" s="240"/>
      <c r="H13" s="240"/>
      <c r="I13" s="240"/>
      <c r="J13" s="240"/>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0"/>
      <c r="AL13" s="240"/>
      <c r="AM13" s="240"/>
      <c r="AN13" s="241"/>
      <c r="AR13" s="10"/>
    </row>
    <row r="14" spans="2:49" ht="14.9" customHeight="1" x14ac:dyDescent="0.25">
      <c r="B14" s="100"/>
      <c r="C14" s="72"/>
      <c r="D14" s="72"/>
      <c r="E14" s="72"/>
      <c r="F14" s="72"/>
      <c r="G14" s="72"/>
      <c r="H14" s="72"/>
      <c r="I14" s="72"/>
      <c r="J14" s="72"/>
      <c r="K14" s="72"/>
      <c r="L14" s="72"/>
      <c r="M14" s="72"/>
      <c r="N14" s="72"/>
      <c r="O14" s="72"/>
      <c r="P14" s="72"/>
      <c r="Q14" s="72"/>
      <c r="R14" s="72"/>
      <c r="S14" s="332">
        <f>VLOOKUP(AL6,ToC!F30:AJ51,29)</f>
        <v>1</v>
      </c>
      <c r="T14" s="332"/>
      <c r="U14" s="331" t="str">
        <f>IF(S14=1," Page"," Pages")</f>
        <v xml:space="preserve"> Page</v>
      </c>
      <c r="V14" s="331"/>
      <c r="W14" s="331"/>
      <c r="X14" s="72"/>
      <c r="Y14" s="72"/>
      <c r="Z14" s="72"/>
      <c r="AA14" s="72"/>
      <c r="AB14" s="72"/>
      <c r="AC14" s="72"/>
      <c r="AD14" s="72"/>
      <c r="AE14" s="72"/>
      <c r="AF14" s="72"/>
      <c r="AG14" s="72"/>
      <c r="AH14" s="72"/>
      <c r="AI14" s="72"/>
      <c r="AJ14" s="72"/>
      <c r="AK14" s="72"/>
      <c r="AL14" s="72"/>
      <c r="AM14" s="72"/>
      <c r="AN14" s="101"/>
      <c r="AR14" s="10"/>
    </row>
    <row r="15" spans="2:49" ht="14.9" customHeight="1" x14ac:dyDescent="0.25">
      <c r="B15" s="100"/>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101"/>
      <c r="AR15" s="10"/>
    </row>
    <row r="16" spans="2:49" ht="14.9" customHeight="1" x14ac:dyDescent="0.25">
      <c r="B16" s="100"/>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101"/>
      <c r="AR16" s="10"/>
    </row>
    <row r="17" spans="2:44" ht="14.9" customHeight="1" x14ac:dyDescent="0.25">
      <c r="B17" s="100"/>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101"/>
      <c r="AR17" s="10"/>
    </row>
    <row r="18" spans="2:44" ht="14.9" customHeight="1" x14ac:dyDescent="0.25">
      <c r="B18" s="100"/>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101"/>
      <c r="AR18" s="10"/>
    </row>
    <row r="19" spans="2:44" ht="14.9" customHeight="1" x14ac:dyDescent="0.25">
      <c r="B19" s="100"/>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101"/>
      <c r="AR19" s="10"/>
    </row>
    <row r="20" spans="2:44" ht="14.9" customHeight="1" x14ac:dyDescent="0.25">
      <c r="B20" s="100"/>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101"/>
      <c r="AR20" s="10"/>
    </row>
    <row r="21" spans="2:44" ht="14.9" customHeight="1" x14ac:dyDescent="0.25">
      <c r="B21" s="100"/>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101"/>
      <c r="AR21" s="10"/>
    </row>
    <row r="22" spans="2:44" ht="14.9" customHeight="1" x14ac:dyDescent="0.25">
      <c r="B22" s="10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101"/>
      <c r="AR22" s="10"/>
    </row>
    <row r="23" spans="2:44" ht="14.9" customHeight="1" x14ac:dyDescent="0.25">
      <c r="B23" s="10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101"/>
      <c r="AR23" s="10"/>
    </row>
    <row r="24" spans="2:44" ht="14.9" customHeight="1" x14ac:dyDescent="0.25">
      <c r="B24" s="10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101"/>
      <c r="AR24" s="10"/>
    </row>
    <row r="25" spans="2:44" ht="14.9" customHeight="1" x14ac:dyDescent="0.25">
      <c r="B25" s="10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101"/>
      <c r="AR25" s="10"/>
    </row>
    <row r="26" spans="2:44" ht="14.9" customHeight="1" x14ac:dyDescent="0.25">
      <c r="B26" s="10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101"/>
      <c r="AR26" s="10"/>
    </row>
    <row r="27" spans="2:44" ht="14.9" customHeight="1" x14ac:dyDescent="0.25">
      <c r="B27" s="10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101"/>
      <c r="AR27" s="10"/>
    </row>
    <row r="28" spans="2:44" ht="14.9" customHeight="1" x14ac:dyDescent="0.25">
      <c r="B28" s="10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101"/>
      <c r="AR28" s="10"/>
    </row>
    <row r="29" spans="2:44" ht="14.9" customHeight="1" x14ac:dyDescent="0.25">
      <c r="B29" s="10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101"/>
      <c r="AR29" s="10"/>
    </row>
    <row r="30" spans="2:44" ht="14.9" customHeight="1" x14ac:dyDescent="0.25">
      <c r="B30" s="10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101"/>
      <c r="AR30" s="10"/>
    </row>
    <row r="31" spans="2:44" ht="14.9" customHeight="1" x14ac:dyDescent="0.25">
      <c r="B31" s="10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101"/>
      <c r="AR31" s="10"/>
    </row>
    <row r="32" spans="2:44" ht="14.9" customHeight="1" x14ac:dyDescent="0.25">
      <c r="B32" s="10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101"/>
      <c r="AR32" s="10"/>
    </row>
    <row r="33" spans="2: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2: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2: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2: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2: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2: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2: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2: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2: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row>
    <row r="42" spans="2: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row>
    <row r="43" spans="2: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row>
    <row r="44" spans="2:44"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row>
    <row r="45" spans="2: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row>
    <row r="46" spans="2: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2: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2: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50" ht="14.9"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10"/>
    </row>
    <row r="50" spans="2:50" s="10" customFormat="1" ht="14.9" customHeight="1" x14ac:dyDescent="0.25">
      <c r="B50" s="110"/>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2"/>
      <c r="AS50" s="7"/>
      <c r="AT50" s="7"/>
      <c r="AU50" s="7"/>
      <c r="AV50" s="7"/>
      <c r="AW50" s="7"/>
      <c r="AX50" s="7"/>
    </row>
    <row r="51" spans="2:50" s="10" customFormat="1" ht="36"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R51" s="7"/>
      <c r="AS51" s="7"/>
      <c r="AT51" s="7"/>
      <c r="AU51" s="7"/>
      <c r="AV51" s="7"/>
      <c r="AW51" s="7"/>
    </row>
    <row r="52" spans="2:50" s="10" customFormat="1" x14ac:dyDescent="0.25">
      <c r="AR52" s="7"/>
      <c r="AS52" s="7"/>
      <c r="AT52" s="7"/>
      <c r="AU52" s="7"/>
      <c r="AV52" s="7"/>
      <c r="AW52" s="7"/>
    </row>
    <row r="53" spans="2:50" s="10" customFormat="1" x14ac:dyDescent="0.25">
      <c r="AR53" s="7"/>
      <c r="AS53" s="7"/>
      <c r="AT53" s="7"/>
      <c r="AU53" s="7"/>
      <c r="AV53" s="7"/>
      <c r="AW53" s="7"/>
    </row>
    <row r="54" spans="2:50" s="10" customFormat="1" x14ac:dyDescent="0.25">
      <c r="AR54" s="7"/>
      <c r="AS54" s="7"/>
      <c r="AT54" s="7"/>
      <c r="AU54" s="7"/>
      <c r="AV54" s="7"/>
      <c r="AW54" s="7"/>
    </row>
    <row r="55" spans="2:50" s="10" customFormat="1" x14ac:dyDescent="0.25">
      <c r="AR55" s="7"/>
      <c r="AS55" s="7"/>
      <c r="AT55" s="7"/>
      <c r="AU55" s="7"/>
      <c r="AV55" s="7"/>
      <c r="AW55" s="7"/>
    </row>
    <row r="56" spans="2:50" s="10" customFormat="1" x14ac:dyDescent="0.25">
      <c r="AR56" s="7"/>
      <c r="AS56" s="7"/>
      <c r="AT56" s="7"/>
      <c r="AU56" s="7"/>
      <c r="AV56" s="7"/>
      <c r="AW56" s="7"/>
    </row>
    <row r="57" spans="2:50" s="10" customFormat="1" x14ac:dyDescent="0.25">
      <c r="AR57" s="7"/>
      <c r="AS57" s="7"/>
      <c r="AT57" s="7"/>
      <c r="AU57" s="7"/>
      <c r="AV57" s="7"/>
      <c r="AW57" s="7"/>
    </row>
    <row r="58" spans="2:50" s="10" customFormat="1" x14ac:dyDescent="0.25">
      <c r="AR58" s="7"/>
      <c r="AS58" s="7"/>
      <c r="AT58" s="7"/>
      <c r="AU58" s="7"/>
      <c r="AV58" s="7"/>
      <c r="AW58" s="7"/>
    </row>
    <row r="59" spans="2:50" s="10" customFormat="1" x14ac:dyDescent="0.25">
      <c r="AR59" s="7"/>
      <c r="AS59" s="7"/>
      <c r="AT59" s="7"/>
      <c r="AU59" s="7"/>
      <c r="AV59" s="7"/>
      <c r="AW59" s="7"/>
    </row>
    <row r="60" spans="2:50" s="10" customFormat="1" x14ac:dyDescent="0.25">
      <c r="AR60" s="7"/>
      <c r="AS60" s="7"/>
      <c r="AT60" s="7"/>
      <c r="AU60" s="7"/>
      <c r="AV60" s="7"/>
      <c r="AW60" s="7"/>
    </row>
    <row r="61" spans="2:50" s="10" customFormat="1" x14ac:dyDescent="0.25">
      <c r="AR61" s="7"/>
      <c r="AS61" s="7"/>
      <c r="AT61" s="7"/>
      <c r="AU61" s="7"/>
      <c r="AV61" s="7"/>
      <c r="AW61" s="7"/>
    </row>
    <row r="62" spans="2:50" s="10" customFormat="1" x14ac:dyDescent="0.25">
      <c r="AR62" s="7"/>
      <c r="AS62" s="7"/>
      <c r="AT62" s="7"/>
      <c r="AU62" s="7"/>
      <c r="AV62" s="7"/>
      <c r="AW62" s="7"/>
    </row>
    <row r="63" spans="2:50" s="10" customFormat="1" x14ac:dyDescent="0.25">
      <c r="AR63" s="7"/>
      <c r="AS63" s="7"/>
      <c r="AT63" s="7"/>
      <c r="AU63" s="7"/>
      <c r="AV63" s="7"/>
      <c r="AW63" s="7"/>
    </row>
    <row r="64" spans="2:50"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sheetData>
  <mergeCells count="48">
    <mergeCell ref="B3:G3"/>
    <mergeCell ref="I3:Z3"/>
    <mergeCell ref="AA3:AD3"/>
    <mergeCell ref="AE3:AN3"/>
    <mergeCell ref="B1:AN1"/>
    <mergeCell ref="B2:G2"/>
    <mergeCell ref="I2:Z2"/>
    <mergeCell ref="AA2:AD2"/>
    <mergeCell ref="AE2:AN2"/>
    <mergeCell ref="B4:G4"/>
    <mergeCell ref="I4:Z4"/>
    <mergeCell ref="AA4:AD4"/>
    <mergeCell ref="AE4:AN4"/>
    <mergeCell ref="B5:H5"/>
    <mergeCell ref="I5:AN5"/>
    <mergeCell ref="AK7:AN7"/>
    <mergeCell ref="B6:I6"/>
    <mergeCell ref="J6:AF6"/>
    <mergeCell ref="AG6:AK6"/>
    <mergeCell ref="AL6:AN6"/>
    <mergeCell ref="B7:C7"/>
    <mergeCell ref="D7:F7"/>
    <mergeCell ref="G7:J7"/>
    <mergeCell ref="K7:N7"/>
    <mergeCell ref="O7:P7"/>
    <mergeCell ref="Q7:S7"/>
    <mergeCell ref="T7:W7"/>
    <mergeCell ref="X7:AA7"/>
    <mergeCell ref="AB7:AC7"/>
    <mergeCell ref="AD7:AF7"/>
    <mergeCell ref="AG7:AJ7"/>
    <mergeCell ref="AK8:AN8"/>
    <mergeCell ref="B8:C8"/>
    <mergeCell ref="D8:F8"/>
    <mergeCell ref="G8:J8"/>
    <mergeCell ref="K8:N8"/>
    <mergeCell ref="O8:P8"/>
    <mergeCell ref="Q8:S8"/>
    <mergeCell ref="T8:W8"/>
    <mergeCell ref="X8:AA8"/>
    <mergeCell ref="AB8:AC8"/>
    <mergeCell ref="AD8:AF8"/>
    <mergeCell ref="AG8:AJ8"/>
    <mergeCell ref="B12:AN12"/>
    <mergeCell ref="B13:AN13"/>
    <mergeCell ref="S14:T14"/>
    <mergeCell ref="U14:W14"/>
    <mergeCell ref="B51:AN51"/>
  </mergeCells>
  <pageMargins left="0.78740157480314998" right="0.196850393700787" top="0.39370078740157499" bottom="0.62" header="0.196850393700787" footer="0.196850393700787"/>
  <pageSetup paperSize="9" scale="93" orientation="portrait" r:id="rId1"/>
  <headerFooter>
    <oddFooter>&amp;L&amp;"Calibri,Regular"&amp;11Copyright 2019, Worley
&amp;F&amp;R&amp;"Calibri,Regular"&amp;11Rev. 0, 01 December 2019</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70C0"/>
    <pageSetUpPr fitToPage="1"/>
  </sheetPr>
  <dimension ref="A1:CL97"/>
  <sheetViews>
    <sheetView zoomScaleNormal="100" zoomScaleSheetLayoutView="85" workbookViewId="0"/>
  </sheetViews>
  <sheetFormatPr defaultColWidth="9.1796875" defaultRowHeight="12.5" x14ac:dyDescent="0.25"/>
  <cols>
    <col min="1" max="1" width="0.7265625" style="7" customWidth="1"/>
    <col min="2" max="15" width="2.54296875" style="7" customWidth="1"/>
    <col min="16" max="18" width="2.81640625" style="7" customWidth="1"/>
    <col min="19" max="19" width="3.1796875" style="7" customWidth="1"/>
    <col min="20" max="39" width="2.54296875" style="7" customWidth="1"/>
    <col min="40" max="40" width="2.54296875" style="10" customWidth="1"/>
    <col min="41" max="41" width="21.26953125" style="10" hidden="1" customWidth="1"/>
    <col min="42" max="43" width="0" style="10" hidden="1" customWidth="1"/>
    <col min="44" max="89" width="0" style="7" hidden="1" customWidth="1"/>
    <col min="90" max="16384" width="9.1796875" style="7"/>
  </cols>
  <sheetData>
    <row r="1" spans="1:90"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90"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90"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90"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90"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90"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1</v>
      </c>
      <c r="AH6" s="282"/>
      <c r="AI6" s="282"/>
      <c r="AJ6" s="274" t="s">
        <v>14</v>
      </c>
      <c r="AK6" s="274"/>
      <c r="AL6" s="256">
        <f>AppB!S14</f>
        <v>1</v>
      </c>
      <c r="AM6" s="256"/>
      <c r="AN6" s="257"/>
      <c r="AO6" s="17"/>
      <c r="AP6" s="17"/>
      <c r="AQ6" s="17"/>
    </row>
    <row r="7" spans="1:90"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90"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row>
    <row r="9" spans="1:90" ht="14.9" customHeight="1" x14ac:dyDescent="0.25">
      <c r="B9" s="394" t="s">
        <v>262</v>
      </c>
      <c r="C9" s="287"/>
      <c r="D9" s="287"/>
      <c r="E9" s="287"/>
      <c r="F9" s="287"/>
      <c r="G9" s="287"/>
      <c r="H9" s="287"/>
      <c r="I9" s="287"/>
      <c r="J9" s="287"/>
      <c r="K9" s="287"/>
      <c r="L9" s="287"/>
      <c r="M9" s="287"/>
      <c r="N9" s="287"/>
      <c r="O9" s="287"/>
      <c r="P9" s="287"/>
      <c r="Q9" s="287"/>
      <c r="R9" s="287"/>
      <c r="S9" s="287"/>
      <c r="T9" s="287"/>
      <c r="U9" s="287"/>
      <c r="V9" s="287"/>
      <c r="W9" s="287"/>
      <c r="X9" s="287"/>
      <c r="Y9" s="287"/>
      <c r="Z9" s="287"/>
      <c r="AA9" s="287"/>
      <c r="AB9" s="287"/>
      <c r="AC9" s="287"/>
      <c r="AD9" s="287"/>
      <c r="AE9" s="287"/>
      <c r="AF9" s="287"/>
      <c r="AG9" s="287"/>
      <c r="AH9" s="287"/>
      <c r="AI9" s="287"/>
      <c r="AJ9" s="287"/>
      <c r="AK9" s="287"/>
      <c r="AL9" s="287"/>
      <c r="AM9" s="287"/>
      <c r="AN9" s="395"/>
      <c r="AO9" s="9"/>
      <c r="AP9" s="9"/>
      <c r="AQ9" s="9"/>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row>
    <row r="10" spans="1:90" ht="14.9" customHeight="1" thickBot="1" x14ac:dyDescent="0.3">
      <c r="B10" s="100"/>
      <c r="C10" s="432"/>
      <c r="D10" s="432"/>
      <c r="E10" s="432"/>
      <c r="F10" s="432"/>
      <c r="G10" s="432"/>
      <c r="H10" s="432"/>
      <c r="I10" s="432"/>
      <c r="J10" s="432"/>
      <c r="K10" s="432"/>
      <c r="L10" s="432"/>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72"/>
      <c r="AM10" s="72"/>
      <c r="AN10" s="101"/>
      <c r="AO10" s="9"/>
      <c r="AP10" s="9"/>
      <c r="AQ10" s="9"/>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row>
    <row r="11" spans="1:90" ht="14.9" customHeight="1" thickBot="1" x14ac:dyDescent="0.3">
      <c r="B11" s="100"/>
      <c r="C11" s="429"/>
      <c r="D11" s="430"/>
      <c r="E11" s="430"/>
      <c r="F11" s="430"/>
      <c r="G11" s="430"/>
      <c r="H11" s="430"/>
      <c r="I11" s="430"/>
      <c r="J11" s="430"/>
      <c r="K11" s="430"/>
      <c r="L11" s="430"/>
      <c r="M11" s="430"/>
      <c r="N11" s="430"/>
      <c r="O11" s="430"/>
      <c r="P11" s="430"/>
      <c r="Q11" s="430"/>
      <c r="R11" s="430"/>
      <c r="S11" s="431"/>
      <c r="T11" s="418" t="s">
        <v>263</v>
      </c>
      <c r="U11" s="419"/>
      <c r="V11" s="419"/>
      <c r="W11" s="419"/>
      <c r="X11" s="419"/>
      <c r="Y11" s="420"/>
      <c r="Z11" s="418" t="s">
        <v>264</v>
      </c>
      <c r="AA11" s="419"/>
      <c r="AB11" s="419"/>
      <c r="AC11" s="419"/>
      <c r="AD11" s="419"/>
      <c r="AE11" s="420"/>
      <c r="AF11" s="418" t="s">
        <v>265</v>
      </c>
      <c r="AG11" s="419"/>
      <c r="AH11" s="419"/>
      <c r="AI11" s="419"/>
      <c r="AJ11" s="419"/>
      <c r="AK11" s="420"/>
      <c r="AL11" s="72"/>
      <c r="AM11" s="72"/>
      <c r="AN11" s="101"/>
      <c r="AO11" s="9"/>
      <c r="AP11" s="9"/>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row>
    <row r="12" spans="1:90" ht="14.9" customHeight="1" thickBot="1" x14ac:dyDescent="0.3">
      <c r="B12" s="118"/>
      <c r="C12" s="415" t="s">
        <v>266</v>
      </c>
      <c r="D12" s="416"/>
      <c r="E12" s="416"/>
      <c r="F12" s="416"/>
      <c r="G12" s="416"/>
      <c r="H12" s="416"/>
      <c r="I12" s="416"/>
      <c r="J12" s="416"/>
      <c r="K12" s="416"/>
      <c r="L12" s="416"/>
      <c r="M12" s="416"/>
      <c r="N12" s="416"/>
      <c r="O12" s="416"/>
      <c r="P12" s="416"/>
      <c r="Q12" s="416"/>
      <c r="R12" s="416"/>
      <c r="S12" s="416"/>
      <c r="T12" s="416"/>
      <c r="U12" s="416"/>
      <c r="V12" s="416"/>
      <c r="W12" s="416"/>
      <c r="X12" s="416"/>
      <c r="Y12" s="416"/>
      <c r="Z12" s="416"/>
      <c r="AA12" s="416"/>
      <c r="AB12" s="416"/>
      <c r="AC12" s="416"/>
      <c r="AD12" s="416"/>
      <c r="AE12" s="416"/>
      <c r="AF12" s="416"/>
      <c r="AG12" s="416"/>
      <c r="AH12" s="416"/>
      <c r="AI12" s="416"/>
      <c r="AJ12" s="416"/>
      <c r="AK12" s="417"/>
      <c r="AL12" s="72"/>
      <c r="AM12" s="72"/>
      <c r="AN12" s="101"/>
      <c r="AO12" s="9"/>
      <c r="AP12" s="9"/>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row>
    <row r="13" spans="1:90" ht="14.9" customHeight="1" x14ac:dyDescent="0.25">
      <c r="B13" s="100"/>
      <c r="C13" s="349" t="s">
        <v>212</v>
      </c>
      <c r="D13" s="350"/>
      <c r="E13" s="350"/>
      <c r="F13" s="350"/>
      <c r="G13" s="350"/>
      <c r="H13" s="350"/>
      <c r="I13" s="350"/>
      <c r="J13" s="350"/>
      <c r="K13" s="350"/>
      <c r="L13" s="350"/>
      <c r="M13" s="350"/>
      <c r="N13" s="350"/>
      <c r="O13" s="350"/>
      <c r="P13" s="350"/>
      <c r="Q13" s="350"/>
      <c r="R13" s="350"/>
      <c r="S13" s="351"/>
      <c r="T13" s="428" t="s">
        <v>213</v>
      </c>
      <c r="U13" s="366"/>
      <c r="V13" s="366"/>
      <c r="W13" s="366"/>
      <c r="X13" s="366"/>
      <c r="Y13" s="366"/>
      <c r="Z13" s="441" t="s">
        <v>213</v>
      </c>
      <c r="AA13" s="366"/>
      <c r="AB13" s="366"/>
      <c r="AC13" s="366"/>
      <c r="AD13" s="366"/>
      <c r="AE13" s="366"/>
      <c r="AF13" s="441" t="s">
        <v>213</v>
      </c>
      <c r="AG13" s="366"/>
      <c r="AH13" s="366"/>
      <c r="AI13" s="366"/>
      <c r="AJ13" s="366"/>
      <c r="AK13" s="367"/>
      <c r="AL13" s="72"/>
      <c r="AM13" s="72"/>
      <c r="AN13" s="101"/>
      <c r="AO13" s="9"/>
      <c r="AP13" s="9"/>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row>
    <row r="14" spans="1:90" ht="14.9" customHeight="1" x14ac:dyDescent="0.25">
      <c r="B14" s="100"/>
      <c r="C14" s="338" t="s">
        <v>267</v>
      </c>
      <c r="D14" s="339"/>
      <c r="E14" s="339"/>
      <c r="F14" s="339"/>
      <c r="G14" s="339"/>
      <c r="H14" s="339"/>
      <c r="I14" s="339"/>
      <c r="J14" s="339"/>
      <c r="K14" s="339"/>
      <c r="L14" s="339"/>
      <c r="M14" s="339"/>
      <c r="N14" s="339"/>
      <c r="O14" s="339"/>
      <c r="P14" s="339"/>
      <c r="Q14" s="339"/>
      <c r="R14" s="339"/>
      <c r="S14" s="352"/>
      <c r="T14" s="421">
        <v>1064.4000000000001</v>
      </c>
      <c r="U14" s="422"/>
      <c r="V14" s="422"/>
      <c r="W14" s="422"/>
      <c r="X14" s="422"/>
      <c r="Y14" s="422"/>
      <c r="Z14" s="422">
        <v>1064.4000000000001</v>
      </c>
      <c r="AA14" s="422"/>
      <c r="AB14" s="422"/>
      <c r="AC14" s="422"/>
      <c r="AD14" s="422"/>
      <c r="AE14" s="422"/>
      <c r="AF14" s="422">
        <v>1064.4000000000001</v>
      </c>
      <c r="AG14" s="422"/>
      <c r="AH14" s="422"/>
      <c r="AI14" s="422"/>
      <c r="AJ14" s="422"/>
      <c r="AK14" s="423"/>
      <c r="AL14" s="72"/>
      <c r="AM14" s="72"/>
      <c r="AN14" s="101"/>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row>
    <row r="15" spans="1:90" ht="14.9" customHeight="1" x14ac:dyDescent="0.25">
      <c r="B15" s="100"/>
      <c r="C15" s="338" t="s">
        <v>268</v>
      </c>
      <c r="D15" s="339"/>
      <c r="E15" s="339"/>
      <c r="F15" s="339"/>
      <c r="G15" s="339"/>
      <c r="H15" s="339"/>
      <c r="I15" s="339"/>
      <c r="J15" s="339"/>
      <c r="K15" s="339"/>
      <c r="L15" s="339"/>
      <c r="M15" s="339"/>
      <c r="N15" s="339"/>
      <c r="O15" s="339"/>
      <c r="P15" s="339"/>
      <c r="Q15" s="339"/>
      <c r="R15" s="339"/>
      <c r="S15" s="352"/>
      <c r="T15" s="424">
        <v>102.63</v>
      </c>
      <c r="U15" s="360"/>
      <c r="V15" s="360"/>
      <c r="W15" s="360"/>
      <c r="X15" s="360"/>
      <c r="Y15" s="360"/>
      <c r="Z15" s="360">
        <v>102.63</v>
      </c>
      <c r="AA15" s="360"/>
      <c r="AB15" s="360"/>
      <c r="AC15" s="360"/>
      <c r="AD15" s="360"/>
      <c r="AE15" s="360"/>
      <c r="AF15" s="360">
        <v>102.63</v>
      </c>
      <c r="AG15" s="360"/>
      <c r="AH15" s="360"/>
      <c r="AI15" s="360"/>
      <c r="AJ15" s="360"/>
      <c r="AK15" s="361"/>
      <c r="AL15" s="72"/>
      <c r="AM15" s="72"/>
      <c r="AN15" s="101"/>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row>
    <row r="16" spans="1:90" ht="14.9" customHeight="1" x14ac:dyDescent="0.25">
      <c r="B16" s="100"/>
      <c r="C16" s="338" t="s">
        <v>218</v>
      </c>
      <c r="D16" s="339"/>
      <c r="E16" s="339"/>
      <c r="F16" s="339"/>
      <c r="G16" s="339"/>
      <c r="H16" s="339"/>
      <c r="I16" s="339"/>
      <c r="J16" s="339"/>
      <c r="K16" s="339"/>
      <c r="L16" s="339"/>
      <c r="M16" s="339"/>
      <c r="N16" s="339"/>
      <c r="O16" s="339"/>
      <c r="P16" s="339"/>
      <c r="Q16" s="339"/>
      <c r="R16" s="339"/>
      <c r="S16" s="352"/>
      <c r="T16" s="436">
        <v>200</v>
      </c>
      <c r="U16" s="372"/>
      <c r="V16" s="372"/>
      <c r="W16" s="372"/>
      <c r="X16" s="372"/>
      <c r="Y16" s="372"/>
      <c r="Z16" s="372">
        <v>200</v>
      </c>
      <c r="AA16" s="372"/>
      <c r="AB16" s="372"/>
      <c r="AC16" s="372"/>
      <c r="AD16" s="372"/>
      <c r="AE16" s="372"/>
      <c r="AF16" s="372">
        <v>200</v>
      </c>
      <c r="AG16" s="372"/>
      <c r="AH16" s="372"/>
      <c r="AI16" s="372"/>
      <c r="AJ16" s="372"/>
      <c r="AK16" s="373"/>
      <c r="AL16" s="72"/>
      <c r="AM16" s="72"/>
      <c r="AN16" s="101"/>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row>
    <row r="17" spans="1:90" ht="14.9" customHeight="1" x14ac:dyDescent="0.25">
      <c r="B17" s="100"/>
      <c r="C17" s="338" t="s">
        <v>219</v>
      </c>
      <c r="D17" s="339"/>
      <c r="E17" s="339"/>
      <c r="F17" s="339"/>
      <c r="G17" s="339"/>
      <c r="H17" s="339"/>
      <c r="I17" s="339"/>
      <c r="J17" s="339"/>
      <c r="K17" s="339"/>
      <c r="L17" s="339"/>
      <c r="M17" s="339"/>
      <c r="N17" s="339"/>
      <c r="O17" s="339"/>
      <c r="P17" s="339"/>
      <c r="Q17" s="339"/>
      <c r="R17" s="339"/>
      <c r="S17" s="352"/>
      <c r="T17" s="436" t="s">
        <v>229</v>
      </c>
      <c r="U17" s="372"/>
      <c r="V17" s="372"/>
      <c r="W17" s="372"/>
      <c r="X17" s="372"/>
      <c r="Y17" s="372"/>
      <c r="Z17" s="372" t="s">
        <v>234</v>
      </c>
      <c r="AA17" s="372"/>
      <c r="AB17" s="372"/>
      <c r="AC17" s="372"/>
      <c r="AD17" s="372"/>
      <c r="AE17" s="372"/>
      <c r="AF17" s="372" t="s">
        <v>234</v>
      </c>
      <c r="AG17" s="372"/>
      <c r="AH17" s="372"/>
      <c r="AI17" s="372"/>
      <c r="AJ17" s="372"/>
      <c r="AK17" s="373"/>
      <c r="AL17" s="72"/>
      <c r="AM17" s="72"/>
      <c r="AN17" s="101"/>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row>
    <row r="18" spans="1:90" ht="14.9" customHeight="1" x14ac:dyDescent="0.25">
      <c r="B18" s="100"/>
      <c r="C18" s="338" t="s">
        <v>269</v>
      </c>
      <c r="D18" s="339"/>
      <c r="E18" s="339"/>
      <c r="F18" s="339"/>
      <c r="G18" s="339"/>
      <c r="H18" s="339"/>
      <c r="I18" s="339"/>
      <c r="J18" s="339"/>
      <c r="K18" s="339"/>
      <c r="L18" s="339"/>
      <c r="M18" s="339"/>
      <c r="N18" s="339"/>
      <c r="O18" s="339"/>
      <c r="P18" s="339"/>
      <c r="Q18" s="339"/>
      <c r="R18" s="339"/>
      <c r="S18" s="352"/>
      <c r="T18" s="426">
        <f>IF(T17="Manual Input","-",INDEX($AT$24:$AU$57,MATCH(T16,$AT$24:$AT$57,0),2))</f>
        <v>219.1</v>
      </c>
      <c r="U18" s="375"/>
      <c r="V18" s="375"/>
      <c r="W18" s="375"/>
      <c r="X18" s="375"/>
      <c r="Y18" s="375"/>
      <c r="Z18" s="426">
        <f>IF(Z17="Manual Input","-",INDEX($AT$24:$AU$57,MATCH(Z16,$AT$24:$AT$57,0),2))</f>
        <v>219.1</v>
      </c>
      <c r="AA18" s="375"/>
      <c r="AB18" s="375"/>
      <c r="AC18" s="375"/>
      <c r="AD18" s="375"/>
      <c r="AE18" s="375"/>
      <c r="AF18" s="426">
        <f>IF(AF17="Manual Input","-",INDEX($AT$24:$AU$57,MATCH(AF16,$AT$24:$AT$57,0),2))</f>
        <v>219.1</v>
      </c>
      <c r="AG18" s="375"/>
      <c r="AH18" s="375"/>
      <c r="AI18" s="375"/>
      <c r="AJ18" s="375"/>
      <c r="AK18" s="376"/>
      <c r="AL18" s="72"/>
      <c r="AM18" s="72"/>
      <c r="AN18" s="101"/>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row>
    <row r="19" spans="1:90" ht="14.9" customHeight="1" x14ac:dyDescent="0.25">
      <c r="B19" s="100"/>
      <c r="C19" s="338" t="s">
        <v>224</v>
      </c>
      <c r="D19" s="339"/>
      <c r="E19" s="339"/>
      <c r="F19" s="339"/>
      <c r="G19" s="339"/>
      <c r="H19" s="339"/>
      <c r="I19" s="339"/>
      <c r="J19" s="339"/>
      <c r="K19" s="339"/>
      <c r="L19" s="339"/>
      <c r="M19" s="339"/>
      <c r="N19" s="339"/>
      <c r="O19" s="339"/>
      <c r="P19" s="339"/>
      <c r="Q19" s="339"/>
      <c r="R19" s="339"/>
      <c r="S19" s="352"/>
      <c r="T19" s="427">
        <f>IF(T17="Manual Input","-",((INDEX($AV$24:$CK$57, MATCH(T16, $AT$24:$AT$57,0), MATCH(T17,$AV$21:$CK$21, 0)+1))*25.4))</f>
        <v>6.35</v>
      </c>
      <c r="U19" s="357"/>
      <c r="V19" s="357"/>
      <c r="W19" s="357"/>
      <c r="X19" s="357"/>
      <c r="Y19" s="357"/>
      <c r="Z19" s="427">
        <f>IF(Z17="Manual Input","-",((INDEX($AV$24:$CK$57, MATCH(Z16, $AT$24:$AT$57,0), MATCH(Z17,$AV$21:$CK$21, 0)+1))*25.4))</f>
        <v>20.6248</v>
      </c>
      <c r="AA19" s="357"/>
      <c r="AB19" s="357"/>
      <c r="AC19" s="357"/>
      <c r="AD19" s="357"/>
      <c r="AE19" s="357"/>
      <c r="AF19" s="427">
        <f>IF(AF17="Manual Input","-",((INDEX($AV$24:$CK$57, MATCH(AF16, $AT$24:$AT$57,0), MATCH(AF17,$AV$21:$CK$21, 0)+1))*25.4))</f>
        <v>20.6248</v>
      </c>
      <c r="AG19" s="357"/>
      <c r="AH19" s="357"/>
      <c r="AI19" s="357"/>
      <c r="AJ19" s="357"/>
      <c r="AK19" s="358"/>
      <c r="AL19" s="72"/>
      <c r="AM19" s="72"/>
      <c r="AN19" s="101"/>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row>
    <row r="20" spans="1:90" ht="14.9" customHeight="1" x14ac:dyDescent="0.25">
      <c r="B20" s="100"/>
      <c r="C20" s="389" t="s">
        <v>239</v>
      </c>
      <c r="D20" s="390"/>
      <c r="E20" s="390"/>
      <c r="F20" s="390"/>
      <c r="G20" s="390"/>
      <c r="H20" s="390"/>
      <c r="I20" s="390"/>
      <c r="J20" s="390"/>
      <c r="K20" s="390"/>
      <c r="L20" s="390"/>
      <c r="M20" s="390"/>
      <c r="N20" s="390"/>
      <c r="O20" s="390"/>
      <c r="P20" s="390"/>
      <c r="Q20" s="390"/>
      <c r="R20" s="390"/>
      <c r="S20" s="466"/>
      <c r="T20" s="391"/>
      <c r="U20" s="392"/>
      <c r="V20" s="392"/>
      <c r="W20" s="392"/>
      <c r="X20" s="392"/>
      <c r="Y20" s="467"/>
      <c r="Z20" s="392"/>
      <c r="AA20" s="392"/>
      <c r="AB20" s="392"/>
      <c r="AC20" s="392"/>
      <c r="AD20" s="392"/>
      <c r="AE20" s="392"/>
      <c r="AF20" s="469"/>
      <c r="AG20" s="392"/>
      <c r="AH20" s="392"/>
      <c r="AI20" s="392"/>
      <c r="AJ20" s="392"/>
      <c r="AK20" s="393"/>
      <c r="AL20" s="72"/>
      <c r="AM20" s="72"/>
      <c r="AN20" s="101"/>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row>
    <row r="21" spans="1:90" ht="14.9" customHeight="1" x14ac:dyDescent="0.25">
      <c r="A21" s="70"/>
      <c r="B21" s="100"/>
      <c r="C21" s="389" t="s">
        <v>240</v>
      </c>
      <c r="D21" s="390"/>
      <c r="E21" s="390"/>
      <c r="F21" s="390"/>
      <c r="G21" s="390"/>
      <c r="H21" s="390"/>
      <c r="I21" s="390"/>
      <c r="J21" s="390"/>
      <c r="K21" s="390"/>
      <c r="L21" s="390"/>
      <c r="M21" s="390"/>
      <c r="N21" s="390"/>
      <c r="O21" s="390"/>
      <c r="P21" s="390"/>
      <c r="Q21" s="390"/>
      <c r="R21" s="390"/>
      <c r="S21" s="466"/>
      <c r="T21" s="383"/>
      <c r="U21" s="384"/>
      <c r="V21" s="384"/>
      <c r="W21" s="384"/>
      <c r="X21" s="384"/>
      <c r="Y21" s="468"/>
      <c r="Z21" s="384"/>
      <c r="AA21" s="384"/>
      <c r="AB21" s="384"/>
      <c r="AC21" s="384"/>
      <c r="AD21" s="384"/>
      <c r="AE21" s="384"/>
      <c r="AF21" s="470"/>
      <c r="AG21" s="384"/>
      <c r="AH21" s="384"/>
      <c r="AI21" s="384"/>
      <c r="AJ21" s="384"/>
      <c r="AK21" s="385"/>
      <c r="AL21" s="72"/>
      <c r="AM21" s="72"/>
      <c r="AN21" s="101"/>
      <c r="AR21" s="17"/>
      <c r="AS21" s="17"/>
      <c r="AT21" s="37" t="s">
        <v>226</v>
      </c>
      <c r="AU21" s="37"/>
      <c r="AV21" s="47" t="s">
        <v>227</v>
      </c>
      <c r="AW21" s="37"/>
      <c r="AX21" s="37"/>
      <c r="AY21" s="47" t="s">
        <v>228</v>
      </c>
      <c r="AZ21" s="37"/>
      <c r="BA21" s="37"/>
      <c r="BB21" s="51" t="s">
        <v>229</v>
      </c>
      <c r="BC21" s="37"/>
      <c r="BD21" s="37"/>
      <c r="BE21" s="51" t="s">
        <v>230</v>
      </c>
      <c r="BF21" s="37"/>
      <c r="BG21" s="37"/>
      <c r="BH21" s="47" t="s">
        <v>221</v>
      </c>
      <c r="BI21" s="37"/>
      <c r="BJ21" s="37"/>
      <c r="BK21" s="67" t="s">
        <v>231</v>
      </c>
      <c r="BL21" s="37"/>
      <c r="BM21" s="37"/>
      <c r="BN21" s="47" t="s">
        <v>222</v>
      </c>
      <c r="BO21" s="37"/>
      <c r="BP21" s="37"/>
      <c r="BQ21" s="51" t="s">
        <v>232</v>
      </c>
      <c r="BR21" s="37"/>
      <c r="BS21" s="37"/>
      <c r="BT21" s="51" t="s">
        <v>233</v>
      </c>
      <c r="BU21" s="37"/>
      <c r="BV21" s="37"/>
      <c r="BW21" s="51" t="s">
        <v>234</v>
      </c>
      <c r="BX21" s="37"/>
      <c r="BY21" s="37"/>
      <c r="BZ21" s="51" t="s">
        <v>235</v>
      </c>
      <c r="CA21" s="37"/>
      <c r="CB21" s="37"/>
      <c r="CC21" s="47" t="s">
        <v>236</v>
      </c>
      <c r="CD21" s="37"/>
      <c r="CE21" s="37"/>
      <c r="CF21" s="47" t="s">
        <v>237</v>
      </c>
      <c r="CG21" s="37"/>
      <c r="CH21" s="37"/>
      <c r="CI21" s="47" t="s">
        <v>238</v>
      </c>
      <c r="CJ21" s="37"/>
      <c r="CK21" s="38"/>
      <c r="CL21" s="17"/>
    </row>
    <row r="22" spans="1:90" ht="14.9" customHeight="1" x14ac:dyDescent="0.25">
      <c r="B22" s="100"/>
      <c r="C22" s="338" t="s">
        <v>246</v>
      </c>
      <c r="D22" s="339"/>
      <c r="E22" s="339"/>
      <c r="F22" s="339"/>
      <c r="G22" s="339"/>
      <c r="H22" s="339"/>
      <c r="I22" s="339"/>
      <c r="J22" s="339"/>
      <c r="K22" s="339"/>
      <c r="L22" s="339"/>
      <c r="M22" s="339"/>
      <c r="N22" s="339"/>
      <c r="O22" s="339"/>
      <c r="P22" s="339"/>
      <c r="Q22" s="339"/>
      <c r="R22" s="339"/>
      <c r="S22" s="352"/>
      <c r="T22" s="427">
        <f>IF(T17="Manual Input",(T20-(2*T21)),(T18-(2*T19)))</f>
        <v>206.4</v>
      </c>
      <c r="U22" s="357"/>
      <c r="V22" s="357"/>
      <c r="W22" s="357"/>
      <c r="X22" s="357"/>
      <c r="Y22" s="357"/>
      <c r="Z22" s="427">
        <f t="shared" ref="Z22" si="0">IF(Z17="Manual Input",(Z20-(2*Z21)),(Z18-(2*Z19)))</f>
        <v>177.85039999999998</v>
      </c>
      <c r="AA22" s="357"/>
      <c r="AB22" s="357"/>
      <c r="AC22" s="357"/>
      <c r="AD22" s="357"/>
      <c r="AE22" s="357"/>
      <c r="AF22" s="427">
        <f t="shared" ref="AF22" si="1">IF(AF17="Manual Input",(AF20-(2*AF21)),(AF18-(2*AF19)))</f>
        <v>177.85039999999998</v>
      </c>
      <c r="AG22" s="357"/>
      <c r="AH22" s="357"/>
      <c r="AI22" s="357"/>
      <c r="AJ22" s="357"/>
      <c r="AK22" s="358"/>
      <c r="AL22" s="72"/>
      <c r="AM22" s="72"/>
      <c r="AN22" s="101"/>
      <c r="AR22" s="17"/>
      <c r="AS22" s="17"/>
      <c r="AT22" s="37"/>
      <c r="AU22" s="37"/>
      <c r="AV22" s="47"/>
      <c r="AW22" s="37"/>
      <c r="AX22" s="37"/>
      <c r="AY22" s="47"/>
      <c r="AZ22" s="37"/>
      <c r="BA22" s="37"/>
      <c r="BB22" s="51"/>
      <c r="BC22" s="37"/>
      <c r="BD22" s="37"/>
      <c r="BE22" s="51"/>
      <c r="BF22" s="37"/>
      <c r="BG22" s="37"/>
      <c r="BH22" s="47"/>
      <c r="BI22" s="37"/>
      <c r="BJ22" s="37"/>
      <c r="BK22" s="67"/>
      <c r="BL22" s="37"/>
      <c r="BM22" s="37"/>
      <c r="BN22" s="47"/>
      <c r="BO22" s="37"/>
      <c r="BP22" s="37"/>
      <c r="BQ22" s="51"/>
      <c r="BR22" s="37"/>
      <c r="BS22" s="37"/>
      <c r="BT22" s="51"/>
      <c r="BU22" s="37"/>
      <c r="BV22" s="37"/>
      <c r="BW22" s="51"/>
      <c r="BX22" s="37"/>
      <c r="BY22" s="37"/>
      <c r="BZ22" s="51"/>
      <c r="CA22" s="37"/>
      <c r="CB22" s="37"/>
      <c r="CC22" s="47"/>
      <c r="CD22" s="37"/>
      <c r="CE22" s="37"/>
      <c r="CF22" s="47"/>
      <c r="CG22" s="37"/>
      <c r="CH22" s="37"/>
      <c r="CI22" s="47"/>
      <c r="CJ22" s="37"/>
      <c r="CK22" s="38"/>
      <c r="CL22" s="17"/>
    </row>
    <row r="23" spans="1:90" ht="14.9" customHeight="1" x14ac:dyDescent="0.25">
      <c r="B23" s="100"/>
      <c r="C23" s="338" t="s">
        <v>247</v>
      </c>
      <c r="D23" s="339"/>
      <c r="E23" s="339"/>
      <c r="F23" s="339"/>
      <c r="G23" s="339"/>
      <c r="H23" s="339"/>
      <c r="I23" s="339"/>
      <c r="J23" s="339"/>
      <c r="K23" s="339"/>
      <c r="L23" s="339"/>
      <c r="M23" s="339"/>
      <c r="N23" s="339"/>
      <c r="O23" s="339"/>
      <c r="P23" s="339"/>
      <c r="Q23" s="339"/>
      <c r="R23" s="339"/>
      <c r="S23" s="352"/>
      <c r="T23" s="427">
        <f>(INDEX($AT$22:$BI$67,MATCH(T16,$AT$22:$AT$67,0),16))*25.4</f>
        <v>8.178799999999999</v>
      </c>
      <c r="U23" s="357"/>
      <c r="V23" s="357"/>
      <c r="W23" s="357"/>
      <c r="X23" s="357"/>
      <c r="Y23" s="357"/>
      <c r="Z23" s="357">
        <f>(INDEX($AT$22:$BI$67,MATCH(Z16,$AT$22:$AT$67,0),16))*25.4</f>
        <v>8.178799999999999</v>
      </c>
      <c r="AA23" s="357"/>
      <c r="AB23" s="357"/>
      <c r="AC23" s="357"/>
      <c r="AD23" s="357"/>
      <c r="AE23" s="357"/>
      <c r="AF23" s="357">
        <f>(INDEX($AT$22:$BI$67,MATCH(AF16,$AT$22:$AT$67,0),16))*25.4</f>
        <v>8.178799999999999</v>
      </c>
      <c r="AG23" s="357"/>
      <c r="AH23" s="357"/>
      <c r="AI23" s="357"/>
      <c r="AJ23" s="357"/>
      <c r="AK23" s="358"/>
      <c r="AL23" s="72"/>
      <c r="AM23" s="72"/>
      <c r="AN23" s="101"/>
      <c r="AO23" s="69" t="s">
        <v>270</v>
      </c>
      <c r="AR23" s="17"/>
      <c r="AS23" s="17"/>
      <c r="AT23" s="43" t="s">
        <v>241</v>
      </c>
      <c r="AU23" s="43" t="s">
        <v>242</v>
      </c>
      <c r="AV23" s="44" t="s">
        <v>243</v>
      </c>
      <c r="AW23" s="43" t="s">
        <v>244</v>
      </c>
      <c r="AX23" s="43" t="s">
        <v>245</v>
      </c>
      <c r="AY23" s="44" t="s">
        <v>243</v>
      </c>
      <c r="AZ23" s="43" t="s">
        <v>244</v>
      </c>
      <c r="BA23" s="43" t="s">
        <v>245</v>
      </c>
      <c r="BB23" s="44" t="s">
        <v>243</v>
      </c>
      <c r="BC23" s="43" t="s">
        <v>244</v>
      </c>
      <c r="BD23" s="43" t="s">
        <v>245</v>
      </c>
      <c r="BE23" s="44" t="s">
        <v>243</v>
      </c>
      <c r="BF23" s="43" t="s">
        <v>244</v>
      </c>
      <c r="BG23" s="43" t="s">
        <v>245</v>
      </c>
      <c r="BH23" s="44" t="s">
        <v>243</v>
      </c>
      <c r="BI23" s="43" t="s">
        <v>244</v>
      </c>
      <c r="BJ23" s="43" t="s">
        <v>245</v>
      </c>
      <c r="BK23" s="44" t="s">
        <v>243</v>
      </c>
      <c r="BL23" s="43" t="s">
        <v>244</v>
      </c>
      <c r="BM23" s="43" t="s">
        <v>245</v>
      </c>
      <c r="BN23" s="44" t="s">
        <v>243</v>
      </c>
      <c r="BO23" s="43" t="s">
        <v>244</v>
      </c>
      <c r="BP23" s="43" t="s">
        <v>245</v>
      </c>
      <c r="BQ23" s="44" t="s">
        <v>243</v>
      </c>
      <c r="BR23" s="43" t="s">
        <v>244</v>
      </c>
      <c r="BS23" s="43" t="s">
        <v>245</v>
      </c>
      <c r="BT23" s="44" t="s">
        <v>243</v>
      </c>
      <c r="BU23" s="43" t="s">
        <v>244</v>
      </c>
      <c r="BV23" s="43" t="s">
        <v>245</v>
      </c>
      <c r="BW23" s="44" t="s">
        <v>243</v>
      </c>
      <c r="BX23" s="43" t="s">
        <v>244</v>
      </c>
      <c r="BY23" s="43" t="s">
        <v>245</v>
      </c>
      <c r="BZ23" s="44" t="s">
        <v>243</v>
      </c>
      <c r="CA23" s="43" t="s">
        <v>244</v>
      </c>
      <c r="CB23" s="43" t="s">
        <v>245</v>
      </c>
      <c r="CC23" s="44" t="s">
        <v>243</v>
      </c>
      <c r="CD23" s="43" t="s">
        <v>244</v>
      </c>
      <c r="CE23" s="43" t="s">
        <v>245</v>
      </c>
      <c r="CF23" s="44" t="s">
        <v>243</v>
      </c>
      <c r="CG23" s="43" t="s">
        <v>244</v>
      </c>
      <c r="CH23" s="43" t="s">
        <v>245</v>
      </c>
      <c r="CI23" s="44" t="s">
        <v>243</v>
      </c>
      <c r="CJ23" s="43" t="s">
        <v>244</v>
      </c>
      <c r="CK23" s="45" t="s">
        <v>245</v>
      </c>
      <c r="CL23" s="17"/>
    </row>
    <row r="24" spans="1:90" ht="14.9" customHeight="1" x14ac:dyDescent="0.25">
      <c r="B24" s="100"/>
      <c r="C24" s="338" t="s">
        <v>271</v>
      </c>
      <c r="D24" s="339"/>
      <c r="E24" s="339"/>
      <c r="F24" s="339"/>
      <c r="G24" s="339"/>
      <c r="H24" s="339"/>
      <c r="I24" s="339"/>
      <c r="J24" s="339"/>
      <c r="K24" s="339"/>
      <c r="L24" s="339"/>
      <c r="M24" s="339"/>
      <c r="N24" s="339"/>
      <c r="O24" s="339"/>
      <c r="P24" s="339"/>
      <c r="Q24" s="339"/>
      <c r="R24" s="339"/>
      <c r="S24" s="352"/>
      <c r="T24" s="421">
        <v>8</v>
      </c>
      <c r="U24" s="422"/>
      <c r="V24" s="422"/>
      <c r="W24" s="422"/>
      <c r="X24" s="422"/>
      <c r="Y24" s="422"/>
      <c r="Z24" s="422">
        <v>8</v>
      </c>
      <c r="AA24" s="422"/>
      <c r="AB24" s="422"/>
      <c r="AC24" s="422"/>
      <c r="AD24" s="422"/>
      <c r="AE24" s="422"/>
      <c r="AF24" s="422">
        <v>8</v>
      </c>
      <c r="AG24" s="422"/>
      <c r="AH24" s="422"/>
      <c r="AI24" s="422"/>
      <c r="AJ24" s="422"/>
      <c r="AK24" s="423"/>
      <c r="AL24" s="72"/>
      <c r="AM24" s="72"/>
      <c r="AN24" s="101"/>
      <c r="AO24" s="69" t="s">
        <v>29</v>
      </c>
      <c r="AR24" s="17"/>
      <c r="AS24" s="17"/>
      <c r="AT24" s="43">
        <v>10</v>
      </c>
      <c r="AU24" s="62">
        <v>17.149999999999999</v>
      </c>
      <c r="AV24" s="47"/>
      <c r="AW24" s="48"/>
      <c r="AX24" s="48"/>
      <c r="AY24" s="47" t="s">
        <v>228</v>
      </c>
      <c r="AZ24" s="48">
        <v>6.5000000000000002E-2</v>
      </c>
      <c r="BA24" s="48">
        <v>0.54500000000000004</v>
      </c>
      <c r="BB24" s="47"/>
      <c r="BC24" s="132"/>
      <c r="BD24" s="132"/>
      <c r="BE24" s="47"/>
      <c r="BF24" s="132"/>
      <c r="BG24" s="132"/>
      <c r="BH24" s="47" t="s">
        <v>221</v>
      </c>
      <c r="BI24" s="48">
        <v>9.0999999999999998E-2</v>
      </c>
      <c r="BJ24" s="48">
        <v>0.49299999999999999</v>
      </c>
      <c r="BK24" s="47"/>
      <c r="BL24" s="132"/>
      <c r="BM24" s="132"/>
      <c r="BN24" s="47" t="s">
        <v>222</v>
      </c>
      <c r="BO24" s="48">
        <v>0.126</v>
      </c>
      <c r="BP24" s="48">
        <v>0.42499999999999999</v>
      </c>
      <c r="BQ24" s="47"/>
      <c r="BR24" s="132"/>
      <c r="BS24" s="132"/>
      <c r="BT24" s="47"/>
      <c r="BU24" s="132"/>
      <c r="BV24" s="132"/>
      <c r="BW24" s="47"/>
      <c r="BX24" s="132"/>
      <c r="BY24" s="132"/>
      <c r="BZ24" s="47"/>
      <c r="CA24" s="132"/>
      <c r="CB24" s="132"/>
      <c r="CC24" s="47" t="s">
        <v>236</v>
      </c>
      <c r="CD24" s="48">
        <v>9.0999999999999998E-2</v>
      </c>
      <c r="CE24" s="48">
        <v>0.49299999999999999</v>
      </c>
      <c r="CF24" s="47" t="s">
        <v>237</v>
      </c>
      <c r="CG24" s="48">
        <v>0.126</v>
      </c>
      <c r="CH24" s="48">
        <v>0.42299999999999999</v>
      </c>
      <c r="CI24" s="47"/>
      <c r="CJ24" s="132"/>
      <c r="CK24" s="49"/>
      <c r="CL24" s="17"/>
    </row>
    <row r="25" spans="1:90" ht="14.9" customHeight="1" x14ac:dyDescent="0.25">
      <c r="B25" s="100"/>
      <c r="C25" s="338" t="s">
        <v>272</v>
      </c>
      <c r="D25" s="339"/>
      <c r="E25" s="339"/>
      <c r="F25" s="339"/>
      <c r="G25" s="339"/>
      <c r="H25" s="339"/>
      <c r="I25" s="339"/>
      <c r="J25" s="339"/>
      <c r="K25" s="339"/>
      <c r="L25" s="339"/>
      <c r="M25" s="339"/>
      <c r="N25" s="339"/>
      <c r="O25" s="339"/>
      <c r="P25" s="339"/>
      <c r="Q25" s="339"/>
      <c r="R25" s="339"/>
      <c r="S25" s="352"/>
      <c r="T25" s="414">
        <v>21950000</v>
      </c>
      <c r="U25" s="369"/>
      <c r="V25" s="369"/>
      <c r="W25" s="369"/>
      <c r="X25" s="369"/>
      <c r="Y25" s="369"/>
      <c r="Z25" s="369">
        <v>21950000</v>
      </c>
      <c r="AA25" s="369"/>
      <c r="AB25" s="369"/>
      <c r="AC25" s="369"/>
      <c r="AD25" s="369"/>
      <c r="AE25" s="369"/>
      <c r="AF25" s="369">
        <v>21950000</v>
      </c>
      <c r="AG25" s="369"/>
      <c r="AH25" s="369"/>
      <c r="AI25" s="369"/>
      <c r="AJ25" s="369"/>
      <c r="AK25" s="370"/>
      <c r="AL25" s="72"/>
      <c r="AM25" s="72"/>
      <c r="AN25" s="101"/>
      <c r="AR25" s="17"/>
      <c r="AS25" s="17" t="s">
        <v>273</v>
      </c>
      <c r="AT25" s="36">
        <v>15</v>
      </c>
      <c r="AU25" s="63">
        <v>21.34</v>
      </c>
      <c r="AV25" s="47"/>
      <c r="AW25" s="50"/>
      <c r="AX25" s="50"/>
      <c r="AY25" s="47" t="s">
        <v>228</v>
      </c>
      <c r="AZ25" s="50">
        <v>6.5000000000000002E-2</v>
      </c>
      <c r="BA25" s="50">
        <v>0.67400000000000004</v>
      </c>
      <c r="BB25" s="51"/>
      <c r="BC25" s="37"/>
      <c r="BD25" s="37"/>
      <c r="BE25" s="51"/>
      <c r="BF25" s="37"/>
      <c r="BG25" s="37"/>
      <c r="BH25" s="47" t="s">
        <v>221</v>
      </c>
      <c r="BI25" s="50">
        <v>0.109</v>
      </c>
      <c r="BJ25" s="50">
        <v>0.622</v>
      </c>
      <c r="BK25" s="51"/>
      <c r="BL25" s="37"/>
      <c r="BM25" s="37"/>
      <c r="BN25" s="47" t="s">
        <v>222</v>
      </c>
      <c r="BO25" s="50">
        <v>0.14699999999999999</v>
      </c>
      <c r="BP25" s="50">
        <v>0.54600000000000004</v>
      </c>
      <c r="BQ25" s="51"/>
      <c r="BR25" s="37"/>
      <c r="BS25" s="37"/>
      <c r="BT25" s="51"/>
      <c r="BU25" s="52"/>
      <c r="BV25" s="37"/>
      <c r="BW25" s="51"/>
      <c r="BX25" s="37"/>
      <c r="BY25" s="37"/>
      <c r="BZ25" s="51" t="s">
        <v>235</v>
      </c>
      <c r="CA25" s="48">
        <v>0.188</v>
      </c>
      <c r="CB25" s="48">
        <v>0.46400000000000002</v>
      </c>
      <c r="CC25" s="47" t="s">
        <v>236</v>
      </c>
      <c r="CD25" s="50">
        <v>0.109</v>
      </c>
      <c r="CE25" s="50">
        <v>0.622</v>
      </c>
      <c r="CF25" s="47" t="s">
        <v>237</v>
      </c>
      <c r="CG25" s="50">
        <v>0.14699999999999999</v>
      </c>
      <c r="CH25" s="50">
        <v>0.54600000000000004</v>
      </c>
      <c r="CI25" s="47" t="s">
        <v>238</v>
      </c>
      <c r="CJ25" s="48">
        <v>0.29399999999999998</v>
      </c>
      <c r="CK25" s="53">
        <v>0.252</v>
      </c>
      <c r="CL25" s="17"/>
    </row>
    <row r="26" spans="1:90" ht="14.9" customHeight="1" x14ac:dyDescent="0.25">
      <c r="B26" s="100"/>
      <c r="C26" s="338" t="s">
        <v>274</v>
      </c>
      <c r="D26" s="339"/>
      <c r="E26" s="339"/>
      <c r="F26" s="339"/>
      <c r="G26" s="339"/>
      <c r="H26" s="339"/>
      <c r="I26" s="339"/>
      <c r="J26" s="339"/>
      <c r="K26" s="339"/>
      <c r="L26" s="339"/>
      <c r="M26" s="339"/>
      <c r="N26" s="339"/>
      <c r="O26" s="339"/>
      <c r="P26" s="339"/>
      <c r="Q26" s="339"/>
      <c r="R26" s="339"/>
      <c r="S26" s="352"/>
      <c r="T26" s="445">
        <f>2.34*10^9</f>
        <v>2340000000</v>
      </c>
      <c r="U26" s="446"/>
      <c r="V26" s="446"/>
      <c r="W26" s="446"/>
      <c r="X26" s="446"/>
      <c r="Y26" s="446"/>
      <c r="Z26" s="446">
        <f>2.34*10^9</f>
        <v>2340000000</v>
      </c>
      <c r="AA26" s="446"/>
      <c r="AB26" s="446"/>
      <c r="AC26" s="446"/>
      <c r="AD26" s="446"/>
      <c r="AE26" s="446"/>
      <c r="AF26" s="446">
        <f>2.34*10^9</f>
        <v>2340000000</v>
      </c>
      <c r="AG26" s="446"/>
      <c r="AH26" s="446"/>
      <c r="AI26" s="446"/>
      <c r="AJ26" s="446"/>
      <c r="AK26" s="447"/>
      <c r="AL26" s="72"/>
      <c r="AM26" s="72"/>
      <c r="AN26" s="101"/>
      <c r="AR26" s="17"/>
      <c r="AS26" s="17" t="s">
        <v>275</v>
      </c>
      <c r="AT26" s="36">
        <v>20</v>
      </c>
      <c r="AU26" s="63">
        <v>26.67</v>
      </c>
      <c r="AV26" s="47" t="s">
        <v>227</v>
      </c>
      <c r="AW26" s="50">
        <v>6.5000000000000002E-2</v>
      </c>
      <c r="AX26" s="50">
        <v>0.92</v>
      </c>
      <c r="AY26" s="47" t="s">
        <v>228</v>
      </c>
      <c r="AZ26" s="50">
        <v>8.3000000000000004E-2</v>
      </c>
      <c r="BA26" s="50">
        <v>0.88400000000000001</v>
      </c>
      <c r="BB26" s="51"/>
      <c r="BC26" s="37"/>
      <c r="BD26" s="37"/>
      <c r="BE26" s="51"/>
      <c r="BF26" s="37"/>
      <c r="BG26" s="37"/>
      <c r="BH26" s="47" t="s">
        <v>221</v>
      </c>
      <c r="BI26" s="50">
        <v>0.113</v>
      </c>
      <c r="BJ26" s="50">
        <v>0.82399999999999995</v>
      </c>
      <c r="BK26" s="51"/>
      <c r="BL26" s="37"/>
      <c r="BM26" s="37"/>
      <c r="BN26" s="47" t="s">
        <v>222</v>
      </c>
      <c r="BO26" s="50">
        <v>0.154</v>
      </c>
      <c r="BP26" s="50">
        <v>0.74199999999999999</v>
      </c>
      <c r="BQ26" s="51"/>
      <c r="BR26" s="37"/>
      <c r="BS26" s="37"/>
      <c r="BT26" s="51"/>
      <c r="BU26" s="37"/>
      <c r="BV26" s="37"/>
      <c r="BW26" s="51"/>
      <c r="BX26" s="37"/>
      <c r="BY26" s="37"/>
      <c r="BZ26" s="51" t="s">
        <v>235</v>
      </c>
      <c r="CA26" s="48">
        <v>0.219</v>
      </c>
      <c r="CB26" s="48">
        <v>0.61199999999999999</v>
      </c>
      <c r="CC26" s="47" t="s">
        <v>236</v>
      </c>
      <c r="CD26" s="50">
        <v>0.113</v>
      </c>
      <c r="CE26" s="50">
        <v>0.82399999999999995</v>
      </c>
      <c r="CF26" s="47" t="s">
        <v>237</v>
      </c>
      <c r="CG26" s="50">
        <v>0.154</v>
      </c>
      <c r="CH26" s="50">
        <v>0.74199999999999999</v>
      </c>
      <c r="CI26" s="47" t="s">
        <v>238</v>
      </c>
      <c r="CJ26" s="48">
        <v>0.308</v>
      </c>
      <c r="CK26" s="53">
        <v>0.434</v>
      </c>
      <c r="CL26" s="17"/>
    </row>
    <row r="27" spans="1:90" ht="14.9" customHeight="1" x14ac:dyDescent="0.25">
      <c r="B27" s="100"/>
      <c r="C27" s="338" t="s">
        <v>276</v>
      </c>
      <c r="D27" s="339"/>
      <c r="E27" s="339"/>
      <c r="F27" s="339"/>
      <c r="G27" s="339"/>
      <c r="H27" s="339"/>
      <c r="I27" s="339"/>
      <c r="J27" s="339"/>
      <c r="K27" s="339"/>
      <c r="L27" s="339"/>
      <c r="M27" s="339"/>
      <c r="N27" s="339"/>
      <c r="O27" s="339"/>
      <c r="P27" s="339"/>
      <c r="Q27" s="339"/>
      <c r="R27" s="339"/>
      <c r="S27" s="352"/>
      <c r="T27" s="448">
        <f>18*10^10</f>
        <v>180000000000</v>
      </c>
      <c r="U27" s="449"/>
      <c r="V27" s="449"/>
      <c r="W27" s="449"/>
      <c r="X27" s="449"/>
      <c r="Y27" s="449"/>
      <c r="Z27" s="449">
        <f>18*10^10</f>
        <v>180000000000</v>
      </c>
      <c r="AA27" s="449"/>
      <c r="AB27" s="449"/>
      <c r="AC27" s="449"/>
      <c r="AD27" s="449"/>
      <c r="AE27" s="449"/>
      <c r="AF27" s="449">
        <f>18*10^10</f>
        <v>180000000000</v>
      </c>
      <c r="AG27" s="449"/>
      <c r="AH27" s="449"/>
      <c r="AI27" s="449"/>
      <c r="AJ27" s="449"/>
      <c r="AK27" s="450"/>
      <c r="AL27" s="72"/>
      <c r="AM27" s="72"/>
      <c r="AN27" s="101"/>
      <c r="AR27" s="17"/>
      <c r="AS27" s="17" t="s">
        <v>277</v>
      </c>
      <c r="AT27" s="36">
        <v>25</v>
      </c>
      <c r="AU27" s="63">
        <v>33.4</v>
      </c>
      <c r="AV27" s="47" t="s">
        <v>227</v>
      </c>
      <c r="AW27" s="50">
        <v>6.5000000000000002E-2</v>
      </c>
      <c r="AX27" s="50">
        <v>1.1850000000000001</v>
      </c>
      <c r="AY27" s="47" t="s">
        <v>228</v>
      </c>
      <c r="AZ27" s="50">
        <v>0.109</v>
      </c>
      <c r="BA27" s="50">
        <v>1.097</v>
      </c>
      <c r="BB27" s="51"/>
      <c r="BC27" s="37"/>
      <c r="BD27" s="37"/>
      <c r="BE27" s="51"/>
      <c r="BF27" s="37"/>
      <c r="BG27" s="37"/>
      <c r="BH27" s="47" t="s">
        <v>221</v>
      </c>
      <c r="BI27" s="50">
        <v>0.13300000000000001</v>
      </c>
      <c r="BJ27" s="50">
        <v>1.0489999999999999</v>
      </c>
      <c r="BK27" s="51"/>
      <c r="BL27" s="37"/>
      <c r="BM27" s="37"/>
      <c r="BN27" s="47" t="s">
        <v>222</v>
      </c>
      <c r="BO27" s="50">
        <v>0.17899999999999999</v>
      </c>
      <c r="BP27" s="50">
        <v>0.95700000000000007</v>
      </c>
      <c r="BQ27" s="51"/>
      <c r="BR27" s="37"/>
      <c r="BS27" s="37"/>
      <c r="BT27" s="51"/>
      <c r="BU27" s="37"/>
      <c r="BV27" s="37"/>
      <c r="BW27" s="51"/>
      <c r="BX27" s="37"/>
      <c r="BY27" s="37"/>
      <c r="BZ27" s="51" t="s">
        <v>235</v>
      </c>
      <c r="CA27" s="48">
        <v>0.25</v>
      </c>
      <c r="CB27" s="48">
        <v>0.81499999999999995</v>
      </c>
      <c r="CC27" s="47" t="s">
        <v>236</v>
      </c>
      <c r="CD27" s="50">
        <v>0.13300000000000001</v>
      </c>
      <c r="CE27" s="50">
        <v>1.0489999999999999</v>
      </c>
      <c r="CF27" s="47" t="s">
        <v>237</v>
      </c>
      <c r="CG27" s="50">
        <v>0.17899999999999999</v>
      </c>
      <c r="CH27" s="50">
        <v>0.95700000000000007</v>
      </c>
      <c r="CI27" s="47" t="s">
        <v>238</v>
      </c>
      <c r="CJ27" s="48">
        <v>0.35799999999999998</v>
      </c>
      <c r="CK27" s="53">
        <v>0.59899999999999998</v>
      </c>
      <c r="CL27" s="17"/>
    </row>
    <row r="28" spans="1:90" ht="14.9" customHeight="1" x14ac:dyDescent="0.25">
      <c r="B28" s="100"/>
      <c r="C28" s="338" t="s">
        <v>278</v>
      </c>
      <c r="D28" s="339"/>
      <c r="E28" s="339"/>
      <c r="F28" s="339"/>
      <c r="G28" s="339"/>
      <c r="H28" s="339"/>
      <c r="I28" s="339"/>
      <c r="J28" s="339"/>
      <c r="K28" s="339"/>
      <c r="L28" s="339"/>
      <c r="M28" s="339"/>
      <c r="N28" s="339"/>
      <c r="O28" s="339"/>
      <c r="P28" s="339"/>
      <c r="Q28" s="339"/>
      <c r="R28" s="339"/>
      <c r="S28" s="352"/>
      <c r="T28" s="421">
        <v>10</v>
      </c>
      <c r="U28" s="422"/>
      <c r="V28" s="422"/>
      <c r="W28" s="422"/>
      <c r="X28" s="422"/>
      <c r="Y28" s="422"/>
      <c r="Z28" s="422">
        <v>10</v>
      </c>
      <c r="AA28" s="422"/>
      <c r="AB28" s="422"/>
      <c r="AC28" s="422"/>
      <c r="AD28" s="422"/>
      <c r="AE28" s="422"/>
      <c r="AF28" s="422">
        <v>10</v>
      </c>
      <c r="AG28" s="422"/>
      <c r="AH28" s="422"/>
      <c r="AI28" s="422"/>
      <c r="AJ28" s="422"/>
      <c r="AK28" s="423"/>
      <c r="AL28" s="72"/>
      <c r="AM28" s="72"/>
      <c r="AN28" s="101"/>
      <c r="AR28" s="17"/>
      <c r="AS28" s="17" t="s">
        <v>279</v>
      </c>
      <c r="AT28" s="36">
        <v>32</v>
      </c>
      <c r="AU28" s="63">
        <v>42.16</v>
      </c>
      <c r="AV28" s="47" t="s">
        <v>227</v>
      </c>
      <c r="AW28" s="50">
        <v>6.5000000000000002E-2</v>
      </c>
      <c r="AX28" s="50">
        <v>1.53</v>
      </c>
      <c r="AY28" s="47" t="s">
        <v>228</v>
      </c>
      <c r="AZ28" s="50">
        <v>0.109</v>
      </c>
      <c r="BA28" s="50">
        <v>1.4419999999999999</v>
      </c>
      <c r="BB28" s="51"/>
      <c r="BC28" s="37"/>
      <c r="BD28" s="37"/>
      <c r="BE28" s="51"/>
      <c r="BF28" s="37"/>
      <c r="BG28" s="37"/>
      <c r="BH28" s="47" t="s">
        <v>221</v>
      </c>
      <c r="BI28" s="50">
        <v>0.14000000000000001</v>
      </c>
      <c r="BJ28" s="50">
        <v>1.38</v>
      </c>
      <c r="BK28" s="51"/>
      <c r="BL28" s="37"/>
      <c r="BM28" s="37"/>
      <c r="BN28" s="47" t="s">
        <v>222</v>
      </c>
      <c r="BO28" s="50">
        <v>0.191</v>
      </c>
      <c r="BP28" s="50">
        <v>1.278</v>
      </c>
      <c r="BQ28" s="51"/>
      <c r="BR28" s="37"/>
      <c r="BS28" s="37"/>
      <c r="BT28" s="51"/>
      <c r="BU28" s="37"/>
      <c r="BV28" s="37"/>
      <c r="BW28" s="51"/>
      <c r="BX28" s="37"/>
      <c r="BY28" s="37"/>
      <c r="BZ28" s="51" t="s">
        <v>235</v>
      </c>
      <c r="CA28" s="50">
        <v>0.25</v>
      </c>
      <c r="CB28" s="50">
        <v>1.1599999999999999</v>
      </c>
      <c r="CC28" s="47" t="s">
        <v>236</v>
      </c>
      <c r="CD28" s="50">
        <v>0.14000000000000001</v>
      </c>
      <c r="CE28" s="50">
        <v>1.38</v>
      </c>
      <c r="CF28" s="47" t="s">
        <v>237</v>
      </c>
      <c r="CG28" s="50">
        <v>0.191</v>
      </c>
      <c r="CH28" s="50">
        <v>1.278</v>
      </c>
      <c r="CI28" s="47" t="s">
        <v>238</v>
      </c>
      <c r="CJ28" s="50">
        <v>0.38200000000000001</v>
      </c>
      <c r="CK28" s="54">
        <v>0.89600000000000002</v>
      </c>
      <c r="CL28" s="17"/>
    </row>
    <row r="29" spans="1:90" ht="14.9" customHeight="1" x14ac:dyDescent="0.25">
      <c r="B29" s="100"/>
      <c r="C29" s="338" t="s">
        <v>280</v>
      </c>
      <c r="D29" s="339"/>
      <c r="E29" s="339"/>
      <c r="F29" s="339"/>
      <c r="G29" s="339"/>
      <c r="H29" s="339"/>
      <c r="I29" s="339"/>
      <c r="J29" s="339"/>
      <c r="K29" s="339"/>
      <c r="L29" s="339"/>
      <c r="M29" s="339"/>
      <c r="N29" s="339"/>
      <c r="O29" s="339"/>
      <c r="P29" s="339"/>
      <c r="Q29" s="339"/>
      <c r="R29" s="339"/>
      <c r="S29" s="352"/>
      <c r="T29" s="442" t="s">
        <v>279</v>
      </c>
      <c r="U29" s="443"/>
      <c r="V29" s="443"/>
      <c r="W29" s="443"/>
      <c r="X29" s="443"/>
      <c r="Y29" s="443"/>
      <c r="Z29" s="443" t="s">
        <v>281</v>
      </c>
      <c r="AA29" s="443"/>
      <c r="AB29" s="443"/>
      <c r="AC29" s="443"/>
      <c r="AD29" s="443"/>
      <c r="AE29" s="443"/>
      <c r="AF29" s="443" t="s">
        <v>282</v>
      </c>
      <c r="AG29" s="443"/>
      <c r="AH29" s="443"/>
      <c r="AI29" s="443"/>
      <c r="AJ29" s="443"/>
      <c r="AK29" s="444"/>
      <c r="AL29" s="72"/>
      <c r="AM29" s="72"/>
      <c r="AN29" s="101"/>
      <c r="AR29" s="17"/>
      <c r="AS29" s="17" t="s">
        <v>282</v>
      </c>
      <c r="AT29" s="36">
        <v>40</v>
      </c>
      <c r="AU29" s="63">
        <v>48.26</v>
      </c>
      <c r="AV29" s="47" t="s">
        <v>227</v>
      </c>
      <c r="AW29" s="50">
        <v>6.5000000000000002E-2</v>
      </c>
      <c r="AX29" s="50">
        <v>1.77</v>
      </c>
      <c r="AY29" s="47" t="s">
        <v>228</v>
      </c>
      <c r="AZ29" s="50">
        <v>0.109</v>
      </c>
      <c r="BA29" s="50">
        <v>1.6819999999999999</v>
      </c>
      <c r="BB29" s="51"/>
      <c r="BC29" s="37"/>
      <c r="BD29" s="37"/>
      <c r="BE29" s="51"/>
      <c r="BF29" s="37"/>
      <c r="BG29" s="37"/>
      <c r="BH29" s="47" t="s">
        <v>221</v>
      </c>
      <c r="BI29" s="50">
        <v>0.14499999999999999</v>
      </c>
      <c r="BJ29" s="50">
        <v>1.61</v>
      </c>
      <c r="BK29" s="51"/>
      <c r="BL29" s="37"/>
      <c r="BM29" s="37"/>
      <c r="BN29" s="47" t="s">
        <v>222</v>
      </c>
      <c r="BO29" s="50">
        <v>0.2</v>
      </c>
      <c r="BP29" s="50">
        <v>1.5</v>
      </c>
      <c r="BQ29" s="51"/>
      <c r="BR29" s="37"/>
      <c r="BS29" s="37"/>
      <c r="BT29" s="51"/>
      <c r="BU29" s="37"/>
      <c r="BV29" s="37"/>
      <c r="BW29" s="51"/>
      <c r="BX29" s="37"/>
      <c r="BY29" s="37"/>
      <c r="BZ29" s="51" t="s">
        <v>235</v>
      </c>
      <c r="CA29" s="50">
        <v>0.28100000000000003</v>
      </c>
      <c r="CB29" s="50">
        <v>1.3380000000000001</v>
      </c>
      <c r="CC29" s="47" t="s">
        <v>236</v>
      </c>
      <c r="CD29" s="50">
        <v>0.14499999999999999</v>
      </c>
      <c r="CE29" s="50">
        <v>1.61</v>
      </c>
      <c r="CF29" s="47" t="s">
        <v>237</v>
      </c>
      <c r="CG29" s="50">
        <v>0.2</v>
      </c>
      <c r="CH29" s="50">
        <v>1.5</v>
      </c>
      <c r="CI29" s="47" t="s">
        <v>238</v>
      </c>
      <c r="CJ29" s="50">
        <v>0.4</v>
      </c>
      <c r="CK29" s="54">
        <v>1.1000000000000001</v>
      </c>
      <c r="CL29" s="17"/>
    </row>
    <row r="30" spans="1:90" ht="14.9" customHeight="1" x14ac:dyDescent="0.25">
      <c r="B30" s="100"/>
      <c r="C30" s="338" t="s">
        <v>283</v>
      </c>
      <c r="D30" s="339"/>
      <c r="E30" s="339"/>
      <c r="F30" s="339"/>
      <c r="G30" s="339"/>
      <c r="H30" s="339"/>
      <c r="I30" s="339"/>
      <c r="J30" s="339"/>
      <c r="K30" s="339"/>
      <c r="L30" s="339"/>
      <c r="M30" s="339"/>
      <c r="N30" s="339"/>
      <c r="O30" s="339"/>
      <c r="P30" s="339"/>
      <c r="Q30" s="339"/>
      <c r="R30" s="339"/>
      <c r="S30" s="352"/>
      <c r="T30" s="436" t="s">
        <v>270</v>
      </c>
      <c r="U30" s="372"/>
      <c r="V30" s="372"/>
      <c r="W30" s="372"/>
      <c r="X30" s="372"/>
      <c r="Y30" s="372"/>
      <c r="Z30" s="372" t="s">
        <v>270</v>
      </c>
      <c r="AA30" s="372"/>
      <c r="AB30" s="372"/>
      <c r="AC30" s="372"/>
      <c r="AD30" s="372"/>
      <c r="AE30" s="372"/>
      <c r="AF30" s="372" t="s">
        <v>29</v>
      </c>
      <c r="AG30" s="372"/>
      <c r="AH30" s="372"/>
      <c r="AI30" s="372"/>
      <c r="AJ30" s="372"/>
      <c r="AK30" s="373"/>
      <c r="AL30" s="72"/>
      <c r="AM30" s="72"/>
      <c r="AN30" s="101"/>
      <c r="AR30" s="17"/>
      <c r="AS30" s="17" t="s">
        <v>281</v>
      </c>
      <c r="AT30" s="36">
        <v>50</v>
      </c>
      <c r="AU30" s="63">
        <v>60.33</v>
      </c>
      <c r="AV30" s="47" t="s">
        <v>227</v>
      </c>
      <c r="AW30" s="50">
        <v>6.5000000000000002E-2</v>
      </c>
      <c r="AX30" s="50">
        <v>2.2450000000000001</v>
      </c>
      <c r="AY30" s="47" t="s">
        <v>228</v>
      </c>
      <c r="AZ30" s="50">
        <v>0.109</v>
      </c>
      <c r="BA30" s="50">
        <v>2.157</v>
      </c>
      <c r="BB30" s="51"/>
      <c r="BC30" s="37"/>
      <c r="BD30" s="37"/>
      <c r="BE30" s="51"/>
      <c r="BF30" s="37"/>
      <c r="BG30" s="37"/>
      <c r="BH30" s="47" t="s">
        <v>221</v>
      </c>
      <c r="BI30" s="50">
        <v>0.154</v>
      </c>
      <c r="BJ30" s="50">
        <v>2.0670000000000002</v>
      </c>
      <c r="BK30" s="51"/>
      <c r="BL30" s="37"/>
      <c r="BM30" s="37"/>
      <c r="BN30" s="47" t="s">
        <v>222</v>
      </c>
      <c r="BO30" s="50">
        <v>0.218</v>
      </c>
      <c r="BP30" s="50">
        <v>1.9390000000000001</v>
      </c>
      <c r="BQ30" s="51"/>
      <c r="BR30" s="37"/>
      <c r="BS30" s="37"/>
      <c r="BT30" s="51"/>
      <c r="BU30" s="37"/>
      <c r="BV30" s="37"/>
      <c r="BW30" s="51"/>
      <c r="BX30" s="37"/>
      <c r="BY30" s="37"/>
      <c r="BZ30" s="51" t="s">
        <v>235</v>
      </c>
      <c r="CA30" s="50">
        <v>0.34399999999999997</v>
      </c>
      <c r="CB30" s="50">
        <v>1.6870000000000001</v>
      </c>
      <c r="CC30" s="47" t="s">
        <v>236</v>
      </c>
      <c r="CD30" s="50">
        <v>0.154</v>
      </c>
      <c r="CE30" s="50">
        <v>2.0670000000000002</v>
      </c>
      <c r="CF30" s="47" t="s">
        <v>237</v>
      </c>
      <c r="CG30" s="50">
        <v>0.218</v>
      </c>
      <c r="CH30" s="50">
        <v>1.9390000000000001</v>
      </c>
      <c r="CI30" s="47" t="s">
        <v>238</v>
      </c>
      <c r="CJ30" s="50">
        <v>0.436</v>
      </c>
      <c r="CK30" s="54">
        <v>1.5029999999999999</v>
      </c>
      <c r="CL30" s="17"/>
    </row>
    <row r="31" spans="1:90" ht="14.9" customHeight="1" x14ac:dyDescent="0.25">
      <c r="B31" s="100"/>
      <c r="C31" s="338" t="s">
        <v>284</v>
      </c>
      <c r="D31" s="339"/>
      <c r="E31" s="339"/>
      <c r="F31" s="339"/>
      <c r="G31" s="339"/>
      <c r="H31" s="339"/>
      <c r="I31" s="339"/>
      <c r="J31" s="339"/>
      <c r="K31" s="339"/>
      <c r="L31" s="339"/>
      <c r="M31" s="339"/>
      <c r="N31" s="339"/>
      <c r="O31" s="339"/>
      <c r="P31" s="339"/>
      <c r="Q31" s="339"/>
      <c r="R31" s="339"/>
      <c r="S31" s="352"/>
      <c r="T31" s="414">
        <v>43100000</v>
      </c>
      <c r="U31" s="369"/>
      <c r="V31" s="369"/>
      <c r="W31" s="369"/>
      <c r="X31" s="369"/>
      <c r="Y31" s="369"/>
      <c r="Z31" s="369">
        <v>43100000</v>
      </c>
      <c r="AA31" s="369"/>
      <c r="AB31" s="369"/>
      <c r="AC31" s="369"/>
      <c r="AD31" s="369"/>
      <c r="AE31" s="369"/>
      <c r="AF31" s="369">
        <v>43100000</v>
      </c>
      <c r="AG31" s="369"/>
      <c r="AH31" s="369"/>
      <c r="AI31" s="369"/>
      <c r="AJ31" s="369"/>
      <c r="AK31" s="370"/>
      <c r="AL31" s="72"/>
      <c r="AM31" s="72"/>
      <c r="AN31" s="101"/>
      <c r="AR31" s="17"/>
      <c r="AS31" s="17"/>
      <c r="AT31" s="36">
        <v>65</v>
      </c>
      <c r="AU31" s="63">
        <v>73.02</v>
      </c>
      <c r="AV31" s="47" t="s">
        <v>227</v>
      </c>
      <c r="AW31" s="50">
        <v>8.3000000000000004E-2</v>
      </c>
      <c r="AX31" s="50">
        <v>2.7090000000000001</v>
      </c>
      <c r="AY31" s="47" t="s">
        <v>228</v>
      </c>
      <c r="AZ31" s="50">
        <v>0.12</v>
      </c>
      <c r="BA31" s="50">
        <v>2.6349999999999998</v>
      </c>
      <c r="BB31" s="51"/>
      <c r="BC31" s="37"/>
      <c r="BD31" s="37"/>
      <c r="BE31" s="51"/>
      <c r="BF31" s="37"/>
      <c r="BG31" s="37"/>
      <c r="BH31" s="47" t="s">
        <v>221</v>
      </c>
      <c r="BI31" s="50">
        <v>0.20300000000000001</v>
      </c>
      <c r="BJ31" s="50">
        <v>2.4689999999999999</v>
      </c>
      <c r="BK31" s="51"/>
      <c r="BL31" s="37"/>
      <c r="BM31" s="37"/>
      <c r="BN31" s="47" t="s">
        <v>222</v>
      </c>
      <c r="BO31" s="48">
        <v>0.27600000000000002</v>
      </c>
      <c r="BP31" s="48">
        <v>2.323</v>
      </c>
      <c r="BQ31" s="51"/>
      <c r="BR31" s="37"/>
      <c r="BS31" s="37"/>
      <c r="BT31" s="51"/>
      <c r="BU31" s="37"/>
      <c r="BV31" s="37"/>
      <c r="BW31" s="51"/>
      <c r="BX31" s="37"/>
      <c r="BY31" s="37"/>
      <c r="BZ31" s="51" t="s">
        <v>235</v>
      </c>
      <c r="CA31" s="50">
        <v>0.375</v>
      </c>
      <c r="CB31" s="50">
        <v>2.125</v>
      </c>
      <c r="CC31" s="47" t="s">
        <v>236</v>
      </c>
      <c r="CD31" s="48">
        <v>0.20300000000000001</v>
      </c>
      <c r="CE31" s="48">
        <v>2.4689999999999999</v>
      </c>
      <c r="CF31" s="47" t="s">
        <v>237</v>
      </c>
      <c r="CG31" s="48">
        <v>0.27600000000000002</v>
      </c>
      <c r="CH31" s="48">
        <v>2.323</v>
      </c>
      <c r="CI31" s="47" t="s">
        <v>238</v>
      </c>
      <c r="CJ31" s="50">
        <v>0.55200000000000005</v>
      </c>
      <c r="CK31" s="54">
        <v>1.7709999999999999</v>
      </c>
      <c r="CL31" s="17"/>
    </row>
    <row r="32" spans="1:90" ht="14.9" customHeight="1" x14ac:dyDescent="0.25">
      <c r="B32" s="100"/>
      <c r="C32" s="338" t="s">
        <v>285</v>
      </c>
      <c r="D32" s="339"/>
      <c r="E32" s="339"/>
      <c r="F32" s="339"/>
      <c r="G32" s="339"/>
      <c r="H32" s="339"/>
      <c r="I32" s="339"/>
      <c r="J32" s="339"/>
      <c r="K32" s="339"/>
      <c r="L32" s="339"/>
      <c r="M32" s="339"/>
      <c r="N32" s="339"/>
      <c r="O32" s="339"/>
      <c r="P32" s="339"/>
      <c r="Q32" s="339"/>
      <c r="R32" s="339"/>
      <c r="S32" s="352"/>
      <c r="T32" s="414">
        <v>40400000</v>
      </c>
      <c r="U32" s="369"/>
      <c r="V32" s="369"/>
      <c r="W32" s="369"/>
      <c r="X32" s="369"/>
      <c r="Y32" s="369"/>
      <c r="Z32" s="369">
        <v>40400000</v>
      </c>
      <c r="AA32" s="369"/>
      <c r="AB32" s="369"/>
      <c r="AC32" s="369"/>
      <c r="AD32" s="369"/>
      <c r="AE32" s="369"/>
      <c r="AF32" s="369">
        <v>40400000</v>
      </c>
      <c r="AG32" s="369"/>
      <c r="AH32" s="369"/>
      <c r="AI32" s="369"/>
      <c r="AJ32" s="369"/>
      <c r="AK32" s="370"/>
      <c r="AL32" s="72"/>
      <c r="AM32" s="72"/>
      <c r="AN32" s="101"/>
      <c r="AR32" s="17"/>
      <c r="AS32" s="17"/>
      <c r="AT32" s="36">
        <v>80</v>
      </c>
      <c r="AU32" s="63">
        <v>88.9</v>
      </c>
      <c r="AV32" s="47" t="s">
        <v>227</v>
      </c>
      <c r="AW32" s="50">
        <v>8.3000000000000004E-2</v>
      </c>
      <c r="AX32" s="50">
        <v>3.3340000000000001</v>
      </c>
      <c r="AY32" s="47" t="s">
        <v>228</v>
      </c>
      <c r="AZ32" s="50">
        <v>0.12</v>
      </c>
      <c r="BA32" s="50">
        <v>3.26</v>
      </c>
      <c r="BB32" s="51"/>
      <c r="BC32" s="37"/>
      <c r="BD32" s="37"/>
      <c r="BE32" s="51"/>
      <c r="BF32" s="37"/>
      <c r="BG32" s="37"/>
      <c r="BH32" s="47" t="s">
        <v>221</v>
      </c>
      <c r="BI32" s="50">
        <v>0.216</v>
      </c>
      <c r="BJ32" s="50">
        <v>3.0680000000000001</v>
      </c>
      <c r="BK32" s="51"/>
      <c r="BL32" s="37"/>
      <c r="BM32" s="37"/>
      <c r="BN32" s="47" t="s">
        <v>222</v>
      </c>
      <c r="BO32" s="48">
        <v>0.3</v>
      </c>
      <c r="BP32" s="48">
        <v>2.9</v>
      </c>
      <c r="BQ32" s="51"/>
      <c r="BR32" s="37"/>
      <c r="BS32" s="37"/>
      <c r="BT32" s="51"/>
      <c r="BU32" s="37"/>
      <c r="BV32" s="37"/>
      <c r="BW32" s="51"/>
      <c r="BX32" s="37"/>
      <c r="BY32" s="37"/>
      <c r="BZ32" s="51" t="s">
        <v>235</v>
      </c>
      <c r="CA32" s="50">
        <v>0.438</v>
      </c>
      <c r="CB32" s="50">
        <v>2.6240000000000001</v>
      </c>
      <c r="CC32" s="47" t="s">
        <v>236</v>
      </c>
      <c r="CD32" s="48">
        <v>0.216</v>
      </c>
      <c r="CE32" s="48">
        <v>3.0680000000000001</v>
      </c>
      <c r="CF32" s="47" t="s">
        <v>237</v>
      </c>
      <c r="CG32" s="48">
        <v>0.3</v>
      </c>
      <c r="CH32" s="48">
        <v>2.9</v>
      </c>
      <c r="CI32" s="47" t="s">
        <v>238</v>
      </c>
      <c r="CJ32" s="50">
        <v>0.6</v>
      </c>
      <c r="CK32" s="54">
        <v>2.2999999999999998</v>
      </c>
      <c r="CL32" s="17"/>
    </row>
    <row r="33" spans="2:90" ht="14.9" customHeight="1" x14ac:dyDescent="0.25">
      <c r="B33" s="100"/>
      <c r="C33" s="338" t="s">
        <v>286</v>
      </c>
      <c r="D33" s="339"/>
      <c r="E33" s="339"/>
      <c r="F33" s="339"/>
      <c r="G33" s="339"/>
      <c r="H33" s="339"/>
      <c r="I33" s="339"/>
      <c r="J33" s="339"/>
      <c r="K33" s="339"/>
      <c r="L33" s="339"/>
      <c r="M33" s="339"/>
      <c r="N33" s="339"/>
      <c r="O33" s="339"/>
      <c r="P33" s="339"/>
      <c r="Q33" s="339"/>
      <c r="R33" s="339"/>
      <c r="S33" s="352"/>
      <c r="T33" s="436" t="s">
        <v>249</v>
      </c>
      <c r="U33" s="372"/>
      <c r="V33" s="372"/>
      <c r="W33" s="372"/>
      <c r="X33" s="372"/>
      <c r="Y33" s="372"/>
      <c r="Z33" s="372" t="s">
        <v>249</v>
      </c>
      <c r="AA33" s="372"/>
      <c r="AB33" s="372"/>
      <c r="AC33" s="372"/>
      <c r="AD33" s="372"/>
      <c r="AE33" s="372"/>
      <c r="AF33" s="372" t="s">
        <v>249</v>
      </c>
      <c r="AG33" s="372"/>
      <c r="AH33" s="372"/>
      <c r="AI33" s="372"/>
      <c r="AJ33" s="372"/>
      <c r="AK33" s="373"/>
      <c r="AL33" s="72"/>
      <c r="AM33" s="72"/>
      <c r="AN33" s="101"/>
      <c r="AR33" s="17"/>
      <c r="AS33" s="17"/>
      <c r="AT33" s="36">
        <v>90</v>
      </c>
      <c r="AU33" s="63">
        <v>101.6</v>
      </c>
      <c r="AV33" s="47" t="s">
        <v>227</v>
      </c>
      <c r="AW33" s="50">
        <v>8.3000000000000004E-2</v>
      </c>
      <c r="AX33" s="50">
        <v>3.8340000000000001</v>
      </c>
      <c r="AY33" s="47" t="s">
        <v>228</v>
      </c>
      <c r="AZ33" s="50">
        <v>0.12</v>
      </c>
      <c r="BA33" s="50">
        <v>3.76</v>
      </c>
      <c r="BB33" s="51"/>
      <c r="BC33" s="37"/>
      <c r="BD33" s="37"/>
      <c r="BE33" s="51"/>
      <c r="BF33" s="37"/>
      <c r="BG33" s="37"/>
      <c r="BH33" s="47" t="s">
        <v>221</v>
      </c>
      <c r="BI33" s="50">
        <v>0.22600000000000001</v>
      </c>
      <c r="BJ33" s="50">
        <v>3.548</v>
      </c>
      <c r="BK33" s="51"/>
      <c r="BL33" s="37"/>
      <c r="BM33" s="37"/>
      <c r="BN33" s="47" t="s">
        <v>222</v>
      </c>
      <c r="BO33" s="48">
        <v>0.318</v>
      </c>
      <c r="BP33" s="48">
        <v>3.3639999999999999</v>
      </c>
      <c r="BQ33" s="51"/>
      <c r="BR33" s="37"/>
      <c r="BS33" s="37"/>
      <c r="BT33" s="51"/>
      <c r="BU33" s="37"/>
      <c r="BV33" s="37"/>
      <c r="BW33" s="51"/>
      <c r="BX33" s="37"/>
      <c r="BY33" s="37"/>
      <c r="BZ33" s="51" t="s">
        <v>235</v>
      </c>
      <c r="CA33" s="50"/>
      <c r="CB33" s="50"/>
      <c r="CC33" s="47" t="s">
        <v>236</v>
      </c>
      <c r="CD33" s="48">
        <v>0.22600000000000001</v>
      </c>
      <c r="CE33" s="48">
        <v>3.548</v>
      </c>
      <c r="CF33" s="47" t="s">
        <v>237</v>
      </c>
      <c r="CG33" s="48">
        <v>0.318</v>
      </c>
      <c r="CH33" s="48">
        <v>3.3639999999999999</v>
      </c>
      <c r="CI33" s="47"/>
      <c r="CJ33" s="50"/>
      <c r="CK33" s="54"/>
      <c r="CL33" s="17"/>
    </row>
    <row r="34" spans="2:90" ht="14.9" customHeight="1" x14ac:dyDescent="0.25">
      <c r="B34" s="100"/>
      <c r="C34" s="343" t="s">
        <v>171</v>
      </c>
      <c r="D34" s="344"/>
      <c r="E34" s="344"/>
      <c r="F34" s="344"/>
      <c r="G34" s="344"/>
      <c r="H34" s="344"/>
      <c r="I34" s="344"/>
      <c r="J34" s="344"/>
      <c r="K34" s="344"/>
      <c r="L34" s="344"/>
      <c r="M34" s="344"/>
      <c r="N34" s="344"/>
      <c r="O34" s="344"/>
      <c r="P34" s="344"/>
      <c r="Q34" s="344"/>
      <c r="R34" s="344"/>
      <c r="S34" s="425"/>
      <c r="T34" s="437">
        <f>IF(T33="Stiff",4,IF(T33="Medium Stiff",2,IF(T33="Medium",1,IF(T33="Flexible",0.5,""))))</f>
        <v>2</v>
      </c>
      <c r="U34" s="381"/>
      <c r="V34" s="381"/>
      <c r="W34" s="381"/>
      <c r="X34" s="381"/>
      <c r="Y34" s="381"/>
      <c r="Z34" s="381">
        <f>IF(Z33="Stiff",4,IF(Z33="Medium Stiff",2,IF(Z33="Medium",1,IF(Z33="Flexible",0.5,""))))</f>
        <v>2</v>
      </c>
      <c r="AA34" s="381"/>
      <c r="AB34" s="381"/>
      <c r="AC34" s="381"/>
      <c r="AD34" s="381"/>
      <c r="AE34" s="381"/>
      <c r="AF34" s="381">
        <f>IF(AF33="Stiff",4,IF(AF33="Medium Stiff",2,IF(AF33="Medium",1,IF(AF33="Flexible",0.5,""))))</f>
        <v>2</v>
      </c>
      <c r="AG34" s="381"/>
      <c r="AH34" s="381"/>
      <c r="AI34" s="381"/>
      <c r="AJ34" s="381"/>
      <c r="AK34" s="382"/>
      <c r="AL34" s="72"/>
      <c r="AM34" s="72"/>
      <c r="AN34" s="101"/>
      <c r="AR34" s="17"/>
      <c r="AS34" s="17"/>
      <c r="AT34" s="36">
        <v>100</v>
      </c>
      <c r="AU34" s="63">
        <v>114.3</v>
      </c>
      <c r="AV34" s="47" t="s">
        <v>227</v>
      </c>
      <c r="AW34" s="50">
        <v>8.3000000000000004E-2</v>
      </c>
      <c r="AX34" s="50">
        <v>4.3339999999999996</v>
      </c>
      <c r="AY34" s="47" t="s">
        <v>228</v>
      </c>
      <c r="AZ34" s="50">
        <v>0.12</v>
      </c>
      <c r="BA34" s="50">
        <v>4.26</v>
      </c>
      <c r="BB34" s="51"/>
      <c r="BC34" s="37"/>
      <c r="BD34" s="37"/>
      <c r="BE34" s="51"/>
      <c r="BF34" s="37"/>
      <c r="BG34" s="37"/>
      <c r="BH34" s="47" t="s">
        <v>221</v>
      </c>
      <c r="BI34" s="50">
        <v>0.23700000000000002</v>
      </c>
      <c r="BJ34" s="50">
        <v>4.0259999999999998</v>
      </c>
      <c r="BK34" s="51"/>
      <c r="BL34" s="37"/>
      <c r="BM34" s="37"/>
      <c r="BN34" s="47" t="s">
        <v>222</v>
      </c>
      <c r="BO34" s="50">
        <v>0.33700000000000002</v>
      </c>
      <c r="BP34" s="50">
        <v>3.8260000000000001</v>
      </c>
      <c r="BQ34" s="51"/>
      <c r="BR34" s="37"/>
      <c r="BS34" s="37"/>
      <c r="BT34" s="51" t="s">
        <v>233</v>
      </c>
      <c r="BU34" s="48">
        <v>0.438</v>
      </c>
      <c r="BV34" s="48">
        <v>3.6240000000000001</v>
      </c>
      <c r="BW34" s="51"/>
      <c r="BX34" s="37"/>
      <c r="BY34" s="37"/>
      <c r="BZ34" s="51" t="s">
        <v>235</v>
      </c>
      <c r="CA34" s="48">
        <v>0.53100000000000003</v>
      </c>
      <c r="CB34" s="48">
        <v>3.4380000000000002</v>
      </c>
      <c r="CC34" s="47" t="s">
        <v>236</v>
      </c>
      <c r="CD34" s="50">
        <v>0.23700000000000002</v>
      </c>
      <c r="CE34" s="50">
        <v>4.0259999999999998</v>
      </c>
      <c r="CF34" s="47" t="s">
        <v>237</v>
      </c>
      <c r="CG34" s="50">
        <v>0.33700000000000002</v>
      </c>
      <c r="CH34" s="50">
        <v>3.8260000000000001</v>
      </c>
      <c r="CI34" s="47" t="s">
        <v>238</v>
      </c>
      <c r="CJ34" s="48">
        <v>0.67400000000000004</v>
      </c>
      <c r="CK34" s="53">
        <v>3.1520000000000001</v>
      </c>
      <c r="CL34" s="17"/>
    </row>
    <row r="35" spans="2:90" ht="14.9" customHeight="1" x14ac:dyDescent="0.25">
      <c r="B35" s="100"/>
      <c r="C35" s="457" t="s">
        <v>251</v>
      </c>
      <c r="D35" s="458"/>
      <c r="E35" s="458"/>
      <c r="F35" s="458"/>
      <c r="G35" s="458"/>
      <c r="H35" s="458"/>
      <c r="I35" s="458"/>
      <c r="J35" s="458"/>
      <c r="K35" s="458"/>
      <c r="L35" s="458"/>
      <c r="M35" s="458"/>
      <c r="N35" s="458"/>
      <c r="O35" s="458"/>
      <c r="P35" s="458"/>
      <c r="Q35" s="458"/>
      <c r="R35" s="458"/>
      <c r="S35" s="459"/>
      <c r="T35" s="451" t="str">
        <f>IF(T32&gt;T31,"Error Pump Shut-in exceeds piping design pressure",IF(T25&gt;T31,"Error upstream pressure exceeds piping design pressure",IF(T22&lt;0,"Input Error, Invalid Pipe Wall Thickness",IF(T19=0,"Input Error Invalid Pipe Schedule","Inputs Ok"))))</f>
        <v>Inputs Ok</v>
      </c>
      <c r="U35" s="451"/>
      <c r="V35" s="451"/>
      <c r="W35" s="451"/>
      <c r="X35" s="451"/>
      <c r="Y35" s="451"/>
      <c r="Z35" s="451" t="str">
        <f>IF(Z32&gt;Z31,"Error Pump Shut-in exceeds piping design pressure",IF(Z25&gt;Z31,"Error upstream pressure exceeds piping design pressure",IF(Z22&lt;0,"Input Error, Invalid Pipe Wall Thickness",IF(Z19=0,"Input Error Invalid Pipe Schedule","Inputs Ok"))))</f>
        <v>Inputs Ok</v>
      </c>
      <c r="AA35" s="451"/>
      <c r="AB35" s="451"/>
      <c r="AC35" s="451"/>
      <c r="AD35" s="451"/>
      <c r="AE35" s="451"/>
      <c r="AF35" s="451" t="str">
        <f>IF(AF32&gt;AF31,"Error Pump Shut-in exceeds piping design pressure",IF(AF25&gt;AF31,"Error upstream pressure exceeds piping design pressure",IF(AF22&lt;0,"Input Error, Invalid Pipe Wall Thickness",IF(AF19=0,"Input Error Invalid Pipe Schedule","Inputs Ok"))))</f>
        <v>Inputs Ok</v>
      </c>
      <c r="AG35" s="451"/>
      <c r="AH35" s="451"/>
      <c r="AI35" s="451"/>
      <c r="AJ35" s="451"/>
      <c r="AK35" s="451"/>
      <c r="AL35" s="72"/>
      <c r="AM35" s="72"/>
      <c r="AN35" s="101"/>
      <c r="AR35" s="17"/>
      <c r="AS35" s="17"/>
      <c r="AT35" s="36"/>
      <c r="AU35" s="63"/>
      <c r="AV35" s="47"/>
      <c r="AW35" s="50"/>
      <c r="AX35" s="50"/>
      <c r="AY35" s="47"/>
      <c r="AZ35" s="50"/>
      <c r="BA35" s="50"/>
      <c r="BB35" s="51"/>
      <c r="BC35" s="37"/>
      <c r="BD35" s="37"/>
      <c r="BE35" s="51"/>
      <c r="BF35" s="37"/>
      <c r="BG35" s="37"/>
      <c r="BH35" s="47"/>
      <c r="BI35" s="50"/>
      <c r="BJ35" s="50"/>
      <c r="BK35" s="51"/>
      <c r="BL35" s="37"/>
      <c r="BM35" s="37"/>
      <c r="BN35" s="47"/>
      <c r="BO35" s="50"/>
      <c r="BP35" s="50"/>
      <c r="BQ35" s="51"/>
      <c r="BR35" s="37"/>
      <c r="BS35" s="37"/>
      <c r="BT35" s="51"/>
      <c r="BU35" s="48"/>
      <c r="BV35" s="48"/>
      <c r="BW35" s="51"/>
      <c r="BX35" s="37"/>
      <c r="BY35" s="37"/>
      <c r="BZ35" s="51"/>
      <c r="CA35" s="48"/>
      <c r="CB35" s="48"/>
      <c r="CC35" s="47"/>
      <c r="CD35" s="50"/>
      <c r="CE35" s="50"/>
      <c r="CF35" s="47"/>
      <c r="CG35" s="50"/>
      <c r="CH35" s="50"/>
      <c r="CI35" s="47"/>
      <c r="CJ35" s="48"/>
      <c r="CK35" s="53"/>
      <c r="CL35" s="17"/>
    </row>
    <row r="36" spans="2:90" ht="14.9" customHeight="1" x14ac:dyDescent="0.25">
      <c r="B36" s="100"/>
      <c r="C36" s="460"/>
      <c r="D36" s="461"/>
      <c r="E36" s="461"/>
      <c r="F36" s="461"/>
      <c r="G36" s="461"/>
      <c r="H36" s="461"/>
      <c r="I36" s="461"/>
      <c r="J36" s="461"/>
      <c r="K36" s="461"/>
      <c r="L36" s="461"/>
      <c r="M36" s="461"/>
      <c r="N36" s="461"/>
      <c r="O36" s="461"/>
      <c r="P36" s="461"/>
      <c r="Q36" s="461"/>
      <c r="R36" s="461"/>
      <c r="S36" s="462"/>
      <c r="T36" s="451"/>
      <c r="U36" s="451"/>
      <c r="V36" s="451"/>
      <c r="W36" s="451"/>
      <c r="X36" s="451"/>
      <c r="Y36" s="451"/>
      <c r="Z36" s="451"/>
      <c r="AA36" s="451"/>
      <c r="AB36" s="451"/>
      <c r="AC36" s="451"/>
      <c r="AD36" s="451"/>
      <c r="AE36" s="451"/>
      <c r="AF36" s="451"/>
      <c r="AG36" s="451"/>
      <c r="AH36" s="451"/>
      <c r="AI36" s="451"/>
      <c r="AJ36" s="451"/>
      <c r="AK36" s="451"/>
      <c r="AL36" s="72"/>
      <c r="AM36" s="72"/>
      <c r="AN36" s="101"/>
      <c r="AR36" s="17"/>
      <c r="AS36" s="17"/>
      <c r="AT36" s="36">
        <v>125</v>
      </c>
      <c r="AU36" s="63">
        <v>141.30000000000001</v>
      </c>
      <c r="AV36" s="47" t="s">
        <v>227</v>
      </c>
      <c r="AW36" s="50">
        <v>0.109</v>
      </c>
      <c r="AX36" s="50">
        <v>5.3449999999999998</v>
      </c>
      <c r="AY36" s="47" t="s">
        <v>228</v>
      </c>
      <c r="AZ36" s="50">
        <v>0.13400000000000001</v>
      </c>
      <c r="BA36" s="50">
        <v>5.2949999999999999</v>
      </c>
      <c r="BB36" s="51"/>
      <c r="BC36" s="37"/>
      <c r="BD36" s="37"/>
      <c r="BE36" s="51"/>
      <c r="BF36" s="37"/>
      <c r="BG36" s="37"/>
      <c r="BH36" s="47" t="s">
        <v>221</v>
      </c>
      <c r="BI36" s="50">
        <v>0.25800000000000001</v>
      </c>
      <c r="BJ36" s="50">
        <v>5.0469999999999997</v>
      </c>
      <c r="BK36" s="51"/>
      <c r="BL36" s="37"/>
      <c r="BM36" s="37"/>
      <c r="BN36" s="47" t="s">
        <v>222</v>
      </c>
      <c r="BO36" s="50">
        <v>0.375</v>
      </c>
      <c r="BP36" s="50">
        <v>4.8129999999999997</v>
      </c>
      <c r="BQ36" s="51"/>
      <c r="BR36" s="37"/>
      <c r="BS36" s="37"/>
      <c r="BT36" s="51" t="s">
        <v>233</v>
      </c>
      <c r="BU36" s="48">
        <v>0.5</v>
      </c>
      <c r="BV36" s="48">
        <v>4.5629999999999997</v>
      </c>
      <c r="BW36" s="51"/>
      <c r="BX36" s="37"/>
      <c r="BY36" s="37"/>
      <c r="BZ36" s="51" t="s">
        <v>235</v>
      </c>
      <c r="CA36" s="48">
        <v>0.625</v>
      </c>
      <c r="CB36" s="48">
        <v>4.3129999999999997</v>
      </c>
      <c r="CC36" s="47" t="s">
        <v>236</v>
      </c>
      <c r="CD36" s="50">
        <v>0.25800000000000001</v>
      </c>
      <c r="CE36" s="50">
        <v>5.0469999999999997</v>
      </c>
      <c r="CF36" s="47" t="s">
        <v>237</v>
      </c>
      <c r="CG36" s="50">
        <v>0.375</v>
      </c>
      <c r="CH36" s="50">
        <v>4.8129999999999997</v>
      </c>
      <c r="CI36" s="47" t="s">
        <v>238</v>
      </c>
      <c r="CJ36" s="48">
        <v>0.75</v>
      </c>
      <c r="CK36" s="53">
        <v>4.0629999999999997</v>
      </c>
      <c r="CL36" s="17"/>
    </row>
    <row r="37" spans="2:90" ht="14.9" customHeight="1" thickBot="1" x14ac:dyDescent="0.3">
      <c r="B37" s="100"/>
      <c r="C37" s="463"/>
      <c r="D37" s="464"/>
      <c r="E37" s="464"/>
      <c r="F37" s="464"/>
      <c r="G37" s="464"/>
      <c r="H37" s="464"/>
      <c r="I37" s="464"/>
      <c r="J37" s="464"/>
      <c r="K37" s="464"/>
      <c r="L37" s="464"/>
      <c r="M37" s="464"/>
      <c r="N37" s="464"/>
      <c r="O37" s="464"/>
      <c r="P37" s="464"/>
      <c r="Q37" s="464"/>
      <c r="R37" s="464"/>
      <c r="S37" s="465"/>
      <c r="T37" s="452"/>
      <c r="U37" s="452"/>
      <c r="V37" s="452"/>
      <c r="W37" s="452"/>
      <c r="X37" s="452"/>
      <c r="Y37" s="452"/>
      <c r="Z37" s="452"/>
      <c r="AA37" s="452"/>
      <c r="AB37" s="452"/>
      <c r="AC37" s="452"/>
      <c r="AD37" s="452"/>
      <c r="AE37" s="452"/>
      <c r="AF37" s="452"/>
      <c r="AG37" s="452"/>
      <c r="AH37" s="452"/>
      <c r="AI37" s="452"/>
      <c r="AJ37" s="452"/>
      <c r="AK37" s="452"/>
      <c r="AL37" s="72"/>
      <c r="AM37" s="72"/>
      <c r="AN37" s="101"/>
      <c r="AR37" s="17"/>
      <c r="AS37" s="17"/>
      <c r="AT37" s="36">
        <v>150</v>
      </c>
      <c r="AU37" s="63">
        <v>168.3</v>
      </c>
      <c r="AV37" s="47" t="s">
        <v>227</v>
      </c>
      <c r="AW37" s="50">
        <v>0.109</v>
      </c>
      <c r="AX37" s="50">
        <v>6.407</v>
      </c>
      <c r="AY37" s="47" t="s">
        <v>228</v>
      </c>
      <c r="AZ37" s="50">
        <v>0.13400000000000001</v>
      </c>
      <c r="BA37" s="50">
        <v>6.3570000000000002</v>
      </c>
      <c r="BB37" s="51"/>
      <c r="BC37" s="37"/>
      <c r="BD37" s="37"/>
      <c r="BE37" s="51"/>
      <c r="BF37" s="37"/>
      <c r="BG37" s="37"/>
      <c r="BH37" s="47" t="s">
        <v>221</v>
      </c>
      <c r="BI37" s="50">
        <v>0.28000000000000003</v>
      </c>
      <c r="BJ37" s="50">
        <v>6.0650000000000004</v>
      </c>
      <c r="BK37" s="51"/>
      <c r="BL37" s="37"/>
      <c r="BM37" s="37"/>
      <c r="BN37" s="47" t="s">
        <v>222</v>
      </c>
      <c r="BO37" s="50">
        <v>0.432</v>
      </c>
      <c r="BP37" s="50">
        <v>5.7610000000000001</v>
      </c>
      <c r="BQ37" s="51"/>
      <c r="BR37" s="37"/>
      <c r="BS37" s="37"/>
      <c r="BT37" s="51" t="s">
        <v>233</v>
      </c>
      <c r="BU37" s="48">
        <v>0.56200000000000006</v>
      </c>
      <c r="BV37" s="48">
        <v>5.5010000000000003</v>
      </c>
      <c r="BW37" s="51"/>
      <c r="BX37" s="37"/>
      <c r="BY37" s="37"/>
      <c r="BZ37" s="51" t="s">
        <v>235</v>
      </c>
      <c r="CA37" s="48">
        <v>0.71899999999999997</v>
      </c>
      <c r="CB37" s="48">
        <v>5.1870000000000003</v>
      </c>
      <c r="CC37" s="47" t="s">
        <v>236</v>
      </c>
      <c r="CD37" s="50">
        <v>0.28000000000000003</v>
      </c>
      <c r="CE37" s="50">
        <v>6.0650000000000004</v>
      </c>
      <c r="CF37" s="47" t="s">
        <v>237</v>
      </c>
      <c r="CG37" s="50">
        <v>0.432</v>
      </c>
      <c r="CH37" s="50">
        <v>5.7610000000000001</v>
      </c>
      <c r="CI37" s="47" t="s">
        <v>238</v>
      </c>
      <c r="CJ37" s="48">
        <v>0.86399999999999999</v>
      </c>
      <c r="CK37" s="53">
        <v>4.8970000000000002</v>
      </c>
      <c r="CL37" s="17"/>
    </row>
    <row r="38" spans="2:90" ht="14.9" customHeight="1" thickBot="1" x14ac:dyDescent="0.3">
      <c r="B38" s="100"/>
      <c r="C38" s="415" t="s">
        <v>252</v>
      </c>
      <c r="D38" s="416"/>
      <c r="E38" s="416"/>
      <c r="F38" s="416"/>
      <c r="G38" s="416"/>
      <c r="H38" s="416"/>
      <c r="I38" s="416"/>
      <c r="J38" s="416"/>
      <c r="K38" s="416"/>
      <c r="L38" s="416"/>
      <c r="M38" s="416"/>
      <c r="N38" s="416"/>
      <c r="O38" s="416"/>
      <c r="P38" s="416"/>
      <c r="Q38" s="416"/>
      <c r="R38" s="416"/>
      <c r="S38" s="416"/>
      <c r="T38" s="416"/>
      <c r="U38" s="416"/>
      <c r="V38" s="416"/>
      <c r="W38" s="416"/>
      <c r="X38" s="416"/>
      <c r="Y38" s="416"/>
      <c r="Z38" s="416"/>
      <c r="AA38" s="416"/>
      <c r="AB38" s="416"/>
      <c r="AC38" s="416"/>
      <c r="AD38" s="416"/>
      <c r="AE38" s="416"/>
      <c r="AF38" s="416"/>
      <c r="AG38" s="416"/>
      <c r="AH38" s="416"/>
      <c r="AI38" s="416"/>
      <c r="AJ38" s="416"/>
      <c r="AK38" s="417"/>
      <c r="AL38" s="72"/>
      <c r="AM38" s="72"/>
      <c r="AN38" s="101"/>
      <c r="AR38" s="17"/>
      <c r="AS38" s="17"/>
      <c r="AT38" s="36">
        <v>200</v>
      </c>
      <c r="AU38" s="63">
        <v>219.1</v>
      </c>
      <c r="AV38" s="47" t="s">
        <v>227</v>
      </c>
      <c r="AW38" s="50">
        <v>0.109</v>
      </c>
      <c r="AX38" s="50">
        <v>8.407</v>
      </c>
      <c r="AY38" s="47" t="s">
        <v>228</v>
      </c>
      <c r="AZ38" s="50">
        <v>0.14799999999999999</v>
      </c>
      <c r="BA38" s="50">
        <v>8.3290000000000006</v>
      </c>
      <c r="BB38" s="51" t="s">
        <v>229</v>
      </c>
      <c r="BC38" s="48">
        <v>0.25</v>
      </c>
      <c r="BD38" s="48">
        <v>8.125</v>
      </c>
      <c r="BE38" s="51" t="s">
        <v>230</v>
      </c>
      <c r="BF38" s="48">
        <v>0.27700000000000002</v>
      </c>
      <c r="BG38" s="48">
        <v>8.0709999999999997</v>
      </c>
      <c r="BH38" s="47" t="s">
        <v>221</v>
      </c>
      <c r="BI38" s="48">
        <v>0.32200000000000001</v>
      </c>
      <c r="BJ38" s="48">
        <v>7.9809999999999999</v>
      </c>
      <c r="BK38" s="67" t="s">
        <v>231</v>
      </c>
      <c r="BL38" s="48">
        <v>0.40600000000000003</v>
      </c>
      <c r="BM38" s="48">
        <v>7.8129999999999997</v>
      </c>
      <c r="BN38" s="47" t="s">
        <v>222</v>
      </c>
      <c r="BO38" s="50">
        <v>0.5</v>
      </c>
      <c r="BP38" s="50">
        <v>7.625</v>
      </c>
      <c r="BQ38" s="51" t="s">
        <v>232</v>
      </c>
      <c r="BR38" s="48">
        <v>0.59399999999999997</v>
      </c>
      <c r="BS38" s="48">
        <v>7.4370000000000003</v>
      </c>
      <c r="BT38" s="51" t="s">
        <v>233</v>
      </c>
      <c r="BU38" s="50">
        <v>0.71899999999999997</v>
      </c>
      <c r="BV38" s="50">
        <v>7.1870000000000003</v>
      </c>
      <c r="BW38" s="51" t="s">
        <v>234</v>
      </c>
      <c r="BX38" s="48">
        <v>0.81200000000000006</v>
      </c>
      <c r="BY38" s="48">
        <v>7.0010000000000003</v>
      </c>
      <c r="BZ38" s="51" t="s">
        <v>235</v>
      </c>
      <c r="CA38" s="50">
        <v>0.90600000000000003</v>
      </c>
      <c r="CB38" s="50">
        <v>6.8129999999999997</v>
      </c>
      <c r="CC38" s="47" t="s">
        <v>236</v>
      </c>
      <c r="CD38" s="50">
        <v>0.32200000000000001</v>
      </c>
      <c r="CE38" s="50">
        <v>7.9809999999999999</v>
      </c>
      <c r="CF38" s="47" t="s">
        <v>237</v>
      </c>
      <c r="CG38" s="50">
        <v>0.5</v>
      </c>
      <c r="CH38" s="50">
        <v>7.625</v>
      </c>
      <c r="CI38" s="47" t="s">
        <v>238</v>
      </c>
      <c r="CJ38" s="50">
        <v>0.875</v>
      </c>
      <c r="CK38" s="54">
        <v>6.875</v>
      </c>
      <c r="CL38" s="17"/>
    </row>
    <row r="39" spans="2:90" ht="14.9" customHeight="1" x14ac:dyDescent="0.3">
      <c r="B39" s="100"/>
      <c r="C39" s="349" t="s">
        <v>287</v>
      </c>
      <c r="D39" s="350"/>
      <c r="E39" s="350"/>
      <c r="F39" s="350"/>
      <c r="G39" s="350"/>
      <c r="H39" s="350"/>
      <c r="I39" s="350"/>
      <c r="J39" s="350"/>
      <c r="K39" s="350"/>
      <c r="L39" s="350"/>
      <c r="M39" s="350"/>
      <c r="N39" s="350"/>
      <c r="O39" s="350"/>
      <c r="P39" s="350"/>
      <c r="Q39" s="350"/>
      <c r="R39" s="350"/>
      <c r="S39" s="351"/>
      <c r="T39" s="438">
        <f>IF(T35="Inputs Ok",(IF(T17="Manual Input",1/((T14*((1/T26)+(T20/(1000*T21*T27))))^0.5),1/((T14*((1/T26)+(T18/(1000*T19*T27))))^0.5))),"-")</f>
        <v>1482.375115647842</v>
      </c>
      <c r="U39" s="439"/>
      <c r="V39" s="439"/>
      <c r="W39" s="439"/>
      <c r="X39" s="439"/>
      <c r="Y39" s="440"/>
      <c r="Z39" s="438">
        <f>IF(Z35="Inputs Ok",(IF(Z17="Manual Input",1/((Z14*((1/Z26)+(Z20/(1000*Z21*Z27))))^0.5),1/((Z14*((1/Z26)+(Z18/(1000*Z19*Z27))))^0.5))),"-")</f>
        <v>1482.6051680332394</v>
      </c>
      <c r="AA39" s="439"/>
      <c r="AB39" s="439"/>
      <c r="AC39" s="439"/>
      <c r="AD39" s="439"/>
      <c r="AE39" s="440"/>
      <c r="AF39" s="438">
        <f>IF(AF35="Inputs Ok",(IF(AF17="Manual Input",1/((AF14*((1/AF26)+(AF20/(1000*AF21*AF27))))^0.5),1/((AF14*((1/AF26)+(AF18/(1000*AF19*AF27))))^0.5))),"-")</f>
        <v>1482.6051680332394</v>
      </c>
      <c r="AG39" s="439"/>
      <c r="AH39" s="439"/>
      <c r="AI39" s="439"/>
      <c r="AJ39" s="439"/>
      <c r="AK39" s="440"/>
      <c r="AL39" s="72"/>
      <c r="AM39" s="72"/>
      <c r="AN39" s="101"/>
      <c r="AR39" s="17"/>
      <c r="AS39" s="17"/>
      <c r="AT39" s="36">
        <v>250</v>
      </c>
      <c r="AU39" s="63">
        <v>273.05</v>
      </c>
      <c r="AV39" s="47" t="s">
        <v>227</v>
      </c>
      <c r="AW39" s="50">
        <v>0.13400000000000001</v>
      </c>
      <c r="AX39" s="50">
        <v>10.481999999999999</v>
      </c>
      <c r="AY39" s="47" t="s">
        <v>228</v>
      </c>
      <c r="AZ39" s="50">
        <v>0.16500000000000001</v>
      </c>
      <c r="BA39" s="50">
        <v>10.42</v>
      </c>
      <c r="BB39" s="51" t="s">
        <v>229</v>
      </c>
      <c r="BC39" s="48">
        <v>0.25</v>
      </c>
      <c r="BD39" s="48">
        <v>10.25</v>
      </c>
      <c r="BE39" s="51" t="s">
        <v>230</v>
      </c>
      <c r="BF39" s="48">
        <v>0.307</v>
      </c>
      <c r="BG39" s="48">
        <v>10.135999999999999</v>
      </c>
      <c r="BH39" s="47" t="s">
        <v>221</v>
      </c>
      <c r="BI39" s="48">
        <v>0.36499999999999999</v>
      </c>
      <c r="BJ39" s="48">
        <v>10.02</v>
      </c>
      <c r="BK39" s="67" t="s">
        <v>231</v>
      </c>
      <c r="BL39" s="48">
        <v>0.5</v>
      </c>
      <c r="BM39" s="48">
        <v>9.75</v>
      </c>
      <c r="BN39" s="47" t="s">
        <v>222</v>
      </c>
      <c r="BO39" s="50">
        <v>0.59399999999999997</v>
      </c>
      <c r="BP39" s="50">
        <v>9.5619999999999994</v>
      </c>
      <c r="BQ39" s="51" t="s">
        <v>232</v>
      </c>
      <c r="BR39" s="48">
        <v>0.71899999999999997</v>
      </c>
      <c r="BS39" s="48">
        <v>9.3119999999999994</v>
      </c>
      <c r="BT39" s="51" t="s">
        <v>233</v>
      </c>
      <c r="BU39" s="50">
        <v>0.84399999999999997</v>
      </c>
      <c r="BV39" s="50">
        <v>9.0619999999999994</v>
      </c>
      <c r="BW39" s="51" t="s">
        <v>234</v>
      </c>
      <c r="BX39" s="48">
        <v>1</v>
      </c>
      <c r="BY39" s="48">
        <v>8.75</v>
      </c>
      <c r="BZ39" s="51" t="s">
        <v>235</v>
      </c>
      <c r="CA39" s="50">
        <v>1.125</v>
      </c>
      <c r="CB39" s="50">
        <v>8.5</v>
      </c>
      <c r="CC39" s="47" t="s">
        <v>236</v>
      </c>
      <c r="CD39" s="50">
        <v>0.36499999999999999</v>
      </c>
      <c r="CE39" s="50">
        <v>10.02</v>
      </c>
      <c r="CF39" s="47" t="s">
        <v>237</v>
      </c>
      <c r="CG39" s="50">
        <v>0.5</v>
      </c>
      <c r="CH39" s="50">
        <v>9.75</v>
      </c>
      <c r="CI39" s="47" t="s">
        <v>238</v>
      </c>
      <c r="CJ39" s="50">
        <v>1</v>
      </c>
      <c r="CK39" s="54">
        <v>8.75</v>
      </c>
      <c r="CL39" s="17"/>
    </row>
    <row r="40" spans="2:90" ht="14.9" customHeight="1" x14ac:dyDescent="0.25">
      <c r="B40" s="100"/>
      <c r="C40" s="338" t="s">
        <v>288</v>
      </c>
      <c r="D40" s="339"/>
      <c r="E40" s="339"/>
      <c r="F40" s="339"/>
      <c r="G40" s="339"/>
      <c r="H40" s="339"/>
      <c r="I40" s="339"/>
      <c r="J40" s="339"/>
      <c r="K40" s="339"/>
      <c r="L40" s="339"/>
      <c r="M40" s="339"/>
      <c r="N40" s="339"/>
      <c r="O40" s="339"/>
      <c r="P40" s="339"/>
      <c r="Q40" s="339"/>
      <c r="R40" s="339"/>
      <c r="S40" s="352"/>
      <c r="T40" s="433">
        <f>IF(T35="Inputs Ok",((T15/T14)/((PI()/4)*((T22/1000)^2))),"-")</f>
        <v>2.8817758381026173</v>
      </c>
      <c r="U40" s="434"/>
      <c r="V40" s="434"/>
      <c r="W40" s="434"/>
      <c r="X40" s="434"/>
      <c r="Y40" s="435"/>
      <c r="Z40" s="433">
        <f>IF(Z35="Inputs Ok",((Z15/Z14)/((PI()/4)*((Z22/1000)^2))),"-")</f>
        <v>3.881234553170835</v>
      </c>
      <c r="AA40" s="434"/>
      <c r="AB40" s="434"/>
      <c r="AC40" s="434"/>
      <c r="AD40" s="434"/>
      <c r="AE40" s="435"/>
      <c r="AF40" s="433">
        <f>IF(AF35="Inputs Ok",((AF15/AF14)/((PI()/4)*((AF22/1000)^2))),"-")</f>
        <v>3.881234553170835</v>
      </c>
      <c r="AG40" s="434"/>
      <c r="AH40" s="434"/>
      <c r="AI40" s="434"/>
      <c r="AJ40" s="434"/>
      <c r="AK40" s="435"/>
      <c r="AL40" s="72"/>
      <c r="AM40" s="72"/>
      <c r="AN40" s="101"/>
      <c r="AR40" s="17"/>
      <c r="AS40" s="17"/>
      <c r="AT40" s="36">
        <v>300</v>
      </c>
      <c r="AU40" s="63">
        <v>323.85000000000002</v>
      </c>
      <c r="AV40" s="47" t="s">
        <v>227</v>
      </c>
      <c r="AW40" s="50">
        <v>0.156</v>
      </c>
      <c r="AX40" s="50">
        <v>12.438000000000001</v>
      </c>
      <c r="AY40" s="47" t="s">
        <v>228</v>
      </c>
      <c r="AZ40" s="50">
        <v>0.18</v>
      </c>
      <c r="BA40" s="50">
        <v>12.39</v>
      </c>
      <c r="BB40" s="51" t="s">
        <v>229</v>
      </c>
      <c r="BC40" s="48">
        <v>0.25</v>
      </c>
      <c r="BD40" s="48">
        <v>12.25</v>
      </c>
      <c r="BE40" s="51" t="s">
        <v>230</v>
      </c>
      <c r="BF40" s="48">
        <v>0.33</v>
      </c>
      <c r="BG40" s="48">
        <v>12.09</v>
      </c>
      <c r="BH40" s="47" t="s">
        <v>221</v>
      </c>
      <c r="BI40" s="48">
        <v>0.40600000000000003</v>
      </c>
      <c r="BJ40" s="48">
        <v>11.938000000000001</v>
      </c>
      <c r="BK40" s="67" t="s">
        <v>231</v>
      </c>
      <c r="BL40" s="48">
        <v>0.56200000000000006</v>
      </c>
      <c r="BM40" s="48">
        <v>11.625999999999999</v>
      </c>
      <c r="BN40" s="47" t="s">
        <v>222</v>
      </c>
      <c r="BO40" s="50">
        <v>0.68800000000000006</v>
      </c>
      <c r="BP40" s="50">
        <v>11.374000000000001</v>
      </c>
      <c r="BQ40" s="51" t="s">
        <v>232</v>
      </c>
      <c r="BR40" s="48">
        <v>0.84399999999999997</v>
      </c>
      <c r="BS40" s="48">
        <v>11.061999999999999</v>
      </c>
      <c r="BT40" s="51" t="s">
        <v>233</v>
      </c>
      <c r="BU40" s="50">
        <v>1</v>
      </c>
      <c r="BV40" s="50">
        <v>10.75</v>
      </c>
      <c r="BW40" s="51" t="s">
        <v>234</v>
      </c>
      <c r="BX40" s="48">
        <v>1.125</v>
      </c>
      <c r="BY40" s="48">
        <v>10.5</v>
      </c>
      <c r="BZ40" s="51" t="s">
        <v>235</v>
      </c>
      <c r="CA40" s="50">
        <v>1.3120000000000001</v>
      </c>
      <c r="CB40" s="50">
        <v>10.125999999999999</v>
      </c>
      <c r="CC40" s="47" t="s">
        <v>236</v>
      </c>
      <c r="CD40" s="50">
        <v>0.375</v>
      </c>
      <c r="CE40" s="50">
        <v>12</v>
      </c>
      <c r="CF40" s="47" t="s">
        <v>237</v>
      </c>
      <c r="CG40" s="50">
        <v>0.5</v>
      </c>
      <c r="CH40" s="50">
        <v>11.75</v>
      </c>
      <c r="CI40" s="47" t="s">
        <v>238</v>
      </c>
      <c r="CJ40" s="50">
        <v>1</v>
      </c>
      <c r="CK40" s="54">
        <v>10.75</v>
      </c>
      <c r="CL40" s="17"/>
    </row>
    <row r="41" spans="2:90" ht="14.9" customHeight="1" x14ac:dyDescent="0.25">
      <c r="B41" s="100"/>
      <c r="C41" s="338" t="s">
        <v>289</v>
      </c>
      <c r="D41" s="339"/>
      <c r="E41" s="339"/>
      <c r="F41" s="339"/>
      <c r="G41" s="339"/>
      <c r="H41" s="339"/>
      <c r="I41" s="339"/>
      <c r="J41" s="339"/>
      <c r="K41" s="339"/>
      <c r="L41" s="339"/>
      <c r="M41" s="339"/>
      <c r="N41" s="339"/>
      <c r="O41" s="339"/>
      <c r="P41" s="339"/>
      <c r="Q41" s="339"/>
      <c r="R41" s="339"/>
      <c r="S41" s="352"/>
      <c r="T41" s="411">
        <f>IF(T35="Inputs Ok",T14*T40*T39,"-")</f>
        <v>4546981.399036861</v>
      </c>
      <c r="U41" s="412"/>
      <c r="V41" s="412"/>
      <c r="W41" s="412"/>
      <c r="X41" s="412"/>
      <c r="Y41" s="413"/>
      <c r="Z41" s="411">
        <f>IF(Z35="Inputs Ok",Z14*Z40*Z39,"-")</f>
        <v>6124917.8002833501</v>
      </c>
      <c r="AA41" s="412"/>
      <c r="AB41" s="412"/>
      <c r="AC41" s="412"/>
      <c r="AD41" s="412"/>
      <c r="AE41" s="413"/>
      <c r="AF41" s="411">
        <f>IF(AF35="Inputs Ok",AF14*AF40*AF39,"-")</f>
        <v>6124917.8002833501</v>
      </c>
      <c r="AG41" s="412"/>
      <c r="AH41" s="412"/>
      <c r="AI41" s="412"/>
      <c r="AJ41" s="412"/>
      <c r="AK41" s="413"/>
      <c r="AL41" s="72"/>
      <c r="AM41" s="72"/>
      <c r="AN41" s="101"/>
      <c r="AR41" s="17"/>
      <c r="AS41" s="17"/>
      <c r="AT41" s="36">
        <v>350</v>
      </c>
      <c r="AU41" s="63">
        <v>355.6</v>
      </c>
      <c r="AV41" s="47" t="s">
        <v>227</v>
      </c>
      <c r="AW41" s="50">
        <v>0.156</v>
      </c>
      <c r="AX41" s="50">
        <v>13.688000000000001</v>
      </c>
      <c r="AY41" s="47" t="s">
        <v>228</v>
      </c>
      <c r="AZ41" s="50">
        <v>0.25</v>
      </c>
      <c r="BA41" s="50">
        <v>13.5</v>
      </c>
      <c r="BB41" s="51" t="s">
        <v>229</v>
      </c>
      <c r="BC41" s="50">
        <v>0.312</v>
      </c>
      <c r="BD41" s="50">
        <v>13.375999999999999</v>
      </c>
      <c r="BE41" s="51" t="s">
        <v>230</v>
      </c>
      <c r="BF41" s="50">
        <v>0.375</v>
      </c>
      <c r="BG41" s="50">
        <v>13.25</v>
      </c>
      <c r="BH41" s="47" t="s">
        <v>221</v>
      </c>
      <c r="BI41" s="50">
        <v>0.438</v>
      </c>
      <c r="BJ41" s="50">
        <v>13.124000000000001</v>
      </c>
      <c r="BK41" s="67" t="s">
        <v>231</v>
      </c>
      <c r="BL41" s="50">
        <v>0.59399999999999997</v>
      </c>
      <c r="BM41" s="50">
        <v>12.811999999999999</v>
      </c>
      <c r="BN41" s="47" t="s">
        <v>222</v>
      </c>
      <c r="BO41" s="48">
        <v>0.75</v>
      </c>
      <c r="BP41" s="48">
        <v>12.5</v>
      </c>
      <c r="BQ41" s="51" t="s">
        <v>232</v>
      </c>
      <c r="BR41" s="50">
        <v>0.93799999999999994</v>
      </c>
      <c r="BS41" s="50">
        <v>12.124000000000001</v>
      </c>
      <c r="BT41" s="51" t="s">
        <v>233</v>
      </c>
      <c r="BU41" s="50">
        <v>1.0940000000000001</v>
      </c>
      <c r="BV41" s="50">
        <v>11.811999999999999</v>
      </c>
      <c r="BW41" s="51" t="s">
        <v>234</v>
      </c>
      <c r="BX41" s="50">
        <v>1.25</v>
      </c>
      <c r="BY41" s="50">
        <v>11.5</v>
      </c>
      <c r="BZ41" s="51" t="s">
        <v>235</v>
      </c>
      <c r="CA41" s="50">
        <v>1.4059999999999999</v>
      </c>
      <c r="CB41" s="50">
        <v>11.188000000000001</v>
      </c>
      <c r="CC41" s="47" t="s">
        <v>236</v>
      </c>
      <c r="CD41" s="48">
        <v>0.375</v>
      </c>
      <c r="CE41" s="48">
        <v>13.25</v>
      </c>
      <c r="CF41" s="47" t="s">
        <v>237</v>
      </c>
      <c r="CG41" s="48">
        <v>0.5</v>
      </c>
      <c r="CH41" s="48">
        <v>13</v>
      </c>
      <c r="CI41" s="132"/>
      <c r="CJ41" s="37"/>
      <c r="CK41" s="38"/>
      <c r="CL41" s="17"/>
    </row>
    <row r="42" spans="2:90" ht="14.9" customHeight="1" x14ac:dyDescent="0.25">
      <c r="B42" s="100"/>
      <c r="C42" s="338" t="s">
        <v>290</v>
      </c>
      <c r="D42" s="339"/>
      <c r="E42" s="339"/>
      <c r="F42" s="339"/>
      <c r="G42" s="339"/>
      <c r="H42" s="339"/>
      <c r="I42" s="339"/>
      <c r="J42" s="339"/>
      <c r="K42" s="339"/>
      <c r="L42" s="339"/>
      <c r="M42" s="339"/>
      <c r="N42" s="339"/>
      <c r="O42" s="339"/>
      <c r="P42" s="339"/>
      <c r="Q42" s="339"/>
      <c r="R42" s="339"/>
      <c r="S42" s="352"/>
      <c r="T42" s="374">
        <f>IF(T35="Inputs Ok",(T14*T39*T40*PI()*((T22^2)/(4*10^9))),"-")</f>
        <v>152.136158118938</v>
      </c>
      <c r="U42" s="375"/>
      <c r="V42" s="375"/>
      <c r="W42" s="375"/>
      <c r="X42" s="375"/>
      <c r="Y42" s="376"/>
      <c r="Z42" s="374">
        <f>IF(Z35="Inputs Ok",(Z14*Z39*Z40*PI()*((Z22^2)/(4*10^9))),"-")</f>
        <v>152.15976839525135</v>
      </c>
      <c r="AA42" s="375"/>
      <c r="AB42" s="375"/>
      <c r="AC42" s="375"/>
      <c r="AD42" s="375"/>
      <c r="AE42" s="376"/>
      <c r="AF42" s="374">
        <f>IF(AF35="Inputs Ok",(AF14*AF39*AF40*PI()*((AF22^2)/(4*10^9))),"-")</f>
        <v>152.15976839525135</v>
      </c>
      <c r="AG42" s="375"/>
      <c r="AH42" s="375"/>
      <c r="AI42" s="375"/>
      <c r="AJ42" s="375"/>
      <c r="AK42" s="376"/>
      <c r="AL42" s="72"/>
      <c r="AM42" s="72"/>
      <c r="AN42" s="101"/>
      <c r="AR42" s="17"/>
      <c r="AS42" s="17"/>
      <c r="AT42" s="36">
        <v>450</v>
      </c>
      <c r="AU42" s="63">
        <v>457.2</v>
      </c>
      <c r="AV42" s="47" t="s">
        <v>227</v>
      </c>
      <c r="AW42" s="50">
        <v>0.16500000000000001</v>
      </c>
      <c r="AX42" s="50">
        <v>17.670000000000002</v>
      </c>
      <c r="AY42" s="47" t="s">
        <v>228</v>
      </c>
      <c r="AZ42" s="50">
        <v>0.25</v>
      </c>
      <c r="BA42" s="50">
        <v>17.5</v>
      </c>
      <c r="BB42" s="51" t="s">
        <v>229</v>
      </c>
      <c r="BC42" s="50">
        <v>0.312</v>
      </c>
      <c r="BD42" s="50">
        <v>17.376000000000001</v>
      </c>
      <c r="BE42" s="51" t="s">
        <v>230</v>
      </c>
      <c r="BF42" s="50">
        <v>0.438</v>
      </c>
      <c r="BG42" s="50">
        <v>17.123999999999999</v>
      </c>
      <c r="BH42" s="47" t="s">
        <v>221</v>
      </c>
      <c r="BI42" s="50">
        <v>0.56200000000000006</v>
      </c>
      <c r="BJ42" s="50">
        <v>16.876000000000001</v>
      </c>
      <c r="BK42" s="67" t="s">
        <v>231</v>
      </c>
      <c r="BL42" s="50">
        <v>0.75</v>
      </c>
      <c r="BM42" s="50">
        <v>16.5</v>
      </c>
      <c r="BN42" s="47" t="s">
        <v>222</v>
      </c>
      <c r="BO42" s="48">
        <v>0.93800000000000006</v>
      </c>
      <c r="BP42" s="48">
        <v>16.123999999999999</v>
      </c>
      <c r="BQ42" s="51" t="s">
        <v>232</v>
      </c>
      <c r="BR42" s="50">
        <v>1.1559999999999999</v>
      </c>
      <c r="BS42" s="50">
        <v>15.688000000000001</v>
      </c>
      <c r="BT42" s="51" t="s">
        <v>233</v>
      </c>
      <c r="BU42" s="50">
        <v>1.375</v>
      </c>
      <c r="BV42" s="50">
        <v>15.25</v>
      </c>
      <c r="BW42" s="51" t="s">
        <v>234</v>
      </c>
      <c r="BX42" s="50">
        <v>1.5620000000000001</v>
      </c>
      <c r="BY42" s="50">
        <v>14.875999999999999</v>
      </c>
      <c r="BZ42" s="51" t="s">
        <v>235</v>
      </c>
      <c r="CA42" s="50">
        <v>1.7809999999999999</v>
      </c>
      <c r="CB42" s="50">
        <v>14.438000000000001</v>
      </c>
      <c r="CC42" s="47" t="s">
        <v>236</v>
      </c>
      <c r="CD42" s="48">
        <v>0.375</v>
      </c>
      <c r="CE42" s="48">
        <v>17.25</v>
      </c>
      <c r="CF42" s="47" t="s">
        <v>237</v>
      </c>
      <c r="CG42" s="48">
        <v>0.5</v>
      </c>
      <c r="CH42" s="48">
        <v>17</v>
      </c>
      <c r="CI42" s="132"/>
      <c r="CJ42" s="37"/>
      <c r="CK42" s="38"/>
      <c r="CL42" s="17"/>
    </row>
    <row r="43" spans="2:90" ht="14.9" customHeight="1" x14ac:dyDescent="0.25">
      <c r="B43" s="100"/>
      <c r="C43" s="338" t="s">
        <v>291</v>
      </c>
      <c r="D43" s="339"/>
      <c r="E43" s="339"/>
      <c r="F43" s="339"/>
      <c r="G43" s="339"/>
      <c r="H43" s="339"/>
      <c r="I43" s="339"/>
      <c r="J43" s="339"/>
      <c r="K43" s="339"/>
      <c r="L43" s="339"/>
      <c r="M43" s="339"/>
      <c r="N43" s="339"/>
      <c r="O43" s="339"/>
      <c r="P43" s="339"/>
      <c r="Q43" s="339"/>
      <c r="R43" s="339"/>
      <c r="S43" s="352"/>
      <c r="T43" s="405">
        <f>IF(T35="Inputs Ok",(IF(T28&gt;100,"-",IF(T42&lt;1,"-",IF(T29="full bore ball",((-1.281/T24)-0.27),IF(T29="Reduced bore ball",((-1.268/T24)-0.362),IF(T29="Butterfly",((-2.877/T24)-0.275),IF(T29="Globe",((-2.266/T24)-0.32),IF(T29="Gate",((-3.41/T24)-0.315),0)))))))),"-")</f>
        <v>-0.63462499999999999</v>
      </c>
      <c r="U43" s="406"/>
      <c r="V43" s="406"/>
      <c r="W43" s="406"/>
      <c r="X43" s="406"/>
      <c r="Y43" s="407"/>
      <c r="Z43" s="405">
        <f>IF(Z35="Inputs Ok",(IF(Z28&gt;100,"-",IF(Z42&lt;1,"-",IF(Z29="full bore ball",((-1.281/Z24)-0.27),IF(Z29="Reduced bore ball",((-1.268/Z24)-0.362),IF(Z29="Butterfly",((-2.877/Z24)-0.275),IF(Z29="Globe",((-2.266/Z24)-0.32),IF(Z29="Gate",((-3.41/Z24)-0.315),0)))))))),"-")</f>
        <v>-0.74124999999999996</v>
      </c>
      <c r="AA43" s="406"/>
      <c r="AB43" s="406"/>
      <c r="AC43" s="406"/>
      <c r="AD43" s="406"/>
      <c r="AE43" s="407"/>
      <c r="AF43" s="405">
        <f>IF(AF35="Inputs Ok",(IF(AF28&gt;100,"-",IF(AF42&lt;1,"-",IF(AF29="full bore ball",((-1.281/AF24)-0.27),IF(AF29="Reduced bore ball",((-1.268/AF24)-0.362),IF(AF29="Butterfly",((-2.877/AF24)-0.275),IF(AF29="Globe",((-2.266/AF24)-0.32),IF(AF29="Gate",((-3.41/AF24)-0.315),0)))))))),"-")</f>
        <v>-0.60325000000000006</v>
      </c>
      <c r="AG43" s="406"/>
      <c r="AH43" s="406"/>
      <c r="AI43" s="406"/>
      <c r="AJ43" s="406"/>
      <c r="AK43" s="407"/>
      <c r="AL43" s="72"/>
      <c r="AM43" s="72"/>
      <c r="AN43" s="101"/>
      <c r="AP43" s="21"/>
      <c r="AR43" s="17"/>
      <c r="AS43" s="17"/>
      <c r="AT43" s="36">
        <v>500</v>
      </c>
      <c r="AU43" s="63">
        <v>508</v>
      </c>
      <c r="AV43" s="47" t="s">
        <v>227</v>
      </c>
      <c r="AW43" s="50">
        <v>0.188</v>
      </c>
      <c r="AX43" s="50">
        <v>19.623999999999999</v>
      </c>
      <c r="AY43" s="47" t="s">
        <v>228</v>
      </c>
      <c r="AZ43" s="50">
        <v>0.25</v>
      </c>
      <c r="BA43" s="50">
        <v>19.5</v>
      </c>
      <c r="BB43" s="51" t="s">
        <v>229</v>
      </c>
      <c r="BC43" s="50">
        <v>0.375</v>
      </c>
      <c r="BD43" s="50">
        <v>19.25</v>
      </c>
      <c r="BE43" s="51" t="s">
        <v>230</v>
      </c>
      <c r="BF43" s="50">
        <v>0.5</v>
      </c>
      <c r="BG43" s="50">
        <v>19</v>
      </c>
      <c r="BH43" s="47" t="s">
        <v>221</v>
      </c>
      <c r="BI43" s="50">
        <v>0.59399999999999997</v>
      </c>
      <c r="BJ43" s="50">
        <v>18.812000000000001</v>
      </c>
      <c r="BK43" s="67" t="s">
        <v>231</v>
      </c>
      <c r="BL43" s="50">
        <v>0.81200000000000006</v>
      </c>
      <c r="BM43" s="50">
        <v>18.376000000000001</v>
      </c>
      <c r="BN43" s="47" t="s">
        <v>222</v>
      </c>
      <c r="BO43" s="50">
        <v>1.0309999999999999</v>
      </c>
      <c r="BP43" s="50">
        <v>17.937999999999999</v>
      </c>
      <c r="BQ43" s="51" t="s">
        <v>232</v>
      </c>
      <c r="BR43" s="50">
        <v>1.2809999999999999</v>
      </c>
      <c r="BS43" s="50">
        <v>17.437999999999999</v>
      </c>
      <c r="BT43" s="51" t="s">
        <v>233</v>
      </c>
      <c r="BU43" s="48">
        <v>1.5</v>
      </c>
      <c r="BV43" s="48">
        <v>17</v>
      </c>
      <c r="BW43" s="51" t="s">
        <v>234</v>
      </c>
      <c r="BX43" s="50">
        <v>1.75</v>
      </c>
      <c r="BY43" s="50">
        <v>16.5</v>
      </c>
      <c r="BZ43" s="51" t="s">
        <v>235</v>
      </c>
      <c r="CA43" s="48">
        <v>1.9690000000000001</v>
      </c>
      <c r="CB43" s="48">
        <v>16.062000000000001</v>
      </c>
      <c r="CC43" s="47" t="s">
        <v>236</v>
      </c>
      <c r="CD43" s="50">
        <v>0.375</v>
      </c>
      <c r="CE43" s="50">
        <v>19.25</v>
      </c>
      <c r="CF43" s="47" t="s">
        <v>237</v>
      </c>
      <c r="CG43" s="50">
        <v>0.5</v>
      </c>
      <c r="CH43" s="50">
        <v>19</v>
      </c>
      <c r="CI43" s="132"/>
      <c r="CJ43" s="37"/>
      <c r="CK43" s="38"/>
      <c r="CL43" s="17"/>
    </row>
    <row r="44" spans="2:90" ht="14.9" customHeight="1" x14ac:dyDescent="0.25">
      <c r="B44" s="100"/>
      <c r="C44" s="338" t="s">
        <v>292</v>
      </c>
      <c r="D44" s="339"/>
      <c r="E44" s="339"/>
      <c r="F44" s="339"/>
      <c r="G44" s="339"/>
      <c r="H44" s="339"/>
      <c r="I44" s="339"/>
      <c r="J44" s="339"/>
      <c r="K44" s="339"/>
      <c r="L44" s="339"/>
      <c r="M44" s="339"/>
      <c r="N44" s="339"/>
      <c r="O44" s="339"/>
      <c r="P44" s="339"/>
      <c r="Q44" s="339"/>
      <c r="R44" s="339"/>
      <c r="S44" s="352"/>
      <c r="T44" s="408">
        <f>IF(T35="Inputs Ok",(IF(T28&gt;100,"-",IF(T42&lt;1,"-",(T14*T40*T28*T43)/T25))), "-")</f>
        <v>-8.8684498291241544E-4</v>
      </c>
      <c r="U44" s="409"/>
      <c r="V44" s="409"/>
      <c r="W44" s="409"/>
      <c r="X44" s="409"/>
      <c r="Y44" s="410"/>
      <c r="Z44" s="408">
        <f>IF(Z35="Inputs Ok",(IF(Z28&gt;100,"-",IF(Z42&lt;1,"-",(Z14*Z40*Z28*Z43)/Z25))), "-")</f>
        <v>-1.3950987087860234E-3</v>
      </c>
      <c r="AA44" s="409"/>
      <c r="AB44" s="409"/>
      <c r="AC44" s="409"/>
      <c r="AD44" s="409"/>
      <c r="AE44" s="410"/>
      <c r="AF44" s="408">
        <f>IF(AF35="Inputs Ok",(IF(AF28&gt;100,"-",IF(AF42&lt;1,"-",(AF14*AF40*AF28*AF43)/AF25))), "-")</f>
        <v>-1.1353703825634652E-3</v>
      </c>
      <c r="AG44" s="409"/>
      <c r="AH44" s="409"/>
      <c r="AI44" s="409"/>
      <c r="AJ44" s="409"/>
      <c r="AK44" s="410"/>
      <c r="AL44" s="72"/>
      <c r="AM44" s="72"/>
      <c r="AN44" s="101"/>
      <c r="AO44" s="10">
        <v>4</v>
      </c>
      <c r="AP44" s="21" t="s">
        <v>257</v>
      </c>
      <c r="AR44" s="17"/>
      <c r="AS44" s="17"/>
      <c r="AT44" s="36">
        <v>550</v>
      </c>
      <c r="AU44" s="63">
        <v>558.79999999999995</v>
      </c>
      <c r="AV44" s="47" t="s">
        <v>227</v>
      </c>
      <c r="AW44" s="50">
        <v>0.188</v>
      </c>
      <c r="AX44" s="50">
        <v>21.623999999999999</v>
      </c>
      <c r="AY44" s="47" t="s">
        <v>228</v>
      </c>
      <c r="AZ44" s="50">
        <v>0.25</v>
      </c>
      <c r="BA44" s="50">
        <v>23.5</v>
      </c>
      <c r="BB44" s="51" t="s">
        <v>229</v>
      </c>
      <c r="BC44" s="50">
        <v>0.375</v>
      </c>
      <c r="BD44" s="50">
        <v>21.25</v>
      </c>
      <c r="BE44" s="51" t="s">
        <v>230</v>
      </c>
      <c r="BF44" s="50">
        <v>0.5</v>
      </c>
      <c r="BG44" s="50">
        <v>21</v>
      </c>
      <c r="BH44" s="47" t="s">
        <v>221</v>
      </c>
      <c r="BI44" s="50"/>
      <c r="BJ44" s="50"/>
      <c r="BK44" s="67" t="s">
        <v>231</v>
      </c>
      <c r="BL44" s="50">
        <v>0.875</v>
      </c>
      <c r="BM44" s="50">
        <v>20.25</v>
      </c>
      <c r="BN44" s="47" t="s">
        <v>222</v>
      </c>
      <c r="BO44" s="50">
        <v>1.125</v>
      </c>
      <c r="BP44" s="50">
        <v>19.75</v>
      </c>
      <c r="BQ44" s="51" t="s">
        <v>232</v>
      </c>
      <c r="BR44" s="50">
        <v>1.375</v>
      </c>
      <c r="BS44" s="50">
        <v>19.25</v>
      </c>
      <c r="BT44" s="51" t="s">
        <v>233</v>
      </c>
      <c r="BU44" s="48">
        <v>1.625</v>
      </c>
      <c r="BV44" s="48">
        <v>18.75</v>
      </c>
      <c r="BW44" s="51" t="s">
        <v>234</v>
      </c>
      <c r="BX44" s="50">
        <v>1.875</v>
      </c>
      <c r="BY44" s="50">
        <v>20.125</v>
      </c>
      <c r="BZ44" s="51" t="s">
        <v>235</v>
      </c>
      <c r="CA44" s="48">
        <v>2.125</v>
      </c>
      <c r="CB44" s="48">
        <v>17.75</v>
      </c>
      <c r="CC44" s="47" t="s">
        <v>236</v>
      </c>
      <c r="CD44" s="48">
        <v>0.375</v>
      </c>
      <c r="CE44" s="48">
        <v>21.25</v>
      </c>
      <c r="CF44" s="47" t="s">
        <v>237</v>
      </c>
      <c r="CG44" s="48">
        <v>0.5</v>
      </c>
      <c r="CH44" s="48">
        <v>21</v>
      </c>
      <c r="CI44" s="132"/>
      <c r="CJ44" s="37"/>
      <c r="CK44" s="38"/>
      <c r="CL44" s="17"/>
    </row>
    <row r="45" spans="2:90" ht="14.9" customHeight="1" x14ac:dyDescent="0.25">
      <c r="B45" s="100"/>
      <c r="C45" s="338" t="s">
        <v>293</v>
      </c>
      <c r="D45" s="339"/>
      <c r="E45" s="339"/>
      <c r="F45" s="339"/>
      <c r="G45" s="339"/>
      <c r="H45" s="339"/>
      <c r="I45" s="339"/>
      <c r="J45" s="339"/>
      <c r="K45" s="339"/>
      <c r="L45" s="339"/>
      <c r="M45" s="339"/>
      <c r="N45" s="339"/>
      <c r="O45" s="339"/>
      <c r="P45" s="339"/>
      <c r="Q45" s="339"/>
      <c r="R45" s="339"/>
      <c r="S45" s="352"/>
      <c r="T45" s="411">
        <f>IF(T35="Inputs Ok",(IF(T28&gt;100,"-",IF(T42&lt;1,"-",T25*(((T44^2)/2)+(T44^2)*(((1/4)+(1/(T44^2)))^0.5))))),"-")</f>
        <v>19474.881060598625</v>
      </c>
      <c r="U45" s="412"/>
      <c r="V45" s="412"/>
      <c r="W45" s="412"/>
      <c r="X45" s="412"/>
      <c r="Y45" s="413"/>
      <c r="Z45" s="411">
        <f>IF(Z35="Inputs Ok",(IF(Z28&gt;100,"-",IF(Z42&lt;1,"-",Z25*(((Z44^2)/2)+(Z44^2)*(((1/4)+(1/(Z44^2)))^0.5))))),"-")</f>
        <v>30643.784754874701</v>
      </c>
      <c r="AA45" s="412"/>
      <c r="AB45" s="412"/>
      <c r="AC45" s="412"/>
      <c r="AD45" s="412"/>
      <c r="AE45" s="413"/>
      <c r="AF45" s="411">
        <f>IF(AF35="Inputs Ok",(IF(AF28&gt;100,"-",IF(AF42&lt;1,"-",AF25*(((AF44^2)/2)+(AF44^2)*(((1/4)+(1/(AF44^2)))^0.5))))),"-")</f>
        <v>24935.531411244367</v>
      </c>
      <c r="AG45" s="412"/>
      <c r="AH45" s="412"/>
      <c r="AI45" s="412"/>
      <c r="AJ45" s="412"/>
      <c r="AK45" s="413"/>
      <c r="AL45" s="72"/>
      <c r="AM45" s="72"/>
      <c r="AN45" s="101"/>
      <c r="AO45" s="10">
        <v>2</v>
      </c>
      <c r="AP45" s="21" t="s">
        <v>249</v>
      </c>
      <c r="AR45" s="17"/>
      <c r="AS45" s="17"/>
      <c r="AT45" s="36">
        <v>600</v>
      </c>
      <c r="AU45" s="63">
        <v>609.6</v>
      </c>
      <c r="AV45" s="47" t="s">
        <v>227</v>
      </c>
      <c r="AW45" s="50">
        <v>0.218</v>
      </c>
      <c r="AX45" s="50">
        <v>23.564</v>
      </c>
      <c r="AY45" s="47" t="s">
        <v>228</v>
      </c>
      <c r="AZ45" s="50">
        <v>0.25</v>
      </c>
      <c r="BA45" s="50">
        <v>23.5</v>
      </c>
      <c r="BB45" s="51" t="s">
        <v>229</v>
      </c>
      <c r="BC45" s="50">
        <v>0.375</v>
      </c>
      <c r="BD45" s="50">
        <v>23.25</v>
      </c>
      <c r="BE45" s="51" t="s">
        <v>230</v>
      </c>
      <c r="BF45" s="50">
        <v>0.56200000000000006</v>
      </c>
      <c r="BG45" s="50">
        <v>22.876000000000001</v>
      </c>
      <c r="BH45" s="47" t="s">
        <v>221</v>
      </c>
      <c r="BI45" s="50">
        <v>0.68800000000000006</v>
      </c>
      <c r="BJ45" s="50">
        <v>22.623999999999999</v>
      </c>
      <c r="BK45" s="67" t="s">
        <v>231</v>
      </c>
      <c r="BL45" s="50">
        <v>0.96899999999999997</v>
      </c>
      <c r="BM45" s="50">
        <v>22.062000000000001</v>
      </c>
      <c r="BN45" s="47" t="s">
        <v>222</v>
      </c>
      <c r="BO45" s="50">
        <v>1.2190000000000001</v>
      </c>
      <c r="BP45" s="50">
        <v>21.562000000000001</v>
      </c>
      <c r="BQ45" s="51" t="s">
        <v>232</v>
      </c>
      <c r="BR45" s="50">
        <v>1.5309999999999999</v>
      </c>
      <c r="BS45" s="50">
        <v>20.937999999999999</v>
      </c>
      <c r="BT45" s="51" t="s">
        <v>233</v>
      </c>
      <c r="BU45" s="48">
        <v>1.8120000000000001</v>
      </c>
      <c r="BV45" s="48">
        <v>20.376000000000001</v>
      </c>
      <c r="BW45" s="51" t="s">
        <v>234</v>
      </c>
      <c r="BX45" s="50">
        <v>2.0619999999999998</v>
      </c>
      <c r="BY45" s="50">
        <v>19.876000000000001</v>
      </c>
      <c r="BZ45" s="51" t="s">
        <v>235</v>
      </c>
      <c r="CA45" s="48">
        <v>2.3439999999999999</v>
      </c>
      <c r="CB45" s="48">
        <v>19.312000000000001</v>
      </c>
      <c r="CC45" s="47" t="s">
        <v>236</v>
      </c>
      <c r="CD45" s="48">
        <v>0.375</v>
      </c>
      <c r="CE45" s="48">
        <v>23.25</v>
      </c>
      <c r="CF45" s="47" t="s">
        <v>237</v>
      </c>
      <c r="CG45" s="48">
        <v>0.5</v>
      </c>
      <c r="CH45" s="48">
        <v>23</v>
      </c>
      <c r="CI45" s="132"/>
      <c r="CJ45" s="37"/>
      <c r="CK45" s="38"/>
      <c r="CL45" s="17"/>
    </row>
    <row r="46" spans="2:90" ht="14.9" customHeight="1" x14ac:dyDescent="0.25">
      <c r="B46" s="100"/>
      <c r="C46" s="338" t="s">
        <v>294</v>
      </c>
      <c r="D46" s="339"/>
      <c r="E46" s="339"/>
      <c r="F46" s="339"/>
      <c r="G46" s="339"/>
      <c r="H46" s="339"/>
      <c r="I46" s="339"/>
      <c r="J46" s="339"/>
      <c r="K46" s="339"/>
      <c r="L46" s="339"/>
      <c r="M46" s="339"/>
      <c r="N46" s="339"/>
      <c r="O46" s="339"/>
      <c r="P46" s="339"/>
      <c r="Q46" s="339"/>
      <c r="R46" s="339"/>
      <c r="S46" s="352"/>
      <c r="T46" s="411">
        <f>IF(T35="Inputs Ok",(IF(T28&gt;100,"-",IF(T42&lt;1,"-",IF(T30="Yes",(T45+T32-T25),("-"))))),"-")</f>
        <v>18469474.8810606</v>
      </c>
      <c r="U46" s="412"/>
      <c r="V46" s="412"/>
      <c r="W46" s="412"/>
      <c r="X46" s="412"/>
      <c r="Y46" s="413"/>
      <c r="Z46" s="411">
        <f>IF(Z35="Inputs Ok",(IF(Z28&gt;100,"-",IF(Z42&lt;1,"-",IF(Z30="Yes",(Z45+Z32-Z25),("-"))))),"-")</f>
        <v>18480643.784754872</v>
      </c>
      <c r="AA46" s="412"/>
      <c r="AB46" s="412"/>
      <c r="AC46" s="412"/>
      <c r="AD46" s="412"/>
      <c r="AE46" s="413"/>
      <c r="AF46" s="411" t="str">
        <f>IF(AF35="Inputs Ok",(IF(AF28&gt;100,"-",IF(AF42&lt;1,"-",IF(AF30="Yes",(AF45+AF32-AF25),("-"))))),"-")</f>
        <v>-</v>
      </c>
      <c r="AG46" s="412"/>
      <c r="AH46" s="412"/>
      <c r="AI46" s="412"/>
      <c r="AJ46" s="412"/>
      <c r="AK46" s="413"/>
      <c r="AL46" s="72"/>
      <c r="AM46" s="72"/>
      <c r="AN46" s="101"/>
      <c r="AO46" s="10">
        <v>1</v>
      </c>
      <c r="AP46" s="21" t="s">
        <v>259</v>
      </c>
      <c r="AR46" s="17"/>
      <c r="AS46" s="17"/>
      <c r="AT46" s="36">
        <v>650</v>
      </c>
      <c r="AU46" s="63">
        <v>660.4</v>
      </c>
      <c r="AV46" s="47"/>
      <c r="AW46" s="50"/>
      <c r="AX46" s="50"/>
      <c r="AY46" s="47" t="s">
        <v>228</v>
      </c>
      <c r="AZ46" s="50">
        <v>0.312</v>
      </c>
      <c r="BA46" s="50">
        <v>25.376000000000001</v>
      </c>
      <c r="BB46" s="51" t="s">
        <v>229</v>
      </c>
      <c r="BC46" s="50">
        <v>0.5</v>
      </c>
      <c r="BD46" s="50">
        <v>25</v>
      </c>
      <c r="BE46" s="51" t="s">
        <v>230</v>
      </c>
      <c r="BF46" s="50"/>
      <c r="BG46" s="50"/>
      <c r="BH46" s="51"/>
      <c r="BI46" s="50"/>
      <c r="BJ46" s="50"/>
      <c r="BK46" s="51"/>
      <c r="BL46" s="37"/>
      <c r="BM46" s="37"/>
      <c r="BN46" s="37"/>
      <c r="BO46" s="37"/>
      <c r="BP46" s="37"/>
      <c r="BQ46" s="37"/>
      <c r="BR46" s="37"/>
      <c r="BS46" s="37"/>
      <c r="BT46" s="37"/>
      <c r="BU46" s="52"/>
      <c r="BV46" s="37"/>
      <c r="BW46" s="37"/>
      <c r="BX46" s="37"/>
      <c r="BY46" s="37"/>
      <c r="BZ46" s="37"/>
      <c r="CA46" s="50"/>
      <c r="CB46" s="50"/>
      <c r="CC46" s="47" t="s">
        <v>236</v>
      </c>
      <c r="CD46" s="48">
        <v>0.375</v>
      </c>
      <c r="CE46" s="48">
        <v>25.25</v>
      </c>
      <c r="CF46" s="47" t="s">
        <v>237</v>
      </c>
      <c r="CG46" s="48">
        <v>0.5</v>
      </c>
      <c r="CH46" s="48">
        <v>25</v>
      </c>
      <c r="CI46" s="132"/>
      <c r="CJ46" s="37"/>
      <c r="CK46" s="38"/>
      <c r="CL46" s="17"/>
    </row>
    <row r="47" spans="2:90" ht="14.9" customHeight="1" x14ac:dyDescent="0.25">
      <c r="B47" s="100"/>
      <c r="C47" s="338" t="s">
        <v>290</v>
      </c>
      <c r="D47" s="339"/>
      <c r="E47" s="339"/>
      <c r="F47" s="339"/>
      <c r="G47" s="339"/>
      <c r="H47" s="339"/>
      <c r="I47" s="339"/>
      <c r="J47" s="339"/>
      <c r="K47" s="339"/>
      <c r="L47" s="339"/>
      <c r="M47" s="339"/>
      <c r="N47" s="339"/>
      <c r="O47" s="339"/>
      <c r="P47" s="339"/>
      <c r="Q47" s="339"/>
      <c r="R47" s="339"/>
      <c r="S47" s="352"/>
      <c r="T47" s="356">
        <f>IF(T35="Inputs Ok",(IF(T28&gt;100,"-",IF(T42&lt;1,"-",IF(T30="No",((T45*PI()*((T22^2)/(4*10^9)))),IF(T46&gt;T31,"-",((T45*PI()*((T22^2)/(4*10^9))))))))),"-")</f>
        <v>0.65160450953468363</v>
      </c>
      <c r="U47" s="357"/>
      <c r="V47" s="357"/>
      <c r="W47" s="357"/>
      <c r="X47" s="357"/>
      <c r="Y47" s="358"/>
      <c r="Z47" s="356">
        <f>IF(Z35="Inputs Ok",(IF(Z28&gt;100,"-",IF(Z42&lt;1,"-",IF(Z30="No",((Z45*PI()*((Z22^2)/(4*10^9)))),IF(Z46&gt;Z31,"-",((Z45*PI()*((Z22^2)/(4*10^9))))))))),"-")</f>
        <v>0.76127571717614895</v>
      </c>
      <c r="AA47" s="357"/>
      <c r="AB47" s="357"/>
      <c r="AC47" s="357"/>
      <c r="AD47" s="357"/>
      <c r="AE47" s="358"/>
      <c r="AF47" s="356">
        <f>IF(AF35="Inputs Ok",(IF(AF28&gt;100,"-",IF(AF42&lt;1,"-",IF(AF30="No",((AF45*PI()*((AF22^2)/(4*10^9)))),IF(AF46&gt;AF31,"-",((AF45*PI()*((AF22^2)/(4*10^9))))))))),"-")</f>
        <v>0.619467037446924</v>
      </c>
      <c r="AG47" s="357"/>
      <c r="AH47" s="357"/>
      <c r="AI47" s="357"/>
      <c r="AJ47" s="357"/>
      <c r="AK47" s="358"/>
      <c r="AL47" s="72"/>
      <c r="AM47" s="72"/>
      <c r="AN47" s="101"/>
      <c r="AO47" s="10">
        <v>0.5</v>
      </c>
      <c r="AP47" s="10" t="s">
        <v>260</v>
      </c>
      <c r="AR47" s="17"/>
      <c r="AS47" s="17"/>
      <c r="AT47" s="36">
        <v>700</v>
      </c>
      <c r="AU47" s="63">
        <v>711.2</v>
      </c>
      <c r="AV47" s="47"/>
      <c r="AW47" s="50"/>
      <c r="AX47" s="50"/>
      <c r="AY47" s="47" t="s">
        <v>228</v>
      </c>
      <c r="AZ47" s="50">
        <v>0.312</v>
      </c>
      <c r="BA47" s="50">
        <v>27.376000000000001</v>
      </c>
      <c r="BB47" s="51" t="s">
        <v>229</v>
      </c>
      <c r="BC47" s="50">
        <v>0.5</v>
      </c>
      <c r="BD47" s="50">
        <v>27</v>
      </c>
      <c r="BE47" s="51" t="s">
        <v>230</v>
      </c>
      <c r="BF47" s="50">
        <v>0.625</v>
      </c>
      <c r="BG47" s="50">
        <v>26.75</v>
      </c>
      <c r="BH47" s="51"/>
      <c r="BI47" s="50"/>
      <c r="BJ47" s="50"/>
      <c r="BK47" s="37"/>
      <c r="BL47" s="37"/>
      <c r="BM47" s="37"/>
      <c r="BN47" s="37"/>
      <c r="BO47" s="37"/>
      <c r="BP47" s="37"/>
      <c r="BQ47" s="37"/>
      <c r="BR47" s="37"/>
      <c r="BS47" s="37"/>
      <c r="BT47" s="37"/>
      <c r="BU47" s="52"/>
      <c r="BV47" s="37"/>
      <c r="BW47" s="37"/>
      <c r="BX47" s="37"/>
      <c r="BY47" s="37"/>
      <c r="BZ47" s="37"/>
      <c r="CA47" s="52"/>
      <c r="CB47" s="37"/>
      <c r="CC47" s="47" t="s">
        <v>236</v>
      </c>
      <c r="CD47" s="50">
        <v>0.375</v>
      </c>
      <c r="CE47" s="50">
        <v>27.25</v>
      </c>
      <c r="CF47" s="47" t="s">
        <v>237</v>
      </c>
      <c r="CG47" s="50">
        <v>0.5</v>
      </c>
      <c r="CH47" s="50">
        <v>27</v>
      </c>
      <c r="CI47" s="132"/>
      <c r="CJ47" s="37"/>
      <c r="CK47" s="38"/>
      <c r="CL47" s="17"/>
    </row>
    <row r="48" spans="2:90" ht="14.9" customHeight="1" x14ac:dyDescent="0.25">
      <c r="B48" s="100"/>
      <c r="C48" s="338" t="s">
        <v>178</v>
      </c>
      <c r="D48" s="339"/>
      <c r="E48" s="339"/>
      <c r="F48" s="339"/>
      <c r="G48" s="339"/>
      <c r="H48" s="339"/>
      <c r="I48" s="339"/>
      <c r="J48" s="339"/>
      <c r="K48" s="339"/>
      <c r="L48" s="339"/>
      <c r="M48" s="339"/>
      <c r="N48" s="339"/>
      <c r="O48" s="339"/>
      <c r="P48" s="339"/>
      <c r="Q48" s="339"/>
      <c r="R48" s="339"/>
      <c r="S48" s="352"/>
      <c r="T48" s="356">
        <f>IF(T35="Inputs Ok",(IF(T28&gt;100,"-",IF(T42&lt;1,"-",IF(AND(T30="Yes",T46&gt;T31),"-",IF(T17="Manual Input",(T21/T23),T19/T23))))),"-")</f>
        <v>0.77639751552795033</v>
      </c>
      <c r="U48" s="357"/>
      <c r="V48" s="357"/>
      <c r="W48" s="357"/>
      <c r="X48" s="357"/>
      <c r="Y48" s="358"/>
      <c r="Z48" s="356">
        <f>IF(Z35="Inputs Ok",(IF(Z28&gt;100,"-",IF(Z42&lt;1,"-",IF(AND(Z30="Yes",Z46&gt;Z31),"-",IF(Z17="Manual Input",(Z21/Z23),Z19/Z23))))),"-")</f>
        <v>2.5217391304347831</v>
      </c>
      <c r="AA48" s="357"/>
      <c r="AB48" s="357"/>
      <c r="AC48" s="357"/>
      <c r="AD48" s="357"/>
      <c r="AE48" s="358"/>
      <c r="AF48" s="356">
        <f>IF(AF35="Inputs Ok",(IF(AF28&gt;100,"-",IF(AF42&lt;1,"-",IF(AND(AF30="Yes",AF46&gt;AF31),"-",IF(AF17="Manual Input",(AF21/AF23),AF19/AF23))))),"-")</f>
        <v>2.5217391304347831</v>
      </c>
      <c r="AG48" s="357"/>
      <c r="AH48" s="357"/>
      <c r="AI48" s="357"/>
      <c r="AJ48" s="357"/>
      <c r="AK48" s="358"/>
      <c r="AL48" s="72"/>
      <c r="AM48" s="72"/>
      <c r="AN48" s="101"/>
      <c r="AR48" s="17"/>
      <c r="AS48" s="17"/>
      <c r="AT48" s="36">
        <v>750</v>
      </c>
      <c r="AU48" s="63">
        <v>762</v>
      </c>
      <c r="AV48" s="47" t="s">
        <v>227</v>
      </c>
      <c r="AW48" s="50">
        <v>0.25</v>
      </c>
      <c r="AX48" s="50">
        <v>29.5</v>
      </c>
      <c r="AY48" s="47" t="s">
        <v>228</v>
      </c>
      <c r="AZ48" s="50">
        <v>0.312</v>
      </c>
      <c r="BA48" s="50">
        <v>29.376000000000001</v>
      </c>
      <c r="BB48" s="51" t="s">
        <v>229</v>
      </c>
      <c r="BC48" s="50">
        <v>0.5</v>
      </c>
      <c r="BD48" s="50">
        <v>29</v>
      </c>
      <c r="BE48" s="51" t="s">
        <v>230</v>
      </c>
      <c r="BF48" s="50">
        <v>0.625</v>
      </c>
      <c r="BG48" s="50">
        <v>28.75</v>
      </c>
      <c r="BH48" s="51"/>
      <c r="BI48" s="50"/>
      <c r="BJ48" s="50"/>
      <c r="BK48" s="37"/>
      <c r="BL48" s="37"/>
      <c r="BM48" s="37"/>
      <c r="BN48" s="37"/>
      <c r="BO48" s="37"/>
      <c r="BP48" s="37"/>
      <c r="BQ48" s="37"/>
      <c r="BR48" s="37"/>
      <c r="BS48" s="37"/>
      <c r="BT48" s="37"/>
      <c r="BU48" s="52"/>
      <c r="BV48" s="37"/>
      <c r="BW48" s="37"/>
      <c r="BX48" s="37"/>
      <c r="BY48" s="37"/>
      <c r="BZ48" s="37"/>
      <c r="CA48" s="52"/>
      <c r="CB48" s="37"/>
      <c r="CC48" s="47" t="s">
        <v>236</v>
      </c>
      <c r="CD48" s="50">
        <v>0.375</v>
      </c>
      <c r="CE48" s="50">
        <v>29.25</v>
      </c>
      <c r="CF48" s="47" t="s">
        <v>237</v>
      </c>
      <c r="CG48" s="50">
        <v>0.5</v>
      </c>
      <c r="CH48" s="50">
        <v>29</v>
      </c>
      <c r="CI48" s="132"/>
      <c r="CJ48" s="37"/>
      <c r="CK48" s="38"/>
      <c r="CL48" s="17"/>
    </row>
    <row r="49" spans="2:90" ht="14.9" customHeight="1" x14ac:dyDescent="0.25">
      <c r="B49" s="100"/>
      <c r="C49" s="338" t="s">
        <v>295</v>
      </c>
      <c r="D49" s="339"/>
      <c r="E49" s="339"/>
      <c r="F49" s="339"/>
      <c r="G49" s="339"/>
      <c r="H49" s="339"/>
      <c r="I49" s="339"/>
      <c r="J49" s="339"/>
      <c r="K49" s="339"/>
      <c r="L49" s="339"/>
      <c r="M49" s="339"/>
      <c r="N49" s="339"/>
      <c r="O49" s="339"/>
      <c r="P49" s="339"/>
      <c r="Q49" s="339"/>
      <c r="R49" s="339"/>
      <c r="S49" s="352"/>
      <c r="T49" s="356">
        <f>IF(T35="Inputs Ok",(IF(T28&gt;100,"-",IF(T42&lt;1,"-",IF(AND(T30="Yes",T46&gt;T31),"-",IF(T17="Manual Input",((16.8*T48^3)-(1.81*T48^2)+(525*T48)+25.3)*T20*T34*PI()*((T22^2)/(4*10^9)),((16.8*T48^3)-(1.81*T48^2)+(525*T48)+25.3)*T18*T34*PI()*((T22^2)/(4*10^9))))))),"-")</f>
        <v>6.4464186791661717</v>
      </c>
      <c r="U49" s="357"/>
      <c r="V49" s="357"/>
      <c r="W49" s="357"/>
      <c r="X49" s="357"/>
      <c r="Y49" s="358"/>
      <c r="Z49" s="356">
        <f>IF(Z35="Inputs Ok",(IF(Z28&gt;100,"-",IF(Z42&lt;1,"-",IF(AND(Z30="Yes",Z46&gt;Z31),"-",IF(Z17="Manual Input",((16.8*Z48^3)-(1.81*Z48^2)+(525*Z48)+25.3)*Z20*Z34*PI()*((Z22^2)/(4*10^9)),((16.8*Z48^3)-(1.81*Z48^2)+(525*Z48)+25.3)*Z18*Z34*PI()*((Z22^2)/(4*10^9))))))),"-")</f>
        <v>17.495150551485093</v>
      </c>
      <c r="AA49" s="357"/>
      <c r="AB49" s="357"/>
      <c r="AC49" s="357"/>
      <c r="AD49" s="357"/>
      <c r="AE49" s="358"/>
      <c r="AF49" s="356">
        <f>IF(AF35="Inputs Ok",(IF(AF28&gt;100,"-",IF(AF42&lt;1,"-",IF(AND(AF30="Yes",AF46&gt;AF31),"-",IF(AF17="Manual Input",((16.8*AF48^3)-(1.81*AF48^2)+(525*AF48)+25.3)*AF20*AF34*PI()*((AF22^2)/(4*10^9)),((16.8*AF48^3)-(1.81*AF48^2)+(525*AF48)+25.3)*AF18*AF34*PI()*((AF22^2)/(4*10^9))))))),"-")</f>
        <v>17.495150551485093</v>
      </c>
      <c r="AG49" s="357"/>
      <c r="AH49" s="357"/>
      <c r="AI49" s="357"/>
      <c r="AJ49" s="357"/>
      <c r="AK49" s="358"/>
      <c r="AL49" s="72"/>
      <c r="AM49" s="72"/>
      <c r="AN49" s="101"/>
      <c r="AR49" s="17"/>
      <c r="AS49" s="17"/>
      <c r="AT49" s="36">
        <v>800</v>
      </c>
      <c r="AU49" s="63">
        <v>812.8</v>
      </c>
      <c r="AV49" s="47"/>
      <c r="AW49" s="50"/>
      <c r="AX49" s="50"/>
      <c r="AY49" s="47" t="s">
        <v>228</v>
      </c>
      <c r="AZ49" s="50">
        <v>0.312</v>
      </c>
      <c r="BA49" s="50">
        <v>31.376000000000001</v>
      </c>
      <c r="BB49" s="51" t="s">
        <v>229</v>
      </c>
      <c r="BC49" s="50">
        <v>0.5</v>
      </c>
      <c r="BD49" s="50">
        <v>31</v>
      </c>
      <c r="BE49" s="51" t="s">
        <v>230</v>
      </c>
      <c r="BF49" s="50">
        <v>0.625</v>
      </c>
      <c r="BG49" s="50">
        <v>30.75</v>
      </c>
      <c r="BH49" s="47" t="s">
        <v>221</v>
      </c>
      <c r="BI49" s="50">
        <v>0.68800000000000006</v>
      </c>
      <c r="BJ49" s="50">
        <v>30.623999999999999</v>
      </c>
      <c r="BK49" s="37"/>
      <c r="BL49" s="37"/>
      <c r="BM49" s="37"/>
      <c r="BN49" s="37"/>
      <c r="BO49" s="37"/>
      <c r="BP49" s="37"/>
      <c r="BQ49" s="37"/>
      <c r="BR49" s="37"/>
      <c r="BS49" s="37"/>
      <c r="BT49" s="37"/>
      <c r="BU49" s="52"/>
      <c r="BV49" s="37"/>
      <c r="BW49" s="37"/>
      <c r="BX49" s="37"/>
      <c r="BY49" s="37"/>
      <c r="BZ49" s="37"/>
      <c r="CA49" s="52"/>
      <c r="CB49" s="37"/>
      <c r="CC49" s="47" t="s">
        <v>236</v>
      </c>
      <c r="CD49" s="50">
        <v>0.375</v>
      </c>
      <c r="CE49" s="50">
        <v>31.25</v>
      </c>
      <c r="CF49" s="47" t="s">
        <v>237</v>
      </c>
      <c r="CG49" s="50">
        <v>0.5</v>
      </c>
      <c r="CH49" s="50">
        <v>31</v>
      </c>
      <c r="CI49" s="132"/>
      <c r="CJ49" s="37"/>
      <c r="CK49" s="38"/>
      <c r="CL49" s="17"/>
    </row>
    <row r="50" spans="2:90" ht="44.25" customHeight="1" thickBot="1" x14ac:dyDescent="0.3">
      <c r="B50" s="100"/>
      <c r="C50" s="335" t="s">
        <v>258</v>
      </c>
      <c r="D50" s="336"/>
      <c r="E50" s="336"/>
      <c r="F50" s="336"/>
      <c r="G50" s="336"/>
      <c r="H50" s="336"/>
      <c r="I50" s="336"/>
      <c r="J50" s="336"/>
      <c r="K50" s="336"/>
      <c r="L50" s="336"/>
      <c r="M50" s="336"/>
      <c r="N50" s="336"/>
      <c r="O50" s="336"/>
      <c r="P50" s="336"/>
      <c r="Q50" s="336"/>
      <c r="R50" s="336"/>
      <c r="S50" s="337"/>
      <c r="T50" s="454">
        <f>IF(T35="Inputs Ok",(IF(T28&gt;100,"Lup&gt;100m detailed surge analysis",IF(T42&lt;1,"Fmax &lt; 1 kN LOF=0.0",IF(AND(T30="Yes",T46&gt;T31),"Ptotal&gt;Pdes detailed surge analysis",T47/T49)))),"Input Error")</f>
        <v>0.10108007902753333</v>
      </c>
      <c r="U50" s="455"/>
      <c r="V50" s="455"/>
      <c r="W50" s="455"/>
      <c r="X50" s="455"/>
      <c r="Y50" s="456"/>
      <c r="Z50" s="454">
        <f>IF(Z35="Inputs Ok",(IF(Z28&gt;100,"Lup&gt;100m detailed surge analysis",IF(Z42&lt;1,"Fmax &lt; 1 kN LOF=0.0",IF(AND(Z30="Yes",Z46&gt;Z31),"Ptotal&gt;Pdes detailed surge analysis",Z47/Z49)))),"Input Error")</f>
        <v>4.3513527645038033E-2</v>
      </c>
      <c r="AA50" s="455"/>
      <c r="AB50" s="455"/>
      <c r="AC50" s="455"/>
      <c r="AD50" s="455"/>
      <c r="AE50" s="456"/>
      <c r="AF50" s="454">
        <f>IF(AF35="Inputs Ok",(IF(AF28&gt;100,"Lup&gt;100m detailed surge analysis",IF(AF42&lt;1,"Fmax &lt; 1 kN LOF=0.0",IF(AND(AF30="Yes",AF46&gt;AF31),"Ptotal&gt;Pdes detailed surge analysis",AF47/AF49)))),"Input Error")</f>
        <v>3.5407928364145455E-2</v>
      </c>
      <c r="AG50" s="455"/>
      <c r="AH50" s="455"/>
      <c r="AI50" s="455"/>
      <c r="AJ50" s="455"/>
      <c r="AK50" s="456"/>
      <c r="AL50" s="72"/>
      <c r="AM50" s="72"/>
      <c r="AN50" s="101"/>
      <c r="AR50" s="17"/>
      <c r="AS50" s="17"/>
      <c r="AT50" s="36">
        <v>850</v>
      </c>
      <c r="AU50" s="63">
        <v>863.6</v>
      </c>
      <c r="AV50" s="47"/>
      <c r="AW50" s="50"/>
      <c r="AX50" s="50"/>
      <c r="AY50" s="47" t="s">
        <v>228</v>
      </c>
      <c r="AZ50" s="50">
        <v>0.312</v>
      </c>
      <c r="BA50" s="50">
        <v>33.375999999999998</v>
      </c>
      <c r="BB50" s="51" t="s">
        <v>229</v>
      </c>
      <c r="BC50" s="50">
        <v>0.5</v>
      </c>
      <c r="BD50" s="50">
        <v>33</v>
      </c>
      <c r="BE50" s="51" t="s">
        <v>230</v>
      </c>
      <c r="BF50" s="50">
        <v>0.625</v>
      </c>
      <c r="BG50" s="50">
        <v>32.75</v>
      </c>
      <c r="BH50" s="47" t="s">
        <v>221</v>
      </c>
      <c r="BI50" s="50">
        <v>0.68800000000000006</v>
      </c>
      <c r="BJ50" s="50">
        <v>32.624000000000002</v>
      </c>
      <c r="BK50" s="37"/>
      <c r="BL50" s="37"/>
      <c r="BM50" s="37"/>
      <c r="BN50" s="37"/>
      <c r="BO50" s="37"/>
      <c r="BP50" s="37"/>
      <c r="BQ50" s="37"/>
      <c r="BR50" s="37"/>
      <c r="BS50" s="37"/>
      <c r="BT50" s="37"/>
      <c r="BU50" s="52"/>
      <c r="BV50" s="37"/>
      <c r="BW50" s="37"/>
      <c r="BX50" s="37"/>
      <c r="BY50" s="37"/>
      <c r="BZ50" s="37"/>
      <c r="CA50" s="52"/>
      <c r="CB50" s="37"/>
      <c r="CC50" s="47" t="s">
        <v>236</v>
      </c>
      <c r="CD50" s="50">
        <v>0.375</v>
      </c>
      <c r="CE50" s="50">
        <v>33.25</v>
      </c>
      <c r="CF50" s="47" t="s">
        <v>237</v>
      </c>
      <c r="CG50" s="50">
        <v>0.5</v>
      </c>
      <c r="CH50" s="50">
        <v>33</v>
      </c>
      <c r="CI50" s="132"/>
      <c r="CJ50" s="37"/>
      <c r="CK50" s="38"/>
      <c r="CL50" s="17"/>
    </row>
    <row r="51" spans="2:90" ht="38.25"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453"/>
      <c r="D51" s="453"/>
      <c r="E51" s="453"/>
      <c r="F51" s="453"/>
      <c r="G51" s="453"/>
      <c r="H51" s="453"/>
      <c r="I51" s="453"/>
      <c r="J51" s="453"/>
      <c r="K51" s="453"/>
      <c r="L51" s="453"/>
      <c r="M51" s="453"/>
      <c r="N51" s="453"/>
      <c r="O51" s="453"/>
      <c r="P51" s="453"/>
      <c r="Q51" s="453"/>
      <c r="R51" s="453"/>
      <c r="S51" s="453"/>
      <c r="T51" s="453"/>
      <c r="U51" s="453"/>
      <c r="V51" s="453"/>
      <c r="W51" s="453"/>
      <c r="X51" s="453"/>
      <c r="Y51" s="453"/>
      <c r="Z51" s="453"/>
      <c r="AA51" s="453"/>
      <c r="AB51" s="453"/>
      <c r="AC51" s="453"/>
      <c r="AD51" s="453"/>
      <c r="AE51" s="453"/>
      <c r="AF51" s="453"/>
      <c r="AG51" s="453"/>
      <c r="AH51" s="453"/>
      <c r="AI51" s="453"/>
      <c r="AJ51" s="453"/>
      <c r="AK51" s="453"/>
      <c r="AL51" s="250"/>
      <c r="AM51" s="250"/>
      <c r="AN51" s="250"/>
      <c r="AR51" s="17"/>
      <c r="AS51" s="17"/>
      <c r="AT51" s="36">
        <v>900</v>
      </c>
      <c r="AU51" s="63">
        <v>914.4</v>
      </c>
      <c r="AV51" s="47"/>
      <c r="AW51" s="50"/>
      <c r="AX51" s="50"/>
      <c r="AY51" s="47" t="s">
        <v>228</v>
      </c>
      <c r="AZ51" s="50">
        <v>0.312</v>
      </c>
      <c r="BA51" s="50">
        <v>35.375999999999998</v>
      </c>
      <c r="BB51" s="51" t="s">
        <v>229</v>
      </c>
      <c r="BC51" s="50">
        <v>0.5</v>
      </c>
      <c r="BD51" s="50">
        <v>35</v>
      </c>
      <c r="BE51" s="51" t="s">
        <v>230</v>
      </c>
      <c r="BF51" s="50">
        <v>0.625</v>
      </c>
      <c r="BG51" s="50">
        <v>34.75</v>
      </c>
      <c r="BH51" s="47" t="s">
        <v>221</v>
      </c>
      <c r="BI51" s="50">
        <v>0.75</v>
      </c>
      <c r="BJ51" s="50">
        <v>34.5</v>
      </c>
      <c r="BK51" s="37"/>
      <c r="BL51" s="37"/>
      <c r="BM51" s="37"/>
      <c r="BN51" s="37"/>
      <c r="BO51" s="37"/>
      <c r="BP51" s="37"/>
      <c r="BQ51" s="37"/>
      <c r="BR51" s="37"/>
      <c r="BS51" s="37"/>
      <c r="BT51" s="37"/>
      <c r="BU51" s="52"/>
      <c r="BV51" s="37"/>
      <c r="BW51" s="37"/>
      <c r="BX51" s="37"/>
      <c r="BY51" s="37"/>
      <c r="BZ51" s="37"/>
      <c r="CA51" s="52"/>
      <c r="CB51" s="37"/>
      <c r="CC51" s="47" t="s">
        <v>236</v>
      </c>
      <c r="CD51" s="50">
        <v>0.375</v>
      </c>
      <c r="CE51" s="50">
        <v>35.25</v>
      </c>
      <c r="CF51" s="47" t="s">
        <v>237</v>
      </c>
      <c r="CG51" s="50">
        <v>0.5</v>
      </c>
      <c r="CH51" s="50">
        <v>35</v>
      </c>
      <c r="CI51" s="132"/>
      <c r="CJ51" s="37"/>
      <c r="CK51" s="38"/>
      <c r="CL51" s="17"/>
    </row>
    <row r="52" spans="2:90" ht="14.9" customHeight="1" x14ac:dyDescent="0.25">
      <c r="B52" s="24"/>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24"/>
      <c r="AR52" s="17"/>
      <c r="AS52" s="17"/>
      <c r="AT52" s="36">
        <v>950</v>
      </c>
      <c r="AU52" s="63">
        <v>965.2</v>
      </c>
      <c r="AV52" s="47"/>
      <c r="AW52" s="50"/>
      <c r="AX52" s="50"/>
      <c r="AY52" s="37"/>
      <c r="AZ52" s="50"/>
      <c r="BA52" s="50"/>
      <c r="BB52" s="37"/>
      <c r="BC52" s="37"/>
      <c r="BD52" s="37"/>
      <c r="BE52" s="37"/>
      <c r="BF52" s="37"/>
      <c r="BG52" s="37"/>
      <c r="BH52" s="37"/>
      <c r="BI52" s="37"/>
      <c r="BJ52" s="37"/>
      <c r="BK52" s="37"/>
      <c r="BL52" s="37"/>
      <c r="BM52" s="37"/>
      <c r="BN52" s="37"/>
      <c r="BO52" s="37"/>
      <c r="BP52" s="37"/>
      <c r="BQ52" s="37"/>
      <c r="BR52" s="37"/>
      <c r="BS52" s="37"/>
      <c r="BT52" s="37"/>
      <c r="BU52" s="52"/>
      <c r="BV52" s="37"/>
      <c r="BW52" s="37"/>
      <c r="BX52" s="37"/>
      <c r="BY52" s="37"/>
      <c r="BZ52" s="37"/>
      <c r="CA52" s="52"/>
      <c r="CB52" s="37"/>
      <c r="CC52" s="47" t="s">
        <v>236</v>
      </c>
      <c r="CD52" s="50">
        <v>0.375</v>
      </c>
      <c r="CE52" s="50">
        <v>37.25</v>
      </c>
      <c r="CF52" s="47" t="s">
        <v>237</v>
      </c>
      <c r="CG52" s="50">
        <v>0.5</v>
      </c>
      <c r="CH52" s="50">
        <v>37</v>
      </c>
      <c r="CI52" s="132"/>
      <c r="CJ52" s="37"/>
      <c r="CK52" s="38"/>
      <c r="CL52" s="17"/>
    </row>
    <row r="53" spans="2:90" ht="42" customHeight="1" x14ac:dyDescent="0.25">
      <c r="B53" s="24"/>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24"/>
      <c r="AR53" s="17"/>
      <c r="AS53" s="17"/>
      <c r="AT53" s="36">
        <v>1000</v>
      </c>
      <c r="AU53" s="63">
        <v>1016</v>
      </c>
      <c r="AV53" s="47"/>
      <c r="AW53" s="50"/>
      <c r="AX53" s="50"/>
      <c r="AY53" s="37"/>
      <c r="AZ53" s="50"/>
      <c r="BA53" s="50"/>
      <c r="BB53" s="37"/>
      <c r="BC53" s="37"/>
      <c r="BD53" s="37"/>
      <c r="BE53" s="37"/>
      <c r="BF53" s="37"/>
      <c r="BG53" s="37"/>
      <c r="BH53" s="37"/>
      <c r="BI53" s="37"/>
      <c r="BJ53" s="37"/>
      <c r="BK53" s="37"/>
      <c r="BL53" s="37"/>
      <c r="BM53" s="37"/>
      <c r="BN53" s="37"/>
      <c r="BO53" s="37"/>
      <c r="BP53" s="37"/>
      <c r="BQ53" s="37"/>
      <c r="BR53" s="37"/>
      <c r="BS53" s="37"/>
      <c r="BT53" s="37"/>
      <c r="BU53" s="52"/>
      <c r="BV53" s="37"/>
      <c r="BW53" s="37"/>
      <c r="BX53" s="37"/>
      <c r="BY53" s="37"/>
      <c r="BZ53" s="37"/>
      <c r="CA53" s="52"/>
      <c r="CB53" s="37"/>
      <c r="CC53" s="47" t="s">
        <v>236</v>
      </c>
      <c r="CD53" s="48">
        <v>0.375</v>
      </c>
      <c r="CE53" s="48">
        <v>39.25</v>
      </c>
      <c r="CF53" s="47" t="s">
        <v>237</v>
      </c>
      <c r="CG53" s="48">
        <v>0.5</v>
      </c>
      <c r="CH53" s="48">
        <v>39</v>
      </c>
      <c r="CI53" s="132"/>
      <c r="CJ53" s="37"/>
      <c r="CK53" s="38"/>
      <c r="CL53" s="17"/>
    </row>
    <row r="54" spans="2:90" ht="39.75" customHeight="1" x14ac:dyDescent="0.25">
      <c r="B54" s="24"/>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24"/>
      <c r="AR54" s="17"/>
      <c r="AS54" s="17"/>
      <c r="AT54" s="36">
        <v>1050</v>
      </c>
      <c r="AU54" s="63">
        <v>1066.8</v>
      </c>
      <c r="AV54" s="47"/>
      <c r="AW54" s="50"/>
      <c r="AX54" s="50"/>
      <c r="AY54" s="37"/>
      <c r="AZ54" s="37"/>
      <c r="BA54" s="37"/>
      <c r="BB54" s="37"/>
      <c r="BC54" s="37"/>
      <c r="BD54" s="37"/>
      <c r="BE54" s="37"/>
      <c r="BF54" s="37"/>
      <c r="BG54" s="37"/>
      <c r="BH54" s="37"/>
      <c r="BI54" s="55"/>
      <c r="BJ54" s="37"/>
      <c r="BK54" s="37"/>
      <c r="BL54" s="37"/>
      <c r="BM54" s="37"/>
      <c r="BN54" s="37"/>
      <c r="BO54" s="37"/>
      <c r="BP54" s="55"/>
      <c r="BQ54" s="55"/>
      <c r="BR54" s="55"/>
      <c r="BS54" s="55"/>
      <c r="BT54" s="37"/>
      <c r="BU54" s="37"/>
      <c r="BV54" s="37"/>
      <c r="BW54" s="37"/>
      <c r="BX54" s="37"/>
      <c r="BY54" s="37"/>
      <c r="BZ54" s="55"/>
      <c r="CA54" s="37"/>
      <c r="CB54" s="37"/>
      <c r="CC54" s="47" t="s">
        <v>236</v>
      </c>
      <c r="CD54" s="48">
        <v>0.375</v>
      </c>
      <c r="CE54" s="48">
        <v>41.25</v>
      </c>
      <c r="CF54" s="47" t="s">
        <v>237</v>
      </c>
      <c r="CG54" s="48">
        <v>0.5</v>
      </c>
      <c r="CH54" s="48">
        <v>41</v>
      </c>
      <c r="CI54" s="132"/>
      <c r="CJ54" s="37"/>
      <c r="CK54" s="38"/>
      <c r="CL54" s="17"/>
    </row>
    <row r="55" spans="2:90" ht="40.5" customHeight="1" x14ac:dyDescent="0.25">
      <c r="B55" s="24"/>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24"/>
      <c r="AR55" s="17"/>
      <c r="AS55" s="17"/>
      <c r="AT55" s="43">
        <v>1100</v>
      </c>
      <c r="AU55" s="62">
        <v>1117.5999999999999</v>
      </c>
      <c r="AV55" s="47"/>
      <c r="AW55" s="48"/>
      <c r="AX55" s="48"/>
      <c r="AY55" s="132"/>
      <c r="AZ55" s="132"/>
      <c r="BA55" s="132"/>
      <c r="BB55" s="132"/>
      <c r="BC55" s="132"/>
      <c r="BD55" s="132"/>
      <c r="BE55" s="132"/>
      <c r="BF55" s="132"/>
      <c r="BG55" s="132"/>
      <c r="BH55" s="132"/>
      <c r="BI55" s="132"/>
      <c r="BJ55" s="132"/>
      <c r="BK55" s="132"/>
      <c r="BL55" s="132"/>
      <c r="BM55" s="132"/>
      <c r="BN55" s="132"/>
      <c r="BO55" s="132"/>
      <c r="BP55" s="132"/>
      <c r="BQ55" s="132"/>
      <c r="BR55" s="132"/>
      <c r="BS55" s="132"/>
      <c r="BT55" s="132"/>
      <c r="BU55" s="132"/>
      <c r="BV55" s="132"/>
      <c r="BW55" s="132"/>
      <c r="BX55" s="132"/>
      <c r="BY55" s="132"/>
      <c r="BZ55" s="132"/>
      <c r="CA55" s="132"/>
      <c r="CB55" s="132"/>
      <c r="CC55" s="47" t="s">
        <v>236</v>
      </c>
      <c r="CD55" s="48">
        <v>0.375</v>
      </c>
      <c r="CE55" s="48">
        <v>43.25</v>
      </c>
      <c r="CF55" s="47" t="s">
        <v>237</v>
      </c>
      <c r="CG55" s="48">
        <v>0.5</v>
      </c>
      <c r="CH55" s="48">
        <v>43</v>
      </c>
      <c r="CI55" s="132"/>
      <c r="CJ55" s="132"/>
      <c r="CK55" s="49"/>
      <c r="CL55" s="17"/>
    </row>
    <row r="56" spans="2:90" ht="40.5" customHeight="1" x14ac:dyDescent="0.25">
      <c r="B56" s="24"/>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24"/>
      <c r="AR56" s="17">
        <f>IF(AS25="Unkown",1,0)</f>
        <v>1</v>
      </c>
      <c r="AS56" s="17"/>
      <c r="AT56" s="36">
        <v>1150</v>
      </c>
      <c r="AU56" s="63">
        <v>1168.4000000000001</v>
      </c>
      <c r="AV56" s="47"/>
      <c r="AW56" s="50"/>
      <c r="AX56" s="50"/>
      <c r="AY56" s="37"/>
      <c r="AZ56" s="37"/>
      <c r="BA56" s="37"/>
      <c r="BB56" s="37"/>
      <c r="BC56" s="37"/>
      <c r="BD56" s="37"/>
      <c r="BE56" s="37"/>
      <c r="BF56" s="37"/>
      <c r="BG56" s="37"/>
      <c r="BH56" s="37"/>
      <c r="BI56" s="37"/>
      <c r="BJ56" s="37"/>
      <c r="BK56" s="37"/>
      <c r="BL56" s="37"/>
      <c r="BM56" s="37"/>
      <c r="BN56" s="37"/>
      <c r="BO56" s="37"/>
      <c r="BP56" s="37"/>
      <c r="BQ56" s="37"/>
      <c r="BR56" s="37"/>
      <c r="BS56" s="37"/>
      <c r="BT56" s="37"/>
      <c r="BU56" s="52"/>
      <c r="BV56" s="37"/>
      <c r="BW56" s="37"/>
      <c r="BX56" s="37"/>
      <c r="BY56" s="37"/>
      <c r="BZ56" s="37"/>
      <c r="CA56" s="37"/>
      <c r="CB56" s="37"/>
      <c r="CC56" s="47" t="s">
        <v>236</v>
      </c>
      <c r="CD56" s="50">
        <v>0.375</v>
      </c>
      <c r="CE56" s="50">
        <v>45.25</v>
      </c>
      <c r="CF56" s="47" t="s">
        <v>237</v>
      </c>
      <c r="CG56" s="50">
        <v>0.5</v>
      </c>
      <c r="CH56" s="50">
        <v>45</v>
      </c>
      <c r="CI56" s="37"/>
      <c r="CJ56" s="37"/>
      <c r="CK56" s="38"/>
      <c r="CL56" s="17"/>
    </row>
    <row r="57" spans="2:90" ht="14.9" customHeight="1" thickBot="1" x14ac:dyDescent="0.3">
      <c r="B57" s="24"/>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24"/>
      <c r="AR57" s="17"/>
      <c r="AS57" s="17"/>
      <c r="AT57" s="57">
        <v>1200</v>
      </c>
      <c r="AU57" s="64">
        <v>1219.2</v>
      </c>
      <c r="AV57" s="58"/>
      <c r="AW57" s="59"/>
      <c r="AX57" s="59"/>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58" t="s">
        <v>236</v>
      </c>
      <c r="CD57" s="59">
        <v>0.375</v>
      </c>
      <c r="CE57" s="59">
        <v>47.25</v>
      </c>
      <c r="CF57" s="58" t="s">
        <v>237</v>
      </c>
      <c r="CG57" s="59">
        <v>0.5</v>
      </c>
      <c r="CH57" s="59">
        <v>47</v>
      </c>
      <c r="CI57" s="60"/>
      <c r="CJ57" s="60"/>
      <c r="CK57" s="61"/>
      <c r="CL57" s="17"/>
    </row>
    <row r="58" spans="2:90" ht="39.75" customHeight="1" x14ac:dyDescent="0.25">
      <c r="B58" s="68"/>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68"/>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row>
    <row r="59" spans="2:90" ht="14.9" customHeight="1" x14ac:dyDescent="0.25">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row>
    <row r="60" spans="2:90" ht="14.9" customHeight="1" x14ac:dyDescent="0.25">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row>
    <row r="61" spans="2:90" ht="37.5" customHeight="1" x14ac:dyDescent="0.25">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row>
    <row r="62" spans="2:90" ht="41.25" customHeight="1" x14ac:dyDescent="0.25">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row>
    <row r="63" spans="2:90" ht="14.9" customHeight="1" x14ac:dyDescent="0.25">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row>
    <row r="64" spans="2:90" ht="14.9" customHeight="1" x14ac:dyDescent="0.25">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row>
    <row r="65" spans="2:90" ht="14.9" customHeight="1" x14ac:dyDescent="0.25">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row>
    <row r="66" spans="2:90" ht="14.9" customHeight="1" x14ac:dyDescent="0.25">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row>
    <row r="67" spans="2:90" ht="14.9" customHeight="1" x14ac:dyDescent="0.25">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row>
    <row r="68" spans="2:90" ht="14.9" customHeight="1" x14ac:dyDescent="0.25">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row>
    <row r="69" spans="2:90" ht="14.9" customHeight="1" x14ac:dyDescent="0.25">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row>
    <row r="70" spans="2:90" ht="14.9" customHeight="1" x14ac:dyDescent="0.25">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row>
    <row r="71" spans="2:90" ht="14.9" customHeight="1" x14ac:dyDescent="0.25">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row>
    <row r="72" spans="2:90" ht="14.9" customHeight="1" x14ac:dyDescent="0.25">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row>
    <row r="73" spans="2:90" s="10" customFormat="1" ht="14.9" customHeight="1" x14ac:dyDescent="0.25">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row>
    <row r="74" spans="2:90" s="10" customFormat="1" ht="36" customHeight="1" x14ac:dyDescent="0.25">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R74" s="17"/>
      <c r="AS74" s="17"/>
      <c r="AT74" s="17"/>
      <c r="AU74" s="17"/>
      <c r="AV74" s="17"/>
      <c r="AW74" s="17"/>
      <c r="AX74" s="17" t="s">
        <v>241</v>
      </c>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row>
    <row r="75" spans="2:90" s="10" customFormat="1" ht="36" customHeight="1" x14ac:dyDescent="0.25">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R75" s="17"/>
      <c r="AS75" s="17"/>
      <c r="AT75" s="17"/>
      <c r="AU75" s="17"/>
      <c r="AV75" s="17"/>
      <c r="AW75" s="17"/>
      <c r="AX75" s="17" t="s">
        <v>228</v>
      </c>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row>
    <row r="76" spans="2:90" s="10" customFormat="1" ht="15.5" x14ac:dyDescent="0.25">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R76" s="17"/>
      <c r="AS76" s="17"/>
      <c r="AT76" s="7"/>
      <c r="AU76" s="7"/>
      <c r="AV76" s="7"/>
      <c r="AW76" s="37">
        <v>4</v>
      </c>
      <c r="AX76" s="37" t="s">
        <v>229</v>
      </c>
      <c r="AY76" s="41">
        <v>20</v>
      </c>
      <c r="CL76" s="17"/>
    </row>
    <row r="77" spans="2:90" s="10" customFormat="1" ht="15.5" x14ac:dyDescent="0.25">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R77" s="17"/>
      <c r="AS77" s="17"/>
      <c r="AT77" s="7"/>
      <c r="AU77" s="7"/>
      <c r="AV77" s="7"/>
      <c r="AW77" s="37">
        <v>5</v>
      </c>
      <c r="AX77" s="37" t="s">
        <v>230</v>
      </c>
      <c r="AY77" s="41">
        <v>30</v>
      </c>
      <c r="CL77" s="17"/>
    </row>
    <row r="78" spans="2:90" s="10" customFormat="1" ht="15.5" x14ac:dyDescent="0.25">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R78" s="17"/>
      <c r="AS78" s="17"/>
      <c r="AT78" s="7"/>
      <c r="AU78" s="7"/>
      <c r="AV78" s="7"/>
      <c r="AW78" s="37">
        <v>6</v>
      </c>
      <c r="AX78" s="37" t="s">
        <v>221</v>
      </c>
      <c r="AY78" s="41">
        <v>40</v>
      </c>
      <c r="CL78" s="17"/>
    </row>
    <row r="79" spans="2:90" s="10" customFormat="1" ht="15.5" x14ac:dyDescent="0.25">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R79" s="17"/>
      <c r="AS79" s="17"/>
      <c r="AT79" s="7"/>
      <c r="AU79" s="7"/>
      <c r="AV79" s="7"/>
      <c r="AW79" s="37">
        <v>7</v>
      </c>
      <c r="AX79" s="37" t="s">
        <v>222</v>
      </c>
      <c r="AY79" s="41">
        <v>80</v>
      </c>
      <c r="CL79" s="17"/>
    </row>
    <row r="80" spans="2:90" s="10" customFormat="1" ht="15.5" x14ac:dyDescent="0.25">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R80" s="17"/>
      <c r="AS80" s="17"/>
      <c r="AT80" s="7"/>
      <c r="AU80" s="7"/>
      <c r="AV80" s="7"/>
      <c r="AW80" s="37">
        <v>8</v>
      </c>
      <c r="AX80" s="37" t="s">
        <v>232</v>
      </c>
      <c r="AY80" s="41">
        <v>100</v>
      </c>
      <c r="CL80" s="17"/>
    </row>
    <row r="81" spans="2:90" s="10" customFormat="1" ht="15.5" x14ac:dyDescent="0.25">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R81" s="17"/>
      <c r="AS81" s="7"/>
      <c r="AT81" s="7"/>
      <c r="AU81" s="7"/>
      <c r="AV81" s="7"/>
      <c r="AW81" s="37">
        <v>9</v>
      </c>
      <c r="AX81" s="37" t="s">
        <v>233</v>
      </c>
      <c r="AY81" s="41">
        <v>120</v>
      </c>
      <c r="CL81" s="17"/>
    </row>
    <row r="82" spans="2:90" s="10" customFormat="1" ht="15.5" x14ac:dyDescent="0.25">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R82" s="17"/>
      <c r="AS82" s="7"/>
      <c r="AT82" s="7"/>
      <c r="AU82" s="7"/>
      <c r="AV82" s="7"/>
      <c r="AW82" s="37">
        <v>10</v>
      </c>
      <c r="AX82" s="37" t="s">
        <v>234</v>
      </c>
      <c r="AY82" s="41">
        <v>140</v>
      </c>
      <c r="CL82" s="17"/>
    </row>
    <row r="83" spans="2:90" s="10" customFormat="1" ht="15.5" x14ac:dyDescent="0.25">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R83" s="17"/>
      <c r="AS83" s="7"/>
      <c r="AT83" s="7"/>
      <c r="AU83" s="7"/>
      <c r="AV83" s="7"/>
      <c r="AW83" s="37">
        <v>11</v>
      </c>
      <c r="AX83" s="37" t="s">
        <v>235</v>
      </c>
      <c r="AY83" s="41">
        <v>160</v>
      </c>
      <c r="CL83" s="17"/>
    </row>
    <row r="84" spans="2:90" s="10" customFormat="1" ht="15.5" x14ac:dyDescent="0.25">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R84" s="17"/>
      <c r="AS84" s="7"/>
      <c r="AT84" s="7"/>
      <c r="AU84" s="7"/>
      <c r="AV84" s="7"/>
      <c r="AW84" s="37">
        <v>12</v>
      </c>
      <c r="AX84" s="37" t="s">
        <v>220</v>
      </c>
      <c r="AY84" s="41" t="s">
        <v>236</v>
      </c>
      <c r="CL84" s="17"/>
    </row>
    <row r="85" spans="2:90" s="10" customFormat="1" ht="15.5" x14ac:dyDescent="0.25">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R85" s="7"/>
      <c r="AS85" s="7"/>
      <c r="AT85" s="7"/>
      <c r="AU85" s="7"/>
      <c r="AV85" s="7"/>
      <c r="AW85" s="37">
        <v>13</v>
      </c>
      <c r="AX85" s="37" t="s">
        <v>237</v>
      </c>
      <c r="AY85" s="41" t="s">
        <v>237</v>
      </c>
    </row>
    <row r="86" spans="2:90" s="10" customFormat="1" ht="15.5" x14ac:dyDescent="0.25">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R86" s="7"/>
      <c r="AS86" s="7"/>
      <c r="AT86" s="7"/>
      <c r="AU86" s="7"/>
      <c r="AV86" s="7"/>
      <c r="AW86" s="37">
        <v>14</v>
      </c>
      <c r="AX86" s="37" t="s">
        <v>238</v>
      </c>
      <c r="AY86" s="41" t="s">
        <v>238</v>
      </c>
    </row>
    <row r="87" spans="2:90" s="10" customFormat="1" x14ac:dyDescent="0.25">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R87" s="7"/>
      <c r="AS87" s="7"/>
      <c r="AT87" s="7"/>
      <c r="AU87" s="7"/>
      <c r="AV87" s="7"/>
      <c r="AW87" s="7"/>
      <c r="AX87" s="7"/>
    </row>
    <row r="88" spans="2:90" s="10" customFormat="1" x14ac:dyDescent="0.25">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R88" s="7"/>
      <c r="AS88" s="7"/>
      <c r="AT88" s="7"/>
      <c r="AU88" s="7"/>
      <c r="AV88" s="7"/>
      <c r="AW88" s="7"/>
      <c r="AX88" s="7"/>
    </row>
    <row r="89" spans="2:90" s="10" customFormat="1" x14ac:dyDescent="0.25">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row>
    <row r="90" spans="2:90" s="10" customFormat="1" x14ac:dyDescent="0.25">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row>
    <row r="91" spans="2:90" s="10" customFormat="1" x14ac:dyDescent="0.25">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row>
    <row r="92" spans="2:90" s="10" customFormat="1" x14ac:dyDescent="0.25">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row>
    <row r="93" spans="2:90" s="10" customFormat="1" x14ac:dyDescent="0.25">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row>
    <row r="94" spans="2:90" s="10" customFormat="1" x14ac:dyDescent="0.25">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row>
    <row r="95" spans="2:90" s="10" customFormat="1" x14ac:dyDescent="0.25">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row>
    <row r="96" spans="2:90" s="10" customFormat="1" x14ac:dyDescent="0.25">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row>
    <row r="97" spans="2:89" s="10" customFormat="1" x14ac:dyDescent="0.25">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row>
  </sheetData>
  <mergeCells count="194">
    <mergeCell ref="C35:S37"/>
    <mergeCell ref="C20:S20"/>
    <mergeCell ref="C21:S21"/>
    <mergeCell ref="T20:Y20"/>
    <mergeCell ref="T21:Y21"/>
    <mergeCell ref="Z20:AE20"/>
    <mergeCell ref="Z21:AE21"/>
    <mergeCell ref="AF20:AK20"/>
    <mergeCell ref="AF21:AK21"/>
    <mergeCell ref="AF24:AK24"/>
    <mergeCell ref="T25:Y25"/>
    <mergeCell ref="Z25:AE25"/>
    <mergeCell ref="AF25:AK25"/>
    <mergeCell ref="T22:Y22"/>
    <mergeCell ref="Z22:AE22"/>
    <mergeCell ref="AF22:AK22"/>
    <mergeCell ref="T23:Y23"/>
    <mergeCell ref="Z23:AE23"/>
    <mergeCell ref="AF23:AK23"/>
    <mergeCell ref="B51:AN51"/>
    <mergeCell ref="Z49:AE49"/>
    <mergeCell ref="AF49:AK49"/>
    <mergeCell ref="T50:Y50"/>
    <mergeCell ref="Z50:AE50"/>
    <mergeCell ref="AF50:AK50"/>
    <mergeCell ref="Z46:AE46"/>
    <mergeCell ref="AF46:AK46"/>
    <mergeCell ref="T47:Y47"/>
    <mergeCell ref="Z47:AE47"/>
    <mergeCell ref="AF47:AK47"/>
    <mergeCell ref="T48:Y48"/>
    <mergeCell ref="Z48:AE48"/>
    <mergeCell ref="AF48:AK48"/>
    <mergeCell ref="T46:Y46"/>
    <mergeCell ref="T49:Y49"/>
    <mergeCell ref="C48:S48"/>
    <mergeCell ref="C46:S46"/>
    <mergeCell ref="C47:S47"/>
    <mergeCell ref="AF13:AK13"/>
    <mergeCell ref="T17:Y17"/>
    <mergeCell ref="Z13:AE13"/>
    <mergeCell ref="C50:S50"/>
    <mergeCell ref="C49:S49"/>
    <mergeCell ref="T28:Y28"/>
    <mergeCell ref="Z28:AE28"/>
    <mergeCell ref="AF28:AK28"/>
    <mergeCell ref="T29:Y29"/>
    <mergeCell ref="Z29:AE29"/>
    <mergeCell ref="AF29:AK29"/>
    <mergeCell ref="T26:Y26"/>
    <mergeCell ref="Z26:AE26"/>
    <mergeCell ref="AF26:AK26"/>
    <mergeCell ref="T27:Y27"/>
    <mergeCell ref="Z27:AE27"/>
    <mergeCell ref="AF27:AK27"/>
    <mergeCell ref="C41:S41"/>
    <mergeCell ref="C42:S42"/>
    <mergeCell ref="T35:Y37"/>
    <mergeCell ref="Z35:AE37"/>
    <mergeCell ref="AF35:AK37"/>
    <mergeCell ref="C43:S43"/>
    <mergeCell ref="C44:S44"/>
    <mergeCell ref="Q8:S8"/>
    <mergeCell ref="T41:Y41"/>
    <mergeCell ref="Z41:AE41"/>
    <mergeCell ref="T40:Y40"/>
    <mergeCell ref="Z40:AE40"/>
    <mergeCell ref="AF40:AK40"/>
    <mergeCell ref="AF41:AK41"/>
    <mergeCell ref="T30:Y30"/>
    <mergeCell ref="Z30:AE30"/>
    <mergeCell ref="Z34:AE34"/>
    <mergeCell ref="T34:Y34"/>
    <mergeCell ref="AF34:AK34"/>
    <mergeCell ref="T39:Y39"/>
    <mergeCell ref="Z39:AE39"/>
    <mergeCell ref="AF39:AK39"/>
    <mergeCell ref="AF30:AK30"/>
    <mergeCell ref="T31:Y31"/>
    <mergeCell ref="Z31:AE31"/>
    <mergeCell ref="AF31:AK31"/>
    <mergeCell ref="T33:Y33"/>
    <mergeCell ref="Z33:AE33"/>
    <mergeCell ref="AF33:AK33"/>
    <mergeCell ref="AF15:AK15"/>
    <mergeCell ref="T16:Y16"/>
    <mergeCell ref="X7:AA7"/>
    <mergeCell ref="C11:S11"/>
    <mergeCell ref="C10:AK10"/>
    <mergeCell ref="AB7:AC7"/>
    <mergeCell ref="AD7:AF7"/>
    <mergeCell ref="AG7:AJ7"/>
    <mergeCell ref="AK7:AN7"/>
    <mergeCell ref="B7:C7"/>
    <mergeCell ref="D7:F7"/>
    <mergeCell ref="G7:J7"/>
    <mergeCell ref="K7:N7"/>
    <mergeCell ref="O7:P7"/>
    <mergeCell ref="Q7:S7"/>
    <mergeCell ref="T8:W8"/>
    <mergeCell ref="X8:AA8"/>
    <mergeCell ref="AB8:AC8"/>
    <mergeCell ref="AD8:AF8"/>
    <mergeCell ref="AG8:AJ8"/>
    <mergeCell ref="AK8:AN8"/>
    <mergeCell ref="B8:C8"/>
    <mergeCell ref="D8:F8"/>
    <mergeCell ref="G8:J8"/>
    <mergeCell ref="K8:N8"/>
    <mergeCell ref="O8:P8"/>
    <mergeCell ref="B1:AN1"/>
    <mergeCell ref="B2:G2"/>
    <mergeCell ref="I2:Z2"/>
    <mergeCell ref="AA2:AD2"/>
    <mergeCell ref="AE2:AN2"/>
    <mergeCell ref="B3:G3"/>
    <mergeCell ref="I3:Z3"/>
    <mergeCell ref="AA3:AD3"/>
    <mergeCell ref="AE3:AN3"/>
    <mergeCell ref="B6:I6"/>
    <mergeCell ref="J6:AC6"/>
    <mergeCell ref="AD6:AF6"/>
    <mergeCell ref="AG6:AI6"/>
    <mergeCell ref="AJ6:AK6"/>
    <mergeCell ref="AL6:AN6"/>
    <mergeCell ref="B4:G4"/>
    <mergeCell ref="I4:Z4"/>
    <mergeCell ref="AA4:AD4"/>
    <mergeCell ref="AE4:AN4"/>
    <mergeCell ref="B5:H5"/>
    <mergeCell ref="I5:AN5"/>
    <mergeCell ref="T7:W7"/>
    <mergeCell ref="T14:Y14"/>
    <mergeCell ref="Z14:AE14"/>
    <mergeCell ref="AF14:AK14"/>
    <mergeCell ref="T15:Y15"/>
    <mergeCell ref="Z15:AE15"/>
    <mergeCell ref="C38:AK38"/>
    <mergeCell ref="C14:S14"/>
    <mergeCell ref="C13:S13"/>
    <mergeCell ref="C15:S15"/>
    <mergeCell ref="C16:S16"/>
    <mergeCell ref="C17:S17"/>
    <mergeCell ref="C18:S18"/>
    <mergeCell ref="C19:S19"/>
    <mergeCell ref="C32:S32"/>
    <mergeCell ref="C33:S33"/>
    <mergeCell ref="C34:S34"/>
    <mergeCell ref="T18:Y18"/>
    <mergeCell ref="Z18:AE18"/>
    <mergeCell ref="AF18:AK18"/>
    <mergeCell ref="T19:Y19"/>
    <mergeCell ref="Z19:AE19"/>
    <mergeCell ref="AF19:AK19"/>
    <mergeCell ref="T13:Y13"/>
    <mergeCell ref="B9:AN9"/>
    <mergeCell ref="T32:Y32"/>
    <mergeCell ref="Z32:AE32"/>
    <mergeCell ref="AF32:AK32"/>
    <mergeCell ref="C22:S22"/>
    <mergeCell ref="C23:S23"/>
    <mergeCell ref="C24:S24"/>
    <mergeCell ref="C25:S25"/>
    <mergeCell ref="C26:S26"/>
    <mergeCell ref="C27:S27"/>
    <mergeCell ref="C28:S28"/>
    <mergeCell ref="C29:S29"/>
    <mergeCell ref="C30:S30"/>
    <mergeCell ref="C31:S31"/>
    <mergeCell ref="C12:AK12"/>
    <mergeCell ref="Z11:AE11"/>
    <mergeCell ref="AF11:AK11"/>
    <mergeCell ref="Z17:AE17"/>
    <mergeCell ref="AF17:AK17"/>
    <mergeCell ref="Z16:AE16"/>
    <mergeCell ref="AF16:AK16"/>
    <mergeCell ref="T11:Y11"/>
    <mergeCell ref="T24:Y24"/>
    <mergeCell ref="Z24:AE24"/>
    <mergeCell ref="C39:S39"/>
    <mergeCell ref="AF43:AK43"/>
    <mergeCell ref="T44:Y44"/>
    <mergeCell ref="Z44:AE44"/>
    <mergeCell ref="AF44:AK44"/>
    <mergeCell ref="T45:Y45"/>
    <mergeCell ref="Z45:AE45"/>
    <mergeCell ref="AF45:AK45"/>
    <mergeCell ref="T42:Y42"/>
    <mergeCell ref="Z42:AE42"/>
    <mergeCell ref="AF42:AK42"/>
    <mergeCell ref="T43:Y43"/>
    <mergeCell ref="Z43:AE43"/>
    <mergeCell ref="C40:S40"/>
    <mergeCell ref="C45:S45"/>
  </mergeCells>
  <conditionalFormatting sqref="T20:Y21">
    <cfRule type="expression" dxfId="13" priority="7">
      <formula>$T$17="Manual Input"</formula>
    </cfRule>
  </conditionalFormatting>
  <conditionalFormatting sqref="Z20:AE21">
    <cfRule type="expression" dxfId="12" priority="5">
      <formula>$Z$17="Manual Input"</formula>
    </cfRule>
  </conditionalFormatting>
  <conditionalFormatting sqref="AF20:AK21">
    <cfRule type="expression" dxfId="11" priority="4">
      <formula>$AF$17="Manual Input"</formula>
    </cfRule>
  </conditionalFormatting>
  <conditionalFormatting sqref="T18:Y19">
    <cfRule type="expression" dxfId="10" priority="3">
      <formula>$T$17="Manual Input"</formula>
    </cfRule>
  </conditionalFormatting>
  <conditionalFormatting sqref="Z18:AE19">
    <cfRule type="expression" dxfId="9" priority="2">
      <formula>$Z$17="Manual Input"</formula>
    </cfRule>
  </conditionalFormatting>
  <conditionalFormatting sqref="AF18:AK19">
    <cfRule type="expression" dxfId="8" priority="1">
      <formula>$AF$17="Manual Input"</formula>
    </cfRule>
  </conditionalFormatting>
  <dataValidations disablePrompts="1" count="5">
    <dataValidation type="list" allowBlank="1" showInputMessage="1" showErrorMessage="1" sqref="T30:AK30" xr:uid="{00000000-0002-0000-1200-000000000000}">
      <formula1>$AO$23:$AO$24</formula1>
    </dataValidation>
    <dataValidation type="list" allowBlank="1" showInputMessage="1" showErrorMessage="1" sqref="T17:AK17" xr:uid="{00000000-0002-0000-1200-000001000000}">
      <formula1>$AX$74:$AX$86</formula1>
    </dataValidation>
    <dataValidation type="list" allowBlank="1" showInputMessage="1" showErrorMessage="1" sqref="T33:AK33" xr:uid="{00000000-0002-0000-1200-000002000000}">
      <formula1>$AP$44:$AP$47</formula1>
    </dataValidation>
    <dataValidation type="list" allowBlank="1" showInputMessage="1" showErrorMessage="1" sqref="T29:AK29" xr:uid="{00000000-0002-0000-1200-000003000000}">
      <formula1>$AS$26:$AS$30</formula1>
    </dataValidation>
    <dataValidation type="list" allowBlank="1" showInputMessage="1" showErrorMessage="1" sqref="T16:AK16" xr:uid="{00000000-0002-0000-1200-000004000000}">
      <formula1>$AT$24:$AT$57</formula1>
    </dataValidation>
  </dataValidations>
  <pageMargins left="0.78740157480314998" right="0.196850393700787" top="0.39370078740157499" bottom="0.62" header="0.196850393700787" footer="0.196850393700787"/>
  <pageSetup paperSize="9" scale="89" orientation="portrait" r:id="rId1"/>
  <headerFooter>
    <oddFooter>&amp;L&amp;"Calibri,Regular"&amp;11Copyright 2019, Worley
&amp;F&amp;R&amp;"Calibri,Regular"&amp;11Rev. 0, 01 December 2019</oddFoot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pageSetUpPr fitToPage="1"/>
  </sheetPr>
  <dimension ref="B1:AX73"/>
  <sheetViews>
    <sheetView zoomScaleNormal="100" zoomScaleSheetLayoutView="100" workbookViewId="0"/>
  </sheetViews>
  <sheetFormatPr defaultColWidth="9.1796875" defaultRowHeight="12.5" x14ac:dyDescent="0.25"/>
  <cols>
    <col min="1" max="1" width="0.7265625" style="7" customWidth="1"/>
    <col min="2" max="39" width="2.54296875" style="7" customWidth="1"/>
    <col min="40" max="40" width="2.54296875" style="10" customWidth="1"/>
    <col min="41" max="41" width="21.26953125" style="10" customWidth="1"/>
    <col min="42" max="43" width="9.1796875" style="10"/>
    <col min="44" max="16384" width="9.1796875" style="7"/>
  </cols>
  <sheetData>
    <row r="1" spans="2:49" ht="60" customHeight="1" x14ac:dyDescent="0.25">
      <c r="B1" s="222" t="s">
        <v>207</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row>
    <row r="2" spans="2:4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2:4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2:4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2:4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2:49" s="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29"/>
      <c r="AE6" s="229"/>
      <c r="AF6" s="229"/>
      <c r="AG6" s="274" t="s">
        <v>207</v>
      </c>
      <c r="AH6" s="274"/>
      <c r="AI6" s="274"/>
      <c r="AJ6" s="274"/>
      <c r="AK6" s="274"/>
      <c r="AL6" s="333" t="s">
        <v>117</v>
      </c>
      <c r="AM6" s="333"/>
      <c r="AN6" s="334"/>
      <c r="AO6" s="9"/>
      <c r="AP6" s="9"/>
      <c r="AQ6" s="9"/>
    </row>
    <row r="7" spans="2:49" ht="15" customHeight="1" x14ac:dyDescent="0.25">
      <c r="B7" s="265" t="s">
        <v>51</v>
      </c>
      <c r="C7" s="259"/>
      <c r="D7" s="265" t="s">
        <v>52</v>
      </c>
      <c r="E7" s="258"/>
      <c r="F7" s="258"/>
      <c r="G7" s="265" t="s">
        <v>54</v>
      </c>
      <c r="H7" s="258"/>
      <c r="I7" s="258"/>
      <c r="J7" s="259"/>
      <c r="K7" s="265" t="s">
        <v>55</v>
      </c>
      <c r="L7" s="258"/>
      <c r="M7" s="258"/>
      <c r="N7" s="277"/>
      <c r="O7" s="258" t="s">
        <v>51</v>
      </c>
      <c r="P7" s="259"/>
      <c r="Q7" s="265" t="s">
        <v>52</v>
      </c>
      <c r="R7" s="258"/>
      <c r="S7" s="258"/>
      <c r="T7" s="265" t="s">
        <v>54</v>
      </c>
      <c r="U7" s="258"/>
      <c r="V7" s="258"/>
      <c r="W7" s="259"/>
      <c r="X7" s="265" t="s">
        <v>55</v>
      </c>
      <c r="Y7" s="258"/>
      <c r="Z7" s="258"/>
      <c r="AA7" s="277"/>
      <c r="AB7" s="258" t="s">
        <v>51</v>
      </c>
      <c r="AC7" s="259"/>
      <c r="AD7" s="265" t="s">
        <v>52</v>
      </c>
      <c r="AE7" s="258"/>
      <c r="AF7" s="258"/>
      <c r="AG7" s="265" t="s">
        <v>54</v>
      </c>
      <c r="AH7" s="258"/>
      <c r="AI7" s="258"/>
      <c r="AJ7" s="259"/>
      <c r="AK7" s="265" t="s">
        <v>55</v>
      </c>
      <c r="AL7" s="258"/>
      <c r="AM7" s="258"/>
      <c r="AN7" s="259"/>
    </row>
    <row r="8" spans="2:49" s="22" customFormat="1" ht="15" customHeight="1" x14ac:dyDescent="0.25">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7"/>
      <c r="AP8" s="27"/>
      <c r="AQ8" s="27"/>
      <c r="AR8" s="27"/>
      <c r="AS8" s="27"/>
      <c r="AT8" s="27"/>
      <c r="AU8" s="27"/>
      <c r="AV8" s="27"/>
      <c r="AW8" s="27"/>
    </row>
    <row r="9" spans="2:49" ht="14.9" customHeight="1" x14ac:dyDescent="0.2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row>
    <row r="10" spans="2:49" ht="14.9" customHeight="1" x14ac:dyDescent="0.25">
      <c r="B10" s="100"/>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101"/>
      <c r="AO10" s="9"/>
      <c r="AP10" s="9"/>
      <c r="AQ10" s="9"/>
      <c r="AR10" s="10"/>
    </row>
    <row r="11" spans="2:49" ht="14.9" customHeight="1" x14ac:dyDescent="0.25">
      <c r="B11" s="100"/>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101"/>
      <c r="AO11" s="9"/>
      <c r="AP11" s="9"/>
      <c r="AR11" s="10"/>
    </row>
    <row r="12" spans="2:49" ht="14.9" customHeight="1" x14ac:dyDescent="0.25">
      <c r="B12" s="239" t="str">
        <f>"Appendix "&amp;AL6</f>
        <v>Appendix C</v>
      </c>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c r="AN12" s="241"/>
      <c r="AR12" s="10"/>
    </row>
    <row r="13" spans="2:49" ht="14.9" customHeight="1" x14ac:dyDescent="0.25">
      <c r="B13" s="239" t="str">
        <f>VLOOKUP(AL6,ToC!F30:AJ51,3)</f>
        <v>APPENDIX - C Liquid Multiphase Valve Opening</v>
      </c>
      <c r="C13" s="240"/>
      <c r="D13" s="240"/>
      <c r="E13" s="240"/>
      <c r="F13" s="240"/>
      <c r="G13" s="240"/>
      <c r="H13" s="240"/>
      <c r="I13" s="240"/>
      <c r="J13" s="240"/>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0"/>
      <c r="AL13" s="240"/>
      <c r="AM13" s="240"/>
      <c r="AN13" s="241"/>
      <c r="AR13" s="10"/>
    </row>
    <row r="14" spans="2:49" ht="14.9" customHeight="1" x14ac:dyDescent="0.25">
      <c r="B14" s="100"/>
      <c r="C14" s="72"/>
      <c r="D14" s="72"/>
      <c r="E14" s="72"/>
      <c r="F14" s="72"/>
      <c r="G14" s="72"/>
      <c r="H14" s="72"/>
      <c r="I14" s="72"/>
      <c r="J14" s="72"/>
      <c r="K14" s="72"/>
      <c r="L14" s="72"/>
      <c r="M14" s="72"/>
      <c r="N14" s="72"/>
      <c r="O14" s="72"/>
      <c r="P14" s="72"/>
      <c r="Q14" s="72"/>
      <c r="R14" s="72"/>
      <c r="S14" s="332">
        <f>VLOOKUP(AL6,ToC!F30:AJ51,29)</f>
        <v>1</v>
      </c>
      <c r="T14" s="332"/>
      <c r="U14" s="331" t="str">
        <f>IF(S14=1," Page"," Pages")</f>
        <v xml:space="preserve"> Page</v>
      </c>
      <c r="V14" s="331"/>
      <c r="W14" s="331"/>
      <c r="X14" s="72"/>
      <c r="Y14" s="72"/>
      <c r="Z14" s="72"/>
      <c r="AA14" s="72"/>
      <c r="AB14" s="72"/>
      <c r="AC14" s="72"/>
      <c r="AD14" s="72"/>
      <c r="AE14" s="72"/>
      <c r="AF14" s="72"/>
      <c r="AG14" s="72"/>
      <c r="AH14" s="72"/>
      <c r="AI14" s="72"/>
      <c r="AJ14" s="72"/>
      <c r="AK14" s="72"/>
      <c r="AL14" s="72"/>
      <c r="AM14" s="72"/>
      <c r="AN14" s="101"/>
      <c r="AR14" s="10"/>
    </row>
    <row r="15" spans="2:49" ht="14.9" customHeight="1" x14ac:dyDescent="0.25">
      <c r="B15" s="100"/>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101"/>
      <c r="AR15" s="10"/>
    </row>
    <row r="16" spans="2:49" ht="14.9" customHeight="1" x14ac:dyDescent="0.25">
      <c r="B16" s="100"/>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101"/>
      <c r="AR16" s="10"/>
    </row>
    <row r="17" spans="2:44" ht="14.9" customHeight="1" x14ac:dyDescent="0.25">
      <c r="B17" s="100"/>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101"/>
      <c r="AR17" s="10"/>
    </row>
    <row r="18" spans="2:44" ht="14.9" customHeight="1" x14ac:dyDescent="0.25">
      <c r="B18" s="100"/>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101"/>
      <c r="AR18" s="10"/>
    </row>
    <row r="19" spans="2:44" ht="14.9" customHeight="1" x14ac:dyDescent="0.25">
      <c r="B19" s="100"/>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101"/>
      <c r="AR19" s="10"/>
    </row>
    <row r="20" spans="2:44" ht="14.9" customHeight="1" x14ac:dyDescent="0.25">
      <c r="B20" s="100"/>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101"/>
      <c r="AR20" s="10"/>
    </row>
    <row r="21" spans="2:44" ht="14.9" customHeight="1" x14ac:dyDescent="0.25">
      <c r="B21" s="100"/>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101"/>
      <c r="AR21" s="10"/>
    </row>
    <row r="22" spans="2:44" ht="14.9" customHeight="1" x14ac:dyDescent="0.25">
      <c r="B22" s="10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101"/>
      <c r="AR22" s="10"/>
    </row>
    <row r="23" spans="2:44" ht="14.9" customHeight="1" x14ac:dyDescent="0.25">
      <c r="B23" s="10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101"/>
      <c r="AR23" s="10"/>
    </row>
    <row r="24" spans="2:44" ht="14.9" customHeight="1" x14ac:dyDescent="0.25">
      <c r="B24" s="10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101"/>
      <c r="AR24" s="10"/>
    </row>
    <row r="25" spans="2:44" ht="14.9" customHeight="1" x14ac:dyDescent="0.25">
      <c r="B25" s="10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101"/>
      <c r="AR25" s="10"/>
    </row>
    <row r="26" spans="2:44" ht="14.9" customHeight="1" x14ac:dyDescent="0.25">
      <c r="B26" s="10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101"/>
      <c r="AR26" s="10"/>
    </row>
    <row r="27" spans="2:44" ht="14.9" customHeight="1" x14ac:dyDescent="0.25">
      <c r="B27" s="10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101"/>
      <c r="AR27" s="10"/>
    </row>
    <row r="28" spans="2:44" ht="14.9" customHeight="1" x14ac:dyDescent="0.25">
      <c r="B28" s="10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101"/>
      <c r="AR28" s="10"/>
    </row>
    <row r="29" spans="2:44" ht="14.9" customHeight="1" x14ac:dyDescent="0.25">
      <c r="B29" s="10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101"/>
      <c r="AR29" s="10"/>
    </row>
    <row r="30" spans="2:44" ht="14.9" customHeight="1" x14ac:dyDescent="0.25">
      <c r="B30" s="10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101"/>
      <c r="AR30" s="10"/>
    </row>
    <row r="31" spans="2:44" ht="14.9" customHeight="1" x14ac:dyDescent="0.25">
      <c r="B31" s="10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101"/>
      <c r="AR31" s="10"/>
    </row>
    <row r="32" spans="2:44" ht="14.9" customHeight="1" x14ac:dyDescent="0.25">
      <c r="B32" s="10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101"/>
      <c r="AR32" s="10"/>
    </row>
    <row r="33" spans="2:44" ht="14.9" customHeight="1" x14ac:dyDescent="0.25">
      <c r="B33" s="10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101"/>
      <c r="AR33" s="10"/>
    </row>
    <row r="34" spans="2:44"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R34" s="10"/>
    </row>
    <row r="35" spans="2:44"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R35" s="10"/>
    </row>
    <row r="36" spans="2:44"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R36" s="10"/>
    </row>
    <row r="37" spans="2:44"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R37" s="10"/>
    </row>
    <row r="38" spans="2:44"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row>
    <row r="39" spans="2:44"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10"/>
    </row>
    <row r="40" spans="2:44"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row>
    <row r="41" spans="2:44"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R41" s="10"/>
    </row>
    <row r="42" spans="2:44"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R42" s="10"/>
    </row>
    <row r="43" spans="2:44"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row>
    <row r="44" spans="2:44"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10"/>
    </row>
    <row r="45" spans="2:44"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row>
    <row r="46" spans="2:44"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10"/>
    </row>
    <row r="47" spans="2:44"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row>
    <row r="48" spans="2:44"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row>
    <row r="49" spans="2:50" ht="14.9"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10"/>
    </row>
    <row r="50" spans="2:50" s="10" customFormat="1" ht="14.9" customHeight="1" x14ac:dyDescent="0.25">
      <c r="B50" s="110"/>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2"/>
      <c r="AS50" s="7"/>
      <c r="AT50" s="7"/>
      <c r="AU50" s="7"/>
      <c r="AV50" s="7"/>
      <c r="AW50" s="7"/>
      <c r="AX50" s="7"/>
    </row>
    <row r="51" spans="2:50" s="10" customFormat="1" ht="36" customHeight="1" x14ac:dyDescent="0.25">
      <c r="B51"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R51" s="7"/>
      <c r="AS51" s="7"/>
      <c r="AT51" s="7"/>
      <c r="AU51" s="7"/>
      <c r="AV51" s="7"/>
      <c r="AW51" s="7"/>
    </row>
    <row r="52" spans="2:50" s="10" customFormat="1" x14ac:dyDescent="0.25">
      <c r="AR52" s="7"/>
      <c r="AS52" s="7"/>
      <c r="AT52" s="7"/>
      <c r="AU52" s="7"/>
      <c r="AV52" s="7"/>
      <c r="AW52" s="7"/>
    </row>
    <row r="53" spans="2:50" s="10" customFormat="1" x14ac:dyDescent="0.25">
      <c r="AR53" s="7"/>
      <c r="AS53" s="7"/>
      <c r="AT53" s="7"/>
      <c r="AU53" s="7"/>
      <c r="AV53" s="7"/>
      <c r="AW53" s="7"/>
    </row>
    <row r="54" spans="2:50" s="10" customFormat="1" x14ac:dyDescent="0.25">
      <c r="AR54" s="7"/>
      <c r="AS54" s="7"/>
      <c r="AT54" s="7"/>
      <c r="AU54" s="7"/>
      <c r="AV54" s="7"/>
      <c r="AW54" s="7"/>
    </row>
    <row r="55" spans="2:50" s="10" customFormat="1" x14ac:dyDescent="0.25">
      <c r="AR55" s="7"/>
      <c r="AS55" s="7"/>
      <c r="AT55" s="7"/>
      <c r="AU55" s="7"/>
      <c r="AV55" s="7"/>
      <c r="AW55" s="7"/>
    </row>
    <row r="56" spans="2:50" s="10" customFormat="1" x14ac:dyDescent="0.25">
      <c r="AR56" s="7"/>
      <c r="AS56" s="7"/>
      <c r="AT56" s="7"/>
      <c r="AU56" s="7"/>
      <c r="AV56" s="7"/>
      <c r="AW56" s="7"/>
    </row>
    <row r="57" spans="2:50" s="10" customFormat="1" x14ac:dyDescent="0.25">
      <c r="AR57" s="7"/>
      <c r="AS57" s="7"/>
      <c r="AT57" s="7"/>
      <c r="AU57" s="7"/>
      <c r="AV57" s="7"/>
      <c r="AW57" s="7"/>
    </row>
    <row r="58" spans="2:50" s="10" customFormat="1" x14ac:dyDescent="0.25">
      <c r="AR58" s="7"/>
      <c r="AS58" s="7"/>
      <c r="AT58" s="7"/>
      <c r="AU58" s="7"/>
      <c r="AV58" s="7"/>
      <c r="AW58" s="7"/>
    </row>
    <row r="59" spans="2:50" s="10" customFormat="1" x14ac:dyDescent="0.25">
      <c r="AR59" s="7"/>
      <c r="AS59" s="7"/>
      <c r="AT59" s="7"/>
      <c r="AU59" s="7"/>
      <c r="AV59" s="7"/>
      <c r="AW59" s="7"/>
    </row>
    <row r="60" spans="2:50" s="10" customFormat="1" x14ac:dyDescent="0.25">
      <c r="AR60" s="7"/>
      <c r="AS60" s="7"/>
      <c r="AT60" s="7"/>
      <c r="AU60" s="7"/>
      <c r="AV60" s="7"/>
      <c r="AW60" s="7"/>
    </row>
    <row r="61" spans="2:50" s="10" customFormat="1" x14ac:dyDescent="0.25">
      <c r="AR61" s="7"/>
      <c r="AS61" s="7"/>
      <c r="AT61" s="7"/>
      <c r="AU61" s="7"/>
      <c r="AV61" s="7"/>
      <c r="AW61" s="7"/>
    </row>
    <row r="62" spans="2:50" s="10" customFormat="1" x14ac:dyDescent="0.25">
      <c r="AR62" s="7"/>
      <c r="AS62" s="7"/>
      <c r="AT62" s="7"/>
      <c r="AU62" s="7"/>
      <c r="AV62" s="7"/>
      <c r="AW62" s="7"/>
    </row>
    <row r="63" spans="2:50" s="10" customFormat="1" x14ac:dyDescent="0.25">
      <c r="AR63" s="7"/>
      <c r="AS63" s="7"/>
      <c r="AT63" s="7"/>
      <c r="AU63" s="7"/>
      <c r="AV63" s="7"/>
      <c r="AW63" s="7"/>
    </row>
    <row r="64" spans="2:50" s="10" customFormat="1" x14ac:dyDescent="0.25">
      <c r="AR64" s="7"/>
      <c r="AS64" s="7"/>
      <c r="AT64" s="7"/>
      <c r="AU64" s="7"/>
      <c r="AV64" s="7"/>
      <c r="AW64" s="7"/>
    </row>
    <row r="65" spans="44:49" s="10" customFormat="1" x14ac:dyDescent="0.25">
      <c r="AR65" s="7"/>
      <c r="AS65" s="7"/>
      <c r="AT65" s="7"/>
      <c r="AU65" s="7"/>
      <c r="AV65" s="7"/>
      <c r="AW65" s="7"/>
    </row>
    <row r="66" spans="44:49" s="10" customFormat="1" x14ac:dyDescent="0.25">
      <c r="AR66" s="7"/>
      <c r="AS66" s="7"/>
      <c r="AT66" s="7"/>
      <c r="AU66" s="7"/>
      <c r="AV66" s="7"/>
      <c r="AW66" s="7"/>
    </row>
    <row r="67" spans="44:49" s="10" customFormat="1" x14ac:dyDescent="0.25">
      <c r="AR67" s="7"/>
      <c r="AS67" s="7"/>
      <c r="AT67" s="7"/>
      <c r="AU67" s="7"/>
      <c r="AV67" s="7"/>
      <c r="AW67" s="7"/>
    </row>
    <row r="68" spans="44:49" s="10" customFormat="1" x14ac:dyDescent="0.25">
      <c r="AR68" s="7"/>
      <c r="AS68" s="7"/>
      <c r="AT68" s="7"/>
      <c r="AU68" s="7"/>
      <c r="AV68" s="7"/>
      <c r="AW68" s="7"/>
    </row>
    <row r="69" spans="44:49" s="10" customFormat="1" x14ac:dyDescent="0.25">
      <c r="AR69" s="7"/>
      <c r="AS69" s="7"/>
      <c r="AT69" s="7"/>
      <c r="AU69" s="7"/>
      <c r="AV69" s="7"/>
      <c r="AW69" s="7"/>
    </row>
    <row r="70" spans="44:49" s="10" customFormat="1" x14ac:dyDescent="0.25">
      <c r="AR70" s="7"/>
      <c r="AS70" s="7"/>
      <c r="AT70" s="7"/>
      <c r="AU70" s="7"/>
      <c r="AV70" s="7"/>
      <c r="AW70" s="7"/>
    </row>
    <row r="71" spans="44:49" s="10" customFormat="1" x14ac:dyDescent="0.25">
      <c r="AR71" s="7"/>
      <c r="AS71" s="7"/>
      <c r="AT71" s="7"/>
      <c r="AU71" s="7"/>
      <c r="AV71" s="7"/>
      <c r="AW71" s="7"/>
    </row>
    <row r="72" spans="44:49" s="10" customFormat="1" x14ac:dyDescent="0.25">
      <c r="AR72" s="7"/>
      <c r="AS72" s="7"/>
      <c r="AT72" s="7"/>
      <c r="AU72" s="7"/>
      <c r="AV72" s="7"/>
      <c r="AW72" s="7"/>
    </row>
    <row r="73" spans="44:49" s="10" customFormat="1" x14ac:dyDescent="0.25">
      <c r="AR73" s="7"/>
      <c r="AS73" s="7"/>
      <c r="AT73" s="7"/>
      <c r="AU73" s="7"/>
      <c r="AV73" s="7"/>
      <c r="AW73" s="7"/>
    </row>
  </sheetData>
  <mergeCells count="48">
    <mergeCell ref="B12:AN12"/>
    <mergeCell ref="B13:AN13"/>
    <mergeCell ref="S14:T14"/>
    <mergeCell ref="U14:W14"/>
    <mergeCell ref="B51:AN51"/>
    <mergeCell ref="AK8:AN8"/>
    <mergeCell ref="B8:C8"/>
    <mergeCell ref="D8:F8"/>
    <mergeCell ref="G8:J8"/>
    <mergeCell ref="K8:N8"/>
    <mergeCell ref="O8:P8"/>
    <mergeCell ref="Q8:S8"/>
    <mergeCell ref="T8:W8"/>
    <mergeCell ref="X8:AA8"/>
    <mergeCell ref="AB8:AC8"/>
    <mergeCell ref="AD8:AF8"/>
    <mergeCell ref="AG8:AJ8"/>
    <mergeCell ref="AK7:AN7"/>
    <mergeCell ref="B6:I6"/>
    <mergeCell ref="J6:AF6"/>
    <mergeCell ref="AG6:AK6"/>
    <mergeCell ref="AL6:AN6"/>
    <mergeCell ref="B7:C7"/>
    <mergeCell ref="D7:F7"/>
    <mergeCell ref="G7:J7"/>
    <mergeCell ref="K7:N7"/>
    <mergeCell ref="O7:P7"/>
    <mergeCell ref="Q7:S7"/>
    <mergeCell ref="T7:W7"/>
    <mergeCell ref="X7:AA7"/>
    <mergeCell ref="AB7:AC7"/>
    <mergeCell ref="AD7:AF7"/>
    <mergeCell ref="AG7:AJ7"/>
    <mergeCell ref="B4:G4"/>
    <mergeCell ref="I4:Z4"/>
    <mergeCell ref="AA4:AD4"/>
    <mergeCell ref="AE4:AN4"/>
    <mergeCell ref="B5:H5"/>
    <mergeCell ref="I5:AN5"/>
    <mergeCell ref="B3:G3"/>
    <mergeCell ref="I3:Z3"/>
    <mergeCell ref="AA3:AD3"/>
    <mergeCell ref="AE3:AN3"/>
    <mergeCell ref="B1:AN1"/>
    <mergeCell ref="B2:G2"/>
    <mergeCell ref="I2:Z2"/>
    <mergeCell ref="AA2:AD2"/>
    <mergeCell ref="AE2:AN2"/>
  </mergeCells>
  <pageMargins left="0.78740157480314998" right="0.196850393700787" top="0.39370078740157499" bottom="0.62" header="0.196850393700787" footer="0.196850393700787"/>
  <pageSetup paperSize="9" scale="93" orientation="portrait" r:id="rId1"/>
  <headerFooter>
    <oddFooter>&amp;L&amp;"Calibri,Regular"&amp;11Copyright 2019, Worley
&amp;F&amp;R&amp;"Calibri,Regular"&amp;11Rev. 0, 01 December 2019</oddFooter>
  </headerFooter>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70C0"/>
    <pageSetUpPr fitToPage="1"/>
  </sheetPr>
  <dimension ref="A1:CL79"/>
  <sheetViews>
    <sheetView zoomScaleNormal="100" zoomScaleSheetLayoutView="100" workbookViewId="0"/>
  </sheetViews>
  <sheetFormatPr defaultColWidth="9.1796875" defaultRowHeight="12.5" x14ac:dyDescent="0.25"/>
  <cols>
    <col min="1" max="1" width="0.7265625" style="7" customWidth="1"/>
    <col min="2" max="17" width="2.54296875" style="7" customWidth="1"/>
    <col min="18" max="18" width="3" style="7" customWidth="1"/>
    <col min="19" max="35" width="2.54296875" style="7" customWidth="1"/>
    <col min="36" max="36" width="2.7265625" style="7" customWidth="1"/>
    <col min="37" max="37" width="3" style="7" customWidth="1"/>
    <col min="38" max="39" width="2.54296875" style="7" customWidth="1"/>
    <col min="40" max="40" width="2.54296875" style="10" customWidth="1"/>
    <col min="41" max="41" width="21.26953125" style="10" hidden="1" customWidth="1"/>
    <col min="42" max="43" width="0" style="10" hidden="1" customWidth="1"/>
    <col min="44" max="89" width="0" style="7" hidden="1" customWidth="1"/>
    <col min="90" max="16384" width="9.1796875" style="7"/>
  </cols>
  <sheetData>
    <row r="1" spans="1:89" customFormat="1" ht="60" customHeight="1" x14ac:dyDescent="0.25">
      <c r="B1" s="222" t="s">
        <v>89</v>
      </c>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6"/>
      <c r="AP1" s="6"/>
      <c r="AQ1" s="6"/>
    </row>
    <row r="2" spans="1:89" s="8" customFormat="1" ht="15" customHeight="1" x14ac:dyDescent="0.25">
      <c r="B2" s="252" t="s">
        <v>1</v>
      </c>
      <c r="C2" s="253"/>
      <c r="D2" s="253"/>
      <c r="E2" s="253"/>
      <c r="F2" s="253"/>
      <c r="G2" s="253"/>
      <c r="H2" s="128"/>
      <c r="I2" s="279" t="str">
        <f>customer</f>
        <v>customer name</v>
      </c>
      <c r="J2" s="279"/>
      <c r="K2" s="279"/>
      <c r="L2" s="279"/>
      <c r="M2" s="279"/>
      <c r="N2" s="279"/>
      <c r="O2" s="279"/>
      <c r="P2" s="279"/>
      <c r="Q2" s="279"/>
      <c r="R2" s="279"/>
      <c r="S2" s="279"/>
      <c r="T2" s="279"/>
      <c r="U2" s="279"/>
      <c r="V2" s="279"/>
      <c r="W2" s="279"/>
      <c r="X2" s="279"/>
      <c r="Y2" s="279"/>
      <c r="Z2" s="279"/>
      <c r="AA2" s="280" t="str">
        <f>'Cover Sheet'!G2</f>
        <v>Proj No</v>
      </c>
      <c r="AB2" s="280"/>
      <c r="AC2" s="280"/>
      <c r="AD2" s="280"/>
      <c r="AE2" s="248" t="str">
        <f>Proj_No</f>
        <v>proj no</v>
      </c>
      <c r="AF2" s="248"/>
      <c r="AG2" s="248"/>
      <c r="AH2" s="248"/>
      <c r="AI2" s="248"/>
      <c r="AJ2" s="248"/>
      <c r="AK2" s="248"/>
      <c r="AL2" s="248"/>
      <c r="AM2" s="248"/>
      <c r="AN2" s="249"/>
      <c r="AO2" s="11"/>
      <c r="AP2" s="9"/>
      <c r="AQ2" s="9"/>
    </row>
    <row r="3" spans="1:89" s="8" customFormat="1" ht="15" customHeight="1" x14ac:dyDescent="0.25">
      <c r="B3" s="254" t="s">
        <v>5</v>
      </c>
      <c r="C3" s="255"/>
      <c r="D3" s="255"/>
      <c r="E3" s="255"/>
      <c r="F3" s="255"/>
      <c r="G3" s="255"/>
      <c r="H3" s="129"/>
      <c r="I3" s="278" t="str">
        <f>proj_title</f>
        <v>proj title</v>
      </c>
      <c r="J3" s="278"/>
      <c r="K3" s="278"/>
      <c r="L3" s="278"/>
      <c r="M3" s="278"/>
      <c r="N3" s="278"/>
      <c r="O3" s="278"/>
      <c r="P3" s="278"/>
      <c r="Q3" s="278"/>
      <c r="R3" s="278"/>
      <c r="S3" s="278"/>
      <c r="T3" s="278"/>
      <c r="U3" s="278"/>
      <c r="V3" s="278"/>
      <c r="W3" s="278"/>
      <c r="X3" s="278"/>
      <c r="Y3" s="278"/>
      <c r="Z3" s="278"/>
      <c r="AA3" s="245" t="str">
        <f>'Cover Sheet'!G3</f>
        <v>Calc No</v>
      </c>
      <c r="AB3" s="245"/>
      <c r="AC3" s="245"/>
      <c r="AD3" s="245"/>
      <c r="AE3" s="246" t="str">
        <f>Calc_No</f>
        <v>KS-PR-CAL-0090</v>
      </c>
      <c r="AF3" s="246"/>
      <c r="AG3" s="246"/>
      <c r="AH3" s="246"/>
      <c r="AI3" s="246"/>
      <c r="AJ3" s="246"/>
      <c r="AK3" s="246"/>
      <c r="AL3" s="246"/>
      <c r="AM3" s="246"/>
      <c r="AN3" s="247"/>
      <c r="AO3" s="11"/>
      <c r="AP3" s="9"/>
      <c r="AQ3" s="9"/>
    </row>
    <row r="4" spans="1:89" s="8" customFormat="1" ht="15" customHeight="1" x14ac:dyDescent="0.25">
      <c r="B4" s="251" t="s">
        <v>9</v>
      </c>
      <c r="C4" s="245"/>
      <c r="D4" s="245"/>
      <c r="E4" s="245"/>
      <c r="F4" s="245"/>
      <c r="G4" s="245"/>
      <c r="H4" s="129"/>
      <c r="I4" s="281" t="str">
        <f>calc_title</f>
        <v>Vibration Assessment - Surge and Momentum Changes Template</v>
      </c>
      <c r="J4" s="281"/>
      <c r="K4" s="281"/>
      <c r="L4" s="281"/>
      <c r="M4" s="281"/>
      <c r="N4" s="281"/>
      <c r="O4" s="281"/>
      <c r="P4" s="281"/>
      <c r="Q4" s="281"/>
      <c r="R4" s="281"/>
      <c r="S4" s="281"/>
      <c r="T4" s="281"/>
      <c r="U4" s="281"/>
      <c r="V4" s="281"/>
      <c r="W4" s="281"/>
      <c r="X4" s="281"/>
      <c r="Y4" s="281"/>
      <c r="Z4" s="281"/>
      <c r="AA4" s="245" t="s">
        <v>10</v>
      </c>
      <c r="AB4" s="245"/>
      <c r="AC4" s="245"/>
      <c r="AD4" s="245"/>
      <c r="AE4" s="246" t="str">
        <f>Phase_CTR</f>
        <v>phase</v>
      </c>
      <c r="AF4" s="246"/>
      <c r="AG4" s="246"/>
      <c r="AH4" s="246"/>
      <c r="AI4" s="246"/>
      <c r="AJ4" s="246"/>
      <c r="AK4" s="246"/>
      <c r="AL4" s="246"/>
      <c r="AM4" s="246"/>
      <c r="AN4" s="247"/>
      <c r="AO4" s="11"/>
      <c r="AP4" s="9"/>
      <c r="AQ4" s="9"/>
    </row>
    <row r="5" spans="1:89" s="8" customFormat="1" ht="22.5" customHeight="1" x14ac:dyDescent="0.25">
      <c r="B5" s="251" t="s">
        <v>12</v>
      </c>
      <c r="C5" s="245"/>
      <c r="D5" s="245"/>
      <c r="E5" s="245"/>
      <c r="F5" s="245"/>
      <c r="G5" s="245"/>
      <c r="H5" s="245"/>
      <c r="I5" s="272" t="str">
        <f ca="1">elec_file</f>
        <v>https://worleyparsons-my.sharepoint.com/personal/priyanka_verma_worley_com/Documents/Phase 2 QC2 Document Folder/KS/Calculations KS/Compare/KS-PR-CAL-0090 Vibration Assessment - Surge and Momentum Changes Template.xlsx</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3"/>
      <c r="AO5" s="9"/>
      <c r="AP5" s="9"/>
      <c r="AQ5" s="9"/>
    </row>
    <row r="6" spans="1:89" s="18" customFormat="1" ht="15" customHeight="1" x14ac:dyDescent="0.25">
      <c r="B6" s="275"/>
      <c r="C6" s="276"/>
      <c r="D6" s="276"/>
      <c r="E6" s="276"/>
      <c r="F6" s="276"/>
      <c r="G6" s="276"/>
      <c r="H6" s="276"/>
      <c r="I6" s="276"/>
      <c r="J6" s="229"/>
      <c r="K6" s="229"/>
      <c r="L6" s="229"/>
      <c r="M6" s="229"/>
      <c r="N6" s="229"/>
      <c r="O6" s="229"/>
      <c r="P6" s="229"/>
      <c r="Q6" s="229"/>
      <c r="R6" s="229"/>
      <c r="S6" s="229"/>
      <c r="T6" s="229"/>
      <c r="U6" s="229"/>
      <c r="V6" s="229"/>
      <c r="W6" s="229"/>
      <c r="X6" s="229"/>
      <c r="Y6" s="229"/>
      <c r="Z6" s="229"/>
      <c r="AA6" s="229"/>
      <c r="AB6" s="229"/>
      <c r="AC6" s="229"/>
      <c r="AD6" s="274" t="s">
        <v>13</v>
      </c>
      <c r="AE6" s="274"/>
      <c r="AF6" s="274"/>
      <c r="AG6" s="282">
        <v>1</v>
      </c>
      <c r="AH6" s="282"/>
      <c r="AI6" s="282"/>
      <c r="AJ6" s="274" t="s">
        <v>14</v>
      </c>
      <c r="AK6" s="274"/>
      <c r="AL6" s="256">
        <f>AppC!S14</f>
        <v>1</v>
      </c>
      <c r="AM6" s="256"/>
      <c r="AN6" s="257"/>
      <c r="AO6" s="17"/>
      <c r="AP6" s="17"/>
      <c r="AQ6" s="17"/>
    </row>
    <row r="7" spans="1:89" customFormat="1" ht="15" customHeight="1" x14ac:dyDescent="0.25">
      <c r="B7" s="283" t="s">
        <v>51</v>
      </c>
      <c r="C7" s="285"/>
      <c r="D7" s="283" t="s">
        <v>52</v>
      </c>
      <c r="E7" s="284"/>
      <c r="F7" s="284"/>
      <c r="G7" s="283" t="s">
        <v>54</v>
      </c>
      <c r="H7" s="284"/>
      <c r="I7" s="284"/>
      <c r="J7" s="285"/>
      <c r="K7" s="283" t="s">
        <v>55</v>
      </c>
      <c r="L7" s="284"/>
      <c r="M7" s="284"/>
      <c r="N7" s="286"/>
      <c r="O7" s="284" t="s">
        <v>51</v>
      </c>
      <c r="P7" s="285"/>
      <c r="Q7" s="283" t="s">
        <v>52</v>
      </c>
      <c r="R7" s="284"/>
      <c r="S7" s="284"/>
      <c r="T7" s="283" t="s">
        <v>54</v>
      </c>
      <c r="U7" s="284"/>
      <c r="V7" s="284"/>
      <c r="W7" s="285"/>
      <c r="X7" s="283" t="s">
        <v>55</v>
      </c>
      <c r="Y7" s="284"/>
      <c r="Z7" s="284"/>
      <c r="AA7" s="286"/>
      <c r="AB7" s="284" t="s">
        <v>51</v>
      </c>
      <c r="AC7" s="285"/>
      <c r="AD7" s="283" t="s">
        <v>52</v>
      </c>
      <c r="AE7" s="284"/>
      <c r="AF7" s="284"/>
      <c r="AG7" s="283" t="s">
        <v>54</v>
      </c>
      <c r="AH7" s="284"/>
      <c r="AI7" s="284"/>
      <c r="AJ7" s="285"/>
      <c r="AK7" s="283" t="s">
        <v>55</v>
      </c>
      <c r="AL7" s="284"/>
      <c r="AM7" s="284"/>
      <c r="AN7" s="285"/>
      <c r="AO7" s="6"/>
      <c r="AP7" s="6"/>
      <c r="AQ7" s="6"/>
    </row>
    <row r="8" spans="1:89" s="19" customFormat="1" ht="15" customHeight="1" x14ac:dyDescent="0.25">
      <c r="A8" s="20" t="s">
        <v>16</v>
      </c>
      <c r="B8" s="266" t="str">
        <f>_rev1</f>
        <v>rev 1</v>
      </c>
      <c r="C8" s="264"/>
      <c r="D8" s="268" t="str">
        <f>date1</f>
        <v>date 1</v>
      </c>
      <c r="E8" s="269"/>
      <c r="F8" s="269"/>
      <c r="G8" s="260" t="str">
        <f>orig1</f>
        <v>by 1</v>
      </c>
      <c r="H8" s="261"/>
      <c r="I8" s="261"/>
      <c r="J8" s="262"/>
      <c r="K8" s="266" t="str">
        <f>_chk1</f>
        <v>chkd 1</v>
      </c>
      <c r="L8" s="263"/>
      <c r="M8" s="263"/>
      <c r="N8" s="267"/>
      <c r="O8" s="263" t="str">
        <f>_rev2</f>
        <v>rev 2</v>
      </c>
      <c r="P8" s="264"/>
      <c r="Q8" s="268" t="str">
        <f>date2</f>
        <v>date 2</v>
      </c>
      <c r="R8" s="269"/>
      <c r="S8" s="269"/>
      <c r="T8" s="260" t="str">
        <f>orig2</f>
        <v>by 2</v>
      </c>
      <c r="U8" s="261"/>
      <c r="V8" s="261"/>
      <c r="W8" s="262"/>
      <c r="X8" s="266" t="str">
        <f>_chk2</f>
        <v>chkd 2</v>
      </c>
      <c r="Y8" s="263"/>
      <c r="Z8" s="263"/>
      <c r="AA8" s="267"/>
      <c r="AB8" s="263" t="str">
        <f>_rev3</f>
        <v>rev 3</v>
      </c>
      <c r="AC8" s="264"/>
      <c r="AD8" s="268" t="str">
        <f>date3</f>
        <v>date 3</v>
      </c>
      <c r="AE8" s="269"/>
      <c r="AF8" s="269"/>
      <c r="AG8" s="260" t="str">
        <f>orig3</f>
        <v>by 3</v>
      </c>
      <c r="AH8" s="261"/>
      <c r="AI8" s="261"/>
      <c r="AJ8" s="262"/>
      <c r="AK8" s="266" t="str">
        <f>_chk3</f>
        <v>chkd 3</v>
      </c>
      <c r="AL8" s="263"/>
      <c r="AM8" s="263"/>
      <c r="AN8" s="264"/>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row>
    <row r="9" spans="1:89" ht="14.9" customHeight="1" x14ac:dyDescent="0.35">
      <c r="B9" s="97"/>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9"/>
      <c r="AO9" s="9"/>
      <c r="AP9" s="9"/>
      <c r="AQ9" s="9"/>
      <c r="AR9" s="10"/>
      <c r="AS9" s="30" t="s">
        <v>296</v>
      </c>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row>
    <row r="10" spans="1:89" ht="14.9" customHeight="1" x14ac:dyDescent="0.25">
      <c r="B10" s="394" t="s">
        <v>297</v>
      </c>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395"/>
      <c r="AO10" s="9"/>
      <c r="AP10" s="9"/>
      <c r="AQ10" s="9"/>
      <c r="AR10" s="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row>
    <row r="11" spans="1:89" ht="14.9" customHeight="1" thickBot="1" x14ac:dyDescent="0.3">
      <c r="B11" s="100"/>
      <c r="C11" s="478"/>
      <c r="D11" s="478"/>
      <c r="E11" s="478"/>
      <c r="F11" s="478"/>
      <c r="G11" s="478"/>
      <c r="H11" s="478"/>
      <c r="I11" s="478"/>
      <c r="J11" s="478"/>
      <c r="K11" s="478"/>
      <c r="L11" s="478"/>
      <c r="M11" s="478"/>
      <c r="N11" s="478"/>
      <c r="O11" s="478"/>
      <c r="P11" s="478"/>
      <c r="Q11" s="478"/>
      <c r="R11" s="478"/>
      <c r="S11" s="478"/>
      <c r="T11" s="478"/>
      <c r="U11" s="478"/>
      <c r="V11" s="478"/>
      <c r="W11" s="478"/>
      <c r="X11" s="478"/>
      <c r="Y11" s="478"/>
      <c r="Z11" s="478"/>
      <c r="AA11" s="478"/>
      <c r="AB11" s="478"/>
      <c r="AC11" s="478"/>
      <c r="AD11" s="478"/>
      <c r="AE11" s="478"/>
      <c r="AF11" s="478"/>
      <c r="AG11" s="478"/>
      <c r="AH11" s="478"/>
      <c r="AI11" s="478"/>
      <c r="AJ11" s="478"/>
      <c r="AK11" s="478"/>
      <c r="AL11" s="72"/>
      <c r="AM11" s="72"/>
      <c r="AN11" s="101"/>
      <c r="AO11" s="9"/>
      <c r="AP11" s="9"/>
      <c r="AQ11" s="9"/>
      <c r="AR11" s="10"/>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row>
    <row r="12" spans="1:89" ht="14.9" customHeight="1" x14ac:dyDescent="0.25">
      <c r="B12" s="100"/>
      <c r="C12" s="475"/>
      <c r="D12" s="476"/>
      <c r="E12" s="476"/>
      <c r="F12" s="476"/>
      <c r="G12" s="476"/>
      <c r="H12" s="476"/>
      <c r="I12" s="476"/>
      <c r="J12" s="476"/>
      <c r="K12" s="476"/>
      <c r="L12" s="476"/>
      <c r="M12" s="476"/>
      <c r="N12" s="476"/>
      <c r="O12" s="476"/>
      <c r="P12" s="476"/>
      <c r="Q12" s="476"/>
      <c r="R12" s="476"/>
      <c r="S12" s="477"/>
      <c r="T12" s="400" t="s">
        <v>298</v>
      </c>
      <c r="U12" s="401"/>
      <c r="V12" s="401"/>
      <c r="W12" s="401"/>
      <c r="X12" s="401"/>
      <c r="Y12" s="402"/>
      <c r="Z12" s="400" t="s">
        <v>299</v>
      </c>
      <c r="AA12" s="401"/>
      <c r="AB12" s="401"/>
      <c r="AC12" s="401"/>
      <c r="AD12" s="401"/>
      <c r="AE12" s="402"/>
      <c r="AF12" s="400" t="s">
        <v>300</v>
      </c>
      <c r="AG12" s="401"/>
      <c r="AH12" s="401"/>
      <c r="AI12" s="401"/>
      <c r="AJ12" s="401"/>
      <c r="AK12" s="402"/>
      <c r="AL12" s="72"/>
      <c r="AM12" s="72"/>
      <c r="AN12" s="101"/>
      <c r="AO12" s="9"/>
      <c r="AP12" s="9"/>
      <c r="AR12" s="10"/>
      <c r="AS12" s="31"/>
      <c r="AT12" s="32" t="s">
        <v>301</v>
      </c>
      <c r="AU12" s="32"/>
      <c r="AV12" s="32"/>
      <c r="AW12" s="32"/>
      <c r="AX12" s="32"/>
      <c r="AY12" s="32"/>
      <c r="AZ12" s="32"/>
      <c r="BA12" s="32"/>
      <c r="BB12" s="32"/>
      <c r="BC12" s="32"/>
      <c r="BD12" s="32"/>
      <c r="BE12" s="33"/>
      <c r="BF12" s="33"/>
      <c r="BG12" s="32"/>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4"/>
    </row>
    <row r="13" spans="1:89" ht="14.9" customHeight="1" thickBot="1" x14ac:dyDescent="0.3">
      <c r="B13" s="100"/>
      <c r="C13" s="472" t="s">
        <v>198</v>
      </c>
      <c r="D13" s="306"/>
      <c r="E13" s="306"/>
      <c r="F13" s="306"/>
      <c r="G13" s="306"/>
      <c r="H13" s="306"/>
      <c r="I13" s="306"/>
      <c r="J13" s="306"/>
      <c r="K13" s="306"/>
      <c r="L13" s="306"/>
      <c r="M13" s="306"/>
      <c r="N13" s="306"/>
      <c r="O13" s="306"/>
      <c r="P13" s="306"/>
      <c r="Q13" s="306"/>
      <c r="R13" s="306"/>
      <c r="S13" s="306"/>
      <c r="T13" s="473"/>
      <c r="U13" s="473"/>
      <c r="V13" s="473"/>
      <c r="W13" s="473"/>
      <c r="X13" s="473"/>
      <c r="Y13" s="473"/>
      <c r="Z13" s="473"/>
      <c r="AA13" s="473"/>
      <c r="AB13" s="473"/>
      <c r="AC13" s="473"/>
      <c r="AD13" s="473"/>
      <c r="AE13" s="473"/>
      <c r="AF13" s="473"/>
      <c r="AG13" s="473"/>
      <c r="AH13" s="473"/>
      <c r="AI13" s="473"/>
      <c r="AJ13" s="473"/>
      <c r="AK13" s="474"/>
      <c r="AL13" s="72"/>
      <c r="AM13" s="72"/>
      <c r="AN13" s="101"/>
      <c r="AO13" s="9"/>
      <c r="AP13" s="9"/>
      <c r="AR13" s="10"/>
      <c r="AS13" s="35"/>
      <c r="AT13" s="41"/>
      <c r="AU13" s="41"/>
      <c r="AV13" s="41"/>
      <c r="AW13" s="41"/>
      <c r="AX13" s="41"/>
      <c r="AY13" s="41"/>
      <c r="AZ13" s="41"/>
      <c r="BA13" s="41"/>
      <c r="BB13" s="41"/>
      <c r="BC13" s="41"/>
      <c r="BD13" s="41"/>
      <c r="BE13" s="37"/>
      <c r="BF13" s="37"/>
      <c r="BG13" s="41"/>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8"/>
    </row>
    <row r="14" spans="1:89" ht="14.9" customHeight="1" x14ac:dyDescent="0.25">
      <c r="B14" s="100"/>
      <c r="C14" s="338" t="s">
        <v>212</v>
      </c>
      <c r="D14" s="339"/>
      <c r="E14" s="339"/>
      <c r="F14" s="339"/>
      <c r="G14" s="339"/>
      <c r="H14" s="339"/>
      <c r="I14" s="339"/>
      <c r="J14" s="339"/>
      <c r="K14" s="339"/>
      <c r="L14" s="339"/>
      <c r="M14" s="339"/>
      <c r="N14" s="339"/>
      <c r="O14" s="339"/>
      <c r="P14" s="339"/>
      <c r="Q14" s="339"/>
      <c r="R14" s="339"/>
      <c r="S14" s="340"/>
      <c r="T14" s="365" t="s">
        <v>213</v>
      </c>
      <c r="U14" s="366"/>
      <c r="V14" s="366"/>
      <c r="W14" s="366"/>
      <c r="X14" s="366"/>
      <c r="Y14" s="367"/>
      <c r="Z14" s="428" t="s">
        <v>213</v>
      </c>
      <c r="AA14" s="366"/>
      <c r="AB14" s="366"/>
      <c r="AC14" s="366"/>
      <c r="AD14" s="366"/>
      <c r="AE14" s="367"/>
      <c r="AF14" s="365" t="s">
        <v>213</v>
      </c>
      <c r="AG14" s="366"/>
      <c r="AH14" s="366"/>
      <c r="AI14" s="366"/>
      <c r="AJ14" s="366"/>
      <c r="AK14" s="367"/>
      <c r="AL14" s="72"/>
      <c r="AM14" s="72"/>
      <c r="AN14" s="101"/>
      <c r="AO14" s="9"/>
      <c r="AP14" s="9"/>
      <c r="AR14" s="10"/>
      <c r="AS14" s="35"/>
      <c r="AT14" s="41"/>
      <c r="AU14" s="41"/>
      <c r="AV14" s="41"/>
      <c r="AW14" s="41"/>
      <c r="AX14" s="41"/>
      <c r="AY14" s="41"/>
      <c r="AZ14" s="41"/>
      <c r="BA14" s="41"/>
      <c r="BB14" s="41"/>
      <c r="BC14" s="41"/>
      <c r="BD14" s="41"/>
      <c r="BE14" s="37"/>
      <c r="BF14" s="37"/>
      <c r="BG14" s="41"/>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8"/>
    </row>
    <row r="15" spans="1:89" ht="14.9" customHeight="1" x14ac:dyDescent="0.25">
      <c r="B15" s="100"/>
      <c r="C15" s="338" t="s">
        <v>302</v>
      </c>
      <c r="D15" s="339"/>
      <c r="E15" s="339"/>
      <c r="F15" s="339"/>
      <c r="G15" s="339"/>
      <c r="H15" s="339"/>
      <c r="I15" s="339"/>
      <c r="J15" s="339"/>
      <c r="K15" s="339"/>
      <c r="L15" s="339"/>
      <c r="M15" s="339"/>
      <c r="N15" s="339"/>
      <c r="O15" s="339"/>
      <c r="P15" s="339"/>
      <c r="Q15" s="339"/>
      <c r="R15" s="339"/>
      <c r="S15" s="340"/>
      <c r="T15" s="471">
        <v>1109</v>
      </c>
      <c r="U15" s="422"/>
      <c r="V15" s="422"/>
      <c r="W15" s="422"/>
      <c r="X15" s="422"/>
      <c r="Y15" s="423"/>
      <c r="Z15" s="421">
        <v>1109</v>
      </c>
      <c r="AA15" s="422"/>
      <c r="AB15" s="422"/>
      <c r="AC15" s="422"/>
      <c r="AD15" s="422"/>
      <c r="AE15" s="423"/>
      <c r="AF15" s="471">
        <v>1109</v>
      </c>
      <c r="AG15" s="422"/>
      <c r="AH15" s="422"/>
      <c r="AI15" s="422"/>
      <c r="AJ15" s="422"/>
      <c r="AK15" s="423"/>
      <c r="AL15" s="72"/>
      <c r="AM15" s="72"/>
      <c r="AN15" s="101"/>
      <c r="AO15" s="9"/>
      <c r="AP15" s="9"/>
      <c r="AR15" s="10"/>
      <c r="AS15" s="35"/>
      <c r="AT15" s="41"/>
      <c r="AU15" s="41"/>
      <c r="AV15" s="41"/>
      <c r="AW15" s="41"/>
      <c r="AX15" s="41"/>
      <c r="AY15" s="41"/>
      <c r="AZ15" s="41"/>
      <c r="BA15" s="41"/>
      <c r="BB15" s="41"/>
      <c r="BC15" s="41"/>
      <c r="BD15" s="41"/>
      <c r="BE15" s="37"/>
      <c r="BF15" s="37"/>
      <c r="BG15" s="41"/>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8"/>
    </row>
    <row r="16" spans="1:89" ht="14.9" customHeight="1" x14ac:dyDescent="0.25">
      <c r="B16" s="100"/>
      <c r="C16" s="338" t="s">
        <v>214</v>
      </c>
      <c r="D16" s="339"/>
      <c r="E16" s="339"/>
      <c r="F16" s="339"/>
      <c r="G16" s="339"/>
      <c r="H16" s="339"/>
      <c r="I16" s="339"/>
      <c r="J16" s="339"/>
      <c r="K16" s="339"/>
      <c r="L16" s="339"/>
      <c r="M16" s="339"/>
      <c r="N16" s="339"/>
      <c r="O16" s="339"/>
      <c r="P16" s="339"/>
      <c r="Q16" s="339"/>
      <c r="R16" s="339"/>
      <c r="S16" s="340"/>
      <c r="T16" s="359">
        <v>30.8</v>
      </c>
      <c r="U16" s="360"/>
      <c r="V16" s="360"/>
      <c r="W16" s="360"/>
      <c r="X16" s="360"/>
      <c r="Y16" s="361"/>
      <c r="Z16" s="424">
        <v>30.8</v>
      </c>
      <c r="AA16" s="360"/>
      <c r="AB16" s="360"/>
      <c r="AC16" s="360"/>
      <c r="AD16" s="360"/>
      <c r="AE16" s="361"/>
      <c r="AF16" s="359">
        <v>30.8</v>
      </c>
      <c r="AG16" s="360"/>
      <c r="AH16" s="360"/>
      <c r="AI16" s="360"/>
      <c r="AJ16" s="360"/>
      <c r="AK16" s="361"/>
      <c r="AL16" s="72"/>
      <c r="AM16" s="72"/>
      <c r="AN16" s="101"/>
      <c r="AR16" s="10"/>
      <c r="AS16" s="35"/>
      <c r="AT16" s="36" t="s">
        <v>303</v>
      </c>
      <c r="AU16" s="36"/>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8"/>
    </row>
    <row r="17" spans="1:89" ht="14.9" customHeight="1" x14ac:dyDescent="0.25">
      <c r="B17" s="100"/>
      <c r="C17" s="338" t="s">
        <v>304</v>
      </c>
      <c r="D17" s="339"/>
      <c r="E17" s="339"/>
      <c r="F17" s="339"/>
      <c r="G17" s="339"/>
      <c r="H17" s="339"/>
      <c r="I17" s="339"/>
      <c r="J17" s="339"/>
      <c r="K17" s="339"/>
      <c r="L17" s="339"/>
      <c r="M17" s="339"/>
      <c r="N17" s="339"/>
      <c r="O17" s="339"/>
      <c r="P17" s="339"/>
      <c r="Q17" s="339"/>
      <c r="R17" s="339"/>
      <c r="S17" s="340"/>
      <c r="T17" s="368">
        <v>34000000</v>
      </c>
      <c r="U17" s="369"/>
      <c r="V17" s="369"/>
      <c r="W17" s="369"/>
      <c r="X17" s="369"/>
      <c r="Y17" s="370"/>
      <c r="Z17" s="414">
        <v>34000000</v>
      </c>
      <c r="AA17" s="369"/>
      <c r="AB17" s="369"/>
      <c r="AC17" s="369"/>
      <c r="AD17" s="369"/>
      <c r="AE17" s="370"/>
      <c r="AF17" s="368">
        <v>34000000</v>
      </c>
      <c r="AG17" s="369"/>
      <c r="AH17" s="369"/>
      <c r="AI17" s="369"/>
      <c r="AJ17" s="369"/>
      <c r="AK17" s="370"/>
      <c r="AL17" s="72"/>
      <c r="AM17" s="72"/>
      <c r="AN17" s="101"/>
      <c r="AR17" s="10"/>
      <c r="AS17" s="39"/>
      <c r="AT17" s="40"/>
      <c r="AU17" s="40"/>
      <c r="AV17" s="132"/>
      <c r="AW17" s="132"/>
      <c r="AX17" s="132"/>
      <c r="AY17" s="132"/>
      <c r="AZ17" s="132"/>
      <c r="BA17" s="132"/>
      <c r="BB17" s="132"/>
      <c r="BC17" s="132"/>
      <c r="BD17" s="132"/>
      <c r="BE17" s="37"/>
      <c r="BF17" s="37"/>
      <c r="BG17" s="132"/>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8"/>
    </row>
    <row r="18" spans="1:89" ht="14.9" customHeight="1" x14ac:dyDescent="0.25">
      <c r="B18" s="100"/>
      <c r="C18" s="338" t="s">
        <v>218</v>
      </c>
      <c r="D18" s="339"/>
      <c r="E18" s="339"/>
      <c r="F18" s="339"/>
      <c r="G18" s="339"/>
      <c r="H18" s="339"/>
      <c r="I18" s="339"/>
      <c r="J18" s="339"/>
      <c r="K18" s="339"/>
      <c r="L18" s="339"/>
      <c r="M18" s="339"/>
      <c r="N18" s="339"/>
      <c r="O18" s="339"/>
      <c r="P18" s="339"/>
      <c r="Q18" s="339"/>
      <c r="R18" s="339"/>
      <c r="S18" s="340"/>
      <c r="T18" s="371">
        <v>80</v>
      </c>
      <c r="U18" s="372"/>
      <c r="V18" s="372"/>
      <c r="W18" s="372"/>
      <c r="X18" s="372"/>
      <c r="Y18" s="373"/>
      <c r="Z18" s="436">
        <v>80</v>
      </c>
      <c r="AA18" s="372"/>
      <c r="AB18" s="372"/>
      <c r="AC18" s="372"/>
      <c r="AD18" s="372"/>
      <c r="AE18" s="373"/>
      <c r="AF18" s="371">
        <v>80</v>
      </c>
      <c r="AG18" s="372"/>
      <c r="AH18" s="372"/>
      <c r="AI18" s="372"/>
      <c r="AJ18" s="372"/>
      <c r="AK18" s="373"/>
      <c r="AL18" s="72"/>
      <c r="AM18" s="72"/>
      <c r="AN18" s="101"/>
      <c r="AR18" s="10"/>
      <c r="AS18" s="479" t="s">
        <v>305</v>
      </c>
      <c r="AT18" s="480"/>
      <c r="AU18" s="132"/>
      <c r="AV18" s="132"/>
      <c r="AW18" s="132"/>
      <c r="AX18" s="132"/>
      <c r="AY18" s="132"/>
      <c r="AZ18" s="132"/>
      <c r="BA18" s="132"/>
      <c r="BB18" s="132"/>
      <c r="BC18" s="132"/>
      <c r="BD18" s="132"/>
      <c r="BE18" s="132"/>
      <c r="BF18" s="132"/>
      <c r="BG18" s="132"/>
      <c r="BH18" s="41"/>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8"/>
    </row>
    <row r="19" spans="1:89" ht="14.9" customHeight="1" x14ac:dyDescent="0.25">
      <c r="B19" s="100"/>
      <c r="C19" s="338" t="s">
        <v>219</v>
      </c>
      <c r="D19" s="339"/>
      <c r="E19" s="339"/>
      <c r="F19" s="339"/>
      <c r="G19" s="339"/>
      <c r="H19" s="339"/>
      <c r="I19" s="339"/>
      <c r="J19" s="339"/>
      <c r="K19" s="339"/>
      <c r="L19" s="339"/>
      <c r="M19" s="339"/>
      <c r="N19" s="339"/>
      <c r="O19" s="339"/>
      <c r="P19" s="339"/>
      <c r="Q19" s="339"/>
      <c r="R19" s="339"/>
      <c r="S19" s="340"/>
      <c r="T19" s="371" t="s">
        <v>237</v>
      </c>
      <c r="U19" s="372"/>
      <c r="V19" s="372"/>
      <c r="W19" s="372"/>
      <c r="X19" s="372"/>
      <c r="Y19" s="373"/>
      <c r="Z19" s="436" t="s">
        <v>237</v>
      </c>
      <c r="AA19" s="372"/>
      <c r="AB19" s="372"/>
      <c r="AC19" s="372"/>
      <c r="AD19" s="372"/>
      <c r="AE19" s="373"/>
      <c r="AF19" s="371" t="s">
        <v>237</v>
      </c>
      <c r="AG19" s="372"/>
      <c r="AH19" s="372"/>
      <c r="AI19" s="372"/>
      <c r="AJ19" s="372"/>
      <c r="AK19" s="373"/>
      <c r="AL19" s="72"/>
      <c r="AM19" s="72"/>
      <c r="AN19" s="101"/>
      <c r="AR19" s="10"/>
      <c r="AS19" s="131" t="s">
        <v>306</v>
      </c>
      <c r="AT19" s="132" t="s">
        <v>124</v>
      </c>
      <c r="AU19" s="132"/>
      <c r="AV19" s="37"/>
      <c r="AW19" s="37"/>
      <c r="AX19" s="37"/>
      <c r="AY19" s="37"/>
      <c r="AZ19" s="37"/>
      <c r="BA19" s="37"/>
      <c r="BB19" s="37"/>
      <c r="BC19" s="37"/>
      <c r="BD19" s="37"/>
      <c r="BE19" s="37"/>
      <c r="BF19" s="37"/>
      <c r="BG19" s="37"/>
      <c r="BH19" s="41"/>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8"/>
    </row>
    <row r="20" spans="1:89" ht="14.9" customHeight="1" x14ac:dyDescent="0.25">
      <c r="B20" s="100"/>
      <c r="C20" s="338" t="s">
        <v>223</v>
      </c>
      <c r="D20" s="339"/>
      <c r="E20" s="339"/>
      <c r="F20" s="339"/>
      <c r="G20" s="339"/>
      <c r="H20" s="339"/>
      <c r="I20" s="339"/>
      <c r="J20" s="339"/>
      <c r="K20" s="339"/>
      <c r="L20" s="339"/>
      <c r="M20" s="339"/>
      <c r="N20" s="339"/>
      <c r="O20" s="339"/>
      <c r="P20" s="339"/>
      <c r="Q20" s="339"/>
      <c r="R20" s="339"/>
      <c r="S20" s="340"/>
      <c r="T20" s="374">
        <f>IF(T19="manual input","-",INDEX($AT$26:$AU$57,MATCH(T18,$AT$26:$AT$57,0),2))</f>
        <v>88.9</v>
      </c>
      <c r="U20" s="375"/>
      <c r="V20" s="375"/>
      <c r="W20" s="375"/>
      <c r="X20" s="375"/>
      <c r="Y20" s="376"/>
      <c r="Z20" s="426">
        <f>IF(Z19="manual input","-",INDEX($AT$26:$AU$57,MATCH(Z18,$AT$26:$AT$57,0),2))</f>
        <v>88.9</v>
      </c>
      <c r="AA20" s="375"/>
      <c r="AB20" s="375"/>
      <c r="AC20" s="375"/>
      <c r="AD20" s="375"/>
      <c r="AE20" s="376"/>
      <c r="AF20" s="374">
        <f>IF(AF19="manual input","-",INDEX($AT$26:$AU$57,MATCH(AF18,$AT$26:$AT$57,0),2))</f>
        <v>88.9</v>
      </c>
      <c r="AG20" s="375"/>
      <c r="AH20" s="375"/>
      <c r="AI20" s="375"/>
      <c r="AJ20" s="375"/>
      <c r="AK20" s="376"/>
      <c r="AL20" s="72"/>
      <c r="AM20" s="72"/>
      <c r="AN20" s="101"/>
      <c r="AR20" s="10"/>
      <c r="AS20" s="131"/>
      <c r="AT20" s="132"/>
      <c r="AU20" s="132"/>
      <c r="AV20" s="37"/>
      <c r="AW20" s="37"/>
      <c r="AX20" s="37"/>
      <c r="AY20" s="37"/>
      <c r="AZ20" s="37"/>
      <c r="BA20" s="37"/>
      <c r="BB20" s="37"/>
      <c r="BC20" s="37"/>
      <c r="BD20" s="37"/>
      <c r="BE20" s="37"/>
      <c r="BF20" s="37"/>
      <c r="BG20" s="37"/>
      <c r="BH20" s="41"/>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8"/>
    </row>
    <row r="21" spans="1:89" ht="14.9" customHeight="1" x14ac:dyDescent="0.25">
      <c r="B21" s="100"/>
      <c r="C21" s="338" t="s">
        <v>224</v>
      </c>
      <c r="D21" s="339"/>
      <c r="E21" s="339"/>
      <c r="F21" s="339"/>
      <c r="G21" s="339"/>
      <c r="H21" s="339"/>
      <c r="I21" s="339"/>
      <c r="J21" s="339"/>
      <c r="K21" s="339"/>
      <c r="L21" s="339"/>
      <c r="M21" s="339"/>
      <c r="N21" s="339"/>
      <c r="O21" s="339"/>
      <c r="P21" s="339"/>
      <c r="Q21" s="339"/>
      <c r="R21" s="339"/>
      <c r="S21" s="340"/>
      <c r="T21" s="356">
        <f>(IF(T19="manual input","-",(INDEX($AV$26:$CK$57,MATCH(T18,$AT$26:$AT$57,0),MATCH(T19,$AV$23:$CK$23,0)+1)*25.4)))</f>
        <v>7.6199999999999992</v>
      </c>
      <c r="U21" s="357"/>
      <c r="V21" s="357"/>
      <c r="W21" s="357"/>
      <c r="X21" s="357"/>
      <c r="Y21" s="358"/>
      <c r="Z21" s="427">
        <f>(IF(Z19="manual input","-",(INDEX($AV$26:$CK$57,MATCH(Z18,$AT$26:$AT$57,0),MATCH(Z19,$AV$23:$CK$23,0)+1)*25.4)))</f>
        <v>7.6199999999999992</v>
      </c>
      <c r="AA21" s="357"/>
      <c r="AB21" s="357"/>
      <c r="AC21" s="357"/>
      <c r="AD21" s="357"/>
      <c r="AE21" s="358"/>
      <c r="AF21" s="356">
        <f>(IF(AF19="manual input","-",(INDEX($AV$26:$CK$57,MATCH(AF18,$AT$26:$AT$57,0),MATCH(AF19,$AV$23:$CK$23,0)+1)*25.4)))</f>
        <v>7.6199999999999992</v>
      </c>
      <c r="AG21" s="357"/>
      <c r="AH21" s="357"/>
      <c r="AI21" s="357"/>
      <c r="AJ21" s="357"/>
      <c r="AK21" s="358"/>
      <c r="AL21" s="72"/>
      <c r="AM21" s="72"/>
      <c r="AN21" s="101"/>
      <c r="AR21" s="10"/>
      <c r="AS21" s="131"/>
      <c r="AT21" s="132"/>
      <c r="AU21" s="132"/>
      <c r="AV21" s="37"/>
      <c r="AW21" s="37"/>
      <c r="AX21" s="37"/>
      <c r="AY21" s="37"/>
      <c r="AZ21" s="37"/>
      <c r="BA21" s="37"/>
      <c r="BB21" s="37"/>
      <c r="BC21" s="37"/>
      <c r="BD21" s="37"/>
      <c r="BE21" s="37"/>
      <c r="BF21" s="37"/>
      <c r="BG21" s="37"/>
      <c r="BH21" s="41"/>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8"/>
    </row>
    <row r="22" spans="1:89" ht="14.9" customHeight="1" x14ac:dyDescent="0.25">
      <c r="A22" s="70"/>
      <c r="B22" s="100"/>
      <c r="C22" s="389" t="s">
        <v>239</v>
      </c>
      <c r="D22" s="390"/>
      <c r="E22" s="390"/>
      <c r="F22" s="390"/>
      <c r="G22" s="390"/>
      <c r="H22" s="390"/>
      <c r="I22" s="390"/>
      <c r="J22" s="390"/>
      <c r="K22" s="390"/>
      <c r="L22" s="390"/>
      <c r="M22" s="390"/>
      <c r="N22" s="390"/>
      <c r="O22" s="390"/>
      <c r="P22" s="390"/>
      <c r="Q22" s="390"/>
      <c r="R22" s="390"/>
      <c r="S22" s="466"/>
      <c r="T22" s="391"/>
      <c r="U22" s="392"/>
      <c r="V22" s="392"/>
      <c r="W22" s="392"/>
      <c r="X22" s="392"/>
      <c r="Y22" s="393"/>
      <c r="Z22" s="392"/>
      <c r="AA22" s="392"/>
      <c r="AB22" s="392"/>
      <c r="AC22" s="392"/>
      <c r="AD22" s="392"/>
      <c r="AE22" s="392"/>
      <c r="AF22" s="469"/>
      <c r="AG22" s="392"/>
      <c r="AH22" s="392"/>
      <c r="AI22" s="392"/>
      <c r="AJ22" s="392"/>
      <c r="AK22" s="393"/>
      <c r="AL22" s="72"/>
      <c r="AM22" s="72"/>
      <c r="AN22" s="101"/>
      <c r="AR22" s="10"/>
      <c r="AS22" s="131"/>
      <c r="AT22" s="132"/>
      <c r="AU22" s="132"/>
      <c r="AV22" s="37"/>
      <c r="AW22" s="37"/>
      <c r="AX22" s="37"/>
      <c r="AY22" s="37"/>
      <c r="AZ22" s="37"/>
      <c r="BA22" s="37"/>
      <c r="BB22" s="37"/>
      <c r="BC22" s="37"/>
      <c r="BD22" s="37"/>
      <c r="BE22" s="37"/>
      <c r="BF22" s="37"/>
      <c r="BG22" s="37"/>
      <c r="BH22" s="41"/>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8"/>
    </row>
    <row r="23" spans="1:89" ht="14.9" customHeight="1" x14ac:dyDescent="0.25">
      <c r="B23" s="100"/>
      <c r="C23" s="389" t="s">
        <v>307</v>
      </c>
      <c r="D23" s="390"/>
      <c r="E23" s="390"/>
      <c r="F23" s="390"/>
      <c r="G23" s="390"/>
      <c r="H23" s="390"/>
      <c r="I23" s="390"/>
      <c r="J23" s="390"/>
      <c r="K23" s="390"/>
      <c r="L23" s="390"/>
      <c r="M23" s="390"/>
      <c r="N23" s="390"/>
      <c r="O23" s="390"/>
      <c r="P23" s="390"/>
      <c r="Q23" s="390"/>
      <c r="R23" s="390"/>
      <c r="S23" s="466"/>
      <c r="T23" s="383"/>
      <c r="U23" s="384"/>
      <c r="V23" s="384"/>
      <c r="W23" s="384"/>
      <c r="X23" s="384"/>
      <c r="Y23" s="385"/>
      <c r="Z23" s="384"/>
      <c r="AA23" s="384"/>
      <c r="AB23" s="384"/>
      <c r="AC23" s="384"/>
      <c r="AD23" s="384"/>
      <c r="AE23" s="384"/>
      <c r="AF23" s="470"/>
      <c r="AG23" s="384"/>
      <c r="AH23" s="384"/>
      <c r="AI23" s="384"/>
      <c r="AJ23" s="384"/>
      <c r="AK23" s="385"/>
      <c r="AL23" s="72"/>
      <c r="AM23" s="72"/>
      <c r="AN23" s="101"/>
      <c r="AR23" s="65" t="s">
        <v>225</v>
      </c>
      <c r="AS23" s="35"/>
      <c r="AT23" s="37" t="s">
        <v>226</v>
      </c>
      <c r="AU23" s="37"/>
      <c r="AV23" s="47" t="s">
        <v>227</v>
      </c>
      <c r="AW23" s="37"/>
      <c r="AX23" s="37"/>
      <c r="AY23" s="47" t="s">
        <v>228</v>
      </c>
      <c r="AZ23" s="37"/>
      <c r="BA23" s="37"/>
      <c r="BB23" s="51" t="s">
        <v>229</v>
      </c>
      <c r="BC23" s="37"/>
      <c r="BD23" s="37"/>
      <c r="BE23" s="51" t="s">
        <v>230</v>
      </c>
      <c r="BF23" s="37"/>
      <c r="BG23" s="37"/>
      <c r="BH23" s="47" t="s">
        <v>221</v>
      </c>
      <c r="BI23" s="37"/>
      <c r="BJ23" s="37"/>
      <c r="BK23" s="67" t="s">
        <v>231</v>
      </c>
      <c r="BL23" s="37"/>
      <c r="BM23" s="37"/>
      <c r="BN23" s="47" t="s">
        <v>222</v>
      </c>
      <c r="BO23" s="37"/>
      <c r="BP23" s="37"/>
      <c r="BQ23" s="51" t="s">
        <v>232</v>
      </c>
      <c r="BR23" s="37"/>
      <c r="BS23" s="37"/>
      <c r="BT23" s="51" t="s">
        <v>233</v>
      </c>
      <c r="BU23" s="37"/>
      <c r="BV23" s="37"/>
      <c r="BW23" s="51" t="s">
        <v>234</v>
      </c>
      <c r="BX23" s="37"/>
      <c r="BY23" s="37"/>
      <c r="BZ23" s="51" t="s">
        <v>235</v>
      </c>
      <c r="CA23" s="37"/>
      <c r="CB23" s="37"/>
      <c r="CC23" s="47" t="s">
        <v>236</v>
      </c>
      <c r="CD23" s="37"/>
      <c r="CE23" s="37"/>
      <c r="CF23" s="47" t="s">
        <v>237</v>
      </c>
      <c r="CG23" s="37"/>
      <c r="CH23" s="37"/>
      <c r="CI23" s="47" t="s">
        <v>238</v>
      </c>
      <c r="CJ23" s="37"/>
      <c r="CK23" s="38"/>
    </row>
    <row r="24" spans="1:89" ht="14.9" customHeight="1" x14ac:dyDescent="0.25">
      <c r="B24" s="100"/>
      <c r="C24" s="338" t="s">
        <v>246</v>
      </c>
      <c r="D24" s="339"/>
      <c r="E24" s="339"/>
      <c r="F24" s="339"/>
      <c r="G24" s="339"/>
      <c r="H24" s="339"/>
      <c r="I24" s="339"/>
      <c r="J24" s="339"/>
      <c r="K24" s="339"/>
      <c r="L24" s="339"/>
      <c r="M24" s="339"/>
      <c r="N24" s="339"/>
      <c r="O24" s="339"/>
      <c r="P24" s="339"/>
      <c r="Q24" s="339"/>
      <c r="R24" s="339"/>
      <c r="S24" s="340"/>
      <c r="T24" s="356">
        <f>IF(T19="Manual Input",(T22-(T23*2)),(T20-(2*T21)))</f>
        <v>73.660000000000011</v>
      </c>
      <c r="U24" s="357"/>
      <c r="V24" s="357"/>
      <c r="W24" s="357"/>
      <c r="X24" s="357"/>
      <c r="Y24" s="358"/>
      <c r="Z24" s="356">
        <f t="shared" ref="Z24" si="0">IF(Z19="Manual Input",(Z22-(Z23*2)),(Z20-(2*Z21)))</f>
        <v>73.660000000000011</v>
      </c>
      <c r="AA24" s="357"/>
      <c r="AB24" s="357"/>
      <c r="AC24" s="357"/>
      <c r="AD24" s="357"/>
      <c r="AE24" s="358"/>
      <c r="AF24" s="356">
        <f t="shared" ref="AF24" si="1">IF(AF19="Manual Input",(AF22-(AF23*2)),(AF20-(2*AF21)))</f>
        <v>73.660000000000011</v>
      </c>
      <c r="AG24" s="357"/>
      <c r="AH24" s="357"/>
      <c r="AI24" s="357"/>
      <c r="AJ24" s="357"/>
      <c r="AK24" s="358"/>
      <c r="AL24" s="72"/>
      <c r="AM24" s="72"/>
      <c r="AN24" s="101"/>
      <c r="AR24" s="65"/>
      <c r="AS24" s="35"/>
      <c r="AT24" s="37"/>
      <c r="AU24" s="37"/>
      <c r="AV24" s="47"/>
      <c r="AW24" s="37"/>
      <c r="AX24" s="37"/>
      <c r="AY24" s="47"/>
      <c r="AZ24" s="37"/>
      <c r="BA24" s="37"/>
      <c r="BB24" s="51"/>
      <c r="BC24" s="37"/>
      <c r="BD24" s="37"/>
      <c r="BE24" s="51"/>
      <c r="BF24" s="37"/>
      <c r="BG24" s="37"/>
      <c r="BH24" s="47"/>
      <c r="BI24" s="37"/>
      <c r="BJ24" s="37"/>
      <c r="BK24" s="67"/>
      <c r="BL24" s="37"/>
      <c r="BM24" s="37"/>
      <c r="BN24" s="47"/>
      <c r="BO24" s="37"/>
      <c r="BP24" s="37"/>
      <c r="BQ24" s="51"/>
      <c r="BR24" s="37"/>
      <c r="BS24" s="37"/>
      <c r="BT24" s="51"/>
      <c r="BU24" s="37"/>
      <c r="BV24" s="37"/>
      <c r="BW24" s="51"/>
      <c r="BX24" s="37"/>
      <c r="BY24" s="37"/>
      <c r="BZ24" s="51"/>
      <c r="CA24" s="37"/>
      <c r="CB24" s="37"/>
      <c r="CC24" s="47"/>
      <c r="CD24" s="37"/>
      <c r="CE24" s="37"/>
      <c r="CF24" s="47"/>
      <c r="CG24" s="37"/>
      <c r="CH24" s="37"/>
      <c r="CI24" s="47"/>
      <c r="CJ24" s="37"/>
      <c r="CK24" s="38"/>
    </row>
    <row r="25" spans="1:89" ht="14.9" customHeight="1" x14ac:dyDescent="0.25">
      <c r="B25" s="100"/>
      <c r="C25" s="338" t="s">
        <v>247</v>
      </c>
      <c r="D25" s="339"/>
      <c r="E25" s="339"/>
      <c r="F25" s="339"/>
      <c r="G25" s="339"/>
      <c r="H25" s="339"/>
      <c r="I25" s="339"/>
      <c r="J25" s="339"/>
      <c r="K25" s="339"/>
      <c r="L25" s="339"/>
      <c r="M25" s="339"/>
      <c r="N25" s="339"/>
      <c r="O25" s="339"/>
      <c r="P25" s="339"/>
      <c r="Q25" s="339"/>
      <c r="R25" s="339"/>
      <c r="S25" s="340"/>
      <c r="T25" s="356">
        <f>(INDEX($AT$26:$BI$57,MATCH(T18,$AT$26:$AT$57,0),16))*25.4</f>
        <v>5.4863999999999997</v>
      </c>
      <c r="U25" s="357"/>
      <c r="V25" s="357"/>
      <c r="W25" s="357"/>
      <c r="X25" s="357"/>
      <c r="Y25" s="358"/>
      <c r="Z25" s="427">
        <f>(INDEX($AT$26:$BI$57,MATCH(Z18,$AT$26:$AT$57,0),16))*25.4</f>
        <v>5.4863999999999997</v>
      </c>
      <c r="AA25" s="357"/>
      <c r="AB25" s="357"/>
      <c r="AC25" s="357"/>
      <c r="AD25" s="357"/>
      <c r="AE25" s="358"/>
      <c r="AF25" s="356">
        <f>(INDEX($AT$26:$BI$57,MATCH(AF18,$AT$26:$AT$57,0),16))*25.4</f>
        <v>5.4863999999999997</v>
      </c>
      <c r="AG25" s="357"/>
      <c r="AH25" s="357"/>
      <c r="AI25" s="357"/>
      <c r="AJ25" s="357"/>
      <c r="AK25" s="358"/>
      <c r="AL25" s="72"/>
      <c r="AM25" s="72"/>
      <c r="AN25" s="101"/>
      <c r="AR25" s="65">
        <v>1</v>
      </c>
      <c r="AS25" s="66" t="s">
        <v>31</v>
      </c>
      <c r="AT25" s="43" t="s">
        <v>241</v>
      </c>
      <c r="AU25" s="43" t="s">
        <v>242</v>
      </c>
      <c r="AV25" s="44" t="s">
        <v>243</v>
      </c>
      <c r="AW25" s="43" t="s">
        <v>244</v>
      </c>
      <c r="AX25" s="43" t="s">
        <v>245</v>
      </c>
      <c r="AY25" s="44" t="s">
        <v>243</v>
      </c>
      <c r="AZ25" s="43" t="s">
        <v>244</v>
      </c>
      <c r="BA25" s="43" t="s">
        <v>245</v>
      </c>
      <c r="BB25" s="44" t="s">
        <v>243</v>
      </c>
      <c r="BC25" s="43" t="s">
        <v>244</v>
      </c>
      <c r="BD25" s="43" t="s">
        <v>245</v>
      </c>
      <c r="BE25" s="44" t="s">
        <v>243</v>
      </c>
      <c r="BF25" s="43" t="s">
        <v>244</v>
      </c>
      <c r="BG25" s="43" t="s">
        <v>245</v>
      </c>
      <c r="BH25" s="44" t="s">
        <v>243</v>
      </c>
      <c r="BI25" s="43" t="s">
        <v>244</v>
      </c>
      <c r="BJ25" s="43" t="s">
        <v>245</v>
      </c>
      <c r="BK25" s="44" t="s">
        <v>243</v>
      </c>
      <c r="BL25" s="43" t="s">
        <v>244</v>
      </c>
      <c r="BM25" s="43" t="s">
        <v>245</v>
      </c>
      <c r="BN25" s="44" t="s">
        <v>243</v>
      </c>
      <c r="BO25" s="43" t="s">
        <v>244</v>
      </c>
      <c r="BP25" s="43" t="s">
        <v>245</v>
      </c>
      <c r="BQ25" s="44" t="s">
        <v>243</v>
      </c>
      <c r="BR25" s="43" t="s">
        <v>244</v>
      </c>
      <c r="BS25" s="43" t="s">
        <v>245</v>
      </c>
      <c r="BT25" s="44" t="s">
        <v>243</v>
      </c>
      <c r="BU25" s="43" t="s">
        <v>244</v>
      </c>
      <c r="BV25" s="43" t="s">
        <v>245</v>
      </c>
      <c r="BW25" s="44" t="s">
        <v>243</v>
      </c>
      <c r="BX25" s="43" t="s">
        <v>244</v>
      </c>
      <c r="BY25" s="43" t="s">
        <v>245</v>
      </c>
      <c r="BZ25" s="44" t="s">
        <v>243</v>
      </c>
      <c r="CA25" s="43" t="s">
        <v>244</v>
      </c>
      <c r="CB25" s="43" t="s">
        <v>245</v>
      </c>
      <c r="CC25" s="44" t="s">
        <v>243</v>
      </c>
      <c r="CD25" s="43" t="s">
        <v>244</v>
      </c>
      <c r="CE25" s="43" t="s">
        <v>245</v>
      </c>
      <c r="CF25" s="44" t="s">
        <v>243</v>
      </c>
      <c r="CG25" s="43" t="s">
        <v>244</v>
      </c>
      <c r="CH25" s="43" t="s">
        <v>245</v>
      </c>
      <c r="CI25" s="44" t="s">
        <v>243</v>
      </c>
      <c r="CJ25" s="43" t="s">
        <v>244</v>
      </c>
      <c r="CK25" s="45" t="s">
        <v>245</v>
      </c>
    </row>
    <row r="26" spans="1:89" ht="14.9" customHeight="1" x14ac:dyDescent="0.25">
      <c r="B26" s="100"/>
      <c r="C26" s="338" t="s">
        <v>248</v>
      </c>
      <c r="D26" s="339"/>
      <c r="E26" s="339"/>
      <c r="F26" s="339"/>
      <c r="G26" s="339"/>
      <c r="H26" s="339"/>
      <c r="I26" s="339"/>
      <c r="J26" s="339"/>
      <c r="K26" s="339"/>
      <c r="L26" s="339"/>
      <c r="M26" s="339"/>
      <c r="N26" s="339"/>
      <c r="O26" s="339"/>
      <c r="P26" s="339"/>
      <c r="Q26" s="339"/>
      <c r="R26" s="339"/>
      <c r="S26" s="340"/>
      <c r="T26" s="371" t="s">
        <v>259</v>
      </c>
      <c r="U26" s="372"/>
      <c r="V26" s="372"/>
      <c r="W26" s="372"/>
      <c r="X26" s="372"/>
      <c r="Y26" s="373"/>
      <c r="Z26" s="436" t="s">
        <v>259</v>
      </c>
      <c r="AA26" s="372"/>
      <c r="AB26" s="372"/>
      <c r="AC26" s="372"/>
      <c r="AD26" s="372"/>
      <c r="AE26" s="373"/>
      <c r="AF26" s="371" t="s">
        <v>259</v>
      </c>
      <c r="AG26" s="372"/>
      <c r="AH26" s="372"/>
      <c r="AI26" s="372"/>
      <c r="AJ26" s="372"/>
      <c r="AK26" s="373"/>
      <c r="AL26" s="72"/>
      <c r="AM26" s="72"/>
      <c r="AN26" s="101"/>
      <c r="AR26" s="10">
        <v>4</v>
      </c>
      <c r="AS26" s="46">
        <v>0.375</v>
      </c>
      <c r="AT26" s="43">
        <v>10</v>
      </c>
      <c r="AU26" s="62">
        <v>17.149999999999999</v>
      </c>
      <c r="AV26" s="47"/>
      <c r="AW26" s="48"/>
      <c r="AX26" s="48"/>
      <c r="AY26" s="47" t="s">
        <v>228</v>
      </c>
      <c r="AZ26" s="48">
        <v>6.5000000000000002E-2</v>
      </c>
      <c r="BA26" s="48">
        <v>0.54500000000000004</v>
      </c>
      <c r="BB26" s="47"/>
      <c r="BC26" s="132"/>
      <c r="BD26" s="132"/>
      <c r="BE26" s="47"/>
      <c r="BF26" s="132"/>
      <c r="BG26" s="132"/>
      <c r="BH26" s="47" t="s">
        <v>221</v>
      </c>
      <c r="BI26" s="48">
        <v>9.0999999999999998E-2</v>
      </c>
      <c r="BJ26" s="48">
        <v>0.49299999999999999</v>
      </c>
      <c r="BK26" s="47"/>
      <c r="BL26" s="132"/>
      <c r="BM26" s="132"/>
      <c r="BN26" s="47" t="s">
        <v>222</v>
      </c>
      <c r="BO26" s="48">
        <v>0.126</v>
      </c>
      <c r="BP26" s="48">
        <v>0.42499999999999999</v>
      </c>
      <c r="BQ26" s="47"/>
      <c r="BR26" s="132"/>
      <c r="BS26" s="132"/>
      <c r="BT26" s="47"/>
      <c r="BU26" s="132"/>
      <c r="BV26" s="132"/>
      <c r="BW26" s="47"/>
      <c r="BX26" s="132"/>
      <c r="BY26" s="132"/>
      <c r="BZ26" s="47"/>
      <c r="CA26" s="132"/>
      <c r="CB26" s="132"/>
      <c r="CC26" s="47" t="s">
        <v>236</v>
      </c>
      <c r="CD26" s="48">
        <v>9.0999999999999998E-2</v>
      </c>
      <c r="CE26" s="48">
        <v>0.49299999999999999</v>
      </c>
      <c r="CF26" s="47" t="s">
        <v>237</v>
      </c>
      <c r="CG26" s="48">
        <v>0.126</v>
      </c>
      <c r="CH26" s="48">
        <v>0.42299999999999999</v>
      </c>
      <c r="CI26" s="47"/>
      <c r="CJ26" s="132"/>
      <c r="CK26" s="49"/>
    </row>
    <row r="27" spans="1:89" ht="14.9" customHeight="1" x14ac:dyDescent="0.25">
      <c r="B27" s="100"/>
      <c r="C27" s="343" t="s">
        <v>308</v>
      </c>
      <c r="D27" s="344"/>
      <c r="E27" s="344"/>
      <c r="F27" s="344"/>
      <c r="G27" s="344"/>
      <c r="H27" s="344"/>
      <c r="I27" s="344"/>
      <c r="J27" s="344"/>
      <c r="K27" s="344"/>
      <c r="L27" s="344"/>
      <c r="M27" s="344"/>
      <c r="N27" s="344"/>
      <c r="O27" s="344"/>
      <c r="P27" s="344"/>
      <c r="Q27" s="344"/>
      <c r="R27" s="344"/>
      <c r="S27" s="345"/>
      <c r="T27" s="380">
        <f>IF(T26="user input","",INDEX($AO$34:$AP$37,MATCH(T26,$AP$34:$AP$37,0),1))</f>
        <v>1</v>
      </c>
      <c r="U27" s="381"/>
      <c r="V27" s="381"/>
      <c r="W27" s="381"/>
      <c r="X27" s="381"/>
      <c r="Y27" s="382"/>
      <c r="Z27" s="437">
        <f>IF(Z26="user input","",INDEX($AO$34:$AP$37,MATCH(Z26,$AP$34:$AP$37,0),1))</f>
        <v>1</v>
      </c>
      <c r="AA27" s="381"/>
      <c r="AB27" s="381"/>
      <c r="AC27" s="381"/>
      <c r="AD27" s="381"/>
      <c r="AE27" s="382"/>
      <c r="AF27" s="380">
        <f>IF(AF26="user input","",INDEX($AO$34:$AP$37,MATCH(AF26,$AP$34:$AP$37,0),1))</f>
        <v>1</v>
      </c>
      <c r="AG27" s="381"/>
      <c r="AH27" s="381"/>
      <c r="AI27" s="381"/>
      <c r="AJ27" s="381"/>
      <c r="AK27" s="382"/>
      <c r="AL27" s="72"/>
      <c r="AM27" s="72"/>
      <c r="AN27" s="101"/>
      <c r="AR27" s="65">
        <v>5</v>
      </c>
      <c r="AS27" s="46">
        <v>0.5</v>
      </c>
      <c r="AT27" s="36">
        <v>15</v>
      </c>
      <c r="AU27" s="63">
        <v>21.34</v>
      </c>
      <c r="AV27" s="47"/>
      <c r="AW27" s="50"/>
      <c r="AX27" s="50"/>
      <c r="AY27" s="47" t="s">
        <v>228</v>
      </c>
      <c r="AZ27" s="50">
        <v>6.5000000000000002E-2</v>
      </c>
      <c r="BA27" s="50">
        <v>0.67400000000000004</v>
      </c>
      <c r="BB27" s="51"/>
      <c r="BC27" s="37"/>
      <c r="BD27" s="37"/>
      <c r="BE27" s="51"/>
      <c r="BF27" s="37"/>
      <c r="BG27" s="37"/>
      <c r="BH27" s="47" t="s">
        <v>221</v>
      </c>
      <c r="BI27" s="50">
        <v>0.109</v>
      </c>
      <c r="BJ27" s="50">
        <v>0.622</v>
      </c>
      <c r="BK27" s="51"/>
      <c r="BL27" s="37"/>
      <c r="BM27" s="37"/>
      <c r="BN27" s="47" t="s">
        <v>222</v>
      </c>
      <c r="BO27" s="50">
        <v>0.14699999999999999</v>
      </c>
      <c r="BP27" s="50">
        <v>0.54600000000000004</v>
      </c>
      <c r="BQ27" s="51"/>
      <c r="BR27" s="37"/>
      <c r="BS27" s="37"/>
      <c r="BT27" s="51"/>
      <c r="BU27" s="52"/>
      <c r="BV27" s="37"/>
      <c r="BW27" s="51"/>
      <c r="BX27" s="37"/>
      <c r="BY27" s="37"/>
      <c r="BZ27" s="51" t="s">
        <v>235</v>
      </c>
      <c r="CA27" s="48">
        <v>0.188</v>
      </c>
      <c r="CB27" s="48">
        <v>0.46400000000000002</v>
      </c>
      <c r="CC27" s="47" t="s">
        <v>236</v>
      </c>
      <c r="CD27" s="50">
        <v>0.109</v>
      </c>
      <c r="CE27" s="50">
        <v>0.622</v>
      </c>
      <c r="CF27" s="47" t="s">
        <v>237</v>
      </c>
      <c r="CG27" s="50">
        <v>0.14699999999999999</v>
      </c>
      <c r="CH27" s="50">
        <v>0.54600000000000004</v>
      </c>
      <c r="CI27" s="47" t="s">
        <v>238</v>
      </c>
      <c r="CJ27" s="48">
        <v>0.29399999999999998</v>
      </c>
      <c r="CK27" s="53">
        <v>0.252</v>
      </c>
    </row>
    <row r="28" spans="1:89" ht="42.75" customHeight="1" thickBot="1" x14ac:dyDescent="0.3">
      <c r="B28" s="100"/>
      <c r="C28" s="485" t="s">
        <v>251</v>
      </c>
      <c r="D28" s="486"/>
      <c r="E28" s="486"/>
      <c r="F28" s="486"/>
      <c r="G28" s="486"/>
      <c r="H28" s="486"/>
      <c r="I28" s="486"/>
      <c r="J28" s="486"/>
      <c r="K28" s="486"/>
      <c r="L28" s="486"/>
      <c r="M28" s="486"/>
      <c r="N28" s="486"/>
      <c r="O28" s="486"/>
      <c r="P28" s="486"/>
      <c r="Q28" s="486"/>
      <c r="R28" s="486"/>
      <c r="S28" s="487"/>
      <c r="T28" s="488" t="str">
        <f>IF(T24&lt;0,"Input Error: Invalid Pipe Wall Thickness",IF(T21=0,"Input Error: Invalid Pipe Schedule","Inputs Ok"))</f>
        <v>Inputs Ok</v>
      </c>
      <c r="U28" s="488"/>
      <c r="V28" s="488"/>
      <c r="W28" s="488"/>
      <c r="X28" s="488"/>
      <c r="Y28" s="488"/>
      <c r="Z28" s="488" t="str">
        <f>IF(Z24&lt;0,"Input Error: Invalid Pipe Wall Thickness",IF(Z21=0,"Input Error: Invalid Pipe Schedule","Inputs Ok"))</f>
        <v>Inputs Ok</v>
      </c>
      <c r="AA28" s="488"/>
      <c r="AB28" s="488"/>
      <c r="AC28" s="488"/>
      <c r="AD28" s="488"/>
      <c r="AE28" s="488"/>
      <c r="AF28" s="488" t="str">
        <f>IF(AF24&lt;0,"Input Error: Invalid Pipe Wall Thickness",IF(AF21=0,"Input Error: Invalid Pipe Schedule","Inputs Ok"))</f>
        <v>Inputs Ok</v>
      </c>
      <c r="AG28" s="488"/>
      <c r="AH28" s="488"/>
      <c r="AI28" s="488"/>
      <c r="AJ28" s="488"/>
      <c r="AK28" s="488"/>
      <c r="AL28" s="72"/>
      <c r="AM28" s="72"/>
      <c r="AN28" s="101"/>
      <c r="AR28" s="10">
        <v>6</v>
      </c>
      <c r="AS28" s="46">
        <v>0.75</v>
      </c>
      <c r="AT28" s="36">
        <v>20</v>
      </c>
      <c r="AU28" s="63">
        <v>26.67</v>
      </c>
      <c r="AV28" s="47" t="s">
        <v>227</v>
      </c>
      <c r="AW28" s="50">
        <v>6.5000000000000002E-2</v>
      </c>
      <c r="AX28" s="50">
        <v>0.92</v>
      </c>
      <c r="AY28" s="47" t="s">
        <v>228</v>
      </c>
      <c r="AZ28" s="50">
        <v>8.3000000000000004E-2</v>
      </c>
      <c r="BA28" s="50">
        <v>0.88400000000000001</v>
      </c>
      <c r="BB28" s="51"/>
      <c r="BC28" s="37"/>
      <c r="BD28" s="37"/>
      <c r="BE28" s="51"/>
      <c r="BF28" s="37"/>
      <c r="BG28" s="37"/>
      <c r="BH28" s="47" t="s">
        <v>221</v>
      </c>
      <c r="BI28" s="50">
        <v>0.113</v>
      </c>
      <c r="BJ28" s="50">
        <v>0.82399999999999995</v>
      </c>
      <c r="BK28" s="51"/>
      <c r="BL28" s="37"/>
      <c r="BM28" s="37"/>
      <c r="BN28" s="47" t="s">
        <v>222</v>
      </c>
      <c r="BO28" s="50">
        <v>0.154</v>
      </c>
      <c r="BP28" s="50">
        <v>0.74199999999999999</v>
      </c>
      <c r="BQ28" s="51"/>
      <c r="BR28" s="37"/>
      <c r="BS28" s="37"/>
      <c r="BT28" s="51"/>
      <c r="BU28" s="37"/>
      <c r="BV28" s="37"/>
      <c r="BW28" s="51"/>
      <c r="BX28" s="37"/>
      <c r="BY28" s="37"/>
      <c r="BZ28" s="51" t="s">
        <v>235</v>
      </c>
      <c r="CA28" s="48">
        <v>0.219</v>
      </c>
      <c r="CB28" s="48">
        <v>0.61199999999999999</v>
      </c>
      <c r="CC28" s="47" t="s">
        <v>236</v>
      </c>
      <c r="CD28" s="50">
        <v>0.113</v>
      </c>
      <c r="CE28" s="50">
        <v>0.82399999999999995</v>
      </c>
      <c r="CF28" s="47" t="s">
        <v>237</v>
      </c>
      <c r="CG28" s="50">
        <v>0.154</v>
      </c>
      <c r="CH28" s="50">
        <v>0.74199999999999999</v>
      </c>
      <c r="CI28" s="47" t="s">
        <v>238</v>
      </c>
      <c r="CJ28" s="48">
        <v>0.308</v>
      </c>
      <c r="CK28" s="53">
        <v>0.434</v>
      </c>
    </row>
    <row r="29" spans="1:89" ht="14.9" customHeight="1" thickBot="1" x14ac:dyDescent="0.3">
      <c r="B29" s="100"/>
      <c r="C29" s="481" t="s">
        <v>252</v>
      </c>
      <c r="D29" s="482"/>
      <c r="E29" s="482"/>
      <c r="F29" s="482"/>
      <c r="G29" s="482"/>
      <c r="H29" s="482"/>
      <c r="I29" s="482"/>
      <c r="J29" s="482"/>
      <c r="K29" s="482"/>
      <c r="L29" s="482"/>
      <c r="M29" s="482"/>
      <c r="N29" s="482"/>
      <c r="O29" s="482"/>
      <c r="P29" s="482"/>
      <c r="Q29" s="482"/>
      <c r="R29" s="482"/>
      <c r="S29" s="482"/>
      <c r="T29" s="483"/>
      <c r="U29" s="483"/>
      <c r="V29" s="483"/>
      <c r="W29" s="483"/>
      <c r="X29" s="483"/>
      <c r="Y29" s="483"/>
      <c r="Z29" s="483"/>
      <c r="AA29" s="483"/>
      <c r="AB29" s="483"/>
      <c r="AC29" s="483"/>
      <c r="AD29" s="483"/>
      <c r="AE29" s="483"/>
      <c r="AF29" s="483"/>
      <c r="AG29" s="483"/>
      <c r="AH29" s="483"/>
      <c r="AI29" s="483"/>
      <c r="AJ29" s="483"/>
      <c r="AK29" s="484"/>
      <c r="AL29" s="72"/>
      <c r="AM29" s="72"/>
      <c r="AN29" s="101"/>
      <c r="AR29" s="65">
        <v>7</v>
      </c>
      <c r="AS29" s="42">
        <v>1</v>
      </c>
      <c r="AT29" s="36">
        <v>25</v>
      </c>
      <c r="AU29" s="63">
        <v>33.4</v>
      </c>
      <c r="AV29" s="47" t="s">
        <v>227</v>
      </c>
      <c r="AW29" s="50">
        <v>6.5000000000000002E-2</v>
      </c>
      <c r="AX29" s="50">
        <v>1.1850000000000001</v>
      </c>
      <c r="AY29" s="47" t="s">
        <v>228</v>
      </c>
      <c r="AZ29" s="50">
        <v>0.109</v>
      </c>
      <c r="BA29" s="50">
        <v>1.097</v>
      </c>
      <c r="BB29" s="51"/>
      <c r="BC29" s="37"/>
      <c r="BD29" s="37"/>
      <c r="BE29" s="51"/>
      <c r="BF29" s="37"/>
      <c r="BG29" s="37"/>
      <c r="BH29" s="47" t="s">
        <v>221</v>
      </c>
      <c r="BI29" s="50">
        <v>0.13300000000000001</v>
      </c>
      <c r="BJ29" s="50">
        <v>1.0489999999999999</v>
      </c>
      <c r="BK29" s="51"/>
      <c r="BL29" s="37"/>
      <c r="BM29" s="37"/>
      <c r="BN29" s="47" t="s">
        <v>222</v>
      </c>
      <c r="BO29" s="50">
        <v>0.17899999999999999</v>
      </c>
      <c r="BP29" s="50">
        <v>0.95700000000000007</v>
      </c>
      <c r="BQ29" s="51"/>
      <c r="BR29" s="37"/>
      <c r="BS29" s="37"/>
      <c r="BT29" s="51"/>
      <c r="BU29" s="37"/>
      <c r="BV29" s="37"/>
      <c r="BW29" s="51"/>
      <c r="BX29" s="37"/>
      <c r="BY29" s="37"/>
      <c r="BZ29" s="51" t="s">
        <v>235</v>
      </c>
      <c r="CA29" s="48">
        <v>0.25</v>
      </c>
      <c r="CB29" s="48">
        <v>0.81499999999999995</v>
      </c>
      <c r="CC29" s="47" t="s">
        <v>236</v>
      </c>
      <c r="CD29" s="50">
        <v>0.13300000000000001</v>
      </c>
      <c r="CE29" s="50">
        <v>1.0489999999999999</v>
      </c>
      <c r="CF29" s="47" t="s">
        <v>237</v>
      </c>
      <c r="CG29" s="50">
        <v>0.17899999999999999</v>
      </c>
      <c r="CH29" s="50">
        <v>0.95700000000000007</v>
      </c>
      <c r="CI29" s="47" t="s">
        <v>238</v>
      </c>
      <c r="CJ29" s="48">
        <v>0.35799999999999998</v>
      </c>
      <c r="CK29" s="53">
        <v>0.59899999999999998</v>
      </c>
    </row>
    <row r="30" spans="1:89" ht="14.9" customHeight="1" x14ac:dyDescent="0.25">
      <c r="B30" s="100"/>
      <c r="C30" s="338" t="s">
        <v>253</v>
      </c>
      <c r="D30" s="339"/>
      <c r="E30" s="339"/>
      <c r="F30" s="339"/>
      <c r="G30" s="339"/>
      <c r="H30" s="339"/>
      <c r="I30" s="339"/>
      <c r="J30" s="339"/>
      <c r="K30" s="339"/>
      <c r="L30" s="339"/>
      <c r="M30" s="339"/>
      <c r="N30" s="339"/>
      <c r="O30" s="339"/>
      <c r="P30" s="339"/>
      <c r="Q30" s="339"/>
      <c r="R30" s="339"/>
      <c r="S30" s="340"/>
      <c r="T30" s="377">
        <f>IF(T28="Inputs Ok",((1/1.58)*T16*(((T17/100000)/T15)^0.5)),"-")</f>
        <v>10.793624740960466</v>
      </c>
      <c r="U30" s="378"/>
      <c r="V30" s="378"/>
      <c r="W30" s="378"/>
      <c r="X30" s="378"/>
      <c r="Y30" s="379"/>
      <c r="Z30" s="377">
        <f>IF(Z28="Inputs Ok",((1/1.58)*Z16*(((Z17/100000)/Z15)^0.5)),"-")</f>
        <v>10.793624740960466</v>
      </c>
      <c r="AA30" s="378"/>
      <c r="AB30" s="378"/>
      <c r="AC30" s="378"/>
      <c r="AD30" s="378"/>
      <c r="AE30" s="379"/>
      <c r="AF30" s="377">
        <f>IF(AF28="Inputs Ok",((1/1.58)*AF16*(((AF17/100000)/AF15)^0.5)),"-")</f>
        <v>10.793624740960466</v>
      </c>
      <c r="AG30" s="378"/>
      <c r="AH30" s="378"/>
      <c r="AI30" s="378"/>
      <c r="AJ30" s="378"/>
      <c r="AK30" s="379"/>
      <c r="AL30" s="72"/>
      <c r="AM30" s="72"/>
      <c r="AN30" s="101"/>
      <c r="AR30" s="10">
        <v>8</v>
      </c>
      <c r="AS30" s="42">
        <v>1.25</v>
      </c>
      <c r="AT30" s="36">
        <v>32</v>
      </c>
      <c r="AU30" s="63">
        <v>42.16</v>
      </c>
      <c r="AV30" s="47" t="s">
        <v>227</v>
      </c>
      <c r="AW30" s="50">
        <v>6.5000000000000002E-2</v>
      </c>
      <c r="AX30" s="50">
        <v>1.53</v>
      </c>
      <c r="AY30" s="47" t="s">
        <v>228</v>
      </c>
      <c r="AZ30" s="50">
        <v>0.109</v>
      </c>
      <c r="BA30" s="50">
        <v>1.4419999999999999</v>
      </c>
      <c r="BB30" s="51"/>
      <c r="BC30" s="37"/>
      <c r="BD30" s="37"/>
      <c r="BE30" s="51"/>
      <c r="BF30" s="37"/>
      <c r="BG30" s="37"/>
      <c r="BH30" s="47" t="s">
        <v>221</v>
      </c>
      <c r="BI30" s="50">
        <v>0.14000000000000001</v>
      </c>
      <c r="BJ30" s="50">
        <v>1.38</v>
      </c>
      <c r="BK30" s="51"/>
      <c r="BL30" s="37"/>
      <c r="BM30" s="37"/>
      <c r="BN30" s="47" t="s">
        <v>222</v>
      </c>
      <c r="BO30" s="50">
        <v>0.191</v>
      </c>
      <c r="BP30" s="50">
        <v>1.278</v>
      </c>
      <c r="BQ30" s="51"/>
      <c r="BR30" s="37"/>
      <c r="BS30" s="37"/>
      <c r="BT30" s="51"/>
      <c r="BU30" s="37"/>
      <c r="BV30" s="37"/>
      <c r="BW30" s="51"/>
      <c r="BX30" s="37"/>
      <c r="BY30" s="37"/>
      <c r="BZ30" s="51" t="s">
        <v>235</v>
      </c>
      <c r="CA30" s="50">
        <v>0.25</v>
      </c>
      <c r="CB30" s="50">
        <v>1.1599999999999999</v>
      </c>
      <c r="CC30" s="47" t="s">
        <v>236</v>
      </c>
      <c r="CD30" s="50">
        <v>0.14000000000000001</v>
      </c>
      <c r="CE30" s="50">
        <v>1.38</v>
      </c>
      <c r="CF30" s="47" t="s">
        <v>237</v>
      </c>
      <c r="CG30" s="50">
        <v>0.191</v>
      </c>
      <c r="CH30" s="50">
        <v>1.278</v>
      </c>
      <c r="CI30" s="47" t="s">
        <v>238</v>
      </c>
      <c r="CJ30" s="50">
        <v>0.38200000000000001</v>
      </c>
      <c r="CK30" s="54">
        <v>0.89600000000000002</v>
      </c>
    </row>
    <row r="31" spans="1:89" ht="14.9" customHeight="1" x14ac:dyDescent="0.25">
      <c r="B31" s="100"/>
      <c r="C31" s="338" t="s">
        <v>309</v>
      </c>
      <c r="D31" s="339"/>
      <c r="E31" s="339"/>
      <c r="F31" s="339"/>
      <c r="G31" s="339"/>
      <c r="H31" s="339"/>
      <c r="I31" s="339"/>
      <c r="J31" s="339"/>
      <c r="K31" s="339"/>
      <c r="L31" s="339"/>
      <c r="M31" s="339"/>
      <c r="N31" s="339"/>
      <c r="O31" s="339"/>
      <c r="P31" s="339"/>
      <c r="Q31" s="339"/>
      <c r="R31" s="339"/>
      <c r="S31" s="340"/>
      <c r="T31" s="356">
        <f>IF(T28="Inputs Ok",(IF(T19="Manual Input",T23/T25,T21/T25)),"-")</f>
        <v>1.3888888888888888</v>
      </c>
      <c r="U31" s="357"/>
      <c r="V31" s="357"/>
      <c r="W31" s="357"/>
      <c r="X31" s="357"/>
      <c r="Y31" s="358"/>
      <c r="Z31" s="356">
        <f t="shared" ref="Z31" si="2">IF(Z28="Inputs Ok",(IF(Z19="Manual Input",Z23/Z25,Z21/Z25)),"-")</f>
        <v>1.3888888888888888</v>
      </c>
      <c r="AA31" s="357"/>
      <c r="AB31" s="357"/>
      <c r="AC31" s="357"/>
      <c r="AD31" s="357"/>
      <c r="AE31" s="358"/>
      <c r="AF31" s="356">
        <f t="shared" ref="AF31" si="3">IF(AF28="Inputs Ok",(IF(AF19="Manual Input",AF23/AF25,AF21/AF25)),"-")</f>
        <v>1.3888888888888888</v>
      </c>
      <c r="AG31" s="357"/>
      <c r="AH31" s="357"/>
      <c r="AI31" s="357"/>
      <c r="AJ31" s="357"/>
      <c r="AK31" s="358"/>
      <c r="AL31" s="72"/>
      <c r="AM31" s="72"/>
      <c r="AN31" s="101"/>
      <c r="AR31" s="65">
        <v>9</v>
      </c>
      <c r="AS31" s="42">
        <v>1.5</v>
      </c>
      <c r="AT31" s="36">
        <v>40</v>
      </c>
      <c r="AU31" s="63">
        <v>48.26</v>
      </c>
      <c r="AV31" s="47" t="s">
        <v>227</v>
      </c>
      <c r="AW31" s="50">
        <v>6.5000000000000002E-2</v>
      </c>
      <c r="AX31" s="50">
        <v>1.77</v>
      </c>
      <c r="AY31" s="47" t="s">
        <v>228</v>
      </c>
      <c r="AZ31" s="50">
        <v>0.109</v>
      </c>
      <c r="BA31" s="50">
        <v>1.6819999999999999</v>
      </c>
      <c r="BB31" s="51"/>
      <c r="BC31" s="37"/>
      <c r="BD31" s="37"/>
      <c r="BE31" s="51"/>
      <c r="BF31" s="37"/>
      <c r="BG31" s="37"/>
      <c r="BH31" s="47" t="s">
        <v>221</v>
      </c>
      <c r="BI31" s="50">
        <v>0.14499999999999999</v>
      </c>
      <c r="BJ31" s="50">
        <v>1.61</v>
      </c>
      <c r="BK31" s="51"/>
      <c r="BL31" s="37"/>
      <c r="BM31" s="37"/>
      <c r="BN31" s="47" t="s">
        <v>222</v>
      </c>
      <c r="BO31" s="50">
        <v>0.2</v>
      </c>
      <c r="BP31" s="50">
        <v>1.5</v>
      </c>
      <c r="BQ31" s="51"/>
      <c r="BR31" s="37"/>
      <c r="BS31" s="37"/>
      <c r="BT31" s="51"/>
      <c r="BU31" s="37"/>
      <c r="BV31" s="37"/>
      <c r="BW31" s="51"/>
      <c r="BX31" s="37"/>
      <c r="BY31" s="37"/>
      <c r="BZ31" s="51" t="s">
        <v>235</v>
      </c>
      <c r="CA31" s="50">
        <v>0.28100000000000003</v>
      </c>
      <c r="CB31" s="50">
        <v>1.3380000000000001</v>
      </c>
      <c r="CC31" s="47" t="s">
        <v>236</v>
      </c>
      <c r="CD31" s="50">
        <v>0.14499999999999999</v>
      </c>
      <c r="CE31" s="50">
        <v>1.61</v>
      </c>
      <c r="CF31" s="47" t="s">
        <v>237</v>
      </c>
      <c r="CG31" s="50">
        <v>0.2</v>
      </c>
      <c r="CH31" s="50">
        <v>1.5</v>
      </c>
      <c r="CI31" s="47" t="s">
        <v>238</v>
      </c>
      <c r="CJ31" s="50">
        <v>0.4</v>
      </c>
      <c r="CK31" s="54">
        <v>1.1000000000000001</v>
      </c>
    </row>
    <row r="32" spans="1:89" ht="14.9" customHeight="1" x14ac:dyDescent="0.25">
      <c r="B32" s="100"/>
      <c r="C32" s="338" t="s">
        <v>256</v>
      </c>
      <c r="D32" s="339"/>
      <c r="E32" s="339"/>
      <c r="F32" s="339"/>
      <c r="G32" s="339"/>
      <c r="H32" s="339"/>
      <c r="I32" s="339"/>
      <c r="J32" s="339"/>
      <c r="K32" s="339"/>
      <c r="L32" s="339"/>
      <c r="M32" s="339"/>
      <c r="N32" s="339"/>
      <c r="O32" s="339"/>
      <c r="P32" s="339"/>
      <c r="Q32" s="339"/>
      <c r="R32" s="339"/>
      <c r="S32" s="340"/>
      <c r="T32" s="356">
        <f>IF(T28="Inputs Ok",(IF(T19="Manual Input",((16.8*T31^3)-(1.81*T31^2)+(525*T31)+25.3)*T22*T27*PI()*((T24^2)/(4*10^9)),((16.8*T31^3)-(1.81*T31^2)+(525*T31)+25.3)*T20*T27*PI()*((T24^2)/(4*10^9)))),"-")</f>
        <v>0.30155059967508774</v>
      </c>
      <c r="U32" s="357"/>
      <c r="V32" s="357"/>
      <c r="W32" s="357"/>
      <c r="X32" s="357"/>
      <c r="Y32" s="358"/>
      <c r="Z32" s="356">
        <f>IF(Z28="Inputs Ok",(IF(Z19="Manual Input",((16.8*Z31^3)-(1.81*Z31^2)+(525*Z31)+25.3)*Z22*Z27*PI()*((Z24^2)/(4*10^9)),((16.8*Z31^3)-(1.81*Z31^2)+(525*Z31)+25.3)*Z20*Z27*PI()*((Z24^2)/(4*10^9)))),"-")</f>
        <v>0.30155059967508774</v>
      </c>
      <c r="AA32" s="357"/>
      <c r="AB32" s="357"/>
      <c r="AC32" s="357"/>
      <c r="AD32" s="357"/>
      <c r="AE32" s="358"/>
      <c r="AF32" s="356">
        <f>IF(AF28="Inputs Ok",(IF(AF19="Manual Input",((16.8*AF31^3)-(1.81*AF31^2)+(525*AF31)+25.3)*AF22*AF27*PI()*((AF24^2)/(4*10^9)),((16.8*AF31^3)-(1.81*AF31^2)+(525*AF31)+25.3)*AF20*AF27*PI()*((AF24^2)/(4*10^9)))),"-")</f>
        <v>0.30155059967508774</v>
      </c>
      <c r="AG32" s="357"/>
      <c r="AH32" s="357"/>
      <c r="AI32" s="357"/>
      <c r="AJ32" s="357"/>
      <c r="AK32" s="358"/>
      <c r="AL32" s="72"/>
      <c r="AM32" s="72"/>
      <c r="AN32" s="101"/>
      <c r="AR32" s="71">
        <v>10</v>
      </c>
      <c r="AS32" s="42">
        <v>2</v>
      </c>
      <c r="AT32" s="36">
        <v>50</v>
      </c>
      <c r="AU32" s="63">
        <v>60.33</v>
      </c>
      <c r="AV32" s="47" t="s">
        <v>227</v>
      </c>
      <c r="AW32" s="50">
        <v>6.5000000000000002E-2</v>
      </c>
      <c r="AX32" s="50">
        <v>2.2450000000000001</v>
      </c>
      <c r="AY32" s="47" t="s">
        <v>228</v>
      </c>
      <c r="AZ32" s="50">
        <v>0.109</v>
      </c>
      <c r="BA32" s="50">
        <v>2.157</v>
      </c>
      <c r="BB32" s="51"/>
      <c r="BC32" s="37"/>
      <c r="BD32" s="37"/>
      <c r="BE32" s="51"/>
      <c r="BF32" s="37"/>
      <c r="BG32" s="37"/>
      <c r="BH32" s="47" t="s">
        <v>221</v>
      </c>
      <c r="BI32" s="50">
        <v>0.154</v>
      </c>
      <c r="BJ32" s="50">
        <v>2.0670000000000002</v>
      </c>
      <c r="BK32" s="51"/>
      <c r="BL32" s="37"/>
      <c r="BM32" s="37"/>
      <c r="BN32" s="47" t="s">
        <v>222</v>
      </c>
      <c r="BO32" s="50">
        <v>0.218</v>
      </c>
      <c r="BP32" s="50">
        <v>1.9390000000000001</v>
      </c>
      <c r="BQ32" s="51"/>
      <c r="BR32" s="37"/>
      <c r="BS32" s="37"/>
      <c r="BT32" s="51"/>
      <c r="BU32" s="37"/>
      <c r="BV32" s="37"/>
      <c r="BW32" s="51"/>
      <c r="BX32" s="37"/>
      <c r="BY32" s="37"/>
      <c r="BZ32" s="51" t="s">
        <v>235</v>
      </c>
      <c r="CA32" s="50">
        <v>0.34399999999999997</v>
      </c>
      <c r="CB32" s="50">
        <v>1.6870000000000001</v>
      </c>
      <c r="CC32" s="47" t="s">
        <v>236</v>
      </c>
      <c r="CD32" s="50">
        <v>0.154</v>
      </c>
      <c r="CE32" s="50">
        <v>2.0670000000000002</v>
      </c>
      <c r="CF32" s="47" t="s">
        <v>237</v>
      </c>
      <c r="CG32" s="50">
        <v>0.218</v>
      </c>
      <c r="CH32" s="50">
        <v>1.9390000000000001</v>
      </c>
      <c r="CI32" s="47" t="s">
        <v>238</v>
      </c>
      <c r="CJ32" s="50">
        <v>0.436</v>
      </c>
      <c r="CK32" s="54">
        <v>1.5029999999999999</v>
      </c>
    </row>
    <row r="33" spans="2:89" ht="14.9" customHeight="1" thickBot="1" x14ac:dyDescent="0.3">
      <c r="B33" s="100"/>
      <c r="C33" s="335" t="s">
        <v>258</v>
      </c>
      <c r="D33" s="336"/>
      <c r="E33" s="336"/>
      <c r="F33" s="336"/>
      <c r="G33" s="336"/>
      <c r="H33" s="336"/>
      <c r="I33" s="336"/>
      <c r="J33" s="336"/>
      <c r="K33" s="336"/>
      <c r="L33" s="336"/>
      <c r="M33" s="336"/>
      <c r="N33" s="336"/>
      <c r="O33" s="336"/>
      <c r="P33" s="336"/>
      <c r="Q33" s="336"/>
      <c r="R33" s="336"/>
      <c r="S33" s="489"/>
      <c r="T33" s="490">
        <f>IF(T28="Inputs Ok",T30/T32,"Input Error")</f>
        <v>35.79374324770135</v>
      </c>
      <c r="U33" s="491"/>
      <c r="V33" s="491"/>
      <c r="W33" s="491"/>
      <c r="X33" s="491"/>
      <c r="Y33" s="492"/>
      <c r="Z33" s="490">
        <f>IF(Z28="Inputs Ok",Z30/Z32,"Input Error")</f>
        <v>35.79374324770135</v>
      </c>
      <c r="AA33" s="491"/>
      <c r="AB33" s="491"/>
      <c r="AC33" s="491"/>
      <c r="AD33" s="491"/>
      <c r="AE33" s="492"/>
      <c r="AF33" s="490">
        <f>IF(AF28="Inputs Ok",AF30/AF32,"Input Error")</f>
        <v>35.79374324770135</v>
      </c>
      <c r="AG33" s="491"/>
      <c r="AH33" s="491"/>
      <c r="AI33" s="491"/>
      <c r="AJ33" s="491"/>
      <c r="AK33" s="492"/>
      <c r="AL33" s="72"/>
      <c r="AM33" s="72"/>
      <c r="AN33" s="101"/>
      <c r="AP33" s="21" t="s">
        <v>255</v>
      </c>
      <c r="AR33" s="65">
        <v>11</v>
      </c>
      <c r="AS33" s="42">
        <v>2.5</v>
      </c>
      <c r="AT33" s="36">
        <v>65</v>
      </c>
      <c r="AU33" s="63">
        <v>73.02</v>
      </c>
      <c r="AV33" s="47" t="s">
        <v>227</v>
      </c>
      <c r="AW33" s="50">
        <v>8.3000000000000004E-2</v>
      </c>
      <c r="AX33" s="50">
        <v>2.7090000000000001</v>
      </c>
      <c r="AY33" s="47" t="s">
        <v>228</v>
      </c>
      <c r="AZ33" s="50">
        <v>0.12</v>
      </c>
      <c r="BA33" s="50">
        <v>2.6349999999999998</v>
      </c>
      <c r="BB33" s="51"/>
      <c r="BC33" s="37"/>
      <c r="BD33" s="37"/>
      <c r="BE33" s="51"/>
      <c r="BF33" s="37"/>
      <c r="BG33" s="37"/>
      <c r="BH33" s="47" t="s">
        <v>221</v>
      </c>
      <c r="BI33" s="50">
        <v>0.20300000000000001</v>
      </c>
      <c r="BJ33" s="50">
        <v>2.4689999999999999</v>
      </c>
      <c r="BK33" s="51"/>
      <c r="BL33" s="37"/>
      <c r="BM33" s="37"/>
      <c r="BN33" s="47" t="s">
        <v>222</v>
      </c>
      <c r="BO33" s="48">
        <v>0.27600000000000002</v>
      </c>
      <c r="BP33" s="48">
        <v>2.323</v>
      </c>
      <c r="BQ33" s="51"/>
      <c r="BR33" s="37"/>
      <c r="BS33" s="37"/>
      <c r="BT33" s="51"/>
      <c r="BU33" s="37"/>
      <c r="BV33" s="37"/>
      <c r="BW33" s="51"/>
      <c r="BX33" s="37"/>
      <c r="BY33" s="37"/>
      <c r="BZ33" s="51" t="s">
        <v>235</v>
      </c>
      <c r="CA33" s="50">
        <v>0.375</v>
      </c>
      <c r="CB33" s="50">
        <v>2.125</v>
      </c>
      <c r="CC33" s="47" t="s">
        <v>236</v>
      </c>
      <c r="CD33" s="48">
        <v>0.20300000000000001</v>
      </c>
      <c r="CE33" s="48">
        <v>2.4689999999999999</v>
      </c>
      <c r="CF33" s="47" t="s">
        <v>237</v>
      </c>
      <c r="CG33" s="48">
        <v>0.27600000000000002</v>
      </c>
      <c r="CH33" s="48">
        <v>2.323</v>
      </c>
      <c r="CI33" s="47" t="s">
        <v>238</v>
      </c>
      <c r="CJ33" s="50">
        <v>0.55200000000000005</v>
      </c>
      <c r="CK33" s="54">
        <v>1.7709999999999999</v>
      </c>
    </row>
    <row r="34" spans="2:89" ht="14.9" customHeight="1" x14ac:dyDescent="0.25">
      <c r="B34" s="10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101"/>
      <c r="AO34" s="10">
        <v>4</v>
      </c>
      <c r="AP34" s="21" t="s">
        <v>257</v>
      </c>
      <c r="AR34" s="10">
        <v>12</v>
      </c>
      <c r="AS34" s="42">
        <v>3</v>
      </c>
      <c r="AT34" s="36">
        <v>80</v>
      </c>
      <c r="AU34" s="63">
        <v>88.9</v>
      </c>
      <c r="AV34" s="47" t="s">
        <v>227</v>
      </c>
      <c r="AW34" s="50">
        <v>8.3000000000000004E-2</v>
      </c>
      <c r="AX34" s="50">
        <v>3.3340000000000001</v>
      </c>
      <c r="AY34" s="47" t="s">
        <v>228</v>
      </c>
      <c r="AZ34" s="50">
        <v>0.12</v>
      </c>
      <c r="BA34" s="50">
        <v>3.26</v>
      </c>
      <c r="BB34" s="51"/>
      <c r="BC34" s="37"/>
      <c r="BD34" s="37"/>
      <c r="BE34" s="51"/>
      <c r="BF34" s="37"/>
      <c r="BG34" s="37"/>
      <c r="BH34" s="47" t="s">
        <v>221</v>
      </c>
      <c r="BI34" s="50">
        <v>0.216</v>
      </c>
      <c r="BJ34" s="50">
        <v>3.0680000000000001</v>
      </c>
      <c r="BK34" s="51"/>
      <c r="BL34" s="37"/>
      <c r="BM34" s="37"/>
      <c r="BN34" s="47" t="s">
        <v>222</v>
      </c>
      <c r="BO34" s="48">
        <v>0.3</v>
      </c>
      <c r="BP34" s="48">
        <v>2.9</v>
      </c>
      <c r="BQ34" s="51"/>
      <c r="BR34" s="37"/>
      <c r="BS34" s="37"/>
      <c r="BT34" s="51"/>
      <c r="BU34" s="37"/>
      <c r="BV34" s="37"/>
      <c r="BW34" s="51"/>
      <c r="BX34" s="37"/>
      <c r="BY34" s="37"/>
      <c r="BZ34" s="51" t="s">
        <v>235</v>
      </c>
      <c r="CA34" s="50">
        <v>0.438</v>
      </c>
      <c r="CB34" s="50">
        <v>2.6240000000000001</v>
      </c>
      <c r="CC34" s="47" t="s">
        <v>236</v>
      </c>
      <c r="CD34" s="48">
        <v>0.216</v>
      </c>
      <c r="CE34" s="48">
        <v>3.0680000000000001</v>
      </c>
      <c r="CF34" s="47" t="s">
        <v>237</v>
      </c>
      <c r="CG34" s="48">
        <v>0.3</v>
      </c>
      <c r="CH34" s="48">
        <v>2.9</v>
      </c>
      <c r="CI34" s="47" t="s">
        <v>238</v>
      </c>
      <c r="CJ34" s="50">
        <v>0.6</v>
      </c>
      <c r="CK34" s="54">
        <v>2.2999999999999998</v>
      </c>
    </row>
    <row r="35" spans="2:89" ht="14.9" customHeight="1" x14ac:dyDescent="0.25">
      <c r="B35" s="10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101"/>
      <c r="AO35" s="10">
        <v>2</v>
      </c>
      <c r="AP35" s="21" t="s">
        <v>249</v>
      </c>
      <c r="AR35" s="65">
        <v>13</v>
      </c>
      <c r="AS35" s="42">
        <v>3.5</v>
      </c>
      <c r="AT35" s="36">
        <v>90</v>
      </c>
      <c r="AU35" s="63">
        <v>101.6</v>
      </c>
      <c r="AV35" s="47" t="s">
        <v>227</v>
      </c>
      <c r="AW35" s="50">
        <v>8.3000000000000004E-2</v>
      </c>
      <c r="AX35" s="50">
        <v>3.8340000000000001</v>
      </c>
      <c r="AY35" s="47" t="s">
        <v>228</v>
      </c>
      <c r="AZ35" s="50">
        <v>0.12</v>
      </c>
      <c r="BA35" s="50">
        <v>3.76</v>
      </c>
      <c r="BB35" s="51"/>
      <c r="BC35" s="37"/>
      <c r="BD35" s="37"/>
      <c r="BE35" s="51"/>
      <c r="BF35" s="37"/>
      <c r="BG35" s="37"/>
      <c r="BH35" s="47" t="s">
        <v>221</v>
      </c>
      <c r="BI35" s="50">
        <v>0.22600000000000001</v>
      </c>
      <c r="BJ35" s="50">
        <v>3.548</v>
      </c>
      <c r="BK35" s="51"/>
      <c r="BL35" s="37"/>
      <c r="BM35" s="37"/>
      <c r="BN35" s="47" t="s">
        <v>222</v>
      </c>
      <c r="BO35" s="48">
        <v>0.318</v>
      </c>
      <c r="BP35" s="48">
        <v>3.3639999999999999</v>
      </c>
      <c r="BQ35" s="51"/>
      <c r="BR35" s="37"/>
      <c r="BS35" s="37"/>
      <c r="BT35" s="51"/>
      <c r="BU35" s="37"/>
      <c r="BV35" s="37"/>
      <c r="BW35" s="51"/>
      <c r="BX35" s="37"/>
      <c r="BY35" s="37"/>
      <c r="BZ35" s="51" t="s">
        <v>235</v>
      </c>
      <c r="CA35" s="50"/>
      <c r="CB35" s="50"/>
      <c r="CC35" s="47" t="s">
        <v>236</v>
      </c>
      <c r="CD35" s="48">
        <v>0.22600000000000001</v>
      </c>
      <c r="CE35" s="48">
        <v>3.548</v>
      </c>
      <c r="CF35" s="47" t="s">
        <v>237</v>
      </c>
      <c r="CG35" s="48">
        <v>0.318</v>
      </c>
      <c r="CH35" s="48">
        <v>3.3639999999999999</v>
      </c>
      <c r="CI35" s="47"/>
      <c r="CJ35" s="50"/>
      <c r="CK35" s="54"/>
    </row>
    <row r="36" spans="2:89" ht="14.9" customHeight="1" x14ac:dyDescent="0.25">
      <c r="B36" s="10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101"/>
      <c r="AO36" s="10">
        <v>1</v>
      </c>
      <c r="AP36" s="21" t="s">
        <v>259</v>
      </c>
      <c r="AR36" s="10">
        <v>14</v>
      </c>
      <c r="AS36" s="42">
        <v>4</v>
      </c>
      <c r="AT36" s="36">
        <v>100</v>
      </c>
      <c r="AU36" s="63">
        <v>114.3</v>
      </c>
      <c r="AV36" s="47" t="s">
        <v>227</v>
      </c>
      <c r="AW36" s="50">
        <v>8.3000000000000004E-2</v>
      </c>
      <c r="AX36" s="50">
        <v>4.3339999999999996</v>
      </c>
      <c r="AY36" s="47" t="s">
        <v>228</v>
      </c>
      <c r="AZ36" s="50">
        <v>0.12</v>
      </c>
      <c r="BA36" s="50">
        <v>4.26</v>
      </c>
      <c r="BB36" s="51"/>
      <c r="BC36" s="37"/>
      <c r="BD36" s="37"/>
      <c r="BE36" s="51"/>
      <c r="BF36" s="37"/>
      <c r="BG36" s="37"/>
      <c r="BH36" s="47" t="s">
        <v>221</v>
      </c>
      <c r="BI36" s="50">
        <v>0.23700000000000002</v>
      </c>
      <c r="BJ36" s="50">
        <v>4.0259999999999998</v>
      </c>
      <c r="BK36" s="51"/>
      <c r="BL36" s="37"/>
      <c r="BM36" s="37"/>
      <c r="BN36" s="47" t="s">
        <v>222</v>
      </c>
      <c r="BO36" s="50">
        <v>0.33700000000000002</v>
      </c>
      <c r="BP36" s="50">
        <v>3.8260000000000001</v>
      </c>
      <c r="BQ36" s="51"/>
      <c r="BR36" s="37"/>
      <c r="BS36" s="37"/>
      <c r="BT36" s="51" t="s">
        <v>233</v>
      </c>
      <c r="BU36" s="48">
        <v>0.438</v>
      </c>
      <c r="BV36" s="48">
        <v>3.6240000000000001</v>
      </c>
      <c r="BW36" s="51"/>
      <c r="BX36" s="37"/>
      <c r="BY36" s="37"/>
      <c r="BZ36" s="51" t="s">
        <v>235</v>
      </c>
      <c r="CA36" s="48">
        <v>0.53100000000000003</v>
      </c>
      <c r="CB36" s="48">
        <v>3.4380000000000002</v>
      </c>
      <c r="CC36" s="47" t="s">
        <v>236</v>
      </c>
      <c r="CD36" s="50">
        <v>0.23700000000000002</v>
      </c>
      <c r="CE36" s="50">
        <v>4.0259999999999998</v>
      </c>
      <c r="CF36" s="47" t="s">
        <v>237</v>
      </c>
      <c r="CG36" s="50">
        <v>0.33700000000000002</v>
      </c>
      <c r="CH36" s="50">
        <v>3.8260000000000001</v>
      </c>
      <c r="CI36" s="47" t="s">
        <v>238</v>
      </c>
      <c r="CJ36" s="48">
        <v>0.67400000000000004</v>
      </c>
      <c r="CK36" s="53">
        <v>3.1520000000000001</v>
      </c>
    </row>
    <row r="37" spans="2:89" ht="14.9" customHeight="1" x14ac:dyDescent="0.25">
      <c r="B37" s="10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101"/>
      <c r="AO37" s="10">
        <v>0.5</v>
      </c>
      <c r="AP37" s="10" t="s">
        <v>260</v>
      </c>
      <c r="AR37" s="65">
        <v>15</v>
      </c>
      <c r="AS37" s="42">
        <v>5</v>
      </c>
      <c r="AT37" s="36">
        <v>125</v>
      </c>
      <c r="AU37" s="63">
        <v>141.30000000000001</v>
      </c>
      <c r="AV37" s="47" t="s">
        <v>227</v>
      </c>
      <c r="AW37" s="50">
        <v>0.109</v>
      </c>
      <c r="AX37" s="50">
        <v>5.3449999999999998</v>
      </c>
      <c r="AY37" s="47" t="s">
        <v>228</v>
      </c>
      <c r="AZ37" s="50">
        <v>0.13400000000000001</v>
      </c>
      <c r="BA37" s="50">
        <v>5.2949999999999999</v>
      </c>
      <c r="BB37" s="51"/>
      <c r="BC37" s="37"/>
      <c r="BD37" s="37"/>
      <c r="BE37" s="51"/>
      <c r="BF37" s="37"/>
      <c r="BG37" s="37"/>
      <c r="BH37" s="47" t="s">
        <v>221</v>
      </c>
      <c r="BI37" s="50">
        <v>0.25800000000000001</v>
      </c>
      <c r="BJ37" s="50">
        <v>5.0469999999999997</v>
      </c>
      <c r="BK37" s="51"/>
      <c r="BL37" s="37"/>
      <c r="BM37" s="37"/>
      <c r="BN37" s="47" t="s">
        <v>222</v>
      </c>
      <c r="BO37" s="50">
        <v>0.375</v>
      </c>
      <c r="BP37" s="50">
        <v>4.8129999999999997</v>
      </c>
      <c r="BQ37" s="51"/>
      <c r="BR37" s="37"/>
      <c r="BS37" s="37"/>
      <c r="BT37" s="51" t="s">
        <v>233</v>
      </c>
      <c r="BU37" s="48">
        <v>0.5</v>
      </c>
      <c r="BV37" s="48">
        <v>4.5629999999999997</v>
      </c>
      <c r="BW37" s="51"/>
      <c r="BX37" s="37"/>
      <c r="BY37" s="37"/>
      <c r="BZ37" s="51" t="s">
        <v>235</v>
      </c>
      <c r="CA37" s="48">
        <v>0.625</v>
      </c>
      <c r="CB37" s="48">
        <v>4.3129999999999997</v>
      </c>
      <c r="CC37" s="47" t="s">
        <v>236</v>
      </c>
      <c r="CD37" s="50">
        <v>0.25800000000000001</v>
      </c>
      <c r="CE37" s="50">
        <v>5.0469999999999997</v>
      </c>
      <c r="CF37" s="47" t="s">
        <v>237</v>
      </c>
      <c r="CG37" s="50">
        <v>0.375</v>
      </c>
      <c r="CH37" s="50">
        <v>4.8129999999999997</v>
      </c>
      <c r="CI37" s="47" t="s">
        <v>238</v>
      </c>
      <c r="CJ37" s="48">
        <v>0.75</v>
      </c>
      <c r="CK37" s="53">
        <v>4.0629999999999997</v>
      </c>
    </row>
    <row r="38" spans="2:89" ht="14.9" customHeight="1" x14ac:dyDescent="0.25">
      <c r="B38" s="10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101"/>
      <c r="AR38" s="10">
        <v>16</v>
      </c>
      <c r="AS38" s="42">
        <v>6</v>
      </c>
      <c r="AT38" s="36">
        <v>150</v>
      </c>
      <c r="AU38" s="63">
        <v>168.3</v>
      </c>
      <c r="AV38" s="47" t="s">
        <v>227</v>
      </c>
      <c r="AW38" s="50">
        <v>0.109</v>
      </c>
      <c r="AX38" s="50">
        <v>6.407</v>
      </c>
      <c r="AY38" s="47" t="s">
        <v>228</v>
      </c>
      <c r="AZ38" s="50">
        <v>0.13400000000000001</v>
      </c>
      <c r="BA38" s="50">
        <v>6.3570000000000002</v>
      </c>
      <c r="BB38" s="51"/>
      <c r="BC38" s="37"/>
      <c r="BD38" s="37"/>
      <c r="BE38" s="51"/>
      <c r="BF38" s="37"/>
      <c r="BG38" s="37"/>
      <c r="BH38" s="47" t="s">
        <v>221</v>
      </c>
      <c r="BI38" s="50">
        <v>0.28000000000000003</v>
      </c>
      <c r="BJ38" s="50">
        <v>6.0650000000000004</v>
      </c>
      <c r="BK38" s="51"/>
      <c r="BL38" s="37"/>
      <c r="BM38" s="37"/>
      <c r="BN38" s="47" t="s">
        <v>222</v>
      </c>
      <c r="BO38" s="50">
        <v>0.432</v>
      </c>
      <c r="BP38" s="50">
        <v>5.7610000000000001</v>
      </c>
      <c r="BQ38" s="51"/>
      <c r="BR38" s="37"/>
      <c r="BS38" s="37"/>
      <c r="BT38" s="51" t="s">
        <v>233</v>
      </c>
      <c r="BU38" s="48">
        <v>0.56200000000000006</v>
      </c>
      <c r="BV38" s="48">
        <v>5.5010000000000003</v>
      </c>
      <c r="BW38" s="51"/>
      <c r="BX38" s="37"/>
      <c r="BY38" s="37"/>
      <c r="BZ38" s="51" t="s">
        <v>235</v>
      </c>
      <c r="CA38" s="48">
        <v>0.71899999999999997</v>
      </c>
      <c r="CB38" s="48">
        <v>5.1870000000000003</v>
      </c>
      <c r="CC38" s="47" t="s">
        <v>236</v>
      </c>
      <c r="CD38" s="50">
        <v>0.28000000000000003</v>
      </c>
      <c r="CE38" s="50">
        <v>6.0650000000000004</v>
      </c>
      <c r="CF38" s="47" t="s">
        <v>237</v>
      </c>
      <c r="CG38" s="50">
        <v>0.432</v>
      </c>
      <c r="CH38" s="50">
        <v>5.7610000000000001</v>
      </c>
      <c r="CI38" s="47" t="s">
        <v>238</v>
      </c>
      <c r="CJ38" s="48">
        <v>0.86399999999999999</v>
      </c>
      <c r="CK38" s="53">
        <v>4.8970000000000002</v>
      </c>
    </row>
    <row r="39" spans="2:89" ht="14.9" customHeight="1" x14ac:dyDescent="0.25">
      <c r="B39" s="10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101"/>
      <c r="AR39" s="65">
        <v>17</v>
      </c>
      <c r="AS39" s="42">
        <v>8</v>
      </c>
      <c r="AT39" s="36">
        <v>200</v>
      </c>
      <c r="AU39" s="63">
        <v>219.1</v>
      </c>
      <c r="AV39" s="47" t="s">
        <v>227</v>
      </c>
      <c r="AW39" s="50">
        <v>0.109</v>
      </c>
      <c r="AX39" s="50">
        <v>8.407</v>
      </c>
      <c r="AY39" s="47" t="s">
        <v>228</v>
      </c>
      <c r="AZ39" s="50">
        <v>0.14799999999999999</v>
      </c>
      <c r="BA39" s="50">
        <v>8.3290000000000006</v>
      </c>
      <c r="BB39" s="51" t="s">
        <v>229</v>
      </c>
      <c r="BC39" s="48">
        <v>0.25</v>
      </c>
      <c r="BD39" s="48">
        <v>8.125</v>
      </c>
      <c r="BE39" s="51" t="s">
        <v>230</v>
      </c>
      <c r="BF39" s="48">
        <v>0.27700000000000002</v>
      </c>
      <c r="BG39" s="48">
        <v>8.0709999999999997</v>
      </c>
      <c r="BH39" s="47" t="s">
        <v>221</v>
      </c>
      <c r="BI39" s="48">
        <v>0.32200000000000001</v>
      </c>
      <c r="BJ39" s="48">
        <v>7.9809999999999999</v>
      </c>
      <c r="BK39" s="67" t="s">
        <v>231</v>
      </c>
      <c r="BL39" s="48">
        <v>0.40600000000000003</v>
      </c>
      <c r="BM39" s="48">
        <v>7.8129999999999997</v>
      </c>
      <c r="BN39" s="47" t="s">
        <v>222</v>
      </c>
      <c r="BO39" s="50">
        <v>0.5</v>
      </c>
      <c r="BP39" s="50">
        <v>7.625</v>
      </c>
      <c r="BQ39" s="51" t="s">
        <v>232</v>
      </c>
      <c r="BR39" s="48">
        <v>0.59399999999999997</v>
      </c>
      <c r="BS39" s="48">
        <v>7.4370000000000003</v>
      </c>
      <c r="BT39" s="51" t="s">
        <v>233</v>
      </c>
      <c r="BU39" s="50">
        <v>0.71899999999999997</v>
      </c>
      <c r="BV39" s="50">
        <v>7.1870000000000003</v>
      </c>
      <c r="BW39" s="51" t="s">
        <v>234</v>
      </c>
      <c r="BX39" s="48">
        <v>0.81200000000000006</v>
      </c>
      <c r="BY39" s="48">
        <v>7.0010000000000003</v>
      </c>
      <c r="BZ39" s="51" t="s">
        <v>235</v>
      </c>
      <c r="CA39" s="50">
        <v>0.90600000000000003</v>
      </c>
      <c r="CB39" s="50">
        <v>6.8129999999999997</v>
      </c>
      <c r="CC39" s="47" t="s">
        <v>236</v>
      </c>
      <c r="CD39" s="50">
        <v>0.32200000000000001</v>
      </c>
      <c r="CE39" s="50">
        <v>7.9809999999999999</v>
      </c>
      <c r="CF39" s="47" t="s">
        <v>237</v>
      </c>
      <c r="CG39" s="50">
        <v>0.5</v>
      </c>
      <c r="CH39" s="50">
        <v>7.625</v>
      </c>
      <c r="CI39" s="47" t="s">
        <v>238</v>
      </c>
      <c r="CJ39" s="50">
        <v>0.875</v>
      </c>
      <c r="CK39" s="54">
        <v>6.875</v>
      </c>
    </row>
    <row r="40" spans="2:89" ht="14.9" customHeight="1" x14ac:dyDescent="0.25">
      <c r="B40" s="10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101"/>
      <c r="AR40" s="10">
        <v>18</v>
      </c>
      <c r="AS40" s="42">
        <v>10</v>
      </c>
      <c r="AT40" s="36">
        <v>250</v>
      </c>
      <c r="AU40" s="63">
        <v>273.05</v>
      </c>
      <c r="AV40" s="47" t="s">
        <v>227</v>
      </c>
      <c r="AW40" s="50">
        <v>0.13400000000000001</v>
      </c>
      <c r="AX40" s="50">
        <v>10.481999999999999</v>
      </c>
      <c r="AY40" s="47" t="s">
        <v>228</v>
      </c>
      <c r="AZ40" s="50">
        <v>0.16500000000000001</v>
      </c>
      <c r="BA40" s="50">
        <v>10.42</v>
      </c>
      <c r="BB40" s="51" t="s">
        <v>229</v>
      </c>
      <c r="BC40" s="48">
        <v>0.25</v>
      </c>
      <c r="BD40" s="48">
        <v>10.25</v>
      </c>
      <c r="BE40" s="51" t="s">
        <v>230</v>
      </c>
      <c r="BF40" s="48">
        <v>0.307</v>
      </c>
      <c r="BG40" s="48">
        <v>10.135999999999999</v>
      </c>
      <c r="BH40" s="47" t="s">
        <v>221</v>
      </c>
      <c r="BI40" s="48">
        <v>0.36499999999999999</v>
      </c>
      <c r="BJ40" s="48">
        <v>10.02</v>
      </c>
      <c r="BK40" s="67" t="s">
        <v>231</v>
      </c>
      <c r="BL40" s="48">
        <v>0.5</v>
      </c>
      <c r="BM40" s="48">
        <v>9.75</v>
      </c>
      <c r="BN40" s="47" t="s">
        <v>222</v>
      </c>
      <c r="BO40" s="50">
        <v>0.59399999999999997</v>
      </c>
      <c r="BP40" s="50">
        <v>9.5619999999999994</v>
      </c>
      <c r="BQ40" s="51" t="s">
        <v>232</v>
      </c>
      <c r="BR40" s="48">
        <v>0.71899999999999997</v>
      </c>
      <c r="BS40" s="48">
        <v>9.3119999999999994</v>
      </c>
      <c r="BT40" s="51" t="s">
        <v>233</v>
      </c>
      <c r="BU40" s="50">
        <v>0.84399999999999997</v>
      </c>
      <c r="BV40" s="50">
        <v>9.0619999999999994</v>
      </c>
      <c r="BW40" s="51" t="s">
        <v>234</v>
      </c>
      <c r="BX40" s="48">
        <v>1</v>
      </c>
      <c r="BY40" s="48">
        <v>8.75</v>
      </c>
      <c r="BZ40" s="51" t="s">
        <v>235</v>
      </c>
      <c r="CA40" s="50">
        <v>1.125</v>
      </c>
      <c r="CB40" s="50">
        <v>8.5</v>
      </c>
      <c r="CC40" s="47" t="s">
        <v>236</v>
      </c>
      <c r="CD40" s="50">
        <v>0.36499999999999999</v>
      </c>
      <c r="CE40" s="50">
        <v>10.02</v>
      </c>
      <c r="CF40" s="47" t="s">
        <v>237</v>
      </c>
      <c r="CG40" s="50">
        <v>0.5</v>
      </c>
      <c r="CH40" s="50">
        <v>9.75</v>
      </c>
      <c r="CI40" s="47" t="s">
        <v>238</v>
      </c>
      <c r="CJ40" s="50">
        <v>1</v>
      </c>
      <c r="CK40" s="54">
        <v>8.75</v>
      </c>
    </row>
    <row r="41" spans="2:89" ht="14.9" customHeight="1" x14ac:dyDescent="0.25">
      <c r="B41" s="10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101"/>
      <c r="AO41" s="21"/>
      <c r="AR41" s="65">
        <v>19</v>
      </c>
      <c r="AS41" s="42">
        <v>12</v>
      </c>
      <c r="AT41" s="36">
        <v>300</v>
      </c>
      <c r="AU41" s="63">
        <v>323.85000000000002</v>
      </c>
      <c r="AV41" s="47" t="s">
        <v>227</v>
      </c>
      <c r="AW41" s="50">
        <v>0.156</v>
      </c>
      <c r="AX41" s="50">
        <v>12.438000000000001</v>
      </c>
      <c r="AY41" s="47" t="s">
        <v>228</v>
      </c>
      <c r="AZ41" s="50">
        <v>0.18</v>
      </c>
      <c r="BA41" s="50">
        <v>12.39</v>
      </c>
      <c r="BB41" s="51" t="s">
        <v>229</v>
      </c>
      <c r="BC41" s="48">
        <v>0.25</v>
      </c>
      <c r="BD41" s="48">
        <v>12.25</v>
      </c>
      <c r="BE41" s="51" t="s">
        <v>230</v>
      </c>
      <c r="BF41" s="48">
        <v>0.33</v>
      </c>
      <c r="BG41" s="48">
        <v>12.09</v>
      </c>
      <c r="BH41" s="47" t="s">
        <v>221</v>
      </c>
      <c r="BI41" s="48">
        <v>0.40600000000000003</v>
      </c>
      <c r="BJ41" s="48">
        <v>11.938000000000001</v>
      </c>
      <c r="BK41" s="67" t="s">
        <v>231</v>
      </c>
      <c r="BL41" s="48">
        <v>0.56200000000000006</v>
      </c>
      <c r="BM41" s="48">
        <v>11.625999999999999</v>
      </c>
      <c r="BN41" s="47" t="s">
        <v>222</v>
      </c>
      <c r="BO41" s="50">
        <v>0.68800000000000006</v>
      </c>
      <c r="BP41" s="50">
        <v>11.374000000000001</v>
      </c>
      <c r="BQ41" s="51" t="s">
        <v>232</v>
      </c>
      <c r="BR41" s="48">
        <v>0.84399999999999997</v>
      </c>
      <c r="BS41" s="48">
        <v>11.061999999999999</v>
      </c>
      <c r="BT41" s="51" t="s">
        <v>233</v>
      </c>
      <c r="BU41" s="50">
        <v>1</v>
      </c>
      <c r="BV41" s="50">
        <v>10.75</v>
      </c>
      <c r="BW41" s="51" t="s">
        <v>234</v>
      </c>
      <c r="BX41" s="48">
        <v>1.125</v>
      </c>
      <c r="BY41" s="48">
        <v>10.5</v>
      </c>
      <c r="BZ41" s="51" t="s">
        <v>235</v>
      </c>
      <c r="CA41" s="50">
        <v>1.3120000000000001</v>
      </c>
      <c r="CB41" s="50">
        <v>10.125999999999999</v>
      </c>
      <c r="CC41" s="47" t="s">
        <v>236</v>
      </c>
      <c r="CD41" s="50">
        <v>0.375</v>
      </c>
      <c r="CE41" s="50">
        <v>12</v>
      </c>
      <c r="CF41" s="47" t="s">
        <v>237</v>
      </c>
      <c r="CG41" s="50">
        <v>0.5</v>
      </c>
      <c r="CH41" s="50">
        <v>11.75</v>
      </c>
      <c r="CI41" s="47" t="s">
        <v>238</v>
      </c>
      <c r="CJ41" s="50">
        <v>1</v>
      </c>
      <c r="CK41" s="54">
        <v>10.75</v>
      </c>
    </row>
    <row r="42" spans="2:89" ht="14.9" customHeight="1" x14ac:dyDescent="0.25">
      <c r="B42" s="10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101"/>
      <c r="AO42" s="21"/>
      <c r="AR42" s="10">
        <v>20</v>
      </c>
      <c r="AS42" s="42">
        <v>14</v>
      </c>
      <c r="AT42" s="36">
        <v>350</v>
      </c>
      <c r="AU42" s="63">
        <v>355.6</v>
      </c>
      <c r="AV42" s="47" t="s">
        <v>227</v>
      </c>
      <c r="AW42" s="50">
        <v>0.156</v>
      </c>
      <c r="AX42" s="50">
        <v>13.688000000000001</v>
      </c>
      <c r="AY42" s="47" t="s">
        <v>228</v>
      </c>
      <c r="AZ42" s="50">
        <v>0.25</v>
      </c>
      <c r="BA42" s="50">
        <v>13.5</v>
      </c>
      <c r="BB42" s="51" t="s">
        <v>229</v>
      </c>
      <c r="BC42" s="50">
        <v>0.312</v>
      </c>
      <c r="BD42" s="50">
        <v>13.375999999999999</v>
      </c>
      <c r="BE42" s="51" t="s">
        <v>230</v>
      </c>
      <c r="BF42" s="50">
        <v>0.375</v>
      </c>
      <c r="BG42" s="50">
        <v>13.25</v>
      </c>
      <c r="BH42" s="47" t="s">
        <v>221</v>
      </c>
      <c r="BI42" s="50">
        <v>0.438</v>
      </c>
      <c r="BJ42" s="50">
        <v>13.124000000000001</v>
      </c>
      <c r="BK42" s="67" t="s">
        <v>231</v>
      </c>
      <c r="BL42" s="50">
        <v>0.59399999999999997</v>
      </c>
      <c r="BM42" s="50">
        <v>12.811999999999999</v>
      </c>
      <c r="BN42" s="47" t="s">
        <v>222</v>
      </c>
      <c r="BO42" s="48">
        <v>0.75</v>
      </c>
      <c r="BP42" s="48">
        <v>12.5</v>
      </c>
      <c r="BQ42" s="51" t="s">
        <v>232</v>
      </c>
      <c r="BR42" s="50">
        <v>0.93799999999999994</v>
      </c>
      <c r="BS42" s="50">
        <v>12.124000000000001</v>
      </c>
      <c r="BT42" s="51" t="s">
        <v>233</v>
      </c>
      <c r="BU42" s="50">
        <v>1.0940000000000001</v>
      </c>
      <c r="BV42" s="50">
        <v>11.811999999999999</v>
      </c>
      <c r="BW42" s="51" t="s">
        <v>234</v>
      </c>
      <c r="BX42" s="50">
        <v>1.25</v>
      </c>
      <c r="BY42" s="50">
        <v>11.5</v>
      </c>
      <c r="BZ42" s="51" t="s">
        <v>235</v>
      </c>
      <c r="CA42" s="50">
        <v>1.4059999999999999</v>
      </c>
      <c r="CB42" s="50">
        <v>11.188000000000001</v>
      </c>
      <c r="CC42" s="47" t="s">
        <v>236</v>
      </c>
      <c r="CD42" s="48">
        <v>0.375</v>
      </c>
      <c r="CE42" s="48">
        <v>13.25</v>
      </c>
      <c r="CF42" s="47" t="s">
        <v>237</v>
      </c>
      <c r="CG42" s="48">
        <v>0.5</v>
      </c>
      <c r="CH42" s="48">
        <v>13</v>
      </c>
      <c r="CI42" s="132"/>
      <c r="CJ42" s="37"/>
      <c r="CK42" s="38"/>
    </row>
    <row r="43" spans="2:89" ht="14.9" customHeight="1" x14ac:dyDescent="0.25">
      <c r="B43" s="10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101"/>
      <c r="AR43" s="10">
        <v>22</v>
      </c>
      <c r="AS43" s="42">
        <v>18</v>
      </c>
      <c r="AT43" s="36">
        <v>450</v>
      </c>
      <c r="AU43" s="63">
        <v>457.2</v>
      </c>
      <c r="AV43" s="47" t="s">
        <v>227</v>
      </c>
      <c r="AW43" s="50">
        <v>0.16500000000000001</v>
      </c>
      <c r="AX43" s="50">
        <v>17.670000000000002</v>
      </c>
      <c r="AY43" s="47" t="s">
        <v>228</v>
      </c>
      <c r="AZ43" s="50">
        <v>0.25</v>
      </c>
      <c r="BA43" s="50">
        <v>17.5</v>
      </c>
      <c r="BB43" s="51" t="s">
        <v>229</v>
      </c>
      <c r="BC43" s="50">
        <v>0.312</v>
      </c>
      <c r="BD43" s="50">
        <v>17.376000000000001</v>
      </c>
      <c r="BE43" s="51" t="s">
        <v>230</v>
      </c>
      <c r="BF43" s="50">
        <v>0.438</v>
      </c>
      <c r="BG43" s="50">
        <v>17.123999999999999</v>
      </c>
      <c r="BH43" s="47" t="s">
        <v>221</v>
      </c>
      <c r="BI43" s="50">
        <v>0.56200000000000006</v>
      </c>
      <c r="BJ43" s="50">
        <v>16.876000000000001</v>
      </c>
      <c r="BK43" s="67" t="s">
        <v>231</v>
      </c>
      <c r="BL43" s="50">
        <v>0.75</v>
      </c>
      <c r="BM43" s="50">
        <v>16.5</v>
      </c>
      <c r="BN43" s="47" t="s">
        <v>222</v>
      </c>
      <c r="BO43" s="48">
        <v>0.93800000000000006</v>
      </c>
      <c r="BP43" s="48">
        <v>16.123999999999999</v>
      </c>
      <c r="BQ43" s="51" t="s">
        <v>232</v>
      </c>
      <c r="BR43" s="50">
        <v>1.1559999999999999</v>
      </c>
      <c r="BS43" s="50">
        <v>15.688000000000001</v>
      </c>
      <c r="BT43" s="51" t="s">
        <v>233</v>
      </c>
      <c r="BU43" s="50">
        <v>1.375</v>
      </c>
      <c r="BV43" s="50">
        <v>15.25</v>
      </c>
      <c r="BW43" s="51" t="s">
        <v>234</v>
      </c>
      <c r="BX43" s="50">
        <v>1.5620000000000001</v>
      </c>
      <c r="BY43" s="50">
        <v>14.875999999999999</v>
      </c>
      <c r="BZ43" s="51" t="s">
        <v>235</v>
      </c>
      <c r="CA43" s="50">
        <v>1.7809999999999999</v>
      </c>
      <c r="CB43" s="50">
        <v>14.438000000000001</v>
      </c>
      <c r="CC43" s="47" t="s">
        <v>236</v>
      </c>
      <c r="CD43" s="48">
        <v>0.375</v>
      </c>
      <c r="CE43" s="48">
        <v>17.25</v>
      </c>
      <c r="CF43" s="47" t="s">
        <v>237</v>
      </c>
      <c r="CG43" s="48">
        <v>0.5</v>
      </c>
      <c r="CH43" s="48">
        <v>17</v>
      </c>
      <c r="CI43" s="132"/>
      <c r="CJ43" s="37"/>
      <c r="CK43" s="38"/>
    </row>
    <row r="44" spans="2:89" ht="14.9" customHeight="1" x14ac:dyDescent="0.25">
      <c r="B44" s="10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101"/>
      <c r="AR44" s="65">
        <v>23</v>
      </c>
      <c r="AS44" s="42">
        <v>20</v>
      </c>
      <c r="AT44" s="36">
        <v>500</v>
      </c>
      <c r="AU44" s="63">
        <v>508</v>
      </c>
      <c r="AV44" s="47" t="s">
        <v>227</v>
      </c>
      <c r="AW44" s="50">
        <v>0.188</v>
      </c>
      <c r="AX44" s="50">
        <v>19.623999999999999</v>
      </c>
      <c r="AY44" s="47" t="s">
        <v>228</v>
      </c>
      <c r="AZ44" s="50">
        <v>0.25</v>
      </c>
      <c r="BA44" s="50">
        <v>19.5</v>
      </c>
      <c r="BB44" s="51" t="s">
        <v>229</v>
      </c>
      <c r="BC44" s="50">
        <v>0.375</v>
      </c>
      <c r="BD44" s="50">
        <v>19.25</v>
      </c>
      <c r="BE44" s="51" t="s">
        <v>230</v>
      </c>
      <c r="BF44" s="50">
        <v>0.5</v>
      </c>
      <c r="BG44" s="50">
        <v>19</v>
      </c>
      <c r="BH44" s="47" t="s">
        <v>221</v>
      </c>
      <c r="BI44" s="50">
        <v>0.59399999999999997</v>
      </c>
      <c r="BJ44" s="50">
        <v>18.812000000000001</v>
      </c>
      <c r="BK44" s="67" t="s">
        <v>231</v>
      </c>
      <c r="BL44" s="50">
        <v>0.81200000000000006</v>
      </c>
      <c r="BM44" s="50">
        <v>18.376000000000001</v>
      </c>
      <c r="BN44" s="47" t="s">
        <v>222</v>
      </c>
      <c r="BO44" s="50">
        <v>1.0309999999999999</v>
      </c>
      <c r="BP44" s="50">
        <v>17.937999999999999</v>
      </c>
      <c r="BQ44" s="51" t="s">
        <v>232</v>
      </c>
      <c r="BR44" s="50">
        <v>1.2809999999999999</v>
      </c>
      <c r="BS44" s="50">
        <v>17.437999999999999</v>
      </c>
      <c r="BT44" s="51" t="s">
        <v>233</v>
      </c>
      <c r="BU44" s="48">
        <v>1.5</v>
      </c>
      <c r="BV44" s="48">
        <v>17</v>
      </c>
      <c r="BW44" s="51" t="s">
        <v>234</v>
      </c>
      <c r="BX44" s="50">
        <v>1.75</v>
      </c>
      <c r="BY44" s="50">
        <v>16.5</v>
      </c>
      <c r="BZ44" s="51" t="s">
        <v>235</v>
      </c>
      <c r="CA44" s="48">
        <v>1.9690000000000001</v>
      </c>
      <c r="CB44" s="48">
        <v>16.062000000000001</v>
      </c>
      <c r="CC44" s="47" t="s">
        <v>236</v>
      </c>
      <c r="CD44" s="50">
        <v>0.375</v>
      </c>
      <c r="CE44" s="50">
        <v>19.25</v>
      </c>
      <c r="CF44" s="47" t="s">
        <v>237</v>
      </c>
      <c r="CG44" s="50">
        <v>0.5</v>
      </c>
      <c r="CH44" s="50">
        <v>19</v>
      </c>
      <c r="CI44" s="132"/>
      <c r="CJ44" s="37"/>
      <c r="CK44" s="38"/>
    </row>
    <row r="45" spans="2:89" ht="14.9" customHeight="1" x14ac:dyDescent="0.25">
      <c r="B45" s="10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101"/>
      <c r="AR45" s="10">
        <v>24</v>
      </c>
      <c r="AS45" s="42">
        <v>22</v>
      </c>
      <c r="AT45" s="36">
        <v>550</v>
      </c>
      <c r="AU45" s="63">
        <v>558.79999999999995</v>
      </c>
      <c r="AV45" s="47" t="s">
        <v>227</v>
      </c>
      <c r="AW45" s="50">
        <v>0.188</v>
      </c>
      <c r="AX45" s="50">
        <v>21.623999999999999</v>
      </c>
      <c r="AY45" s="47" t="s">
        <v>228</v>
      </c>
      <c r="AZ45" s="50">
        <v>0.25</v>
      </c>
      <c r="BA45" s="50">
        <v>23.5</v>
      </c>
      <c r="BB45" s="51" t="s">
        <v>229</v>
      </c>
      <c r="BC45" s="50">
        <v>0.375</v>
      </c>
      <c r="BD45" s="50">
        <v>21.25</v>
      </c>
      <c r="BE45" s="51" t="s">
        <v>230</v>
      </c>
      <c r="BF45" s="50">
        <v>0.5</v>
      </c>
      <c r="BG45" s="50">
        <v>21</v>
      </c>
      <c r="BH45" s="47" t="s">
        <v>221</v>
      </c>
      <c r="BI45" s="50"/>
      <c r="BJ45" s="50"/>
      <c r="BK45" s="67" t="s">
        <v>231</v>
      </c>
      <c r="BL45" s="50">
        <v>0.875</v>
      </c>
      <c r="BM45" s="50">
        <v>20.25</v>
      </c>
      <c r="BN45" s="47" t="s">
        <v>222</v>
      </c>
      <c r="BO45" s="50">
        <v>1.125</v>
      </c>
      <c r="BP45" s="50">
        <v>19.75</v>
      </c>
      <c r="BQ45" s="51" t="s">
        <v>232</v>
      </c>
      <c r="BR45" s="50">
        <v>1.375</v>
      </c>
      <c r="BS45" s="50">
        <v>19.25</v>
      </c>
      <c r="BT45" s="51" t="s">
        <v>233</v>
      </c>
      <c r="BU45" s="48">
        <v>1.625</v>
      </c>
      <c r="BV45" s="48">
        <v>18.75</v>
      </c>
      <c r="BW45" s="51" t="s">
        <v>234</v>
      </c>
      <c r="BX45" s="50">
        <v>1.875</v>
      </c>
      <c r="BY45" s="50">
        <v>20.125</v>
      </c>
      <c r="BZ45" s="51" t="s">
        <v>235</v>
      </c>
      <c r="CA45" s="48">
        <v>2.125</v>
      </c>
      <c r="CB45" s="48">
        <v>17.75</v>
      </c>
      <c r="CC45" s="47" t="s">
        <v>236</v>
      </c>
      <c r="CD45" s="48">
        <v>0.375</v>
      </c>
      <c r="CE45" s="48">
        <v>21.25</v>
      </c>
      <c r="CF45" s="47" t="s">
        <v>237</v>
      </c>
      <c r="CG45" s="48">
        <v>0.5</v>
      </c>
      <c r="CH45" s="48">
        <v>21</v>
      </c>
      <c r="CI45" s="132"/>
      <c r="CJ45" s="37"/>
      <c r="CK45" s="38"/>
    </row>
    <row r="46" spans="2:89" ht="14.9" customHeight="1" x14ac:dyDescent="0.25">
      <c r="B46" s="10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101"/>
      <c r="AR46" s="65">
        <v>25</v>
      </c>
      <c r="AS46" s="42">
        <v>24</v>
      </c>
      <c r="AT46" s="36">
        <v>600</v>
      </c>
      <c r="AU46" s="63">
        <v>609.6</v>
      </c>
      <c r="AV46" s="47" t="s">
        <v>227</v>
      </c>
      <c r="AW46" s="50">
        <v>0.218</v>
      </c>
      <c r="AX46" s="50">
        <v>23.564</v>
      </c>
      <c r="AY46" s="47" t="s">
        <v>228</v>
      </c>
      <c r="AZ46" s="50">
        <v>0.25</v>
      </c>
      <c r="BA46" s="50">
        <v>23.5</v>
      </c>
      <c r="BB46" s="51" t="s">
        <v>229</v>
      </c>
      <c r="BC46" s="50">
        <v>0.375</v>
      </c>
      <c r="BD46" s="50">
        <v>23.25</v>
      </c>
      <c r="BE46" s="51" t="s">
        <v>230</v>
      </c>
      <c r="BF46" s="50">
        <v>0.56200000000000006</v>
      </c>
      <c r="BG46" s="50">
        <v>22.876000000000001</v>
      </c>
      <c r="BH46" s="47" t="s">
        <v>221</v>
      </c>
      <c r="BI46" s="50">
        <v>0.68800000000000006</v>
      </c>
      <c r="BJ46" s="50">
        <v>22.623999999999999</v>
      </c>
      <c r="BK46" s="67" t="s">
        <v>231</v>
      </c>
      <c r="BL46" s="50">
        <v>0.96899999999999997</v>
      </c>
      <c r="BM46" s="50">
        <v>22.062000000000001</v>
      </c>
      <c r="BN46" s="47" t="s">
        <v>222</v>
      </c>
      <c r="BO46" s="50">
        <v>1.2190000000000001</v>
      </c>
      <c r="BP46" s="50">
        <v>21.562000000000001</v>
      </c>
      <c r="BQ46" s="51" t="s">
        <v>232</v>
      </c>
      <c r="BR46" s="50">
        <v>1.5309999999999999</v>
      </c>
      <c r="BS46" s="50">
        <v>20.937999999999999</v>
      </c>
      <c r="BT46" s="51" t="s">
        <v>233</v>
      </c>
      <c r="BU46" s="48">
        <v>1.8120000000000001</v>
      </c>
      <c r="BV46" s="48">
        <v>20.376000000000001</v>
      </c>
      <c r="BW46" s="51" t="s">
        <v>234</v>
      </c>
      <c r="BX46" s="50">
        <v>2.0619999999999998</v>
      </c>
      <c r="BY46" s="50">
        <v>19.876000000000001</v>
      </c>
      <c r="BZ46" s="51" t="s">
        <v>235</v>
      </c>
      <c r="CA46" s="48">
        <v>2.3439999999999999</v>
      </c>
      <c r="CB46" s="48">
        <v>19.312000000000001</v>
      </c>
      <c r="CC46" s="47" t="s">
        <v>236</v>
      </c>
      <c r="CD46" s="48">
        <v>0.375</v>
      </c>
      <c r="CE46" s="48">
        <v>23.25</v>
      </c>
      <c r="CF46" s="47" t="s">
        <v>237</v>
      </c>
      <c r="CG46" s="48">
        <v>0.5</v>
      </c>
      <c r="CH46" s="48">
        <v>23</v>
      </c>
      <c r="CI46" s="132"/>
      <c r="CJ46" s="37"/>
      <c r="CK46" s="38"/>
    </row>
    <row r="47" spans="2:89" ht="14.9" customHeight="1" x14ac:dyDescent="0.25">
      <c r="B47" s="10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101"/>
      <c r="AR47" s="10">
        <v>26</v>
      </c>
      <c r="AS47" s="42">
        <v>26</v>
      </c>
      <c r="AT47" s="36">
        <v>650</v>
      </c>
      <c r="AU47" s="63">
        <v>660.4</v>
      </c>
      <c r="AV47" s="47"/>
      <c r="AW47" s="50"/>
      <c r="AX47" s="50"/>
      <c r="AY47" s="47" t="s">
        <v>228</v>
      </c>
      <c r="AZ47" s="50">
        <v>0.312</v>
      </c>
      <c r="BA47" s="50">
        <v>25.376000000000001</v>
      </c>
      <c r="BB47" s="51" t="s">
        <v>229</v>
      </c>
      <c r="BC47" s="50">
        <v>0.5</v>
      </c>
      <c r="BD47" s="50">
        <v>25</v>
      </c>
      <c r="BE47" s="51" t="s">
        <v>230</v>
      </c>
      <c r="BF47" s="50"/>
      <c r="BG47" s="50"/>
      <c r="BH47" s="51"/>
      <c r="BI47" s="50"/>
      <c r="BJ47" s="50"/>
      <c r="BK47" s="51"/>
      <c r="BL47" s="37"/>
      <c r="BM47" s="37"/>
      <c r="BN47" s="37"/>
      <c r="BO47" s="37"/>
      <c r="BP47" s="37"/>
      <c r="BQ47" s="37"/>
      <c r="BR47" s="37"/>
      <c r="BS47" s="37"/>
      <c r="BT47" s="37"/>
      <c r="BU47" s="52"/>
      <c r="BV47" s="37"/>
      <c r="BW47" s="37"/>
      <c r="BX47" s="37"/>
      <c r="BY47" s="37"/>
      <c r="BZ47" s="37"/>
      <c r="CA47" s="50"/>
      <c r="CB47" s="50"/>
      <c r="CC47" s="47" t="s">
        <v>236</v>
      </c>
      <c r="CD47" s="48">
        <v>0.375</v>
      </c>
      <c r="CE47" s="48">
        <v>25.25</v>
      </c>
      <c r="CF47" s="47" t="s">
        <v>237</v>
      </c>
      <c r="CG47" s="48">
        <v>0.5</v>
      </c>
      <c r="CH47" s="48">
        <v>25</v>
      </c>
      <c r="CI47" s="132"/>
      <c r="CJ47" s="37"/>
      <c r="CK47" s="38"/>
    </row>
    <row r="48" spans="2:89" ht="14.9" customHeight="1" x14ac:dyDescent="0.25">
      <c r="B48" s="10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101"/>
      <c r="AR48" s="10"/>
      <c r="AS48" s="42"/>
      <c r="AT48" s="36"/>
      <c r="AU48" s="63"/>
      <c r="AV48" s="47"/>
      <c r="AW48" s="50"/>
      <c r="AX48" s="50"/>
      <c r="AY48" s="47"/>
      <c r="AZ48" s="50"/>
      <c r="BA48" s="50"/>
      <c r="BB48" s="51"/>
      <c r="BC48" s="50"/>
      <c r="BD48" s="50"/>
      <c r="BE48" s="51"/>
      <c r="BF48" s="50"/>
      <c r="BG48" s="50"/>
      <c r="BH48" s="51"/>
      <c r="BI48" s="50"/>
      <c r="BJ48" s="50"/>
      <c r="BK48" s="51"/>
      <c r="BL48" s="37"/>
      <c r="BM48" s="37"/>
      <c r="BN48" s="37"/>
      <c r="BO48" s="37"/>
      <c r="BP48" s="37"/>
      <c r="BQ48" s="37"/>
      <c r="BR48" s="37"/>
      <c r="BS48" s="37"/>
      <c r="BT48" s="37"/>
      <c r="BU48" s="52"/>
      <c r="BV48" s="37"/>
      <c r="BW48" s="37"/>
      <c r="BX48" s="37"/>
      <c r="BY48" s="37"/>
      <c r="BZ48" s="37"/>
      <c r="CA48" s="50"/>
      <c r="CB48" s="50"/>
      <c r="CC48" s="47"/>
      <c r="CD48" s="48"/>
      <c r="CE48" s="48"/>
      <c r="CF48" s="47"/>
      <c r="CG48" s="48"/>
      <c r="CH48" s="48"/>
      <c r="CI48" s="132"/>
      <c r="CJ48" s="37"/>
      <c r="CK48" s="38"/>
    </row>
    <row r="49" spans="2:90" ht="14.9" customHeight="1" x14ac:dyDescent="0.25">
      <c r="B49" s="10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101"/>
      <c r="AR49" s="65">
        <v>27</v>
      </c>
      <c r="AS49" s="42">
        <v>28</v>
      </c>
      <c r="AT49" s="36">
        <v>700</v>
      </c>
      <c r="AU49" s="63">
        <v>711.2</v>
      </c>
      <c r="AV49" s="47"/>
      <c r="AW49" s="50"/>
      <c r="AX49" s="50"/>
      <c r="AY49" s="47" t="s">
        <v>228</v>
      </c>
      <c r="AZ49" s="50">
        <v>0.312</v>
      </c>
      <c r="BA49" s="50">
        <v>27.376000000000001</v>
      </c>
      <c r="BB49" s="51" t="s">
        <v>229</v>
      </c>
      <c r="BC49" s="50">
        <v>0.5</v>
      </c>
      <c r="BD49" s="50">
        <v>27</v>
      </c>
      <c r="BE49" s="51" t="s">
        <v>230</v>
      </c>
      <c r="BF49" s="50">
        <v>0.625</v>
      </c>
      <c r="BG49" s="50">
        <v>26.75</v>
      </c>
      <c r="BH49" s="51"/>
      <c r="BI49" s="50"/>
      <c r="BJ49" s="50"/>
      <c r="BK49" s="37"/>
      <c r="BL49" s="37"/>
      <c r="BM49" s="37"/>
      <c r="BN49" s="37"/>
      <c r="BO49" s="37"/>
      <c r="BP49" s="37"/>
      <c r="BQ49" s="37"/>
      <c r="BR49" s="37"/>
      <c r="BS49" s="37"/>
      <c r="BT49" s="37"/>
      <c r="BU49" s="52"/>
      <c r="BV49" s="37"/>
      <c r="BW49" s="37"/>
      <c r="BX49" s="37"/>
      <c r="BY49" s="37"/>
      <c r="BZ49" s="37"/>
      <c r="CA49" s="52"/>
      <c r="CB49" s="37"/>
      <c r="CC49" s="47" t="s">
        <v>236</v>
      </c>
      <c r="CD49" s="50">
        <v>0.375</v>
      </c>
      <c r="CE49" s="50">
        <v>27.25</v>
      </c>
      <c r="CF49" s="47" t="s">
        <v>237</v>
      </c>
      <c r="CG49" s="50">
        <v>0.5</v>
      </c>
      <c r="CH49" s="50">
        <v>27</v>
      </c>
      <c r="CI49" s="132"/>
      <c r="CJ49" s="37"/>
      <c r="CK49" s="38"/>
    </row>
    <row r="50" spans="2:90" ht="14.9" customHeight="1" x14ac:dyDescent="0.25">
      <c r="B50" s="100"/>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101"/>
      <c r="AR50" s="10">
        <v>28</v>
      </c>
      <c r="AS50" s="42">
        <v>30</v>
      </c>
      <c r="AT50" s="36">
        <v>750</v>
      </c>
      <c r="AU50" s="63">
        <v>762</v>
      </c>
      <c r="AV50" s="47" t="s">
        <v>227</v>
      </c>
      <c r="AW50" s="50">
        <v>0.25</v>
      </c>
      <c r="AX50" s="50">
        <v>29.5</v>
      </c>
      <c r="AY50" s="47" t="s">
        <v>228</v>
      </c>
      <c r="AZ50" s="50">
        <v>0.312</v>
      </c>
      <c r="BA50" s="50">
        <v>29.376000000000001</v>
      </c>
      <c r="BB50" s="51" t="s">
        <v>229</v>
      </c>
      <c r="BC50" s="50">
        <v>0.5</v>
      </c>
      <c r="BD50" s="50">
        <v>29</v>
      </c>
      <c r="BE50" s="51" t="s">
        <v>230</v>
      </c>
      <c r="BF50" s="50">
        <v>0.625</v>
      </c>
      <c r="BG50" s="50">
        <v>28.75</v>
      </c>
      <c r="BH50" s="51"/>
      <c r="BI50" s="50"/>
      <c r="BJ50" s="50"/>
      <c r="BK50" s="37"/>
      <c r="BL50" s="37"/>
      <c r="BM50" s="37"/>
      <c r="BN50" s="37"/>
      <c r="BO50" s="37"/>
      <c r="BP50" s="37"/>
      <c r="BQ50" s="37"/>
      <c r="BR50" s="37"/>
      <c r="BS50" s="37"/>
      <c r="BT50" s="37"/>
      <c r="BU50" s="52"/>
      <c r="BV50" s="37"/>
      <c r="BW50" s="37"/>
      <c r="BX50" s="37"/>
      <c r="BY50" s="37"/>
      <c r="BZ50" s="37"/>
      <c r="CA50" s="52"/>
      <c r="CB50" s="37"/>
      <c r="CC50" s="47" t="s">
        <v>236</v>
      </c>
      <c r="CD50" s="50">
        <v>0.375</v>
      </c>
      <c r="CE50" s="50">
        <v>29.25</v>
      </c>
      <c r="CF50" s="47" t="s">
        <v>237</v>
      </c>
      <c r="CG50" s="50">
        <v>0.5</v>
      </c>
      <c r="CH50" s="50">
        <v>29</v>
      </c>
      <c r="CI50" s="132"/>
      <c r="CJ50" s="37"/>
      <c r="CK50" s="38"/>
    </row>
    <row r="51" spans="2:90" ht="16.5" customHeight="1" x14ac:dyDescent="0.25">
      <c r="B51" s="100"/>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101"/>
      <c r="AR51" s="65">
        <v>29</v>
      </c>
      <c r="AS51" s="42">
        <v>32</v>
      </c>
      <c r="AT51" s="36">
        <v>800</v>
      </c>
      <c r="AU51" s="63">
        <v>812.8</v>
      </c>
      <c r="AV51" s="47"/>
      <c r="AW51" s="50"/>
      <c r="AX51" s="50"/>
      <c r="AY51" s="47" t="s">
        <v>228</v>
      </c>
      <c r="AZ51" s="50">
        <v>0.312</v>
      </c>
      <c r="BA51" s="50">
        <v>31.376000000000001</v>
      </c>
      <c r="BB51" s="51" t="s">
        <v>229</v>
      </c>
      <c r="BC51" s="50">
        <v>0.5</v>
      </c>
      <c r="BD51" s="50">
        <v>31</v>
      </c>
      <c r="BE51" s="51" t="s">
        <v>230</v>
      </c>
      <c r="BF51" s="50">
        <v>0.625</v>
      </c>
      <c r="BG51" s="50">
        <v>30.75</v>
      </c>
      <c r="BH51" s="47" t="s">
        <v>221</v>
      </c>
      <c r="BI51" s="50">
        <v>0.68800000000000006</v>
      </c>
      <c r="BJ51" s="50">
        <v>30.623999999999999</v>
      </c>
      <c r="BK51" s="37"/>
      <c r="BL51" s="37"/>
      <c r="BM51" s="37"/>
      <c r="BN51" s="37"/>
      <c r="BO51" s="37"/>
      <c r="BP51" s="37"/>
      <c r="BQ51" s="37"/>
      <c r="BR51" s="37"/>
      <c r="BS51" s="37"/>
      <c r="BT51" s="37"/>
      <c r="BU51" s="52"/>
      <c r="BV51" s="37"/>
      <c r="BW51" s="37"/>
      <c r="BX51" s="37"/>
      <c r="BY51" s="37"/>
      <c r="BZ51" s="37"/>
      <c r="CA51" s="52"/>
      <c r="CB51" s="37"/>
      <c r="CC51" s="47" t="s">
        <v>236</v>
      </c>
      <c r="CD51" s="50">
        <v>0.375</v>
      </c>
      <c r="CE51" s="50">
        <v>31.25</v>
      </c>
      <c r="CF51" s="47" t="s">
        <v>237</v>
      </c>
      <c r="CG51" s="50">
        <v>0.5</v>
      </c>
      <c r="CH51" s="50">
        <v>31</v>
      </c>
      <c r="CI51" s="132"/>
      <c r="CJ51" s="37"/>
      <c r="CK51" s="38"/>
    </row>
    <row r="52" spans="2:90" ht="42" customHeight="1" x14ac:dyDescent="0.25">
      <c r="B52" s="250" t="str">
        <f>disclaimer</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2" s="250"/>
      <c r="D52" s="250"/>
      <c r="E52" s="250"/>
      <c r="F52" s="250"/>
      <c r="G52" s="250"/>
      <c r="H52" s="250"/>
      <c r="I52" s="250"/>
      <c r="J52" s="250"/>
      <c r="K52" s="250"/>
      <c r="L52" s="250"/>
      <c r="M52" s="250"/>
      <c r="N52" s="250"/>
      <c r="O52" s="250"/>
      <c r="P52" s="250"/>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R52" s="10">
        <v>30</v>
      </c>
      <c r="AS52" s="42">
        <v>34</v>
      </c>
      <c r="AT52" s="36">
        <v>850</v>
      </c>
      <c r="AU52" s="63">
        <v>863.6</v>
      </c>
      <c r="AV52" s="47"/>
      <c r="AW52" s="50"/>
      <c r="AX52" s="50"/>
      <c r="AY52" s="47" t="s">
        <v>228</v>
      </c>
      <c r="AZ52" s="50">
        <v>0.312</v>
      </c>
      <c r="BA52" s="50">
        <v>33.375999999999998</v>
      </c>
      <c r="BB52" s="51" t="s">
        <v>229</v>
      </c>
      <c r="BC52" s="50">
        <v>0.5</v>
      </c>
      <c r="BD52" s="50">
        <v>33</v>
      </c>
      <c r="BE52" s="51" t="s">
        <v>230</v>
      </c>
      <c r="BF52" s="50">
        <v>0.625</v>
      </c>
      <c r="BG52" s="50">
        <v>32.75</v>
      </c>
      <c r="BH52" s="47" t="s">
        <v>221</v>
      </c>
      <c r="BI52" s="50">
        <v>0.68800000000000006</v>
      </c>
      <c r="BJ52" s="50">
        <v>32.624000000000002</v>
      </c>
      <c r="BK52" s="37"/>
      <c r="BL52" s="37"/>
      <c r="BM52" s="37"/>
      <c r="BN52" s="37"/>
      <c r="BO52" s="37"/>
      <c r="BP52" s="37"/>
      <c r="BQ52" s="37"/>
      <c r="BR52" s="37"/>
      <c r="BS52" s="37"/>
      <c r="BT52" s="37"/>
      <c r="BU52" s="52"/>
      <c r="BV52" s="37"/>
      <c r="BW52" s="37"/>
      <c r="BX52" s="37"/>
      <c r="BY52" s="37"/>
      <c r="BZ52" s="37"/>
      <c r="CA52" s="52"/>
      <c r="CB52" s="37"/>
      <c r="CC52" s="47" t="s">
        <v>236</v>
      </c>
      <c r="CD52" s="50">
        <v>0.375</v>
      </c>
      <c r="CE52" s="50">
        <v>33.25</v>
      </c>
      <c r="CF52" s="47" t="s">
        <v>237</v>
      </c>
      <c r="CG52" s="50">
        <v>0.5</v>
      </c>
      <c r="CH52" s="50">
        <v>33</v>
      </c>
      <c r="CI52" s="132"/>
      <c r="CJ52" s="37"/>
      <c r="CK52" s="38"/>
    </row>
    <row r="53" spans="2:90" ht="14.9" customHeight="1" x14ac:dyDescent="0.25">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R53" s="65">
        <v>31</v>
      </c>
      <c r="AS53" s="42">
        <v>36</v>
      </c>
      <c r="AT53" s="36">
        <v>900</v>
      </c>
      <c r="AU53" s="63">
        <v>914.4</v>
      </c>
      <c r="AV53" s="47"/>
      <c r="AW53" s="50"/>
      <c r="AX53" s="50"/>
      <c r="AY53" s="47" t="s">
        <v>228</v>
      </c>
      <c r="AZ53" s="50">
        <v>0.312</v>
      </c>
      <c r="BA53" s="50">
        <v>35.375999999999998</v>
      </c>
      <c r="BB53" s="51" t="s">
        <v>229</v>
      </c>
      <c r="BC53" s="50">
        <v>0.5</v>
      </c>
      <c r="BD53" s="50">
        <v>35</v>
      </c>
      <c r="BE53" s="51" t="s">
        <v>230</v>
      </c>
      <c r="BF53" s="50">
        <v>0.625</v>
      </c>
      <c r="BG53" s="50">
        <v>34.75</v>
      </c>
      <c r="BH53" s="47" t="s">
        <v>221</v>
      </c>
      <c r="BI53" s="50">
        <v>0.75</v>
      </c>
      <c r="BJ53" s="50">
        <v>34.5</v>
      </c>
      <c r="BK53" s="37"/>
      <c r="BL53" s="37"/>
      <c r="BM53" s="37"/>
      <c r="BN53" s="37"/>
      <c r="BO53" s="37"/>
      <c r="BP53" s="37"/>
      <c r="BQ53" s="37"/>
      <c r="BR53" s="37"/>
      <c r="BS53" s="37"/>
      <c r="BT53" s="37"/>
      <c r="BU53" s="52"/>
      <c r="BV53" s="37"/>
      <c r="BW53" s="37"/>
      <c r="BX53" s="37"/>
      <c r="BY53" s="37"/>
      <c r="BZ53" s="37"/>
      <c r="CA53" s="52"/>
      <c r="CB53" s="37"/>
      <c r="CC53" s="47" t="s">
        <v>236</v>
      </c>
      <c r="CD53" s="50">
        <v>0.375</v>
      </c>
      <c r="CE53" s="50">
        <v>35.25</v>
      </c>
      <c r="CF53" s="47" t="s">
        <v>237</v>
      </c>
      <c r="CG53" s="50">
        <v>0.5</v>
      </c>
      <c r="CH53" s="50">
        <v>35</v>
      </c>
      <c r="CI53" s="132"/>
      <c r="CJ53" s="37"/>
      <c r="CK53" s="38"/>
    </row>
    <row r="54" spans="2:90" ht="41.25" customHeight="1" x14ac:dyDescent="0.25">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R54" s="10">
        <v>32</v>
      </c>
      <c r="AS54" s="42">
        <v>38</v>
      </c>
      <c r="AT54" s="36">
        <v>950</v>
      </c>
      <c r="AU54" s="63">
        <v>965.2</v>
      </c>
      <c r="AV54" s="47"/>
      <c r="AW54" s="50"/>
      <c r="AX54" s="50"/>
      <c r="AY54" s="37"/>
      <c r="AZ54" s="50"/>
      <c r="BA54" s="50"/>
      <c r="BB54" s="37"/>
      <c r="BC54" s="37"/>
      <c r="BD54" s="37"/>
      <c r="BE54" s="37"/>
      <c r="BF54" s="37"/>
      <c r="BG54" s="37"/>
      <c r="BH54" s="37"/>
      <c r="BI54" s="37"/>
      <c r="BJ54" s="37"/>
      <c r="BK54" s="37"/>
      <c r="BL54" s="37"/>
      <c r="BM54" s="37"/>
      <c r="BN54" s="37"/>
      <c r="BO54" s="37"/>
      <c r="BP54" s="37"/>
      <c r="BQ54" s="37"/>
      <c r="BR54" s="37"/>
      <c r="BS54" s="37"/>
      <c r="BT54" s="37"/>
      <c r="BU54" s="52"/>
      <c r="BV54" s="37"/>
      <c r="BW54" s="37"/>
      <c r="BX54" s="37"/>
      <c r="BY54" s="37"/>
      <c r="BZ54" s="37"/>
      <c r="CA54" s="52"/>
      <c r="CB54" s="37"/>
      <c r="CC54" s="47" t="s">
        <v>236</v>
      </c>
      <c r="CD54" s="50">
        <v>0.375</v>
      </c>
      <c r="CE54" s="50">
        <v>37.25</v>
      </c>
      <c r="CF54" s="47" t="s">
        <v>237</v>
      </c>
      <c r="CG54" s="50">
        <v>0.5</v>
      </c>
      <c r="CH54" s="50">
        <v>37</v>
      </c>
      <c r="CI54" s="132"/>
      <c r="CJ54" s="37"/>
      <c r="CK54" s="38"/>
    </row>
    <row r="55" spans="2:90" ht="41.25" customHeight="1" x14ac:dyDescent="0.25">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R55" s="65">
        <v>35</v>
      </c>
      <c r="AS55" s="42">
        <v>44</v>
      </c>
      <c r="AT55" s="43">
        <v>1100</v>
      </c>
      <c r="AU55" s="62">
        <v>1117.5999999999999</v>
      </c>
      <c r="AV55" s="47"/>
      <c r="AW55" s="48"/>
      <c r="AX55" s="48"/>
      <c r="AY55" s="132"/>
      <c r="AZ55" s="132"/>
      <c r="BA55" s="132"/>
      <c r="BB55" s="132"/>
      <c r="BC55" s="132"/>
      <c r="BD55" s="132"/>
      <c r="BE55" s="132"/>
      <c r="BF55" s="132"/>
      <c r="BG55" s="132"/>
      <c r="BH55" s="132"/>
      <c r="BI55" s="132"/>
      <c r="BJ55" s="132"/>
      <c r="BK55" s="132"/>
      <c r="BL55" s="132"/>
      <c r="BM55" s="132"/>
      <c r="BN55" s="132"/>
      <c r="BO55" s="132"/>
      <c r="BP55" s="132"/>
      <c r="BQ55" s="132"/>
      <c r="BR55" s="132"/>
      <c r="BS55" s="132"/>
      <c r="BT55" s="132"/>
      <c r="BU55" s="132"/>
      <c r="BV55" s="132"/>
      <c r="BW55" s="132"/>
      <c r="BX55" s="132"/>
      <c r="BY55" s="132"/>
      <c r="BZ55" s="132"/>
      <c r="CA55" s="132"/>
      <c r="CB55" s="132"/>
      <c r="CC55" s="47" t="s">
        <v>236</v>
      </c>
      <c r="CD55" s="48">
        <v>0.375</v>
      </c>
      <c r="CE55" s="48">
        <v>43.25</v>
      </c>
      <c r="CF55" s="47" t="s">
        <v>237</v>
      </c>
      <c r="CG55" s="48">
        <v>0.5</v>
      </c>
      <c r="CH55" s="48">
        <v>43</v>
      </c>
      <c r="CI55" s="132"/>
      <c r="CJ55" s="132"/>
      <c r="CK55" s="49"/>
      <c r="CL55" s="10"/>
    </row>
    <row r="56" spans="2:90" s="10" customFormat="1" ht="14.9" customHeight="1" x14ac:dyDescent="0.25">
      <c r="AR56" s="10">
        <v>36</v>
      </c>
      <c r="AS56" s="42">
        <v>46</v>
      </c>
      <c r="AT56" s="36">
        <v>1150</v>
      </c>
      <c r="AU56" s="63">
        <v>1168.4000000000001</v>
      </c>
      <c r="AV56" s="47"/>
      <c r="AW56" s="50"/>
      <c r="AX56" s="50"/>
      <c r="AY56" s="37"/>
      <c r="AZ56" s="37"/>
      <c r="BA56" s="37"/>
      <c r="BB56" s="37"/>
      <c r="BC56" s="37"/>
      <c r="BD56" s="37"/>
      <c r="BE56" s="37"/>
      <c r="BF56" s="37"/>
      <c r="BG56" s="37"/>
      <c r="BH56" s="37"/>
      <c r="BI56" s="37"/>
      <c r="BJ56" s="37"/>
      <c r="BK56" s="37"/>
      <c r="BL56" s="37"/>
      <c r="BM56" s="37"/>
      <c r="BN56" s="37"/>
      <c r="BO56" s="37"/>
      <c r="BP56" s="37"/>
      <c r="BQ56" s="37"/>
      <c r="BR56" s="37"/>
      <c r="BS56" s="37"/>
      <c r="BT56" s="37"/>
      <c r="BU56" s="52"/>
      <c r="BV56" s="37"/>
      <c r="BW56" s="37"/>
      <c r="BX56" s="37"/>
      <c r="BY56" s="37"/>
      <c r="BZ56" s="37"/>
      <c r="CA56" s="37"/>
      <c r="CB56" s="37"/>
      <c r="CC56" s="47" t="s">
        <v>236</v>
      </c>
      <c r="CD56" s="50">
        <v>0.375</v>
      </c>
      <c r="CE56" s="50">
        <v>45.25</v>
      </c>
      <c r="CF56" s="47" t="s">
        <v>237</v>
      </c>
      <c r="CG56" s="50">
        <v>0.5</v>
      </c>
      <c r="CH56" s="50">
        <v>45</v>
      </c>
      <c r="CI56" s="37"/>
      <c r="CJ56" s="37"/>
      <c r="CK56" s="38"/>
    </row>
    <row r="57" spans="2:90" s="10" customFormat="1" ht="36" customHeight="1" thickBot="1" x14ac:dyDescent="0.3">
      <c r="AR57" s="65">
        <v>37</v>
      </c>
      <c r="AS57" s="56">
        <v>48</v>
      </c>
      <c r="AT57" s="57">
        <v>1200</v>
      </c>
      <c r="AU57" s="64">
        <v>1219.2</v>
      </c>
      <c r="AV57" s="58"/>
      <c r="AW57" s="59"/>
      <c r="AX57" s="59"/>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58" t="s">
        <v>236</v>
      </c>
      <c r="CD57" s="59">
        <v>0.375</v>
      </c>
      <c r="CE57" s="59">
        <v>47.25</v>
      </c>
      <c r="CF57" s="58" t="s">
        <v>237</v>
      </c>
      <c r="CG57" s="59">
        <v>0.5</v>
      </c>
      <c r="CH57" s="59">
        <v>47</v>
      </c>
      <c r="CI57" s="60"/>
      <c r="CJ57" s="60"/>
      <c r="CK57" s="61"/>
    </row>
    <row r="58" spans="2:90" s="10" customFormat="1" x14ac:dyDescent="0.25">
      <c r="AR58" s="7"/>
      <c r="AS58" s="7"/>
      <c r="AT58" s="7"/>
      <c r="AU58" s="7"/>
      <c r="AV58" s="7"/>
      <c r="AW58" s="7"/>
      <c r="AX58" s="7"/>
    </row>
    <row r="59" spans="2:90" s="10" customFormat="1" x14ac:dyDescent="0.25">
      <c r="AR59" s="7"/>
      <c r="AS59" s="7"/>
      <c r="AT59" s="7"/>
      <c r="AU59" s="7"/>
      <c r="AV59" s="7"/>
      <c r="AW59" s="7"/>
      <c r="AX59" s="7"/>
    </row>
    <row r="60" spans="2:90" s="10" customFormat="1" x14ac:dyDescent="0.25">
      <c r="AR60" s="7"/>
      <c r="AS60" s="7"/>
      <c r="AT60" s="7"/>
      <c r="AU60" s="7"/>
      <c r="AV60" s="7"/>
      <c r="AW60" s="7"/>
      <c r="AX60" s="7"/>
    </row>
    <row r="61" spans="2:90" s="10" customFormat="1" x14ac:dyDescent="0.25">
      <c r="AR61" s="7"/>
      <c r="AS61" s="7"/>
      <c r="AT61" s="7"/>
      <c r="AU61" s="7"/>
      <c r="AV61" s="7"/>
      <c r="AW61" s="7"/>
      <c r="AX61" s="7"/>
    </row>
    <row r="62" spans="2:90" s="10" customFormat="1" ht="15.5" x14ac:dyDescent="0.25">
      <c r="AR62" s="7"/>
      <c r="AS62" s="7"/>
      <c r="AT62" s="7"/>
      <c r="AU62" s="7"/>
      <c r="AV62" s="7"/>
      <c r="AW62" s="37">
        <v>1</v>
      </c>
      <c r="AX62" s="37" t="s">
        <v>241</v>
      </c>
      <c r="AY62" s="41" t="s">
        <v>261</v>
      </c>
    </row>
    <row r="63" spans="2:90" s="10" customFormat="1" ht="15.5" x14ac:dyDescent="0.25">
      <c r="AR63" s="7"/>
      <c r="AS63" s="7"/>
      <c r="AT63" s="7"/>
      <c r="AU63" s="7"/>
      <c r="AV63" s="7"/>
      <c r="AW63" s="37">
        <v>2</v>
      </c>
      <c r="AX63" s="37" t="s">
        <v>227</v>
      </c>
      <c r="AY63" s="41">
        <v>5</v>
      </c>
    </row>
    <row r="64" spans="2:90" s="10" customFormat="1" ht="15.5" x14ac:dyDescent="0.25">
      <c r="AR64" s="7"/>
      <c r="AS64" s="7"/>
      <c r="AT64" s="7"/>
      <c r="AU64" s="7"/>
      <c r="AV64" s="7"/>
      <c r="AW64" s="37">
        <v>3</v>
      </c>
      <c r="AX64" s="37" t="s">
        <v>228</v>
      </c>
      <c r="AY64" s="41">
        <v>10</v>
      </c>
    </row>
    <row r="65" spans="2:90" s="10" customFormat="1" ht="15.5" x14ac:dyDescent="0.25">
      <c r="AR65" s="7"/>
      <c r="AS65" s="7"/>
      <c r="AT65" s="7"/>
      <c r="AU65" s="7"/>
      <c r="AV65" s="7"/>
      <c r="AW65" s="37">
        <v>4</v>
      </c>
      <c r="AX65" s="37" t="s">
        <v>229</v>
      </c>
      <c r="AY65" s="41">
        <v>20</v>
      </c>
    </row>
    <row r="66" spans="2:90" s="10" customFormat="1" ht="15.5" x14ac:dyDescent="0.25">
      <c r="AR66" s="7"/>
      <c r="AS66" s="7"/>
      <c r="AT66" s="7"/>
      <c r="AU66" s="7"/>
      <c r="AV66" s="7"/>
      <c r="AW66" s="37">
        <v>5</v>
      </c>
      <c r="AX66" s="37" t="s">
        <v>230</v>
      </c>
      <c r="AY66" s="41">
        <v>30</v>
      </c>
    </row>
    <row r="67" spans="2:90" s="10" customFormat="1" ht="15.5" x14ac:dyDescent="0.25">
      <c r="AR67" s="7"/>
      <c r="AS67" s="7"/>
      <c r="AT67" s="7"/>
      <c r="AU67" s="7"/>
      <c r="AV67" s="7"/>
      <c r="AW67" s="37">
        <v>6</v>
      </c>
      <c r="AX67" s="37" t="s">
        <v>221</v>
      </c>
      <c r="AY67" s="41">
        <v>40</v>
      </c>
    </row>
    <row r="68" spans="2:90" s="10" customFormat="1" ht="15.5" x14ac:dyDescent="0.25">
      <c r="AR68" s="7"/>
      <c r="AS68" s="7"/>
      <c r="AT68" s="7"/>
      <c r="AU68" s="7"/>
      <c r="AV68" s="7"/>
      <c r="AW68" s="37">
        <v>7</v>
      </c>
      <c r="AX68" s="37" t="s">
        <v>222</v>
      </c>
      <c r="AY68" s="41">
        <v>80</v>
      </c>
    </row>
    <row r="69" spans="2:90" s="10" customFormat="1" ht="15.5" x14ac:dyDescent="0.25">
      <c r="AR69" s="7"/>
      <c r="AS69" s="7"/>
      <c r="AT69" s="7"/>
      <c r="AU69" s="7"/>
      <c r="AV69" s="7"/>
      <c r="AW69" s="37">
        <v>8</v>
      </c>
      <c r="AX69" s="37" t="s">
        <v>232</v>
      </c>
      <c r="AY69" s="41">
        <v>100</v>
      </c>
    </row>
    <row r="70" spans="2:90" s="10" customFormat="1" ht="15.5" x14ac:dyDescent="0.25">
      <c r="AR70" s="7"/>
      <c r="AS70" s="7"/>
      <c r="AT70" s="7"/>
      <c r="AU70" s="7"/>
      <c r="AV70" s="7"/>
      <c r="AW70" s="37">
        <v>9</v>
      </c>
      <c r="AX70" s="37" t="s">
        <v>233</v>
      </c>
      <c r="AY70" s="41">
        <v>120</v>
      </c>
    </row>
    <row r="71" spans="2:90" s="10" customFormat="1" ht="15.5" x14ac:dyDescent="0.25">
      <c r="AR71" s="7"/>
      <c r="AS71" s="7"/>
      <c r="AT71" s="7"/>
      <c r="AU71" s="7"/>
      <c r="AV71" s="7"/>
      <c r="AW71" s="37">
        <v>10</v>
      </c>
      <c r="AX71" s="37" t="s">
        <v>234</v>
      </c>
      <c r="AY71" s="41">
        <v>140</v>
      </c>
    </row>
    <row r="72" spans="2:90" s="10" customFormat="1" ht="15.5" x14ac:dyDescent="0.25">
      <c r="AR72" s="7"/>
      <c r="AS72" s="7"/>
      <c r="AT72" s="7"/>
      <c r="AU72" s="7"/>
      <c r="AV72" s="7"/>
      <c r="AW72" s="37">
        <v>11</v>
      </c>
      <c r="AX72" s="37" t="s">
        <v>235</v>
      </c>
      <c r="AY72" s="41">
        <v>160</v>
      </c>
    </row>
    <row r="73" spans="2:90" s="10" customFormat="1" ht="15.5" x14ac:dyDescent="0.25">
      <c r="AR73" s="7"/>
      <c r="AS73" s="7"/>
      <c r="AT73" s="7"/>
      <c r="AU73" s="7"/>
      <c r="AV73" s="7"/>
      <c r="AW73" s="37">
        <v>12</v>
      </c>
      <c r="AX73" s="37" t="s">
        <v>220</v>
      </c>
      <c r="AY73" s="41" t="s">
        <v>236</v>
      </c>
    </row>
    <row r="74" spans="2:90" s="10" customFormat="1" ht="15.5" x14ac:dyDescent="0.25">
      <c r="AR74" s="7"/>
      <c r="AS74" s="7"/>
      <c r="AT74" s="7"/>
      <c r="AU74" s="7"/>
      <c r="AV74" s="7"/>
      <c r="AW74" s="37">
        <v>13</v>
      </c>
      <c r="AX74" s="37" t="s">
        <v>237</v>
      </c>
      <c r="AY74" s="41" t="s">
        <v>237</v>
      </c>
    </row>
    <row r="75" spans="2:90" s="10" customFormat="1" ht="15.5" x14ac:dyDescent="0.2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R75" s="7"/>
      <c r="AS75" s="7"/>
      <c r="AT75" s="7"/>
      <c r="AU75" s="7"/>
      <c r="AV75" s="7"/>
      <c r="AW75" s="37">
        <v>14</v>
      </c>
      <c r="AX75" s="37" t="s">
        <v>238</v>
      </c>
      <c r="AY75" s="41" t="s">
        <v>238</v>
      </c>
    </row>
    <row r="76" spans="2:90" s="10" customFormat="1" x14ac:dyDescent="0.2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R76" s="7"/>
      <c r="AS76" s="7"/>
      <c r="AT76" s="7"/>
      <c r="AU76" s="7"/>
      <c r="AV76" s="7"/>
      <c r="AW76" s="7"/>
      <c r="AX76" s="7"/>
    </row>
    <row r="77" spans="2:90" s="10" customFormat="1" x14ac:dyDescent="0.2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R77" s="7"/>
      <c r="AS77" s="7"/>
      <c r="AT77" s="7"/>
      <c r="AU77" s="7"/>
      <c r="AV77" s="7"/>
      <c r="AW77" s="7"/>
      <c r="AX77" s="7"/>
    </row>
    <row r="78" spans="2:90" s="10" customFormat="1" x14ac:dyDescent="0.25">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row>
    <row r="79" spans="2:90" s="10" customFormat="1" x14ac:dyDescent="0.25">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row>
  </sheetData>
  <mergeCells count="131">
    <mergeCell ref="C31:S31"/>
    <mergeCell ref="C32:S32"/>
    <mergeCell ref="C33:S33"/>
    <mergeCell ref="T33:Y33"/>
    <mergeCell ref="Z33:AE33"/>
    <mergeCell ref="AF33:AK33"/>
    <mergeCell ref="B52:AN52"/>
    <mergeCell ref="T31:Y31"/>
    <mergeCell ref="Z31:AE31"/>
    <mergeCell ref="AF31:AK31"/>
    <mergeCell ref="T32:Y32"/>
    <mergeCell ref="Z32:AE32"/>
    <mergeCell ref="AF32:AK32"/>
    <mergeCell ref="T30:Y30"/>
    <mergeCell ref="Z30:AE30"/>
    <mergeCell ref="AF30:AK30"/>
    <mergeCell ref="T26:Y26"/>
    <mergeCell ref="Z26:AE26"/>
    <mergeCell ref="AF26:AK26"/>
    <mergeCell ref="T27:Y27"/>
    <mergeCell ref="Z27:AE27"/>
    <mergeCell ref="AF27:AK27"/>
    <mergeCell ref="C29:AK29"/>
    <mergeCell ref="C26:S26"/>
    <mergeCell ref="C27:S27"/>
    <mergeCell ref="C30:S30"/>
    <mergeCell ref="C28:S28"/>
    <mergeCell ref="T28:Y28"/>
    <mergeCell ref="Z28:AE28"/>
    <mergeCell ref="AF28:AK28"/>
    <mergeCell ref="T19:Y19"/>
    <mergeCell ref="Z19:AE19"/>
    <mergeCell ref="AF19:AK19"/>
    <mergeCell ref="T24:Y24"/>
    <mergeCell ref="Z24:AE24"/>
    <mergeCell ref="AF24:AK24"/>
    <mergeCell ref="T25:Y25"/>
    <mergeCell ref="Z25:AE25"/>
    <mergeCell ref="AF25:AK25"/>
    <mergeCell ref="T20:Y20"/>
    <mergeCell ref="Z20:AE20"/>
    <mergeCell ref="AF20:AK20"/>
    <mergeCell ref="T21:Y21"/>
    <mergeCell ref="Z21:AE21"/>
    <mergeCell ref="AF21:AK21"/>
    <mergeCell ref="T22:Y22"/>
    <mergeCell ref="T23:Y23"/>
    <mergeCell ref="Z22:AE22"/>
    <mergeCell ref="Z23:AE23"/>
    <mergeCell ref="AF22:AK22"/>
    <mergeCell ref="AF23:AK23"/>
    <mergeCell ref="AS18:AT18"/>
    <mergeCell ref="T16:Y16"/>
    <mergeCell ref="Z16:AE16"/>
    <mergeCell ref="AF16:AK16"/>
    <mergeCell ref="T17:Y17"/>
    <mergeCell ref="Z17:AE17"/>
    <mergeCell ref="AF17:AK17"/>
    <mergeCell ref="T18:Y18"/>
    <mergeCell ref="Z18:AE18"/>
    <mergeCell ref="AF18:AK18"/>
    <mergeCell ref="B8:C8"/>
    <mergeCell ref="D8:F8"/>
    <mergeCell ref="G8:J8"/>
    <mergeCell ref="K8:N8"/>
    <mergeCell ref="O8:P8"/>
    <mergeCell ref="Q8:S8"/>
    <mergeCell ref="C13:AK13"/>
    <mergeCell ref="B10:AN10"/>
    <mergeCell ref="C14:S14"/>
    <mergeCell ref="C12:S12"/>
    <mergeCell ref="C11:AK11"/>
    <mergeCell ref="T12:Y12"/>
    <mergeCell ref="Z12:AE12"/>
    <mergeCell ref="AF12:AK12"/>
    <mergeCell ref="T14:Y14"/>
    <mergeCell ref="Z14:AE14"/>
    <mergeCell ref="AF14:AK14"/>
    <mergeCell ref="T8:W8"/>
    <mergeCell ref="X8:AA8"/>
    <mergeCell ref="AB8:AC8"/>
    <mergeCell ref="AD8:AF8"/>
    <mergeCell ref="AG8:AJ8"/>
    <mergeCell ref="AK8:AN8"/>
    <mergeCell ref="T7:W7"/>
    <mergeCell ref="X7:AA7"/>
    <mergeCell ref="AB7:AC7"/>
    <mergeCell ref="AD7:AF7"/>
    <mergeCell ref="AG7:AJ7"/>
    <mergeCell ref="AK7:AN7"/>
    <mergeCell ref="B7:C7"/>
    <mergeCell ref="D7:F7"/>
    <mergeCell ref="G7:J7"/>
    <mergeCell ref="K7:N7"/>
    <mergeCell ref="O7:P7"/>
    <mergeCell ref="Q7:S7"/>
    <mergeCell ref="T15:Y15"/>
    <mergeCell ref="Z15:AE15"/>
    <mergeCell ref="AF15:AK15"/>
    <mergeCell ref="B1:AN1"/>
    <mergeCell ref="B2:G2"/>
    <mergeCell ref="I2:Z2"/>
    <mergeCell ref="AA2:AD2"/>
    <mergeCell ref="AE2:AN2"/>
    <mergeCell ref="B3:G3"/>
    <mergeCell ref="I3:Z3"/>
    <mergeCell ref="AA3:AD3"/>
    <mergeCell ref="AE3:AN3"/>
    <mergeCell ref="B6:I6"/>
    <mergeCell ref="J6:AC6"/>
    <mergeCell ref="AD6:AF6"/>
    <mergeCell ref="AG6:AI6"/>
    <mergeCell ref="AJ6:AK6"/>
    <mergeCell ref="AL6:AN6"/>
    <mergeCell ref="B4:G4"/>
    <mergeCell ref="I4:Z4"/>
    <mergeCell ref="AA4:AD4"/>
    <mergeCell ref="AE4:AN4"/>
    <mergeCell ref="B5:H5"/>
    <mergeCell ref="I5:AN5"/>
    <mergeCell ref="C15:S15"/>
    <mergeCell ref="C16:S16"/>
    <mergeCell ref="C17:S17"/>
    <mergeCell ref="C18:S18"/>
    <mergeCell ref="C19:S19"/>
    <mergeCell ref="C20:S20"/>
    <mergeCell ref="C21:S21"/>
    <mergeCell ref="C24:S24"/>
    <mergeCell ref="C25:S25"/>
    <mergeCell ref="C22:S22"/>
    <mergeCell ref="C23:S23"/>
  </mergeCells>
  <conditionalFormatting sqref="T22:Y23">
    <cfRule type="expression" dxfId="7" priority="4">
      <formula>$T$19="Manual Input"</formula>
    </cfRule>
    <cfRule type="expression" dxfId="6" priority="8">
      <formula>$T$17="Manual Input"</formula>
    </cfRule>
  </conditionalFormatting>
  <conditionalFormatting sqref="Z22:AE23">
    <cfRule type="expression" dxfId="5" priority="3">
      <formula>$Z$19="Manual Input"</formula>
    </cfRule>
    <cfRule type="expression" dxfId="4" priority="7">
      <formula>$Z$17="Manual Input"</formula>
    </cfRule>
  </conditionalFormatting>
  <conditionalFormatting sqref="AF22:AK23">
    <cfRule type="expression" dxfId="3" priority="6">
      <formula>$AF$19="Manual Input"</formula>
    </cfRule>
  </conditionalFormatting>
  <conditionalFormatting sqref="T20:Y21">
    <cfRule type="expression" dxfId="2" priority="5">
      <formula>$T$19="Manual Input"</formula>
    </cfRule>
  </conditionalFormatting>
  <conditionalFormatting sqref="Z20:AE21">
    <cfRule type="expression" dxfId="1" priority="2">
      <formula>$Z$19="Manual Input"</formula>
    </cfRule>
  </conditionalFormatting>
  <conditionalFormatting sqref="AF20:AK21">
    <cfRule type="expression" dxfId="0" priority="1">
      <formula>$AF$19="Manual Input"</formula>
    </cfRule>
  </conditionalFormatting>
  <dataValidations disablePrompts="1" count="3">
    <dataValidation type="list" allowBlank="1" showInputMessage="1" showErrorMessage="1" sqref="T19:AK19" xr:uid="{00000000-0002-0000-1400-000000000000}">
      <formula1>$AX$62:$AX$75</formula1>
    </dataValidation>
    <dataValidation type="list" allowBlank="1" showInputMessage="1" showErrorMessage="1" sqref="T18:AK18" xr:uid="{00000000-0002-0000-1400-000001000000}">
      <formula1>$AT$26:$AT$57</formula1>
    </dataValidation>
    <dataValidation type="list" allowBlank="1" showInputMessage="1" showErrorMessage="1" sqref="T26:AK26" xr:uid="{00000000-0002-0000-1400-000002000000}">
      <formula1>$AP$34:$AP$37</formula1>
    </dataValidation>
  </dataValidations>
  <pageMargins left="0.78740157480314998" right="0.196850393700787" top="0.39370078740157499" bottom="0.62" header="0.196850393700787" footer="0.196850393700787"/>
  <pageSetup paperSize="9" scale="88" orientation="portrait" r:id="rId1"/>
  <headerFooter>
    <oddFooter>&amp;L&amp;"Calibri,Regular"&amp;11Copyright 2019, Worley
&amp;F&amp;R&amp;"Calibri,Regular"&amp;11Rev. 0, 01 December 2019</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0068_ca0 xmlns="f20dd3df-cc36-4499-80aa-2b4fe70792e4" xsi:nil="true"/>
    <discipline xmlns="f20dd3df-cc36-4499-80aa-2b4fe70792e4" xsi:nil="true"/>
    <DocumentStatus xmlns="f20dd3df-cc36-4499-80aa-2b4fe70792e4" xsi:nil="true"/>
    <Comments xmlns="f20dd3df-cc36-4499-80aa-2b4fe70792e4" xsi:nil="true"/>
    <Process xmlns="f20dd3df-cc36-4499-80aa-2b4fe70792e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D96ED4DE1848948A0750CEB789F35AF" ma:contentTypeVersion="16" ma:contentTypeDescription="Create a new document." ma:contentTypeScope="" ma:versionID="79475f2597456ec1d94cce5c3bcc9651">
  <xsd:schema xmlns:xsd="http://www.w3.org/2001/XMLSchema" xmlns:xs="http://www.w3.org/2001/XMLSchema" xmlns:p="http://schemas.microsoft.com/office/2006/metadata/properties" xmlns:ns2="f20dd3df-cc36-4499-80aa-2b4fe70792e4" xmlns:ns3="48015afd-ef0d-4a02-b604-f97b7dcc2443" targetNamespace="http://schemas.microsoft.com/office/2006/metadata/properties" ma:root="true" ma:fieldsID="7ff8a6f742de054d19a3718057d6bb46" ns2:_="" ns3:_="">
    <xsd:import namespace="f20dd3df-cc36-4499-80aa-2b4fe70792e4"/>
    <xsd:import namespace="48015afd-ef0d-4a02-b604-f97b7dcc244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discipline" minOccurs="0"/>
                <xsd:element ref="ns2:DocumentStatus" minOccurs="0"/>
                <xsd:element ref="ns2:MediaServiceAutoKeyPoints" minOccurs="0"/>
                <xsd:element ref="ns2:MediaServiceKeyPoints" minOccurs="0"/>
                <xsd:element ref="ns2:Comments" minOccurs="0"/>
                <xsd:element ref="ns2:Process" minOccurs="0"/>
                <xsd:element ref="ns2:_x0068_ca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dd3df-cc36-4499-80aa-2b4fe70792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discipline" ma:index="17" nillable="true" ma:displayName="Discipline" ma:description="Owning Discipline" ma:internalName="discipline">
      <xsd:simpleType>
        <xsd:restriction base="dms:Text">
          <xsd:maxLength value="255"/>
        </xsd:restriction>
      </xsd:simpleType>
    </xsd:element>
    <xsd:element name="DocumentStatus" ma:index="18" nillable="true" ma:displayName="Document Status" ma:format="Dropdown" ma:internalName="DocumentStatus">
      <xsd:simpleType>
        <xsd:restriction base="dms:Choice">
          <xsd:enumeration value="Approved"/>
          <xsd:enumeration value="Not Approved"/>
          <xsd:enumeration value="In Review"/>
          <xsd:enumeration value="Draft"/>
          <xsd:enumeration value="Archived"/>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Comments" ma:index="21" nillable="true" ma:displayName="Comments" ma:description="Comments" ma:internalName="Comments">
      <xsd:simpleType>
        <xsd:restriction base="dms:Text">
          <xsd:maxLength value="255"/>
        </xsd:restriction>
      </xsd:simpleType>
    </xsd:element>
    <xsd:element name="Process" ma:index="22" nillable="true" ma:displayName="Process" ma:internalName="Process">
      <xsd:simpleType>
        <xsd:restriction base="dms:Text">
          <xsd:maxLength value="255"/>
        </xsd:restriction>
      </xsd:simpleType>
    </xsd:element>
    <xsd:element name="_x0068_ca0" ma:index="23" nillable="true" ma:displayName="Date Reviewed" ma:internalName="_x0068_ca0">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8015afd-ef0d-4a02-b604-f97b7dcc24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08EB79-F003-4A9E-B80F-6DC1C404D867}">
  <ds:schemaRefs>
    <ds:schemaRef ds:uri="http://schemas.microsoft.com/office/2006/metadata/properties"/>
    <ds:schemaRef ds:uri="http://schemas.microsoft.com/office/infopath/2007/PartnerControls"/>
    <ds:schemaRef ds:uri="f20dd3df-cc36-4499-80aa-2b4fe70792e4"/>
  </ds:schemaRefs>
</ds:datastoreItem>
</file>

<file path=customXml/itemProps2.xml><?xml version="1.0" encoding="utf-8"?>
<ds:datastoreItem xmlns:ds="http://schemas.openxmlformats.org/officeDocument/2006/customXml" ds:itemID="{E719DC64-4D8D-40A4-9C0C-D21D44405D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dd3df-cc36-4499-80aa-2b4fe70792e4"/>
    <ds:schemaRef ds:uri="48015afd-ef0d-4a02-b604-f97b7dcc24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B8A686-DD21-4BF9-9AD6-9BEBD4D013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20</vt:i4>
      </vt:variant>
    </vt:vector>
  </HeadingPairs>
  <TitlesOfParts>
    <vt:vector size="39" baseType="lpstr">
      <vt:lpstr>Cover Sheet</vt:lpstr>
      <vt:lpstr>Checklist</vt:lpstr>
      <vt:lpstr>ToC</vt:lpstr>
      <vt:lpstr>P4 - Introduction</vt:lpstr>
      <vt:lpstr>P5 - Sketch</vt:lpstr>
      <vt:lpstr>P6-Nomenclature</vt:lpstr>
      <vt:lpstr>P7 - Mechanism</vt:lpstr>
      <vt:lpstr>P8- Liquid or Multiphase</vt:lpstr>
      <vt:lpstr>P 9- Liquid or Multiphase Open</vt:lpstr>
      <vt:lpstr>P10- Case Description</vt:lpstr>
      <vt:lpstr>P11-Summary (Dry Gas)</vt:lpstr>
      <vt:lpstr>P12-Summary (Valve Closure)</vt:lpstr>
      <vt:lpstr>P13-Valve open Liquid multiphas</vt:lpstr>
      <vt:lpstr>AppA</vt:lpstr>
      <vt:lpstr>App A- Dry Gas Calc </vt:lpstr>
      <vt:lpstr>AppB</vt:lpstr>
      <vt:lpstr>AppB- Liquid or Multiphase Calc</vt:lpstr>
      <vt:lpstr>AppC</vt:lpstr>
      <vt:lpstr>APPC- Liquid or Multiphase Open</vt:lpstr>
      <vt:lpstr>disclaimer</vt:lpstr>
      <vt:lpstr>'App A- Dry Gas Calc '!Print_Area</vt:lpstr>
      <vt:lpstr>AppA!Print_Area</vt:lpstr>
      <vt:lpstr>AppB!Print_Area</vt:lpstr>
      <vt:lpstr>'AppB- Liquid or Multiphase Calc'!Print_Area</vt:lpstr>
      <vt:lpstr>AppC!Print_Area</vt:lpstr>
      <vt:lpstr>'APPC- Liquid or Multiphase Open'!Print_Area</vt:lpstr>
      <vt:lpstr>Checklist!Print_Area</vt:lpstr>
      <vt:lpstr>'Cover Sheet'!Print_Area</vt:lpstr>
      <vt:lpstr>'P 9- Liquid or Multiphase Open'!Print_Area</vt:lpstr>
      <vt:lpstr>'P10- Case Description'!Print_Area</vt:lpstr>
      <vt:lpstr>'P11-Summary (Dry Gas)'!Print_Area</vt:lpstr>
      <vt:lpstr>'P12-Summary (Valve Closure)'!Print_Area</vt:lpstr>
      <vt:lpstr>'P13-Valve open Liquid multiphas'!Print_Area</vt:lpstr>
      <vt:lpstr>'P4 - Introduction'!Print_Area</vt:lpstr>
      <vt:lpstr>'P5 - Sketch'!Print_Area</vt:lpstr>
      <vt:lpstr>'P6-Nomenclature'!Print_Area</vt:lpstr>
      <vt:lpstr>'P7 - Mechanism'!Print_Area</vt:lpstr>
      <vt:lpstr>'P8- Liquid or Multiphase'!Print_Area</vt:lpstr>
      <vt:lpstr>ToC!Print_Area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Verma, Priyanka (Mumbai)</cp:lastModifiedBy>
  <cp:revision/>
  <cp:lastPrinted>2024-03-07T08:11:59Z</cp:lastPrinted>
  <dcterms:created xsi:type="dcterms:W3CDTF">1998-07-30T03:46:25Z</dcterms:created>
  <dcterms:modified xsi:type="dcterms:W3CDTF">2024-03-07T08:12:11Z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cipline">
    <vt:lpwstr/>
  </property>
  <property fmtid="{D5CDD505-2E9C-101B-9397-08002B2CF9AE}" pid="3" name="Business Process">
    <vt:lpwstr>101;#Engineering Delivery|4c44a6c4-2328-423a-a8ec-db72ab22606d</vt:lpwstr>
  </property>
  <property fmtid="{D5CDD505-2E9C-101B-9397-08002B2CF9AE}" pid="4" name="Entity">
    <vt:lpwstr>10;#Corporate|3c25ecba-de18-4fad-b000-2aa685b1682c</vt:lpwstr>
  </property>
  <property fmtid="{D5CDD505-2E9C-101B-9397-08002B2CF9AE}" pid="5" name="ContentTypeId">
    <vt:lpwstr>0x010100DD96ED4DE1848948A0750CEB789F35AF</vt:lpwstr>
  </property>
  <property fmtid="{D5CDD505-2E9C-101B-9397-08002B2CF9AE}" pid="6" name="Hidden Entity">
    <vt:lpwstr/>
  </property>
  <property fmtid="{D5CDD505-2E9C-101B-9397-08002B2CF9AE}" pid="7" name="EMS Language">
    <vt:lpwstr>3;#English|85e7ea2a-566f-43ca-9648-6bc8acd5bb97</vt:lpwstr>
  </property>
  <property fmtid="{D5CDD505-2E9C-101B-9397-08002B2CF9AE}" pid="8" name="EMS Category">
    <vt:lpwstr>109;#Corporate Standard|8a72e54b-faca-41df-b2ab-b2873a25bf8a</vt:lpwstr>
  </property>
  <property fmtid="{D5CDD505-2E9C-101B-9397-08002B2CF9AE}" pid="9" name="Document Type">
    <vt:lpwstr>183;#Template|0a7d89d3-944f-4808-aaa7-d65e64bc6658</vt:lpwstr>
  </property>
  <property fmtid="{D5CDD505-2E9C-101B-9397-08002B2CF9AE}" pid="10" name="ed5f290e67f24e7db08ae6ea134c5d8e">
    <vt:lpwstr>#Al-Khafji Joint Operations|6d57faca-874a-4942-a52e-c1ed0a80c5f5;#BASF|335f6503-bfa2-43b1-88e7-f09973ea6191;#BP EPMS|fd404a2b-9df5-4030-ad7a-eb9def757cb1;#BP EMPS GoM Improve|a9ecc381-8c36-4811-852d-09ff20c090ce;#BP Rumaila|924e341f-b9b6-4d0a-9b7d-19fe2b8</vt:lpwstr>
  </property>
  <property fmtid="{D5CDD505-2E9C-101B-9397-08002B2CF9AE}" pid="11" name="bb169935fb6a4e009608494a142b27db">
    <vt:lpwstr>Corporate Base511c588c-4ed0-47bd-a50e-89d0c3747c72</vt:lpwstr>
  </property>
  <property fmtid="{D5CDD505-2E9C-101B-9397-08002B2CF9AE}" pid="12" name="h7a5631c9de34d6fbbc5f6e3a02f39c4">
    <vt:lpwstr>English85e7ea2a-566f-43ca-9648-6bc8acd5bb97</vt:lpwstr>
  </property>
  <property fmtid="{D5CDD505-2E9C-101B-9397-08002B2CF9AE}" pid="13" name="V3Label">
    <vt:lpwstr>EPF-0027</vt:lpwstr>
  </property>
  <property fmtid="{D5CDD505-2E9C-101B-9397-08002B2CF9AE}" pid="14" name="head417051c343d6b04af59a795aa378">
    <vt:lpwstr>Corporate3c25ecba-de18-4fad-b000-2aa685b1682c</vt:lpwstr>
  </property>
  <property fmtid="{D5CDD505-2E9C-101B-9397-08002B2CF9AE}" pid="15" name="TaxCatchAll">
    <vt:lpwstr>101;#Engineering Delivery|4c44a6c4-2328-423a-a8ec-db72ab22606d</vt:lpwstr>
  </property>
  <property fmtid="{D5CDD505-2E9C-101B-9397-08002B2CF9AE}" pid="16" name="Order Column">
    <vt:lpwstr>1</vt:lpwstr>
  </property>
  <property fmtid="{D5CDD505-2E9C-101B-9397-08002B2CF9AE}" pid="17" name="f151dfff8d46493681fbbdb47ad85706">
    <vt:lpwstr/>
  </property>
  <property fmtid="{D5CDD505-2E9C-101B-9397-08002B2CF9AE}" pid="18" name="l932d89320e240bba46850220e22b9f4">
    <vt:lpwstr>Form48a2af9b-cb8b-445a-a01c-167043d1dd47</vt:lpwstr>
  </property>
  <property fmtid="{D5CDD505-2E9C-101B-9397-08002B2CF9AE}" pid="19" name="cdb0f120f5f84b59b6c1b19cff2429c9">
    <vt:lpwstr/>
  </property>
  <property fmtid="{D5CDD505-2E9C-101B-9397-08002B2CF9AE}" pid="20" name="Archive Document?">
    <vt:lpwstr>false</vt:lpwstr>
  </property>
  <property fmtid="{D5CDD505-2E9C-101B-9397-08002B2CF9AE}" pid="21" name="Rev.">
    <vt:lpwstr>8</vt:lpwstr>
  </property>
  <property fmtid="{D5CDD505-2E9C-101B-9397-08002B2CF9AE}" pid="22" name="ha760be22fbe4a22bf019d33095e9b1c">
    <vt:lpwstr>Engineering Delivery|4c44a6c4-2328-423a-a8ec-db72ab22606d</vt:lpwstr>
  </property>
  <property fmtid="{D5CDD505-2E9C-101B-9397-08002B2CF9AE}" pid="23" name="SV_QUERY_LIST_4F35BF76-6C0D-4D9B-82B2-816C12CF3733">
    <vt:lpwstr>empty_477D106A-C0D6-4607-AEBD-E2C9D60EA279</vt:lpwstr>
  </property>
  <property fmtid="{D5CDD505-2E9C-101B-9397-08002B2CF9AE}" pid="24" name="SV_HIDDEN_GRID_QUERY_LIST_4F35BF76-6C0D-4D9B-82B2-816C12CF3733">
    <vt:lpwstr>empty_477D106A-C0D6-4607-AEBD-E2C9D60EA279</vt:lpwstr>
  </property>
</Properties>
</file>